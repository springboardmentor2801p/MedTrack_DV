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udy materials\MedTrack_DV\data\raw\"/>
    </mc:Choice>
  </mc:AlternateContent>
  <bookViews>
    <workbookView xWindow="0" yWindow="0" windowWidth="19368" windowHeight="9264"/>
  </bookViews>
  <sheets>
    <sheet name="hospital_raw_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3" i="1"/>
  <c r="AJ4" i="1"/>
  <c r="AJ5" i="1"/>
  <c r="AJ6" i="1"/>
  <c r="AJ7" i="1"/>
  <c r="AJ8" i="1"/>
  <c r="AJ9" i="1"/>
  <c r="AJ10" i="1"/>
  <c r="AJ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" i="1"/>
</calcChain>
</file>

<file path=xl/sharedStrings.xml><?xml version="1.0" encoding="utf-8"?>
<sst xmlns="http://schemas.openxmlformats.org/spreadsheetml/2006/main" count="22417" uniqueCount="6600">
  <si>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</si>
  <si>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</si>
  <si>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</si>
  <si>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</si>
  <si>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</si>
  <si>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</si>
  <si>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</si>
  <si>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</si>
  <si>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</si>
  <si>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</si>
  <si>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</si>
  <si>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</si>
  <si>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</si>
  <si>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</si>
  <si>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</si>
  <si>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</si>
  <si>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</si>
  <si>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</si>
  <si>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</si>
  <si>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</si>
  <si>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</si>
  <si>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</si>
  <si>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</si>
  <si>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</si>
  <si>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</si>
  <si>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</si>
  <si>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</si>
  <si>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</si>
  <si>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</si>
  <si>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</si>
  <si>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</si>
  <si>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</si>
  <si>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Female</t>
  </si>
  <si>
    <t>A-</t>
  </si>
  <si>
    <t>Tiffany Mitchell</t>
  </si>
  <si>
    <t>Cook PLC</t>
  </si>
  <si>
    <t>Aetna</t>
  </si>
  <si>
    <t>Aspirin</t>
  </si>
  <si>
    <t>O+</t>
  </si>
  <si>
    <t>Diabetes</t>
  </si>
  <si>
    <t>Kevin Wells</t>
  </si>
  <si>
    <t>Hernandez Rogers and Vang,</t>
  </si>
  <si>
    <t>Elective</t>
  </si>
  <si>
    <t>Abnormal</t>
  </si>
  <si>
    <t>AB+</t>
  </si>
  <si>
    <t>Kathleen Hanna</t>
  </si>
  <si>
    <t>White-White</t>
  </si>
  <si>
    <t>Penicillin</t>
  </si>
  <si>
    <t>Asthma</t>
  </si>
  <si>
    <t>Taylor Newton</t>
  </si>
  <si>
    <t>Nunez-Humphrey</t>
  </si>
  <si>
    <t>UnitedHealthcare</t>
  </si>
  <si>
    <t>AB-</t>
  </si>
  <si>
    <t>Kelly Olson</t>
  </si>
  <si>
    <t>Group Middleton</t>
  </si>
  <si>
    <t>Suzanne Thomas</t>
  </si>
  <si>
    <t>Powell Robinson and Valdez,</t>
  </si>
  <si>
    <t>Cigna</t>
  </si>
  <si>
    <t>Daniel Ferguson</t>
  </si>
  <si>
    <t>Sons Rich and</t>
  </si>
  <si>
    <t>Heather Day</t>
  </si>
  <si>
    <t>Padilla-Walker</t>
  </si>
  <si>
    <t>John Duncan</t>
  </si>
  <si>
    <t>Schaefer-Porter</t>
  </si>
  <si>
    <t>Hypertension</t>
  </si>
  <si>
    <t>Douglas Mayo</t>
  </si>
  <si>
    <t>Lyons-Blair</t>
  </si>
  <si>
    <t>Lipitor</t>
  </si>
  <si>
    <t>Kenneth Fletcher</t>
  </si>
  <si>
    <t>Powers Miller, and Flores</t>
  </si>
  <si>
    <t>Theresa Freeman</t>
  </si>
  <si>
    <t>Rivera-Gutierrez</t>
  </si>
  <si>
    <t>Roberta Stewart</t>
  </si>
  <si>
    <t>Morris-Arellano</t>
  </si>
  <si>
    <t>Maria Dougherty</t>
  </si>
  <si>
    <t>Cline-Williams</t>
  </si>
  <si>
    <t>Arthritis</t>
  </si>
  <si>
    <t>Erica Spencer</t>
  </si>
  <si>
    <t>Cervantes-Wells</t>
  </si>
  <si>
    <t>Justin Kim</t>
  </si>
  <si>
    <t>Torres, and Harrison Jones</t>
  </si>
  <si>
    <t>Justin Moore Jr.</t>
  </si>
  <si>
    <t>Houston PLC</t>
  </si>
  <si>
    <t>B+</t>
  </si>
  <si>
    <t>Denise Galloway</t>
  </si>
  <si>
    <t>Hammond Ltd</t>
  </si>
  <si>
    <t>Krista Smith</t>
  </si>
  <si>
    <t>Jones LLC</t>
  </si>
  <si>
    <t>Gregory Smith</t>
  </si>
  <si>
    <t>Williams-Davis</t>
  </si>
  <si>
    <t>Vanessa Newton</t>
  </si>
  <si>
    <t>Clark-Mayo</t>
  </si>
  <si>
    <t>Donna Martinez MD</t>
  </si>
  <si>
    <t>and Sons Smith</t>
  </si>
  <si>
    <t>Stephanie Kramer</t>
  </si>
  <si>
    <t>Wilson Group</t>
  </si>
  <si>
    <t>Angela Contreras</t>
  </si>
  <si>
    <t>Garner-Bowman</t>
  </si>
  <si>
    <t>O-</t>
  </si>
  <si>
    <t>Wendy Glenn</t>
  </si>
  <si>
    <t>Brown, and Jones Weaver</t>
  </si>
  <si>
    <t>James Ellis</t>
  </si>
  <si>
    <t>Serrano-Dixon</t>
  </si>
  <si>
    <t>Jared Bruce Jr.</t>
  </si>
  <si>
    <t>Gardner-Miller</t>
  </si>
  <si>
    <t>Brandy Mitchell</t>
  </si>
  <si>
    <t>Guerrero-Boone</t>
  </si>
  <si>
    <t>Jacob Huynh</t>
  </si>
  <si>
    <t>Hart Ltd</t>
  </si>
  <si>
    <t>Kristina Frazier</t>
  </si>
  <si>
    <t>Cruz-Santiago</t>
  </si>
  <si>
    <t>John Hartman</t>
  </si>
  <si>
    <t>Group Duncan</t>
  </si>
  <si>
    <t>Heather Garcia</t>
  </si>
  <si>
    <t>Lopez-Phillips</t>
  </si>
  <si>
    <t>Lynn Young</t>
  </si>
  <si>
    <t>Poole Inc</t>
  </si>
  <si>
    <t>Emma Allison</t>
  </si>
  <si>
    <t>Sons and Cox</t>
  </si>
  <si>
    <t>Laura Myers</t>
  </si>
  <si>
    <t>LLC Martin</t>
  </si>
  <si>
    <t>Travis Parsons</t>
  </si>
  <si>
    <t>Espinoza-Stone</t>
  </si>
  <si>
    <t>Christine Johnson</t>
  </si>
  <si>
    <t>and Garcia Morris Cunningham,</t>
  </si>
  <si>
    <t>Emily Taylor</t>
  </si>
  <si>
    <t>Walton-Meyer</t>
  </si>
  <si>
    <t>William Reynolds</t>
  </si>
  <si>
    <t>PLC Young</t>
  </si>
  <si>
    <t>Jennifer Carter</t>
  </si>
  <si>
    <t>Meadows Group</t>
  </si>
  <si>
    <t>Matthew Thomas</t>
  </si>
  <si>
    <t>and Howell Brooks, Rogers</t>
  </si>
  <si>
    <t>Mary Logan</t>
  </si>
  <si>
    <t>and Mcclure White Boone,</t>
  </si>
  <si>
    <t>Kristin Martinez</t>
  </si>
  <si>
    <t>Gates Brown, and Stuart</t>
  </si>
  <si>
    <t>Daniel Murphy</t>
  </si>
  <si>
    <t>Group Armstrong</t>
  </si>
  <si>
    <t>Emily Patterson</t>
  </si>
  <si>
    <t>Ltd Schwartz</t>
  </si>
  <si>
    <t>Heather Smith</t>
  </si>
  <si>
    <t>Nelson-Phillips</t>
  </si>
  <si>
    <t>John Smith</t>
  </si>
  <si>
    <t>Knight and Nguyen, Riggs</t>
  </si>
  <si>
    <t>Cameron Young</t>
  </si>
  <si>
    <t>Lopez PLC</t>
  </si>
  <si>
    <t>Vicki Nguyen</t>
  </si>
  <si>
    <t>Fernandez and Phillips, Singh</t>
  </si>
  <si>
    <t>Mary Moss</t>
  </si>
  <si>
    <t>Beck-Galloway</t>
  </si>
  <si>
    <t>Alexander Garcia</t>
  </si>
  <si>
    <t>Decker Glover, and Christensen</t>
  </si>
  <si>
    <t>Patrick Burns</t>
  </si>
  <si>
    <t>Nelson Walker Myers, and</t>
  </si>
  <si>
    <t>Kayla Powers</t>
  </si>
  <si>
    <t>Mitchell-Navarro</t>
  </si>
  <si>
    <t>Julia Cox</t>
  </si>
  <si>
    <t>Group Delgado</t>
  </si>
  <si>
    <t>Penny Pruitt</t>
  </si>
  <si>
    <t>and Montes Graves, Thomas</t>
  </si>
  <si>
    <t>Mrs. Lori Hurst PhD</t>
  </si>
  <si>
    <t>Hall-Bentley</t>
  </si>
  <si>
    <t>Stephen Carr</t>
  </si>
  <si>
    <t>Taylor-Nguyen</t>
  </si>
  <si>
    <t>Jacob Daniel</t>
  </si>
  <si>
    <t>Hunter-Grant</t>
  </si>
  <si>
    <t>Tyler Braun</t>
  </si>
  <si>
    <t>Miller-Lawson</t>
  </si>
  <si>
    <t>Cindy Ellis</t>
  </si>
  <si>
    <t>Scott-Kelly</t>
  </si>
  <si>
    <t>Megan Hahn</t>
  </si>
  <si>
    <t>Moss and Ferguson, Baker</t>
  </si>
  <si>
    <t>Eric Kelly</t>
  </si>
  <si>
    <t>and Mason Smith Chase,</t>
  </si>
  <si>
    <t>Jennifer Larson</t>
  </si>
  <si>
    <t>Khan, and Rodriguez Fischer</t>
  </si>
  <si>
    <t>William Hess</t>
  </si>
  <si>
    <t>Sons Watson and</t>
  </si>
  <si>
    <t>Patricia Dunn</t>
  </si>
  <si>
    <t>Rhodes-Carey</t>
  </si>
  <si>
    <t>Jack Jackson</t>
  </si>
  <si>
    <t>Bullock-Ramsey</t>
  </si>
  <si>
    <t>Jonathan Drake</t>
  </si>
  <si>
    <t>Clark Brown, and Myers</t>
  </si>
  <si>
    <t>Ian Benitez</t>
  </si>
  <si>
    <t>Jackson and Lane, Dillon</t>
  </si>
  <si>
    <t>Jamie Baker</t>
  </si>
  <si>
    <t>Turner Cook, Banks and</t>
  </si>
  <si>
    <t>Erika Jackson</t>
  </si>
  <si>
    <t>Miles, and Weaver Hudson</t>
  </si>
  <si>
    <t>Amanda Garcia</t>
  </si>
  <si>
    <t>Evans Ltd</t>
  </si>
  <si>
    <t>Raven Wong</t>
  </si>
  <si>
    <t>Sons and Schaefer</t>
  </si>
  <si>
    <t>Cynthia Scott</t>
  </si>
  <si>
    <t>Sons Hodges and</t>
  </si>
  <si>
    <t>Mark Padilla</t>
  </si>
  <si>
    <t>Simpson-Mccall</t>
  </si>
  <si>
    <t>Julie Ramirez</t>
  </si>
  <si>
    <t>Lin Thompson Wells, and</t>
  </si>
  <si>
    <t>Jacob Rich</t>
  </si>
  <si>
    <t>Jones-Scott</t>
  </si>
  <si>
    <t>Mark Hartman Jr.</t>
  </si>
  <si>
    <t>Howe-Kelly</t>
  </si>
  <si>
    <t>Timothy Baker</t>
  </si>
  <si>
    <t>and Sons Reyes</t>
  </si>
  <si>
    <t>Lori Sanchez</t>
  </si>
  <si>
    <t>Shaw-Young</t>
  </si>
  <si>
    <t>Connie Boyd</t>
  </si>
  <si>
    <t>Inc Skinner</t>
  </si>
  <si>
    <t>James Tucker</t>
  </si>
  <si>
    <t>Clark-Johnson</t>
  </si>
  <si>
    <t>Juan Acevedo</t>
  </si>
  <si>
    <t>Perez and Sons</t>
  </si>
  <si>
    <t>Julie Finley</t>
  </si>
  <si>
    <t>Kemp LLC</t>
  </si>
  <si>
    <t>Miguel Parker</t>
  </si>
  <si>
    <t>LLC Dixon</t>
  </si>
  <si>
    <t>Jermaine Peters</t>
  </si>
  <si>
    <t>and Morales Jennings Cook,</t>
  </si>
  <si>
    <t>Lisa Edwards</t>
  </si>
  <si>
    <t>Group Hood</t>
  </si>
  <si>
    <t>Matthew Walker</t>
  </si>
  <si>
    <t>Lindsey Inc</t>
  </si>
  <si>
    <t>Gregory Hansen</t>
  </si>
  <si>
    <t>Ltd Wang</t>
  </si>
  <si>
    <t>Jessica Cruz</t>
  </si>
  <si>
    <t>Inc Ford</t>
  </si>
  <si>
    <t>Robert Salazar</t>
  </si>
  <si>
    <t>Dean-Hawkins</t>
  </si>
  <si>
    <t>Kyle Patterson</t>
  </si>
  <si>
    <t>Walter PLC</t>
  </si>
  <si>
    <t>John Summers</t>
  </si>
  <si>
    <t>Sons Horn and</t>
  </si>
  <si>
    <t>Scott Grant</t>
  </si>
  <si>
    <t>Powell Ward, and Mercado</t>
  </si>
  <si>
    <t>David Ruiz</t>
  </si>
  <si>
    <t>James Ltd</t>
  </si>
  <si>
    <t>Kyle Smith</t>
  </si>
  <si>
    <t>Kemp-Munoz</t>
  </si>
  <si>
    <t>Jason Price</t>
  </si>
  <si>
    <t>Henderson-Taylor</t>
  </si>
  <si>
    <t>Stephanie Clements</t>
  </si>
  <si>
    <t>Parsons, Hartman Martinez and</t>
  </si>
  <si>
    <t>Steven James</t>
  </si>
  <si>
    <t>Luna Inc</t>
  </si>
  <si>
    <t>Jeremiah Wolf</t>
  </si>
  <si>
    <t>Hernandez, Ritter and Huffman</t>
  </si>
  <si>
    <t>Roberto Petersen</t>
  </si>
  <si>
    <t>Reed LLC</t>
  </si>
  <si>
    <t>Christina Hammond</t>
  </si>
  <si>
    <t>Thompson-Walker</t>
  </si>
  <si>
    <t>Patricia Colon</t>
  </si>
  <si>
    <t>Group Nguyen</t>
  </si>
  <si>
    <t>Dominic Mitchell</t>
  </si>
  <si>
    <t>Newton-White</t>
  </si>
  <si>
    <t>Wendy Davis</t>
  </si>
  <si>
    <t>Ltd Thomas</t>
  </si>
  <si>
    <t>Daniel Carson</t>
  </si>
  <si>
    <t>Pierce Ward, Torres and</t>
  </si>
  <si>
    <t>Erin Henderson MD</t>
  </si>
  <si>
    <t>Evans and Hall Schneider,</t>
  </si>
  <si>
    <t>Christopher Butler</t>
  </si>
  <si>
    <t>Stout-Brown</t>
  </si>
  <si>
    <t>Samuel Robles</t>
  </si>
  <si>
    <t>Cruz Ltd</t>
  </si>
  <si>
    <t>Benjamin Webb</t>
  </si>
  <si>
    <t>Stewart Sons and</t>
  </si>
  <si>
    <t>Krystal Fox</t>
  </si>
  <si>
    <t>Hall Roberts and Duarte,</t>
  </si>
  <si>
    <t>Bruce Garrett</t>
  </si>
  <si>
    <t>Ramirez-Robinson</t>
  </si>
  <si>
    <t>Jonathan Watson</t>
  </si>
  <si>
    <t>Garcia, and Bishop Hernandez</t>
  </si>
  <si>
    <t>Christopher Guerra</t>
  </si>
  <si>
    <t>and Brown Oneal, Shah</t>
  </si>
  <si>
    <t>Steven Adams</t>
  </si>
  <si>
    <t>Group White</t>
  </si>
  <si>
    <t>Victoria Patel</t>
  </si>
  <si>
    <t>Hughes and Erickson, Anderson</t>
  </si>
  <si>
    <t>Louis Bell</t>
  </si>
  <si>
    <t>Lane-Kelly</t>
  </si>
  <si>
    <t>Michael Baker</t>
  </si>
  <si>
    <t>Cox-Hester</t>
  </si>
  <si>
    <t>Douglas Fleming</t>
  </si>
  <si>
    <t>Jarvis Scott, Fleming and</t>
  </si>
  <si>
    <t>Patrick Carter</t>
  </si>
  <si>
    <t>Cline-Carpenter</t>
  </si>
  <si>
    <t>Sarah Shaffer</t>
  </si>
  <si>
    <t>Johnson, and Ross Harris</t>
  </si>
  <si>
    <t>Matthew Carter</t>
  </si>
  <si>
    <t>Kim Rosario, and Hammond</t>
  </si>
  <si>
    <t>Brian Wagner</t>
  </si>
  <si>
    <t>PLC Jimenez</t>
  </si>
  <si>
    <t>Lucas Cole</t>
  </si>
  <si>
    <t>Cantu-Berry</t>
  </si>
  <si>
    <t>Julia Yoder</t>
  </si>
  <si>
    <t>Wright-Alexander</t>
  </si>
  <si>
    <t>Crystal Chavez</t>
  </si>
  <si>
    <t>Guzman-Carlson</t>
  </si>
  <si>
    <t>Brenda Lopez</t>
  </si>
  <si>
    <t>Meyer-Hill</t>
  </si>
  <si>
    <t>Michael Cole</t>
  </si>
  <si>
    <t>Dudley-Atkinson</t>
  </si>
  <si>
    <t>Michael Larson</t>
  </si>
  <si>
    <t>Kelly-Allen</t>
  </si>
  <si>
    <t>Tracey Spence</t>
  </si>
  <si>
    <t>Lewis Livingston, Lowe and</t>
  </si>
  <si>
    <t>Susan Gibson</t>
  </si>
  <si>
    <t>Rodriguez Ltd</t>
  </si>
  <si>
    <t>Gerald Hooper</t>
  </si>
  <si>
    <t>and Johnson Moore, Branch</t>
  </si>
  <si>
    <t>Todd Sanchez</t>
  </si>
  <si>
    <t>Holmes and Hughes, Phillips</t>
  </si>
  <si>
    <t>Elizabeth Morales</t>
  </si>
  <si>
    <t>and Smith, Tucker Cross</t>
  </si>
  <si>
    <t>Kimberly Petersen</t>
  </si>
  <si>
    <t>Sons and Lozano</t>
  </si>
  <si>
    <t>Misty Garcia</t>
  </si>
  <si>
    <t>Russell Ltd</t>
  </si>
  <si>
    <t>Melissa Fernandez</t>
  </si>
  <si>
    <t>Jones Ltd</t>
  </si>
  <si>
    <t>Kari Moore</t>
  </si>
  <si>
    <t>Gordon-Ward</t>
  </si>
  <si>
    <t>David Hubbard</t>
  </si>
  <si>
    <t>Barnes and Sons</t>
  </si>
  <si>
    <t>Lonnie Morgan</t>
  </si>
  <si>
    <t>Levine-Miller</t>
  </si>
  <si>
    <t>Victoria Gonzales</t>
  </si>
  <si>
    <t>and Marquez Silva Smith,</t>
  </si>
  <si>
    <t>Cindy White</t>
  </si>
  <si>
    <t>Jackson-Copeland</t>
  </si>
  <si>
    <t>Douglas Li</t>
  </si>
  <si>
    <t>Perez and Ochoa White,</t>
  </si>
  <si>
    <t>Lori Mendoza</t>
  </si>
  <si>
    <t>Ltd Conrad</t>
  </si>
  <si>
    <t>Ryan Ross</t>
  </si>
  <si>
    <t>Hampton-Thomas</t>
  </si>
  <si>
    <t>Brian Walton</t>
  </si>
  <si>
    <t>Thomas-Kelley</t>
  </si>
  <si>
    <t>Michael Berg</t>
  </si>
  <si>
    <t>Myers-Monroe</t>
  </si>
  <si>
    <t>Scott Davis</t>
  </si>
  <si>
    <t>and Ford Lee, Rodriguez</t>
  </si>
  <si>
    <t>Daniel Shelton</t>
  </si>
  <si>
    <t>Sons Garcia and</t>
  </si>
  <si>
    <t>Tara Moreno</t>
  </si>
  <si>
    <t>Perry Little, and Moore</t>
  </si>
  <si>
    <t>Kristie Morgan</t>
  </si>
  <si>
    <t>Anderson Group</t>
  </si>
  <si>
    <t>Joseph Jones</t>
  </si>
  <si>
    <t>Rodriguez and Sons</t>
  </si>
  <si>
    <t>Maria Tran</t>
  </si>
  <si>
    <t>Thomas-Huber</t>
  </si>
  <si>
    <t>Kelly Murphy</t>
  </si>
  <si>
    <t>Robinson Inc</t>
  </si>
  <si>
    <t>Katherine Brown</t>
  </si>
  <si>
    <t>Wood-Mathews</t>
  </si>
  <si>
    <t>Elizabeth Frank</t>
  </si>
  <si>
    <t>Walker and Gardner Fernandez,</t>
  </si>
  <si>
    <t>Alyssa Edwards</t>
  </si>
  <si>
    <t>Smith and Johnston, Collins</t>
  </si>
  <si>
    <t>Jesse Thomas</t>
  </si>
  <si>
    <t>Sons Miller and</t>
  </si>
  <si>
    <t>Erica Mccormick</t>
  </si>
  <si>
    <t>Donaldson-Frey</t>
  </si>
  <si>
    <t>Amber Holmes</t>
  </si>
  <si>
    <t>Brown-Yoder</t>
  </si>
  <si>
    <t>Austin Jackson</t>
  </si>
  <si>
    <t>Morgan Rios and Keller,</t>
  </si>
  <si>
    <t>Shane Morris</t>
  </si>
  <si>
    <t>Gonzalez-King</t>
  </si>
  <si>
    <t>Brent Smith</t>
  </si>
  <si>
    <t>Wagner Ltd</t>
  </si>
  <si>
    <t>Kayla Davis</t>
  </si>
  <si>
    <t>and Brown White, Jones</t>
  </si>
  <si>
    <t>Rose Zuniga</t>
  </si>
  <si>
    <t>James-Smith</t>
  </si>
  <si>
    <t>Ethan Wagner</t>
  </si>
  <si>
    <t>Hanson Group</t>
  </si>
  <si>
    <t>Phillip Williams</t>
  </si>
  <si>
    <t>Mcclain-Reed</t>
  </si>
  <si>
    <t>Maureen Hill</t>
  </si>
  <si>
    <t>Young-Smith</t>
  </si>
  <si>
    <t>Heidi Compton MD</t>
  </si>
  <si>
    <t>Hart-Brock</t>
  </si>
  <si>
    <t>Kimberly Gonzalez</t>
  </si>
  <si>
    <t>Jones and Jones, Turner</t>
  </si>
  <si>
    <t>Rebecca Morgan</t>
  </si>
  <si>
    <t>Spears-Shah</t>
  </si>
  <si>
    <t>Sabrina Rogers</t>
  </si>
  <si>
    <t>and Anderson Smith Sanchez,</t>
  </si>
  <si>
    <t>Kevin Brown</t>
  </si>
  <si>
    <t>Tran, and Ferrell Garcia</t>
  </si>
  <si>
    <t>Sarah Cole</t>
  </si>
  <si>
    <t>Ltd Walton</t>
  </si>
  <si>
    <t>Jennifer Hall</t>
  </si>
  <si>
    <t>Group Rodriguez</t>
  </si>
  <si>
    <t>Emily Cruz</t>
  </si>
  <si>
    <t>Carr LLC</t>
  </si>
  <si>
    <t>Michael Anderson</t>
  </si>
  <si>
    <t>Rodriguez-Guerra</t>
  </si>
  <si>
    <t>Natalie Sellers</t>
  </si>
  <si>
    <t>Sullivan Mullins, Macias and</t>
  </si>
  <si>
    <t>Patrick Ochoa</t>
  </si>
  <si>
    <t>Ballard PLC</t>
  </si>
  <si>
    <t>Daniel Rodgers</t>
  </si>
  <si>
    <t>Liu-Wilson</t>
  </si>
  <si>
    <t>Taylor Baldwin</t>
  </si>
  <si>
    <t>LLC Lewis</t>
  </si>
  <si>
    <t>Adam Ross</t>
  </si>
  <si>
    <t>Stokes Chambers and Martin,</t>
  </si>
  <si>
    <t>Amy Williams</t>
  </si>
  <si>
    <t>Hernandez-Green</t>
  </si>
  <si>
    <t>Martha Graham</t>
  </si>
  <si>
    <t>Inc Lee</t>
  </si>
  <si>
    <t>Emily Thomas</t>
  </si>
  <si>
    <t>Wilkins Group</t>
  </si>
  <si>
    <t>Terrance Rosales</t>
  </si>
  <si>
    <t>Valentine Ltd</t>
  </si>
  <si>
    <t>Daniel Smith</t>
  </si>
  <si>
    <t>Alvarado-Deleon</t>
  </si>
  <si>
    <t>Marissa Stevenson</t>
  </si>
  <si>
    <t>Alexander and Jensen Andrews,</t>
  </si>
  <si>
    <t>Katie Fitzpatrick</t>
  </si>
  <si>
    <t>and Black, Henson Rhodes</t>
  </si>
  <si>
    <t>Dennis Small</t>
  </si>
  <si>
    <t>Sons and Marshall</t>
  </si>
  <si>
    <t>Chris Holt</t>
  </si>
  <si>
    <t>Rodriguez-Franco</t>
  </si>
  <si>
    <t>Jenny Griffith</t>
  </si>
  <si>
    <t>Fritz Henderson Stanton, and</t>
  </si>
  <si>
    <t>Gregory Lambert</t>
  </si>
  <si>
    <t>West-Young</t>
  </si>
  <si>
    <t>Michael Armstrong</t>
  </si>
  <si>
    <t>Ltd Solis</t>
  </si>
  <si>
    <t>Melissa Terry</t>
  </si>
  <si>
    <t>Mcneil-Blake</t>
  </si>
  <si>
    <t>Thomas Bruce</t>
  </si>
  <si>
    <t>Moore-Waters</t>
  </si>
  <si>
    <t>James James DVM</t>
  </si>
  <si>
    <t>Group Scott</t>
  </si>
  <si>
    <t>Sean Smith</t>
  </si>
  <si>
    <t>and Simmons Sons</t>
  </si>
  <si>
    <t>John Hansen</t>
  </si>
  <si>
    <t>Humphrey and Browning Fitzgerald,</t>
  </si>
  <si>
    <t>Teresa Mccarthy</t>
  </si>
  <si>
    <t>Adams-Molina</t>
  </si>
  <si>
    <t>Stephanie Barnett</t>
  </si>
  <si>
    <t>Guzman LLC</t>
  </si>
  <si>
    <t>Mr. Luke Nunez Jr.</t>
  </si>
  <si>
    <t>Gonzalez-Pacheco</t>
  </si>
  <si>
    <t>Stacy Stewart</t>
  </si>
  <si>
    <t>Hunt, Carlson and Cherry</t>
  </si>
  <si>
    <t>Andrea Oneal</t>
  </si>
  <si>
    <t>Ltd Barnes</t>
  </si>
  <si>
    <t>Eric Coleman</t>
  </si>
  <si>
    <t>Gordon, Fox Lane and</t>
  </si>
  <si>
    <t>Anthony Barnes</t>
  </si>
  <si>
    <t>Petersen Ltd</t>
  </si>
  <si>
    <t>Michael Hickman</t>
  </si>
  <si>
    <t>and Mcdonald Sons</t>
  </si>
  <si>
    <t>Dustin Wolf</t>
  </si>
  <si>
    <t>Smith, Elliott and Blackburn</t>
  </si>
  <si>
    <t>Amanda Wells</t>
  </si>
  <si>
    <t>PLC Oliver</t>
  </si>
  <si>
    <t>Jason Miller</t>
  </si>
  <si>
    <t>Griffin and Lyons Rivers,</t>
  </si>
  <si>
    <t>Holly James</t>
  </si>
  <si>
    <t>Craig-Garcia</t>
  </si>
  <si>
    <t>April Cox</t>
  </si>
  <si>
    <t>Baker-Jones</t>
  </si>
  <si>
    <t>Virginia Lynch</t>
  </si>
  <si>
    <t>Duffy-Kelly</t>
  </si>
  <si>
    <t>Patricia Fuller</t>
  </si>
  <si>
    <t>Rodriguez-Becker</t>
  </si>
  <si>
    <t>Michelle Ward</t>
  </si>
  <si>
    <t>Group Brown</t>
  </si>
  <si>
    <t>Robin Adams</t>
  </si>
  <si>
    <t>Powers-Vincent</t>
  </si>
  <si>
    <t>Emily Morales</t>
  </si>
  <si>
    <t>and Ramos Brown Edwards,</t>
  </si>
  <si>
    <t>Adriana Morrow</t>
  </si>
  <si>
    <t>Johnson Group</t>
  </si>
  <si>
    <t>Michael Mitchell</t>
  </si>
  <si>
    <t>Atkins Inc</t>
  </si>
  <si>
    <t>Caroline Choi</t>
  </si>
  <si>
    <t>Marshall LLC</t>
  </si>
  <si>
    <t>Michael Robinson</t>
  </si>
  <si>
    <t>Ltd Cruz</t>
  </si>
  <si>
    <t>Heather Miller</t>
  </si>
  <si>
    <t>Harrison-Parker</t>
  </si>
  <si>
    <t>Howard Obrien</t>
  </si>
  <si>
    <t>Lee-Clayton</t>
  </si>
  <si>
    <t>Faith Cook</t>
  </si>
  <si>
    <t>Mcdaniel and Sons</t>
  </si>
  <si>
    <t>Donna Colon</t>
  </si>
  <si>
    <t>Inc Lynch</t>
  </si>
  <si>
    <t>David Lindsey</t>
  </si>
  <si>
    <t>and Mendoza Rich Morales,</t>
  </si>
  <si>
    <t>Anthony Nixon</t>
  </si>
  <si>
    <t>Proctor-Jones</t>
  </si>
  <si>
    <t>Doris Hawkins</t>
  </si>
  <si>
    <t>and Ramirez Figueroa May,</t>
  </si>
  <si>
    <t>Caleb James</t>
  </si>
  <si>
    <t>Michael-Jenkins</t>
  </si>
  <si>
    <t>Patricia Moore</t>
  </si>
  <si>
    <t>Hardy Inc</t>
  </si>
  <si>
    <t>Matthew Gray</t>
  </si>
  <si>
    <t>Turner, and Williams Mercado</t>
  </si>
  <si>
    <t>Justin Lowe</t>
  </si>
  <si>
    <t>PLC Williams</t>
  </si>
  <si>
    <t>Danny Mcdonald</t>
  </si>
  <si>
    <t>Gina Weaver</t>
  </si>
  <si>
    <t>Merritt-Gray</t>
  </si>
  <si>
    <t>Eddie Jackson</t>
  </si>
  <si>
    <t>Huang Travis Thomas, and</t>
  </si>
  <si>
    <t>Miss Valerie Saunders MD</t>
  </si>
  <si>
    <t>Rodriguez-Zimmerman</t>
  </si>
  <si>
    <t>Richard Petty</t>
  </si>
  <si>
    <t>Miller PLC</t>
  </si>
  <si>
    <t>Patricia Bean</t>
  </si>
  <si>
    <t>May, Mullins and Martin</t>
  </si>
  <si>
    <t>Ronald Jones</t>
  </si>
  <si>
    <t>Moore-Robbins</t>
  </si>
  <si>
    <t>Jack Wall</t>
  </si>
  <si>
    <t>Ltd Howard</t>
  </si>
  <si>
    <t>Felicia Morrison</t>
  </si>
  <si>
    <t>Group Crosby</t>
  </si>
  <si>
    <t>Crystal Schultz</t>
  </si>
  <si>
    <t>Cook Ltd</t>
  </si>
  <si>
    <t>Bailey Gonzalez</t>
  </si>
  <si>
    <t>Rivas, Mcconnell Hill and</t>
  </si>
  <si>
    <t>Michael Guzman</t>
  </si>
  <si>
    <t>Conner-Flores</t>
  </si>
  <si>
    <t>Elizabeth Flowers</t>
  </si>
  <si>
    <t>Suarez-Nelson</t>
  </si>
  <si>
    <t>Whitney Vaughan</t>
  </si>
  <si>
    <t>and Walker Glenn, Long</t>
  </si>
  <si>
    <t>Seth Nelson</t>
  </si>
  <si>
    <t>PLC Anderson</t>
  </si>
  <si>
    <t>Erin Wright</t>
  </si>
  <si>
    <t>Blackwell-Gamble</t>
  </si>
  <si>
    <t>Jennifer Flores</t>
  </si>
  <si>
    <t>Wagner PLC</t>
  </si>
  <si>
    <t>Brandi Knight</t>
  </si>
  <si>
    <t>Goodman-Kelly</t>
  </si>
  <si>
    <t>Chad Irwin</t>
  </si>
  <si>
    <t>and Boyd Powell, Sims</t>
  </si>
  <si>
    <t>Victoria Williams</t>
  </si>
  <si>
    <t>and Conrad Boyd, Burnett</t>
  </si>
  <si>
    <t>Travis Walton</t>
  </si>
  <si>
    <t>Ayala-Armstrong</t>
  </si>
  <si>
    <t>Catherine Hernandez</t>
  </si>
  <si>
    <t>and Lambert White, Vargas</t>
  </si>
  <si>
    <t>Kristen Johnson</t>
  </si>
  <si>
    <t>Group Doyle</t>
  </si>
  <si>
    <t>Tammy Chavez</t>
  </si>
  <si>
    <t>Henderson-Johnson</t>
  </si>
  <si>
    <t>Savannah Colon</t>
  </si>
  <si>
    <t>Baker Conrad and Andrews,</t>
  </si>
  <si>
    <t>Jessica Parks MD</t>
  </si>
  <si>
    <t>Perkins, Salazar and Johnson</t>
  </si>
  <si>
    <t>Joshua Singleton</t>
  </si>
  <si>
    <t>Johnson-Perez</t>
  </si>
  <si>
    <t>Vincent Ramirez</t>
  </si>
  <si>
    <t>Powell-Werner</t>
  </si>
  <si>
    <t>Natasha Smith</t>
  </si>
  <si>
    <t>Morales Group</t>
  </si>
  <si>
    <t>John Sparks</t>
  </si>
  <si>
    <t>and Fernandez, Wilson Morrison</t>
  </si>
  <si>
    <t>Michelle Gutierrez</t>
  </si>
  <si>
    <t>Mayo and Sons</t>
  </si>
  <si>
    <t>Rachel Williams</t>
  </si>
  <si>
    <t>Huffman Hall Orozco, and</t>
  </si>
  <si>
    <t>Sergio Shelton</t>
  </si>
  <si>
    <t>White-Buchanan</t>
  </si>
  <si>
    <t>Mr. Michael White MD</t>
  </si>
  <si>
    <t>and Dixon Taylor Hunter,</t>
  </si>
  <si>
    <t>Mary Drake</t>
  </si>
  <si>
    <t>Anderson and Medina, Sullivan</t>
  </si>
  <si>
    <t>Tonya Wade</t>
  </si>
  <si>
    <t>PLC Dixon</t>
  </si>
  <si>
    <t>Charles Torres</t>
  </si>
  <si>
    <t>Bowman-Keith</t>
  </si>
  <si>
    <t>Jennifer Freeman</t>
  </si>
  <si>
    <t>Tyler PLC</t>
  </si>
  <si>
    <t>Reginald Becker</t>
  </si>
  <si>
    <t>Velazquez-Patton</t>
  </si>
  <si>
    <t>Charles Webb</t>
  </si>
  <si>
    <t>Bass Inc</t>
  </si>
  <si>
    <t>Emily Perez</t>
  </si>
  <si>
    <t>Newton, Smith Ruiz and</t>
  </si>
  <si>
    <t>Rachel Thomas</t>
  </si>
  <si>
    <t>Graham-Fisher</t>
  </si>
  <si>
    <t>Christopher Flores</t>
  </si>
  <si>
    <t>Scott Ltd</t>
  </si>
  <si>
    <t>Jennifer Stevenson</t>
  </si>
  <si>
    <t>Rosales-Sweeney</t>
  </si>
  <si>
    <t>Matthew Garcia</t>
  </si>
  <si>
    <t>Larson Andrews, and Lynch</t>
  </si>
  <si>
    <t>Brett Meyer</t>
  </si>
  <si>
    <t>PLC York</t>
  </si>
  <si>
    <t>Julie Mejia</t>
  </si>
  <si>
    <t>David Murphy</t>
  </si>
  <si>
    <t>Kelly-Watson</t>
  </si>
  <si>
    <t>Erin Henson</t>
  </si>
  <si>
    <t>Smith Gonzalez Robinson, and</t>
  </si>
  <si>
    <t>Katrina Fuentes</t>
  </si>
  <si>
    <t>Cook-Taylor</t>
  </si>
  <si>
    <t>Harold Jackson</t>
  </si>
  <si>
    <t>Robinson-Reyes</t>
  </si>
  <si>
    <t>Christopher Merritt</t>
  </si>
  <si>
    <t>Reid Inc</t>
  </si>
  <si>
    <t>Haley Kim</t>
  </si>
  <si>
    <t>Kemp and Taylor, Jones</t>
  </si>
  <si>
    <t>Dr. Steven Johnson</t>
  </si>
  <si>
    <t>Richards-Mack</t>
  </si>
  <si>
    <t>Erin Cole</t>
  </si>
  <si>
    <t>and Smith Harmon, Marshall</t>
  </si>
  <si>
    <t>Breanna Nielsen</t>
  </si>
  <si>
    <t>Velasquez and Walker Russo,</t>
  </si>
  <si>
    <t>Harrington, and Owens Preston</t>
  </si>
  <si>
    <t>Frank Gonzalez</t>
  </si>
  <si>
    <t>Downs PLC</t>
  </si>
  <si>
    <t>Matthew Williams</t>
  </si>
  <si>
    <t>Zhang Long Eaton, and</t>
  </si>
  <si>
    <t>Jonathan Gray</t>
  </si>
  <si>
    <t>PLC Mills</t>
  </si>
  <si>
    <t>Timothy Rodriguez</t>
  </si>
  <si>
    <t>Hoffman Cox Mcdonald, and</t>
  </si>
  <si>
    <t>Victor Welch</t>
  </si>
  <si>
    <t>Carpenter and Sons</t>
  </si>
  <si>
    <t>Robert Adams MD</t>
  </si>
  <si>
    <t>Collins and Moore Chan,</t>
  </si>
  <si>
    <t>Andrew Jefferson</t>
  </si>
  <si>
    <t>and Wood Lewis, Monroe</t>
  </si>
  <si>
    <t>Sharon Hensley</t>
  </si>
  <si>
    <t>and Keller, Ortega Miller</t>
  </si>
  <si>
    <t>Eugene Branch</t>
  </si>
  <si>
    <t>Austin, and Reynolds Duran</t>
  </si>
  <si>
    <t>Anthony Greer</t>
  </si>
  <si>
    <t>Lopez LLC</t>
  </si>
  <si>
    <t>Bob Moyer</t>
  </si>
  <si>
    <t>Clark-Tran</t>
  </si>
  <si>
    <t>Heather Shea</t>
  </si>
  <si>
    <t>Villanueva and Carter Hughes,</t>
  </si>
  <si>
    <t>Nicholas Stevenson</t>
  </si>
  <si>
    <t>Ltd Osborn</t>
  </si>
  <si>
    <t>Laura Guerra</t>
  </si>
  <si>
    <t>LLC Hodge</t>
  </si>
  <si>
    <t>Michele Bradford</t>
  </si>
  <si>
    <t>Lopez and Shepard Smith,</t>
  </si>
  <si>
    <t>Mr. Jesse Cook</t>
  </si>
  <si>
    <t>Moss and Meadows Jones,</t>
  </si>
  <si>
    <t>Heather Simon</t>
  </si>
  <si>
    <t>Young-Williams</t>
  </si>
  <si>
    <t>Larry Mendez</t>
  </si>
  <si>
    <t>Bailey Morgan Frey, and</t>
  </si>
  <si>
    <t>Taylor Smith</t>
  </si>
  <si>
    <t>Neal Price and Smith,</t>
  </si>
  <si>
    <t>Ian Singleton</t>
  </si>
  <si>
    <t>and Johnson Hobbs Owens,</t>
  </si>
  <si>
    <t>Angela Burton</t>
  </si>
  <si>
    <t>Melton Inc</t>
  </si>
  <si>
    <t>Lisa Payne</t>
  </si>
  <si>
    <t>and Weber Sons</t>
  </si>
  <si>
    <t>Sara Perry</t>
  </si>
  <si>
    <t>Chung Rodriguez Bradley, and</t>
  </si>
  <si>
    <t>Ann Brown</t>
  </si>
  <si>
    <t>White Wilson and Farmer,</t>
  </si>
  <si>
    <t>David Marshall</t>
  </si>
  <si>
    <t>Group Thompson</t>
  </si>
  <si>
    <t>Shirley Dawson</t>
  </si>
  <si>
    <t>and Sons Rangel</t>
  </si>
  <si>
    <t>Susan Hernandez</t>
  </si>
  <si>
    <t>Travis, and Richardson Hampton</t>
  </si>
  <si>
    <t>Gina Edwards</t>
  </si>
  <si>
    <t>and Wilson Matthews, Faulkner</t>
  </si>
  <si>
    <t>Laura Howell</t>
  </si>
  <si>
    <t>Group Bailey</t>
  </si>
  <si>
    <t>Scott Beltran</t>
  </si>
  <si>
    <t>Rosales-Johnson</t>
  </si>
  <si>
    <t>William Campbell</t>
  </si>
  <si>
    <t>Bush-Brown</t>
  </si>
  <si>
    <t>Ethan Brock</t>
  </si>
  <si>
    <t>Saunders-Smith</t>
  </si>
  <si>
    <t>Nicholas Gomez</t>
  </si>
  <si>
    <t>and Mckay, Morrow Myers</t>
  </si>
  <si>
    <t>Richard Buchanan</t>
  </si>
  <si>
    <t>Sherman-Martinez</t>
  </si>
  <si>
    <t>David Gonzalez</t>
  </si>
  <si>
    <t>Baker, Weber Patton and</t>
  </si>
  <si>
    <t>Kristin Schmitt</t>
  </si>
  <si>
    <t>and Fitzgerald Shaw, Edwards</t>
  </si>
  <si>
    <t>Kelly King</t>
  </si>
  <si>
    <t>Kim-Higgins</t>
  </si>
  <si>
    <t>Jeffery Morgan</t>
  </si>
  <si>
    <t>Morgan, Kramer Munoz and</t>
  </si>
  <si>
    <t>Patricia Fowler</t>
  </si>
  <si>
    <t>Harvey Group</t>
  </si>
  <si>
    <t>David Patterson</t>
  </si>
  <si>
    <t>Mercer-Rogers</t>
  </si>
  <si>
    <t>Daisy Eaton</t>
  </si>
  <si>
    <t>Duran Sons and</t>
  </si>
  <si>
    <t>Benjamin Bryant</t>
  </si>
  <si>
    <t>Vaughan Parker and Wagner,</t>
  </si>
  <si>
    <t>Cynthia Velazquez</t>
  </si>
  <si>
    <t>Lee-Jacobson</t>
  </si>
  <si>
    <t>William Brock</t>
  </si>
  <si>
    <t>Hayes Robbins and Gallagher,</t>
  </si>
  <si>
    <t>Douglas Lambert</t>
  </si>
  <si>
    <t>Evans and Byrd, Smith</t>
  </si>
  <si>
    <t>Alex Mcknight</t>
  </si>
  <si>
    <t>and Howell Sons</t>
  </si>
  <si>
    <t>Gregory Fox</t>
  </si>
  <si>
    <t>Clements and Scott, Peters</t>
  </si>
  <si>
    <t>Carrie Navarro</t>
  </si>
  <si>
    <t>Gomez-Olson</t>
  </si>
  <si>
    <t>Laura Murillo</t>
  </si>
  <si>
    <t>and Medina Morgan, Whitehead</t>
  </si>
  <si>
    <t>Alyssa Walsh</t>
  </si>
  <si>
    <t>Miller LLC</t>
  </si>
  <si>
    <t>Jeff Barton</t>
  </si>
  <si>
    <t>Jones-Aguirre</t>
  </si>
  <si>
    <t>Ricky Anderson</t>
  </si>
  <si>
    <t>PLC Gonzalez</t>
  </si>
  <si>
    <t>John Hurst</t>
  </si>
  <si>
    <t>and Davies Sons</t>
  </si>
  <si>
    <t>Cristina Wyatt</t>
  </si>
  <si>
    <t>Soto-Richmond</t>
  </si>
  <si>
    <t>Christina Fowler</t>
  </si>
  <si>
    <t>and Morrison Ho Woods,</t>
  </si>
  <si>
    <t>Gary Barr</t>
  </si>
  <si>
    <t>Lewis and Sons</t>
  </si>
  <si>
    <t>Frederick Whitney</t>
  </si>
  <si>
    <t>Wood-Sandoval</t>
  </si>
  <si>
    <t>Mary Miller</t>
  </si>
  <si>
    <t>Ball LLC</t>
  </si>
  <si>
    <t>Evan Lewis</t>
  </si>
  <si>
    <t>Scott LLC</t>
  </si>
  <si>
    <t>Adrienne Howard</t>
  </si>
  <si>
    <t>and Wright, Long Schroeder</t>
  </si>
  <si>
    <t>Daniel Jones</t>
  </si>
  <si>
    <t>Ltd Crawford</t>
  </si>
  <si>
    <t>Craig Wolfe</t>
  </si>
  <si>
    <t>Group Moore</t>
  </si>
  <si>
    <t>Tina Griffin</t>
  </si>
  <si>
    <t>Burch-Marks</t>
  </si>
  <si>
    <t>Koch-Alvarado</t>
  </si>
  <si>
    <t>Trevor Evans</t>
  </si>
  <si>
    <t>Garcia Edwards and Daniel,</t>
  </si>
  <si>
    <t>Mark Johnson</t>
  </si>
  <si>
    <t>Carter-Camacho</t>
  </si>
  <si>
    <t>James Hays</t>
  </si>
  <si>
    <t>Malone LLC</t>
  </si>
  <si>
    <t>Nicholas Ferguson</t>
  </si>
  <si>
    <t>Zamora PLC</t>
  </si>
  <si>
    <t>Mr. Jeffrey Powell</t>
  </si>
  <si>
    <t>Ltd Hernandez</t>
  </si>
  <si>
    <t>Timothy Carter</t>
  </si>
  <si>
    <t>Gomez Ray, and Jones</t>
  </si>
  <si>
    <t>Jennifer Gonzales</t>
  </si>
  <si>
    <t>Davis, Ray and Thompson</t>
  </si>
  <si>
    <t>Leonard Chen</t>
  </si>
  <si>
    <t>Mckinney-Edwards</t>
  </si>
  <si>
    <t>Margaret Ramos</t>
  </si>
  <si>
    <t>Parker-Shannon</t>
  </si>
  <si>
    <t>Joy Davis</t>
  </si>
  <si>
    <t>Lawrence LLC</t>
  </si>
  <si>
    <t>Mary Mckee</t>
  </si>
  <si>
    <t>and Thompson Burke, Harrington</t>
  </si>
  <si>
    <t>John Evans</t>
  </si>
  <si>
    <t>Johnson Goodman Clark, and</t>
  </si>
  <si>
    <t>Benjamin Payne</t>
  </si>
  <si>
    <t>Doyle Hess, and Dudley</t>
  </si>
  <si>
    <t>Jeanne Allen</t>
  </si>
  <si>
    <t>Bass PLC</t>
  </si>
  <si>
    <t>Kelly Jackson</t>
  </si>
  <si>
    <t>Willis and Hunt Pope,</t>
  </si>
  <si>
    <t>Michael Barber</t>
  </si>
  <si>
    <t>Gray, Hensley and Hanson</t>
  </si>
  <si>
    <t>Steven Clark</t>
  </si>
  <si>
    <t>Moore-Woods</t>
  </si>
  <si>
    <t>Amy Bailey</t>
  </si>
  <si>
    <t>Moore-Franco</t>
  </si>
  <si>
    <t>Cody Houston</t>
  </si>
  <si>
    <t>Hamilton and Sons</t>
  </si>
  <si>
    <t>Gregory Nichols</t>
  </si>
  <si>
    <t>Burke Group</t>
  </si>
  <si>
    <t>Christopher Odom</t>
  </si>
  <si>
    <t>Anderson LLC</t>
  </si>
  <si>
    <t>Raymond Bell</t>
  </si>
  <si>
    <t>Sims-Jimenez</t>
  </si>
  <si>
    <t>Autumn Fitzgerald</t>
  </si>
  <si>
    <t>Holloway PLC</t>
  </si>
  <si>
    <t>James Armstrong</t>
  </si>
  <si>
    <t>Cain-Stone</t>
  </si>
  <si>
    <t>Darius Schaefer</t>
  </si>
  <si>
    <t>Garner Group</t>
  </si>
  <si>
    <t>Katherine Dunn</t>
  </si>
  <si>
    <t>Ltd Logan</t>
  </si>
  <si>
    <t>Katherine Flynn</t>
  </si>
  <si>
    <t>Bishop PLC</t>
  </si>
  <si>
    <t>Julian Perkins</t>
  </si>
  <si>
    <t>Lewis-Mitchell</t>
  </si>
  <si>
    <t>Holly Taylor</t>
  </si>
  <si>
    <t>and Campbell Sons</t>
  </si>
  <si>
    <t>Mark King</t>
  </si>
  <si>
    <t>James PLC</t>
  </si>
  <si>
    <t>Shelby Johnson</t>
  </si>
  <si>
    <t>Colon-Meyer</t>
  </si>
  <si>
    <t>Angela Logan MD</t>
  </si>
  <si>
    <t>and Woods Liu, Berry</t>
  </si>
  <si>
    <t>Gloria Schultz</t>
  </si>
  <si>
    <t>LLC Clayton</t>
  </si>
  <si>
    <t>Victor Morales</t>
  </si>
  <si>
    <t>Le-Hawkins</t>
  </si>
  <si>
    <t>Nancy Vaughn</t>
  </si>
  <si>
    <t>Martinez Taylor Lopez, and</t>
  </si>
  <si>
    <t>Christopher Rivera</t>
  </si>
  <si>
    <t>Williams Group</t>
  </si>
  <si>
    <t>Brittany Rocha</t>
  </si>
  <si>
    <t>Schmidt-Douglas</t>
  </si>
  <si>
    <t>Patricia Hall</t>
  </si>
  <si>
    <t>Ltd Fleming</t>
  </si>
  <si>
    <t>Christopher Hudson</t>
  </si>
  <si>
    <t>Smith Brown Wallace, and</t>
  </si>
  <si>
    <t>Walter Perez</t>
  </si>
  <si>
    <t>Boyer Inc</t>
  </si>
  <si>
    <t>Jonathan Chang</t>
  </si>
  <si>
    <t>Miranda-Collins</t>
  </si>
  <si>
    <t>Maria Ritter</t>
  </si>
  <si>
    <t>Hoffman and Sons</t>
  </si>
  <si>
    <t>Elizabeth Snyder</t>
  </si>
  <si>
    <t>Group Ortega</t>
  </si>
  <si>
    <t>Dennis Harris</t>
  </si>
  <si>
    <t>Mitchell, Vasquez and Chaney</t>
  </si>
  <si>
    <t>Caroline Fields</t>
  </si>
  <si>
    <t>Villa-Simpson</t>
  </si>
  <si>
    <t>Joseph Rivera</t>
  </si>
  <si>
    <t>LLC Haynes</t>
  </si>
  <si>
    <t>Charles Reynolds</t>
  </si>
  <si>
    <t>Inc Cummings</t>
  </si>
  <si>
    <t>Patricia Valentine</t>
  </si>
  <si>
    <t>Downs-Stephens</t>
  </si>
  <si>
    <t>Angela Reed</t>
  </si>
  <si>
    <t>Carson and Nielsen, Buchanan</t>
  </si>
  <si>
    <t>Doris Johnson</t>
  </si>
  <si>
    <t>Hicks-Perez</t>
  </si>
  <si>
    <t>Devin Pratt</t>
  </si>
  <si>
    <t>Wilson and Brown, Ortiz</t>
  </si>
  <si>
    <t>Angela Allison</t>
  </si>
  <si>
    <t>Berg-Mcconnell</t>
  </si>
  <si>
    <t>Phyllis Nguyen</t>
  </si>
  <si>
    <t>Gilbert Ltd</t>
  </si>
  <si>
    <t>Melissa Mendoza</t>
  </si>
  <si>
    <t>Gutierrez-Webster</t>
  </si>
  <si>
    <t>Christopher Bates</t>
  </si>
  <si>
    <t>April Cummings</t>
  </si>
  <si>
    <t>Cooley-Reid</t>
  </si>
  <si>
    <t>Andrew Hill</t>
  </si>
  <si>
    <t>and Davenport Davis Hobbs,</t>
  </si>
  <si>
    <t>Susan Sampson</t>
  </si>
  <si>
    <t>Thompson-Becker</t>
  </si>
  <si>
    <t>Darren Becker</t>
  </si>
  <si>
    <t>Mitchell Inc</t>
  </si>
  <si>
    <t>Lee Santiago</t>
  </si>
  <si>
    <t>Mack, Wilson and Fowler</t>
  </si>
  <si>
    <t>Holly Walton</t>
  </si>
  <si>
    <t>Johnson Garcia, and Anthony</t>
  </si>
  <si>
    <t>Craig Howard</t>
  </si>
  <si>
    <t>and Young Powell Mitchell,</t>
  </si>
  <si>
    <t>Diane Riley</t>
  </si>
  <si>
    <t>Bishop Inc</t>
  </si>
  <si>
    <t>John Schroeder</t>
  </si>
  <si>
    <t>Coleman-Dawson</t>
  </si>
  <si>
    <t>Mark Watson</t>
  </si>
  <si>
    <t>Cunningham-King</t>
  </si>
  <si>
    <t>Diane Griffin</t>
  </si>
  <si>
    <t>Anderson PLC</t>
  </si>
  <si>
    <t>Kenneth Mcintosh</t>
  </si>
  <si>
    <t>Freeman King Hodges, and</t>
  </si>
  <si>
    <t>Victoria Hernandez</t>
  </si>
  <si>
    <t>Sons Wilson and</t>
  </si>
  <si>
    <t>David Zavala</t>
  </si>
  <si>
    <t>Woodward Ltd</t>
  </si>
  <si>
    <t>Frederick Fields</t>
  </si>
  <si>
    <t>Powell Branch Osborn, and</t>
  </si>
  <si>
    <t>Michael Nguyen</t>
  </si>
  <si>
    <t>Brown Brown, and Sanders</t>
  </si>
  <si>
    <t>Casey Fowler</t>
  </si>
  <si>
    <t>Harris-Oconnor</t>
  </si>
  <si>
    <t>Michael Miller</t>
  </si>
  <si>
    <t>Paul Richardson Haynes, and</t>
  </si>
  <si>
    <t>Kaylee Hampton</t>
  </si>
  <si>
    <t>Patterson-Lee</t>
  </si>
  <si>
    <t>Amber Gordon</t>
  </si>
  <si>
    <t>and Yang Fox Scott,</t>
  </si>
  <si>
    <t>Colleen Meyers</t>
  </si>
  <si>
    <t>Burch, and Sexton Sandoval</t>
  </si>
  <si>
    <t>Eileen Hernandez</t>
  </si>
  <si>
    <t>Johnson and Delgado, Bennett</t>
  </si>
  <si>
    <t>Carrie Wright</t>
  </si>
  <si>
    <t>Garza Group</t>
  </si>
  <si>
    <t>Jeffrey Schmidt</t>
  </si>
  <si>
    <t>Olson, Andrade and Dixon</t>
  </si>
  <si>
    <t>Jaime Bell</t>
  </si>
  <si>
    <t>Fisher Inc</t>
  </si>
  <si>
    <t>Brian Cooper</t>
  </si>
  <si>
    <t>Farrell-Lyons</t>
  </si>
  <si>
    <t>Anthony Graves</t>
  </si>
  <si>
    <t>Greer Cain and Taylor,</t>
  </si>
  <si>
    <t>Traci White MD</t>
  </si>
  <si>
    <t>Turner Ltd</t>
  </si>
  <si>
    <t>Eric Lutz</t>
  </si>
  <si>
    <t>Brenda Hill</t>
  </si>
  <si>
    <t>Sherman Inc</t>
  </si>
  <si>
    <t>Peter Brown</t>
  </si>
  <si>
    <t>and Garcia Wade Richardson,</t>
  </si>
  <si>
    <t>Benjamin Banks</t>
  </si>
  <si>
    <t>White-Graham</t>
  </si>
  <si>
    <t>Natalie Perez</t>
  </si>
  <si>
    <t>and Miller Sons</t>
  </si>
  <si>
    <t>Erica Williams</t>
  </si>
  <si>
    <t>Taylor, and Mullins Lara</t>
  </si>
  <si>
    <t>Jasmine Webb</t>
  </si>
  <si>
    <t>and King, Vega Jones</t>
  </si>
  <si>
    <t>David Cabrera</t>
  </si>
  <si>
    <t>Alvarez-Cruz</t>
  </si>
  <si>
    <t>Julie Gonzales</t>
  </si>
  <si>
    <t>Walker Cisneros and Adams,</t>
  </si>
  <si>
    <t>Julia Campbell</t>
  </si>
  <si>
    <t>Ltd Lewis</t>
  </si>
  <si>
    <t>Zachary Robinson</t>
  </si>
  <si>
    <t>Esparza-Martinez</t>
  </si>
  <si>
    <t>Christine Smith</t>
  </si>
  <si>
    <t>Baker Hernandez and Scott,</t>
  </si>
  <si>
    <t>Barbara Burgess</t>
  </si>
  <si>
    <t>Group Lopez</t>
  </si>
  <si>
    <t>Malik Goodwin</t>
  </si>
  <si>
    <t>and Le Martin Young,</t>
  </si>
  <si>
    <t>Diana Shaw</t>
  </si>
  <si>
    <t>PLC Cook</t>
  </si>
  <si>
    <t>Michael Mason</t>
  </si>
  <si>
    <t>Baker, Davis Hill and</t>
  </si>
  <si>
    <t>Alexis Bradford</t>
  </si>
  <si>
    <t>Johnson-Gray</t>
  </si>
  <si>
    <t>Jasmine Parker</t>
  </si>
  <si>
    <t>Mitchell, and Garcia Saunders</t>
  </si>
  <si>
    <t>Christina Lopez</t>
  </si>
  <si>
    <t>Dennis-Roth</t>
  </si>
  <si>
    <t>Richard Franco</t>
  </si>
  <si>
    <t>Mcgee Patton Aguirre, and</t>
  </si>
  <si>
    <t>Marc Reid</t>
  </si>
  <si>
    <t>Foster-Thomas</t>
  </si>
  <si>
    <t>Ryan Simmons</t>
  </si>
  <si>
    <t>Group Mann</t>
  </si>
  <si>
    <t>Clinton Sanchez</t>
  </si>
  <si>
    <t>Martinez-Strickland</t>
  </si>
  <si>
    <t>Cindy Gonzalez</t>
  </si>
  <si>
    <t>Shaw Tapia and Barnes,</t>
  </si>
  <si>
    <t>Christy Ochoa</t>
  </si>
  <si>
    <t>Morris-Campbell</t>
  </si>
  <si>
    <t>Gabriel Livingston</t>
  </si>
  <si>
    <t>Anderson Morton and Vang,</t>
  </si>
  <si>
    <t>Mackenzie Phillips</t>
  </si>
  <si>
    <t>Olson LLC</t>
  </si>
  <si>
    <t>Gabriel Lane</t>
  </si>
  <si>
    <t>Juarez and Sons</t>
  </si>
  <si>
    <t>Whitney Chavez</t>
  </si>
  <si>
    <t>Ramos Hansen Clark, and</t>
  </si>
  <si>
    <t>Tara Tucker</t>
  </si>
  <si>
    <t>PLC Aguirre</t>
  </si>
  <si>
    <t>Dustin Alvarez</t>
  </si>
  <si>
    <t>Nelson Baldwin, Boyd and</t>
  </si>
  <si>
    <t>Jessica Conway</t>
  </si>
  <si>
    <t>Martinez, and Moore White</t>
  </si>
  <si>
    <t>Heidi Wood</t>
  </si>
  <si>
    <t>Barker, Costa Hahn and</t>
  </si>
  <si>
    <t>David Gordon</t>
  </si>
  <si>
    <t>Anderson and Higgins Galvan,</t>
  </si>
  <si>
    <t>Jonathan Thomas</t>
  </si>
  <si>
    <t>Flores-Roman</t>
  </si>
  <si>
    <t>Lori Diaz</t>
  </si>
  <si>
    <t>Miller, Moon Boyd and</t>
  </si>
  <si>
    <t>Martin Dominguez</t>
  </si>
  <si>
    <t>Inc Harmon</t>
  </si>
  <si>
    <t>Adam Roberts</t>
  </si>
  <si>
    <t>Elliott Jones Hinton, and</t>
  </si>
  <si>
    <t>Nancy Beck</t>
  </si>
  <si>
    <t>Sons Mckinney and</t>
  </si>
  <si>
    <t>Christy Hughes</t>
  </si>
  <si>
    <t>Carroll-Howard</t>
  </si>
  <si>
    <t>Charles Hernandez</t>
  </si>
  <si>
    <t>and Park, Garcia Lam</t>
  </si>
  <si>
    <t>Hannah Clay</t>
  </si>
  <si>
    <t>Chavez Valenzuela, and Gutierrez</t>
  </si>
  <si>
    <t>Steven Dixon</t>
  </si>
  <si>
    <t>Hill-Hernandez</t>
  </si>
  <si>
    <t>Monica Thomas</t>
  </si>
  <si>
    <t>Skinner LLC</t>
  </si>
  <si>
    <t>Alexander Moore</t>
  </si>
  <si>
    <t>Inc Cox</t>
  </si>
  <si>
    <t>Curtis Mckinney</t>
  </si>
  <si>
    <t>Perez Sons and</t>
  </si>
  <si>
    <t>Stephanie Shepard</t>
  </si>
  <si>
    <t>Parker Turner, Houston and</t>
  </si>
  <si>
    <t>Russell Soto</t>
  </si>
  <si>
    <t>Wilson-Chen</t>
  </si>
  <si>
    <t>Charles Cardenas</t>
  </si>
  <si>
    <t>Boone-Duffy</t>
  </si>
  <si>
    <t>Brandon Montoya</t>
  </si>
  <si>
    <t>Reid-Simmons</t>
  </si>
  <si>
    <t>Andrew Bishop</t>
  </si>
  <si>
    <t>Dunn-Bentley</t>
  </si>
  <si>
    <t>Daniel Sanders</t>
  </si>
  <si>
    <t>Inc Cherry</t>
  </si>
  <si>
    <t>Jeremiah Nunez</t>
  </si>
  <si>
    <t>Zavala-Fernandez</t>
  </si>
  <si>
    <t>Carolyn Peters</t>
  </si>
  <si>
    <t>Jones-Fleming</t>
  </si>
  <si>
    <t>Paul Ruiz</t>
  </si>
  <si>
    <t>Christian-Hall</t>
  </si>
  <si>
    <t>Robert Palmer</t>
  </si>
  <si>
    <t>LLC Cabrera</t>
  </si>
  <si>
    <t>Lisa Grimes</t>
  </si>
  <si>
    <t>Hernandez and Delacruz, Kramer</t>
  </si>
  <si>
    <t>Ronald Russell</t>
  </si>
  <si>
    <t>Cervantes-Herrera</t>
  </si>
  <si>
    <t>Tracey Smith</t>
  </si>
  <si>
    <t>Garrison-Mcfarland</t>
  </si>
  <si>
    <t>Mark Baker</t>
  </si>
  <si>
    <t>Warren-Brown</t>
  </si>
  <si>
    <t>Austin Perry</t>
  </si>
  <si>
    <t>Ruiz Group</t>
  </si>
  <si>
    <t>Dr. Mackenzie Bell</t>
  </si>
  <si>
    <t>Anderson-Brown</t>
  </si>
  <si>
    <t>Kimberly Calhoun</t>
  </si>
  <si>
    <t>Hull Sons and</t>
  </si>
  <si>
    <t>Timothy Aguilar</t>
  </si>
  <si>
    <t>Oliver Mcdonald, and Johnson</t>
  </si>
  <si>
    <t>Cynthia Stanton MD</t>
  </si>
  <si>
    <t>Lara-Allen</t>
  </si>
  <si>
    <t>Craig Delgado</t>
  </si>
  <si>
    <t>Group Summers</t>
  </si>
  <si>
    <t>Courtney Parsons</t>
  </si>
  <si>
    <t>Phillips Medina, Rivera and</t>
  </si>
  <si>
    <t>Sandra Barker</t>
  </si>
  <si>
    <t>LLC Flores</t>
  </si>
  <si>
    <t>Michael Hogan</t>
  </si>
  <si>
    <t>Inc Pace</t>
  </si>
  <si>
    <t>Toni Perry MD</t>
  </si>
  <si>
    <t>Garcia-Robinson</t>
  </si>
  <si>
    <t>William Bailey</t>
  </si>
  <si>
    <t>Snow-Day</t>
  </si>
  <si>
    <t>Tiffany Ortega</t>
  </si>
  <si>
    <t>Inc Rangel</t>
  </si>
  <si>
    <t>Willie Lowery</t>
  </si>
  <si>
    <t>Irwin-Kaufman</t>
  </si>
  <si>
    <t>Jaime Allen</t>
  </si>
  <si>
    <t>Brown and Colon, Anderson</t>
  </si>
  <si>
    <t>Becky Jones</t>
  </si>
  <si>
    <t>and Peterson, Rodriguez Murphy</t>
  </si>
  <si>
    <t>Tiffany Frank</t>
  </si>
  <si>
    <t>and Frederick, Jones Garcia</t>
  </si>
  <si>
    <t>Joe Mora</t>
  </si>
  <si>
    <t>and Fuentes Rogers Gill,</t>
  </si>
  <si>
    <t>Teresa Tucker</t>
  </si>
  <si>
    <t>Group Schneider</t>
  </si>
  <si>
    <t>Ruben Cross</t>
  </si>
  <si>
    <t>Sandoval-Bennett</t>
  </si>
  <si>
    <t>Timothy Choi</t>
  </si>
  <si>
    <t>Young Ltd</t>
  </si>
  <si>
    <t>Robert Lester</t>
  </si>
  <si>
    <t>Lopez-Brooks</t>
  </si>
  <si>
    <t>Sandra Bender</t>
  </si>
  <si>
    <t>Leblanc Conway, Holt and</t>
  </si>
  <si>
    <t>Martin Smith</t>
  </si>
  <si>
    <t>Ltd Roberts</t>
  </si>
  <si>
    <t>Martha Johnson</t>
  </si>
  <si>
    <t>and Carter Sons</t>
  </si>
  <si>
    <t>Mercedes Harris</t>
  </si>
  <si>
    <t>Moore and Rhodes Lang,</t>
  </si>
  <si>
    <t>Gregory Chung</t>
  </si>
  <si>
    <t>Poole LLC</t>
  </si>
  <si>
    <t>James Young</t>
  </si>
  <si>
    <t>Hansen-Torres</t>
  </si>
  <si>
    <t>Carla Combs</t>
  </si>
  <si>
    <t>Park-Douglas</t>
  </si>
  <si>
    <t>Peter Martinez</t>
  </si>
  <si>
    <t>Ruiz, Scott Mitchell and</t>
  </si>
  <si>
    <t>Christopher Spears</t>
  </si>
  <si>
    <t>and Rodriguez Gallegos Henry,</t>
  </si>
  <si>
    <t>Carrie Howell</t>
  </si>
  <si>
    <t>Ltd Miller</t>
  </si>
  <si>
    <t>Tina Ray</t>
  </si>
  <si>
    <t>Turner Bradford and Allison,</t>
  </si>
  <si>
    <t>Debbie Jones</t>
  </si>
  <si>
    <t>Goodwin Ltd</t>
  </si>
  <si>
    <t>Anthony Ortiz</t>
  </si>
  <si>
    <t>Carrillo-Price</t>
  </si>
  <si>
    <t>Jason Stewart</t>
  </si>
  <si>
    <t>and Sons Lee</t>
  </si>
  <si>
    <t>Derek Dorsey</t>
  </si>
  <si>
    <t>Rogers-Robles</t>
  </si>
  <si>
    <t>William Carter</t>
  </si>
  <si>
    <t>Massey Inc</t>
  </si>
  <si>
    <t>Angel Jones</t>
  </si>
  <si>
    <t>Arias-Galvan</t>
  </si>
  <si>
    <t>Christopher Fowler</t>
  </si>
  <si>
    <t>Scott-Moore</t>
  </si>
  <si>
    <t>Stephanie Herrera</t>
  </si>
  <si>
    <t>Jarvis-Roberts</t>
  </si>
  <si>
    <t>Scott Herring</t>
  </si>
  <si>
    <t>Clay LLC</t>
  </si>
  <si>
    <t>Angela Cook</t>
  </si>
  <si>
    <t>Quinn, Bentley and Allen</t>
  </si>
  <si>
    <t>Michael Davis</t>
  </si>
  <si>
    <t>Williams PLC</t>
  </si>
  <si>
    <t>Thomas Hunt</t>
  </si>
  <si>
    <t>Griffith Mccullough Mendoza, and</t>
  </si>
  <si>
    <t>Dylan Hale</t>
  </si>
  <si>
    <t>Meyers-Moore</t>
  </si>
  <si>
    <t>Bradley Holt</t>
  </si>
  <si>
    <t>Blair-Bell</t>
  </si>
  <si>
    <t>Sandra Powers</t>
  </si>
  <si>
    <t>Lester-Fletcher</t>
  </si>
  <si>
    <t>Evan Campbell</t>
  </si>
  <si>
    <t>Rodriguez LLC</t>
  </si>
  <si>
    <t>Sylvia Villarreal</t>
  </si>
  <si>
    <t>LLC Baldwin</t>
  </si>
  <si>
    <t>Matthew Hopkins</t>
  </si>
  <si>
    <t>Riley PLC</t>
  </si>
  <si>
    <t>Joseph Miller</t>
  </si>
  <si>
    <t>Snyder-Perry</t>
  </si>
  <si>
    <t>Charles Palmer</t>
  </si>
  <si>
    <t>Perez-Carlson</t>
  </si>
  <si>
    <t>Michael Walters</t>
  </si>
  <si>
    <t>Richardson Mccormick, Cruz and</t>
  </si>
  <si>
    <t>Scott Smith</t>
  </si>
  <si>
    <t>Underwood-Mcguire</t>
  </si>
  <si>
    <t>Nicole Jensen</t>
  </si>
  <si>
    <t>Galvan, Lopez Salazar and</t>
  </si>
  <si>
    <t>Brent Dickerson</t>
  </si>
  <si>
    <t>Fisher-Perez</t>
  </si>
  <si>
    <t>Nicole Young</t>
  </si>
  <si>
    <t>Maldonado Anderson and Adkins,</t>
  </si>
  <si>
    <t>Jared Kemp</t>
  </si>
  <si>
    <t>Ruiz PLC</t>
  </si>
  <si>
    <t>Dennis Gilbert</t>
  </si>
  <si>
    <t>Ltd Watts</t>
  </si>
  <si>
    <t>William Mcguire</t>
  </si>
  <si>
    <t>and Martinez Sons</t>
  </si>
  <si>
    <t>Jesus Wagner</t>
  </si>
  <si>
    <t>Harrington-Marshall</t>
  </si>
  <si>
    <t>Jose Cooley</t>
  </si>
  <si>
    <t>Robbins Inc</t>
  </si>
  <si>
    <t>Andrew Clark</t>
  </si>
  <si>
    <t>and Conway George, Huff</t>
  </si>
  <si>
    <t>Evelyn Patterson</t>
  </si>
  <si>
    <t>Maria Estes</t>
  </si>
  <si>
    <t>Rodriguez-Arnold</t>
  </si>
  <si>
    <t>Mrs. Linda Miles</t>
  </si>
  <si>
    <t>and Sullivan, Mcclure Shields</t>
  </si>
  <si>
    <t>Catherine Wiley</t>
  </si>
  <si>
    <t>Charles LLC</t>
  </si>
  <si>
    <t>Olivia Nichols</t>
  </si>
  <si>
    <t>Morgan-Young</t>
  </si>
  <si>
    <t>Christie Vargas</t>
  </si>
  <si>
    <t>Garcia and Nguyen, Leonard</t>
  </si>
  <si>
    <t>Nathaniel Jacobson</t>
  </si>
  <si>
    <t>PLC Fox</t>
  </si>
  <si>
    <t>Kayla Clark</t>
  </si>
  <si>
    <t>Bell Preston Washington, and</t>
  </si>
  <si>
    <t>Jessica Jackson</t>
  </si>
  <si>
    <t>LLC Hernandez</t>
  </si>
  <si>
    <t>Lynn Benson</t>
  </si>
  <si>
    <t>Steele PLC</t>
  </si>
  <si>
    <t>Michael Dodson MD</t>
  </si>
  <si>
    <t>and Sims, Gonzalez Huff</t>
  </si>
  <si>
    <t>David Nunez</t>
  </si>
  <si>
    <t>Allen-Perez</t>
  </si>
  <si>
    <t>Lindsay Pierce</t>
  </si>
  <si>
    <t>and Alexander Crawford Graham,</t>
  </si>
  <si>
    <t>Dr. Jeffrey Barnes Jr.</t>
  </si>
  <si>
    <t>Moyer-Lamb</t>
  </si>
  <si>
    <t>Kristie Roberts</t>
  </si>
  <si>
    <t>Taylor-Wilson</t>
  </si>
  <si>
    <t>Allison Harper</t>
  </si>
  <si>
    <t>PLC Sutton</t>
  </si>
  <si>
    <t>Heather Howard</t>
  </si>
  <si>
    <t>and Sons Sanders</t>
  </si>
  <si>
    <t>Vickie King</t>
  </si>
  <si>
    <t>Gentry and Sons</t>
  </si>
  <si>
    <t>Christopher Yoder</t>
  </si>
  <si>
    <t>Haynes-Silva</t>
  </si>
  <si>
    <t>Matthew Nelson</t>
  </si>
  <si>
    <t>Marshall, and Koch Harper</t>
  </si>
  <si>
    <t>Martin Lynch</t>
  </si>
  <si>
    <t>Duffy-Jackson</t>
  </si>
  <si>
    <t>David Hall</t>
  </si>
  <si>
    <t>Brown-Diaz</t>
  </si>
  <si>
    <t>Benjamin Tyler</t>
  </si>
  <si>
    <t>Mcdaniel-Castaneda</t>
  </si>
  <si>
    <t>Tyler Adams DDS</t>
  </si>
  <si>
    <t>Lyons LLC</t>
  </si>
  <si>
    <t>William White</t>
  </si>
  <si>
    <t>PLC French</t>
  </si>
  <si>
    <t>Amanda Webb</t>
  </si>
  <si>
    <t>LLC Coleman</t>
  </si>
  <si>
    <t>Travis Holmes</t>
  </si>
  <si>
    <t>Tucker-Warren</t>
  </si>
  <si>
    <t>Amy Small</t>
  </si>
  <si>
    <t>Wang-Hill</t>
  </si>
  <si>
    <t>Katherine Gutierrez</t>
  </si>
  <si>
    <t>Susan Hess</t>
  </si>
  <si>
    <t>White West Herman, and</t>
  </si>
  <si>
    <t>Kristen Thornton</t>
  </si>
  <si>
    <t>Inc Newton</t>
  </si>
  <si>
    <t>Jerry Fisher</t>
  </si>
  <si>
    <t>Huerta-Sanchez</t>
  </si>
  <si>
    <t>Elizabeth Miller</t>
  </si>
  <si>
    <t>Snyder-Parrish</t>
  </si>
  <si>
    <t>Reginald Grimes</t>
  </si>
  <si>
    <t>Inc Bryant</t>
  </si>
  <si>
    <t>Steven Smith</t>
  </si>
  <si>
    <t>Williams Inc</t>
  </si>
  <si>
    <t>Katelyn Davis</t>
  </si>
  <si>
    <t>Smith White, and Ryan</t>
  </si>
  <si>
    <t>Matthew Jones</t>
  </si>
  <si>
    <t>Williams Dillon White, and</t>
  </si>
  <si>
    <t>Diana Tran</t>
  </si>
  <si>
    <t>Vargas-Cohen</t>
  </si>
  <si>
    <t>Kevin Kelley</t>
  </si>
  <si>
    <t>Gardner Group</t>
  </si>
  <si>
    <t>Anthony Green</t>
  </si>
  <si>
    <t>Garcia-Blake</t>
  </si>
  <si>
    <t>Jordan Porter</t>
  </si>
  <si>
    <t>Castaneda-Tran</t>
  </si>
  <si>
    <t>James Thompson</t>
  </si>
  <si>
    <t>Kim-Ibarra</t>
  </si>
  <si>
    <t>Andrea King</t>
  </si>
  <si>
    <t>Boyer-Burgess</t>
  </si>
  <si>
    <t>Lucas Torres</t>
  </si>
  <si>
    <t>Cross Ltd</t>
  </si>
  <si>
    <t>Sarah Garcia</t>
  </si>
  <si>
    <t>Patel Payne, and Young</t>
  </si>
  <si>
    <t>Amanda Alvarado</t>
  </si>
  <si>
    <t>Group Santana</t>
  </si>
  <si>
    <t>Samantha Preston</t>
  </si>
  <si>
    <t>Sons and Cook</t>
  </si>
  <si>
    <t>David Maxwell</t>
  </si>
  <si>
    <t>Martin-Rice</t>
  </si>
  <si>
    <t>Kevin Butler</t>
  </si>
  <si>
    <t>Ortiz, and Rios Price</t>
  </si>
  <si>
    <t>Shannon Sanchez</t>
  </si>
  <si>
    <t>Barnes-Williams</t>
  </si>
  <si>
    <t>Shelly Bright</t>
  </si>
  <si>
    <t>Hardy-Gutierrez</t>
  </si>
  <si>
    <t>Stephanie Wilcox</t>
  </si>
  <si>
    <t>Cole LLC</t>
  </si>
  <si>
    <t>Amy Diaz</t>
  </si>
  <si>
    <t>White-Rowe</t>
  </si>
  <si>
    <t>Stacey Nguyen</t>
  </si>
  <si>
    <t>Rodriguez Harris, Willis and</t>
  </si>
  <si>
    <t>Peter Wright</t>
  </si>
  <si>
    <t>Santana Garcia, Alexander and</t>
  </si>
  <si>
    <t>Eric Shaw</t>
  </si>
  <si>
    <t>Collins-Lozano</t>
  </si>
  <si>
    <t>Susan Gaines</t>
  </si>
  <si>
    <t>Brown-Clark</t>
  </si>
  <si>
    <t>Collin Green</t>
  </si>
  <si>
    <t>Mcmahon and Kim, Holmes</t>
  </si>
  <si>
    <t>Richard Harris</t>
  </si>
  <si>
    <t>Gomez-Smith</t>
  </si>
  <si>
    <t>Charles Fernandez</t>
  </si>
  <si>
    <t>Hall Lee Bailey, and</t>
  </si>
  <si>
    <t>Kyle Williams MD</t>
  </si>
  <si>
    <t>Brennan Bentley, and Hunter</t>
  </si>
  <si>
    <t>Susan Rios DDS</t>
  </si>
  <si>
    <t>Mullins, Gray and Reed</t>
  </si>
  <si>
    <t>Sarah Ibarra</t>
  </si>
  <si>
    <t>Jonathan Burns MD</t>
  </si>
  <si>
    <t>Walsh, Howell and Jennings</t>
  </si>
  <si>
    <t>Jennifer Miller</t>
  </si>
  <si>
    <t>Haney-Marshall</t>
  </si>
  <si>
    <t>Zachary Scott</t>
  </si>
  <si>
    <t>Rich and Roach, King</t>
  </si>
  <si>
    <t>Dennis Robbins</t>
  </si>
  <si>
    <t>Johnson, and Petty Rubio</t>
  </si>
  <si>
    <t>Sean Rodgers</t>
  </si>
  <si>
    <t>Morse, Hudson Williams and</t>
  </si>
  <si>
    <t>Nathan Payne</t>
  </si>
  <si>
    <t>Kane, and Dickson Schwartz</t>
  </si>
  <si>
    <t>Kristina Gray</t>
  </si>
  <si>
    <t>Inc Mccullough</t>
  </si>
  <si>
    <t>Regina Bryant</t>
  </si>
  <si>
    <t>Taylor-Wong</t>
  </si>
  <si>
    <t>Karen Donovan</t>
  </si>
  <si>
    <t>Avery-Roy</t>
  </si>
  <si>
    <t>Amber Lopez</t>
  </si>
  <si>
    <t>LLC Anderson</t>
  </si>
  <si>
    <t>Vernon Diaz</t>
  </si>
  <si>
    <t>Castaneda-Young</t>
  </si>
  <si>
    <t>Luke Nunez</t>
  </si>
  <si>
    <t>and Thomas Strong, Cook</t>
  </si>
  <si>
    <t>Mary Williams</t>
  </si>
  <si>
    <t>Wells-Price</t>
  </si>
  <si>
    <t>Gina Richards</t>
  </si>
  <si>
    <t>Rios Ltd</t>
  </si>
  <si>
    <t>Julie West</t>
  </si>
  <si>
    <t>Vincent-Hill</t>
  </si>
  <si>
    <t>Greg Scott</t>
  </si>
  <si>
    <t>Brooks LLC</t>
  </si>
  <si>
    <t>Tracy Serrano</t>
  </si>
  <si>
    <t>Group Carpenter</t>
  </si>
  <si>
    <t>Rhonda Gilbert</t>
  </si>
  <si>
    <t>Henderson Carpenter and Barrett,</t>
  </si>
  <si>
    <t>Penny Bryant</t>
  </si>
  <si>
    <t>Mcdaniel-Walsh</t>
  </si>
  <si>
    <t>Edward Webster</t>
  </si>
  <si>
    <t>Ross-Jones</t>
  </si>
  <si>
    <t>Brandon Flores</t>
  </si>
  <si>
    <t>Mathews, Smith and Moss</t>
  </si>
  <si>
    <t>Courtney Crane</t>
  </si>
  <si>
    <t>and Lawrence, Williams Thomas</t>
  </si>
  <si>
    <t>Eric Wallace</t>
  </si>
  <si>
    <t>Wilkerson Group</t>
  </si>
  <si>
    <t>Nicole Norton</t>
  </si>
  <si>
    <t>Villanueva-Garcia</t>
  </si>
  <si>
    <t>Angela Cunningham</t>
  </si>
  <si>
    <t>Duffy-Bowman</t>
  </si>
  <si>
    <t>Jessica Morgan</t>
  </si>
  <si>
    <t>Tyler-Velasquez</t>
  </si>
  <si>
    <t>Shari Foster</t>
  </si>
  <si>
    <t>James Inc</t>
  </si>
  <si>
    <t>Danielle Collins</t>
  </si>
  <si>
    <t>Montgomery-Jones</t>
  </si>
  <si>
    <t>Beth Mckenzie</t>
  </si>
  <si>
    <t>Montgomery-Anthony</t>
  </si>
  <si>
    <t>Evan Johnson</t>
  </si>
  <si>
    <t>Davis-Padilla</t>
  </si>
  <si>
    <t>Wendy Rivera</t>
  </si>
  <si>
    <t>Ellison-Hayden</t>
  </si>
  <si>
    <t>Cindy Maxwell</t>
  </si>
  <si>
    <t>Long-Lee</t>
  </si>
  <si>
    <t>Crystal Hays</t>
  </si>
  <si>
    <t>Graves LLC</t>
  </si>
  <si>
    <t>Jay Barr</t>
  </si>
  <si>
    <t>and Sons Dixon</t>
  </si>
  <si>
    <t>Lisa Long</t>
  </si>
  <si>
    <t>Clark, Garza Tate and</t>
  </si>
  <si>
    <t>Brianna Kelly</t>
  </si>
  <si>
    <t>Bates Inc</t>
  </si>
  <si>
    <t>David Hanson</t>
  </si>
  <si>
    <t>LLC Sanford</t>
  </si>
  <si>
    <t>David Stevens</t>
  </si>
  <si>
    <t>and Harper Sons</t>
  </si>
  <si>
    <t>Richard Ayala</t>
  </si>
  <si>
    <t>Young Mcclain, Newman and</t>
  </si>
  <si>
    <t>Nathan Adams</t>
  </si>
  <si>
    <t>Ray, Cain and Miller</t>
  </si>
  <si>
    <t>Jennifer Munoz</t>
  </si>
  <si>
    <t>Zamora-Rivers</t>
  </si>
  <si>
    <t>Beth Brown</t>
  </si>
  <si>
    <t>and Perez Smith, Kim</t>
  </si>
  <si>
    <t>Karen Jones</t>
  </si>
  <si>
    <t>Johnson-Wilson</t>
  </si>
  <si>
    <t>Seth Burnett</t>
  </si>
  <si>
    <t>Delacruz-Chavez</t>
  </si>
  <si>
    <t>Kevin Johnson</t>
  </si>
  <si>
    <t>and Gonzalez, Warren Moore</t>
  </si>
  <si>
    <t>Julie Garza</t>
  </si>
  <si>
    <t>Ramirez-Humphrey</t>
  </si>
  <si>
    <t>Brian Mack</t>
  </si>
  <si>
    <t>and Sons Ford</t>
  </si>
  <si>
    <t>Jennifer Johnson</t>
  </si>
  <si>
    <t>and Wells, Thomas Kline</t>
  </si>
  <si>
    <t>Joseph Barnes</t>
  </si>
  <si>
    <t>Wood-Herring</t>
  </si>
  <si>
    <t>Daryl Cross</t>
  </si>
  <si>
    <t>Wilkerson LLC</t>
  </si>
  <si>
    <t>Jonathan Edwards</t>
  </si>
  <si>
    <t>Brown-Henry</t>
  </si>
  <si>
    <t>Adam Hardy</t>
  </si>
  <si>
    <t>Sheppard-Livingston</t>
  </si>
  <si>
    <t>Robert Ashley</t>
  </si>
  <si>
    <t>Golden PLC</t>
  </si>
  <si>
    <t>Mary Vaughn</t>
  </si>
  <si>
    <t>and Perez, Bennett Townsend</t>
  </si>
  <si>
    <t>Steven Simmons</t>
  </si>
  <si>
    <t>Johnson, and Benson Harris</t>
  </si>
  <si>
    <t>Mrs. Jessica Martinez</t>
  </si>
  <si>
    <t>and Clay, Morton Cunningham</t>
  </si>
  <si>
    <t>Erin Arias</t>
  </si>
  <si>
    <t>Anderson-Estrada</t>
  </si>
  <si>
    <t>Daniel Golden</t>
  </si>
  <si>
    <t>and Sons Carlson</t>
  </si>
  <si>
    <t>Anthony Malone</t>
  </si>
  <si>
    <t>Gonzalez Inc</t>
  </si>
  <si>
    <t>Charlotte Reyes MD</t>
  </si>
  <si>
    <t>Schaefer-Hoffman</t>
  </si>
  <si>
    <t>Miguel Green</t>
  </si>
  <si>
    <t>Frederick White</t>
  </si>
  <si>
    <t>and Vargas Reynolds Evans,</t>
  </si>
  <si>
    <t>Lisa Ruiz</t>
  </si>
  <si>
    <t>Cantu and Tanner Rojas,</t>
  </si>
  <si>
    <t>Cody Rice</t>
  </si>
  <si>
    <t>Thornton, Adams Mccarty and</t>
  </si>
  <si>
    <t>April Foster</t>
  </si>
  <si>
    <t>Cantrell-Griffith</t>
  </si>
  <si>
    <t>Justin Russell</t>
  </si>
  <si>
    <t>Martin Group</t>
  </si>
  <si>
    <t>Daniel Thomas</t>
  </si>
  <si>
    <t>and Sons Nelson</t>
  </si>
  <si>
    <t>Emily Williamson</t>
  </si>
  <si>
    <t>Ramirez-Hill</t>
  </si>
  <si>
    <t>Veronica Christian</t>
  </si>
  <si>
    <t>Jackson-Butler</t>
  </si>
  <si>
    <t>Monica Odonnell</t>
  </si>
  <si>
    <t>Miller-Avila</t>
  </si>
  <si>
    <t>Cody Berger</t>
  </si>
  <si>
    <t>Reyes-Crawford</t>
  </si>
  <si>
    <t>Jeffrey White</t>
  </si>
  <si>
    <t>Marshall-Smith</t>
  </si>
  <si>
    <t>Stacey Burgess</t>
  </si>
  <si>
    <t>and Peterson Matthews Robinson,</t>
  </si>
  <si>
    <t>Ethan Spencer</t>
  </si>
  <si>
    <t>Nelson PLC</t>
  </si>
  <si>
    <t>Jonathan Baker</t>
  </si>
  <si>
    <t>Perez-Mitchell</t>
  </si>
  <si>
    <t>Tonya Burton</t>
  </si>
  <si>
    <t>Gross, Thompson Smith and</t>
  </si>
  <si>
    <t>Phillip Campos</t>
  </si>
  <si>
    <t>Burch, Moore and Thompson</t>
  </si>
  <si>
    <t>Billy Rodgers</t>
  </si>
  <si>
    <t>Hamilton Group</t>
  </si>
  <si>
    <t>Sherri Campbell</t>
  </si>
  <si>
    <t>Shaw LLC</t>
  </si>
  <si>
    <t>Alex Neal</t>
  </si>
  <si>
    <t>and Day, Lewis Coleman</t>
  </si>
  <si>
    <t>Mark Martin</t>
  </si>
  <si>
    <t>Stone-Perez</t>
  </si>
  <si>
    <t>James Smith</t>
  </si>
  <si>
    <t>Ltd Foley</t>
  </si>
  <si>
    <t>Amber Walker</t>
  </si>
  <si>
    <t>Ward-Mayer</t>
  </si>
  <si>
    <t>Laura Pena</t>
  </si>
  <si>
    <t>Tracy Wilson</t>
  </si>
  <si>
    <t>Group Anderson</t>
  </si>
  <si>
    <t>Michelle Cox</t>
  </si>
  <si>
    <t>Garcia, and Marshall Maxwell</t>
  </si>
  <si>
    <t>Marie Reed</t>
  </si>
  <si>
    <t>Inc Martinez</t>
  </si>
  <si>
    <t>Philip Vaughn</t>
  </si>
  <si>
    <t>Mcmahon Ortiz, Owens and</t>
  </si>
  <si>
    <t>Kyle Montes</t>
  </si>
  <si>
    <t>Williams-Saunders</t>
  </si>
  <si>
    <t>Mr. Ronald Hoover</t>
  </si>
  <si>
    <t>Spencer Ltd</t>
  </si>
  <si>
    <t>Daniel Hurley</t>
  </si>
  <si>
    <t>Mathis-Schwartz</t>
  </si>
  <si>
    <t>Romero-Ramsey</t>
  </si>
  <si>
    <t>Christopher Mills</t>
  </si>
  <si>
    <t>Avery and Sons</t>
  </si>
  <si>
    <t>Richard Webster</t>
  </si>
  <si>
    <t>Ltd Richardson</t>
  </si>
  <si>
    <t>David Soto</t>
  </si>
  <si>
    <t>and Sons Williams</t>
  </si>
  <si>
    <t>Michael Paul</t>
  </si>
  <si>
    <t>Carter-Reyes</t>
  </si>
  <si>
    <t>Robert Gregory</t>
  </si>
  <si>
    <t>LLC Gray</t>
  </si>
  <si>
    <t>Ashley Lane</t>
  </si>
  <si>
    <t>Gonzalez Anderson Jacobson, and</t>
  </si>
  <si>
    <t>Jennifer Brown</t>
  </si>
  <si>
    <t>Miller Massey Lopez, and</t>
  </si>
  <si>
    <t>Kristen Aguirre</t>
  </si>
  <si>
    <t>Taylor Walsh Hawkins, and</t>
  </si>
  <si>
    <t>Kathryn Trevino</t>
  </si>
  <si>
    <t>LLC Brown</t>
  </si>
  <si>
    <t>Amanda Ramos</t>
  </si>
  <si>
    <t>Nelson-Wong</t>
  </si>
  <si>
    <t>Mr. William Decker</t>
  </si>
  <si>
    <t>LLC Berry</t>
  </si>
  <si>
    <t>Michael Grant</t>
  </si>
  <si>
    <t>Anderson-Jenkins</t>
  </si>
  <si>
    <t>Megan Jones</t>
  </si>
  <si>
    <t>Wells and Sons</t>
  </si>
  <si>
    <t>Mr. Andrew Hall Jr.</t>
  </si>
  <si>
    <t>Allen, Williams and Phillips</t>
  </si>
  <si>
    <t>Joseph Hernandez</t>
  </si>
  <si>
    <t>Gonzalez-Cummings</t>
  </si>
  <si>
    <t>Bryan Brock</t>
  </si>
  <si>
    <t>and Richardson Webster Smith,</t>
  </si>
  <si>
    <t>Austin Henderson</t>
  </si>
  <si>
    <t>Hudson-Flores</t>
  </si>
  <si>
    <t>Jessica Bruce MD</t>
  </si>
  <si>
    <t>Inc Rios</t>
  </si>
  <si>
    <t>Kenneth Green</t>
  </si>
  <si>
    <t>PLC Thompson</t>
  </si>
  <si>
    <t>Shelley Garcia</t>
  </si>
  <si>
    <t>Rosario Wells, Roberts and</t>
  </si>
  <si>
    <t>Justin Douglas</t>
  </si>
  <si>
    <t>Ramirez-Taylor</t>
  </si>
  <si>
    <t>William Faulkner</t>
  </si>
  <si>
    <t>Murphy-Mason</t>
  </si>
  <si>
    <t>Stephanie Davis</t>
  </si>
  <si>
    <t>Edwards Johnson, and Burgess</t>
  </si>
  <si>
    <t>Ronald Parker</t>
  </si>
  <si>
    <t>LLC Spears</t>
  </si>
  <si>
    <t>Kevin Tucker</t>
  </si>
  <si>
    <t>Perez-Smith</t>
  </si>
  <si>
    <t>Katrina Allen</t>
  </si>
  <si>
    <t>and Sons Mcbride</t>
  </si>
  <si>
    <t>Alicia Lopez</t>
  </si>
  <si>
    <t>Sons and Chapman</t>
  </si>
  <si>
    <t>Stephen Lopez</t>
  </si>
  <si>
    <t>Cole-Davila</t>
  </si>
  <si>
    <t>Alexandra Sims</t>
  </si>
  <si>
    <t>Pearson, and Lynch Oconnor</t>
  </si>
  <si>
    <t>Andrea Lee</t>
  </si>
  <si>
    <t>Rivera-Peck</t>
  </si>
  <si>
    <t>Olivia Anderson</t>
  </si>
  <si>
    <t>Hess-White</t>
  </si>
  <si>
    <t>Michelle Barnett</t>
  </si>
  <si>
    <t>Fox and Moreno Williams,</t>
  </si>
  <si>
    <t>Johnathan Mcmahon</t>
  </si>
  <si>
    <t>Johnson-Estrada</t>
  </si>
  <si>
    <t>Deborah Lawson</t>
  </si>
  <si>
    <t>Rivera-Mosley</t>
  </si>
  <si>
    <t>Diana Boyd</t>
  </si>
  <si>
    <t>Diaz Smith Johnson, and</t>
  </si>
  <si>
    <t>Crystal Ritter</t>
  </si>
  <si>
    <t>Harris-Ingram</t>
  </si>
  <si>
    <t>Carla Mcneil</t>
  </si>
  <si>
    <t>and Esparza Sons</t>
  </si>
  <si>
    <t>Peggy Nunez</t>
  </si>
  <si>
    <t>Hunt Sons and</t>
  </si>
  <si>
    <t>Kenneth White</t>
  </si>
  <si>
    <t>Leonard Alvarez</t>
  </si>
  <si>
    <t>Henry Rogers</t>
  </si>
  <si>
    <t>Foster Lamb, Graham and</t>
  </si>
  <si>
    <t>George Smith</t>
  </si>
  <si>
    <t>Sanchez LLC</t>
  </si>
  <si>
    <t>Anthony Anderson</t>
  </si>
  <si>
    <t>Fox-Anthony</t>
  </si>
  <si>
    <t>Meghan Bailey</t>
  </si>
  <si>
    <t>Fuentes Knight, Sandoval and</t>
  </si>
  <si>
    <t>Jason Phillips</t>
  </si>
  <si>
    <t>Hudson-Williams</t>
  </si>
  <si>
    <t>Bailey Ibarra</t>
  </si>
  <si>
    <t>Lowery, Dunn Anderson and</t>
  </si>
  <si>
    <t>Kelsey Simpson</t>
  </si>
  <si>
    <t>Mullen-Hernandez</t>
  </si>
  <si>
    <t>Sarah Guerra</t>
  </si>
  <si>
    <t>Herman, Liu and Hill</t>
  </si>
  <si>
    <t>Tony Matthews</t>
  </si>
  <si>
    <t>Davis White, Flores and</t>
  </si>
  <si>
    <t>Williams-Jones</t>
  </si>
  <si>
    <t>Michael Villanueva</t>
  </si>
  <si>
    <t>Inc Holloway</t>
  </si>
  <si>
    <t>Alan Cain</t>
  </si>
  <si>
    <t>Phillips Jones and Wu,</t>
  </si>
  <si>
    <t>Melissa Turner</t>
  </si>
  <si>
    <t>Wilson and Lopez, Molina</t>
  </si>
  <si>
    <t>Alexander Robles</t>
  </si>
  <si>
    <t>Jones-Garrett</t>
  </si>
  <si>
    <t>Joseph Carr</t>
  </si>
  <si>
    <t>and Brown, James Green</t>
  </si>
  <si>
    <t>David Poole</t>
  </si>
  <si>
    <t>Meadows and Nelson, Owen</t>
  </si>
  <si>
    <t>Cynthia Thomas</t>
  </si>
  <si>
    <t>Sons and Gallegos</t>
  </si>
  <si>
    <t>Rebecca Reed</t>
  </si>
  <si>
    <t>Davis Group</t>
  </si>
  <si>
    <t>Steven Boyle</t>
  </si>
  <si>
    <t>Herrera Group</t>
  </si>
  <si>
    <t>Bryan Wu</t>
  </si>
  <si>
    <t>Juarez-Weiss</t>
  </si>
  <si>
    <t>James Quinn</t>
  </si>
  <si>
    <t>Dawson-Jones</t>
  </si>
  <si>
    <t>Ryan Rich</t>
  </si>
  <si>
    <t>Hickman Group</t>
  </si>
  <si>
    <t>James Robinson</t>
  </si>
  <si>
    <t>Herman-Ewing</t>
  </si>
  <si>
    <t>Edwin Sparks</t>
  </si>
  <si>
    <t>Gutierrez Inc</t>
  </si>
  <si>
    <t>Tyler Parsons</t>
  </si>
  <si>
    <t>Hurley-Gill</t>
  </si>
  <si>
    <t>Kirk Rich II</t>
  </si>
  <si>
    <t>Dillon PLC</t>
  </si>
  <si>
    <t>Andrew Neal</t>
  </si>
  <si>
    <t>Murphy, and Garcia Jones</t>
  </si>
  <si>
    <t>Susan Silva</t>
  </si>
  <si>
    <t>Ramsey-Thomas</t>
  </si>
  <si>
    <t>Lynn York</t>
  </si>
  <si>
    <t>Miller and Sons</t>
  </si>
  <si>
    <t>Ellen Bush</t>
  </si>
  <si>
    <t>Chung Herrera, and Pollard</t>
  </si>
  <si>
    <t>Anthony Smith</t>
  </si>
  <si>
    <t>and Hernandez Waters, Cruz</t>
  </si>
  <si>
    <t>Mary Schwartz</t>
  </si>
  <si>
    <t>Schmidt Sons and</t>
  </si>
  <si>
    <t>Victoria Osborne</t>
  </si>
  <si>
    <t>and Carroll Orr Kelly,</t>
  </si>
  <si>
    <t>Regina Glass</t>
  </si>
  <si>
    <t>Smith and Rose Rivera,</t>
  </si>
  <si>
    <t>Craig Ray</t>
  </si>
  <si>
    <t>Odonnell-Watts</t>
  </si>
  <si>
    <t>Carlos Steele</t>
  </si>
  <si>
    <t>Inc Roberts</t>
  </si>
  <si>
    <t>Michael Pugh</t>
  </si>
  <si>
    <t>LLC Chaney</t>
  </si>
  <si>
    <t>Mark Mccarthy</t>
  </si>
  <si>
    <t>Hutchinson, Wilson Daniel and</t>
  </si>
  <si>
    <t>Shane Green</t>
  </si>
  <si>
    <t>Davis-Martin</t>
  </si>
  <si>
    <t>Hayley Payne</t>
  </si>
  <si>
    <t>and Thompson Cook Wiggins,</t>
  </si>
  <si>
    <t>Christopher Sharp</t>
  </si>
  <si>
    <t>Baldwin PLC</t>
  </si>
  <si>
    <t>Joseph Chandler</t>
  </si>
  <si>
    <t>Heath-Brown</t>
  </si>
  <si>
    <t>Brandi Elliott</t>
  </si>
  <si>
    <t>Mendez, and Smith Munoz</t>
  </si>
  <si>
    <t>Brian Fox</t>
  </si>
  <si>
    <t>Inc Daugherty</t>
  </si>
  <si>
    <t>Paul Coleman</t>
  </si>
  <si>
    <t>Gonzalez LLC</t>
  </si>
  <si>
    <t>Kelly Thompson</t>
  </si>
  <si>
    <t>Hunter-Hughes</t>
  </si>
  <si>
    <t>Corey Perez</t>
  </si>
  <si>
    <t>and Woods, Rodriguez Williams</t>
  </si>
  <si>
    <t>Blake Phillips</t>
  </si>
  <si>
    <t>Lowery-Howard</t>
  </si>
  <si>
    <t>Nicole Phelps</t>
  </si>
  <si>
    <t>Colon-Leon</t>
  </si>
  <si>
    <t>Lorraine Powers</t>
  </si>
  <si>
    <t>Boyle-Woods</t>
  </si>
  <si>
    <t>Michael Colon</t>
  </si>
  <si>
    <t>and Graham Morris, Gonzales</t>
  </si>
  <si>
    <t>Taylor Sullivan</t>
  </si>
  <si>
    <t>Tucker-Moyer</t>
  </si>
  <si>
    <t>Natalie Howell</t>
  </si>
  <si>
    <t>Sons and Stephenson</t>
  </si>
  <si>
    <t>Lonnie Duncan</t>
  </si>
  <si>
    <t>Hernandez PLC</t>
  </si>
  <si>
    <t>Bruce Rivera</t>
  </si>
  <si>
    <t>Dougherty Group</t>
  </si>
  <si>
    <t>Jordan Shannon</t>
  </si>
  <si>
    <t>Morgan Zimmerman, Matthews and</t>
  </si>
  <si>
    <t>Cindy Jones</t>
  </si>
  <si>
    <t>Jimenez-Huff</t>
  </si>
  <si>
    <t>Reginald Mckinney</t>
  </si>
  <si>
    <t>Stevenson-Chen</t>
  </si>
  <si>
    <t>Tiffany Hunt</t>
  </si>
  <si>
    <t>Parker-White</t>
  </si>
  <si>
    <t>Frank Pierce</t>
  </si>
  <si>
    <t>Vang Schneider and Torres,</t>
  </si>
  <si>
    <t>Olivia White</t>
  </si>
  <si>
    <t>Booth-Williams</t>
  </si>
  <si>
    <t>Laura Hill</t>
  </si>
  <si>
    <t>Gray-Black</t>
  </si>
  <si>
    <t>Angela Rogers</t>
  </si>
  <si>
    <t>Johnson-Garcia</t>
  </si>
  <si>
    <t>Salinas Terrell Villanueva, and</t>
  </si>
  <si>
    <t>Phelps Group</t>
  </si>
  <si>
    <t>Jonathan Jimenez</t>
  </si>
  <si>
    <t>Harrison and Erickson, Barnett</t>
  </si>
  <si>
    <t>Ashley Bishop</t>
  </si>
  <si>
    <t>Fischer Ltd</t>
  </si>
  <si>
    <t>Charles Harris</t>
  </si>
  <si>
    <t>Rhodes-Kelly</t>
  </si>
  <si>
    <t>Brandon Richardson</t>
  </si>
  <si>
    <t>Tate Pierce and Jackson,</t>
  </si>
  <si>
    <t>Shane Wong</t>
  </si>
  <si>
    <t>Inc Daniel</t>
  </si>
  <si>
    <t>Michael Oliver</t>
  </si>
  <si>
    <t>and Roberson Lee Young,</t>
  </si>
  <si>
    <t>John Cooper</t>
  </si>
  <si>
    <t>Giles-Miller</t>
  </si>
  <si>
    <t>Daniel Freeman</t>
  </si>
  <si>
    <t>Martinez, and Snyder Hill</t>
  </si>
  <si>
    <t>Adriana Gould</t>
  </si>
  <si>
    <t>Barber-Page</t>
  </si>
  <si>
    <t>Amanda Hall</t>
  </si>
  <si>
    <t>and Hess Delgado Foster,</t>
  </si>
  <si>
    <t>Michael Mcbride</t>
  </si>
  <si>
    <t>Johnson-Holland</t>
  </si>
  <si>
    <t>Deborah Wise</t>
  </si>
  <si>
    <t>and Gonzales Dunn, Camacho</t>
  </si>
  <si>
    <t>Ronald Edwards</t>
  </si>
  <si>
    <t>Rodriguez Diaz Daugherty, and</t>
  </si>
  <si>
    <t>Raymond Bowen</t>
  </si>
  <si>
    <t>Rowland-Abbott</t>
  </si>
  <si>
    <t>Jill Bailey</t>
  </si>
  <si>
    <t>Murphy, Reid Knox and</t>
  </si>
  <si>
    <t>Jennifer Pope</t>
  </si>
  <si>
    <t>Ryan-Mcneil</t>
  </si>
  <si>
    <t>Taylor Craig</t>
  </si>
  <si>
    <t>Ramos Miller and Moore,</t>
  </si>
  <si>
    <t>Kristy Waters</t>
  </si>
  <si>
    <t>Sons Cherry and</t>
  </si>
  <si>
    <t>Elizabeth Blevins</t>
  </si>
  <si>
    <t>Cook LLC</t>
  </si>
  <si>
    <t>Janice Jones</t>
  </si>
  <si>
    <t>Phillips Ltd</t>
  </si>
  <si>
    <t>Joann Anderson</t>
  </si>
  <si>
    <t>Oliver Griffin Johnson, and</t>
  </si>
  <si>
    <t>Christine Mejia</t>
  </si>
  <si>
    <t>Gregory Group</t>
  </si>
  <si>
    <t>Pamela Reed</t>
  </si>
  <si>
    <t>and Camacho Thomas Malone,</t>
  </si>
  <si>
    <t>William Holmes</t>
  </si>
  <si>
    <t>LLC Smith</t>
  </si>
  <si>
    <t>Heather Bowman</t>
  </si>
  <si>
    <t>Cunningham Andrade and Butler,</t>
  </si>
  <si>
    <t>Brittany Burns</t>
  </si>
  <si>
    <t>Curtis-Lin</t>
  </si>
  <si>
    <t>Amber Carpenter</t>
  </si>
  <si>
    <t>Ltd Smith</t>
  </si>
  <si>
    <t>Kimberly Castaneda</t>
  </si>
  <si>
    <t>Inc Sanchez</t>
  </si>
  <si>
    <t>Jessica Vasquez</t>
  </si>
  <si>
    <t>Rice, Cooper Rivera and</t>
  </si>
  <si>
    <t>Joseph Robinson</t>
  </si>
  <si>
    <t>Garcia LLC</t>
  </si>
  <si>
    <t>Travis Morales</t>
  </si>
  <si>
    <t>Bell Ltd</t>
  </si>
  <si>
    <t>Carrie Montes</t>
  </si>
  <si>
    <t>Hogan, Young Holmes and</t>
  </si>
  <si>
    <t>Alexander Walters</t>
  </si>
  <si>
    <t>Vazquez-Sanchez</t>
  </si>
  <si>
    <t>Justin Paul</t>
  </si>
  <si>
    <t>Mcintyre Ltd</t>
  </si>
  <si>
    <t>Curtis Fox</t>
  </si>
  <si>
    <t>White Roberts and Lee,</t>
  </si>
  <si>
    <t>Theresa Harrison</t>
  </si>
  <si>
    <t>Simpson Espinoza, and Thompson</t>
  </si>
  <si>
    <t>Mark Maynard</t>
  </si>
  <si>
    <t>and Moore Sons</t>
  </si>
  <si>
    <t>Randy Graham</t>
  </si>
  <si>
    <t>and Mclaughlin Powers Stevens,</t>
  </si>
  <si>
    <t>Michael Jenkins</t>
  </si>
  <si>
    <t>and Anderson, Porter Becker</t>
  </si>
  <si>
    <t>Amy Johnson</t>
  </si>
  <si>
    <t>Bailey-Hunt</t>
  </si>
  <si>
    <t>Timothy Wagner</t>
  </si>
  <si>
    <t>King and Bryant Olsen,</t>
  </si>
  <si>
    <t>Kara Stevens</t>
  </si>
  <si>
    <t>Watson Johnson Joseph, and</t>
  </si>
  <si>
    <t>David Keller</t>
  </si>
  <si>
    <t>Group Evans</t>
  </si>
  <si>
    <t>Emily Sanders</t>
  </si>
  <si>
    <t>Collins Porter and Rodgers,</t>
  </si>
  <si>
    <t>Chris Green</t>
  </si>
  <si>
    <t>and Goodwin, Hernandez Andrade</t>
  </si>
  <si>
    <t>Kurt Hamilton</t>
  </si>
  <si>
    <t>Solomon PLC</t>
  </si>
  <si>
    <t>Richard Jones</t>
  </si>
  <si>
    <t>Flores Sons and</t>
  </si>
  <si>
    <t>Brian Herrera</t>
  </si>
  <si>
    <t>Lowe LLC</t>
  </si>
  <si>
    <t>Robert Perkins</t>
  </si>
  <si>
    <t>Lopez Keller, Williams and</t>
  </si>
  <si>
    <t>Peter Nunez</t>
  </si>
  <si>
    <t>Brown-Wood</t>
  </si>
  <si>
    <t>Diane Richardson</t>
  </si>
  <si>
    <t>Martinez-Davis</t>
  </si>
  <si>
    <t>Julia Monroe</t>
  </si>
  <si>
    <t>Alexander-Oconnor</t>
  </si>
  <si>
    <t>Michael Palmer</t>
  </si>
  <si>
    <t>Carlson-Stone</t>
  </si>
  <si>
    <t>Hector King</t>
  </si>
  <si>
    <t>George Ward, and Clark</t>
  </si>
  <si>
    <t>Michael Webster</t>
  </si>
  <si>
    <t>Nicholson-Johnson</t>
  </si>
  <si>
    <t>Christy Maxwell</t>
  </si>
  <si>
    <t>PLC Carr</t>
  </si>
  <si>
    <t>Jorge Armstrong</t>
  </si>
  <si>
    <t>Alexander-Middleton</t>
  </si>
  <si>
    <t>Alexander Patterson</t>
  </si>
  <si>
    <t>Horton-Martinez</t>
  </si>
  <si>
    <t>Richard Rodgers</t>
  </si>
  <si>
    <t>Jasmine King</t>
  </si>
  <si>
    <t>PLC Obrien</t>
  </si>
  <si>
    <t>Nancy Sutton</t>
  </si>
  <si>
    <t>Ramos-Holt</t>
  </si>
  <si>
    <t>Brittany Anderson</t>
  </si>
  <si>
    <t>Patterson and Peterson, Velazquez</t>
  </si>
  <si>
    <t>Heather Long</t>
  </si>
  <si>
    <t>Jensen and Jackson, Greene</t>
  </si>
  <si>
    <t>Amy Hawkins</t>
  </si>
  <si>
    <t>Mathews-Lawrence</t>
  </si>
  <si>
    <t>Victor Fowler</t>
  </si>
  <si>
    <t>Morales, Johnson and Carlson</t>
  </si>
  <si>
    <t>Sharon Hall</t>
  </si>
  <si>
    <t>Wilson, Ward Taylor and</t>
  </si>
  <si>
    <t>Jeffrey Arellano</t>
  </si>
  <si>
    <t>Torres-Johnson</t>
  </si>
  <si>
    <t>Mary Johnson</t>
  </si>
  <si>
    <t>Inc Mcbride</t>
  </si>
  <si>
    <t>Kimberly Key</t>
  </si>
  <si>
    <t>and Dunlap, Wright Mays</t>
  </si>
  <si>
    <t>Tara Lopez</t>
  </si>
  <si>
    <t>Sullivan-Crosby</t>
  </si>
  <si>
    <t>Angela Lara</t>
  </si>
  <si>
    <t>and Shaw, Davis Pollard</t>
  </si>
  <si>
    <t>Laurie Brewer</t>
  </si>
  <si>
    <t>Williams LLC</t>
  </si>
  <si>
    <t>Margaret Hensley DVM</t>
  </si>
  <si>
    <t>Franklin Ltd</t>
  </si>
  <si>
    <t>Adam Bowers</t>
  </si>
  <si>
    <t>Galloway-Barnett</t>
  </si>
  <si>
    <t>Renee Odom</t>
  </si>
  <si>
    <t>Miller Olson, and Collins</t>
  </si>
  <si>
    <t>Amanda Morris</t>
  </si>
  <si>
    <t>Wheeler and Miller Burch,</t>
  </si>
  <si>
    <t>Gregory Oneill</t>
  </si>
  <si>
    <t>Mercer-Booker</t>
  </si>
  <si>
    <t>Erika Smith</t>
  </si>
  <si>
    <t>and Burke Skinner Myers,</t>
  </si>
  <si>
    <t>Michelle Harmon</t>
  </si>
  <si>
    <t>and Parker, Stout Chase</t>
  </si>
  <si>
    <t>Shane Russell</t>
  </si>
  <si>
    <t>Fernandez Harris, and Wilson</t>
  </si>
  <si>
    <t>Rhonda Miller</t>
  </si>
  <si>
    <t>Young-Myers</t>
  </si>
  <si>
    <t>Aaron Turner</t>
  </si>
  <si>
    <t>Johnson PLC</t>
  </si>
  <si>
    <t>Angela Anderson</t>
  </si>
  <si>
    <t>Barber Waters Castillo, and</t>
  </si>
  <si>
    <t>Caitlin Jackson</t>
  </si>
  <si>
    <t>Jarvis-Craig</t>
  </si>
  <si>
    <t>Jeremy Stout</t>
  </si>
  <si>
    <t>Schneider-Patton</t>
  </si>
  <si>
    <t>Michele Warren</t>
  </si>
  <si>
    <t>Kane Porter and Robinson,</t>
  </si>
  <si>
    <t>Eric English</t>
  </si>
  <si>
    <t>Archer Inc</t>
  </si>
  <si>
    <t>Shirley Armstrong</t>
  </si>
  <si>
    <t>Castaneda-Powell</t>
  </si>
  <si>
    <t>King, Williams and Terry</t>
  </si>
  <si>
    <t>Steve Anderson</t>
  </si>
  <si>
    <t>Henry PLC</t>
  </si>
  <si>
    <t>Candice Harris</t>
  </si>
  <si>
    <t>and Carpenter, Hernandez Chang</t>
  </si>
  <si>
    <t>Rhonda Lucas</t>
  </si>
  <si>
    <t>Santiago-Bush</t>
  </si>
  <si>
    <t>Cody Mcintyre</t>
  </si>
  <si>
    <t>Williams Hale and Summers,</t>
  </si>
  <si>
    <t>Scott Adams DDS</t>
  </si>
  <si>
    <t>Ltd Carroll</t>
  </si>
  <si>
    <t>Jason Dixon</t>
  </si>
  <si>
    <t>Stevenson, Harding and Woods</t>
  </si>
  <si>
    <t>Larry Williams</t>
  </si>
  <si>
    <t>Munoz Ltd</t>
  </si>
  <si>
    <t>Candice Gray</t>
  </si>
  <si>
    <t>Michael Richardson</t>
  </si>
  <si>
    <t>Kidd Romero, and Douglas</t>
  </si>
  <si>
    <t>Megan Allen</t>
  </si>
  <si>
    <t>and Cordova Sons</t>
  </si>
  <si>
    <t>Jonathan Crawford</t>
  </si>
  <si>
    <t>Garcia-Clark</t>
  </si>
  <si>
    <t>Benjamin Cruz</t>
  </si>
  <si>
    <t>Robinson Group</t>
  </si>
  <si>
    <t>Tracy Marks</t>
  </si>
  <si>
    <t>Hayes Ryan, and Martinez</t>
  </si>
  <si>
    <t>Nathan Benjamin</t>
  </si>
  <si>
    <t>Glover and Oneill Miller,</t>
  </si>
  <si>
    <t>Sara Cole</t>
  </si>
  <si>
    <t>Diaz Inc</t>
  </si>
  <si>
    <t>Sara Warner</t>
  </si>
  <si>
    <t>Martin-Nguyen</t>
  </si>
  <si>
    <t>Stanley Moreno</t>
  </si>
  <si>
    <t>Roberts Inc</t>
  </si>
  <si>
    <t>Nina Smith</t>
  </si>
  <si>
    <t>Riley, Grimes Ruiz and</t>
  </si>
  <si>
    <t>Justin Nguyen</t>
  </si>
  <si>
    <t>Ltd Rogers</t>
  </si>
  <si>
    <t>Michele Ramos</t>
  </si>
  <si>
    <t>Gomez Inc</t>
  </si>
  <si>
    <t>James Harris</t>
  </si>
  <si>
    <t>PLC Mack</t>
  </si>
  <si>
    <t>Carla Burgess</t>
  </si>
  <si>
    <t>Castro-Gomez</t>
  </si>
  <si>
    <t>Luke York</t>
  </si>
  <si>
    <t>Chan, Goodman and Gould</t>
  </si>
  <si>
    <t>Whitney Phillips</t>
  </si>
  <si>
    <t>Russell and Randolph, Lawrence</t>
  </si>
  <si>
    <t>Daniel Johnson</t>
  </si>
  <si>
    <t>Evans-Gonzalez</t>
  </si>
  <si>
    <t>Audrey Lewis</t>
  </si>
  <si>
    <t>Miller Sons and</t>
  </si>
  <si>
    <t>Donald Wagner</t>
  </si>
  <si>
    <t>Watts-Schneider</t>
  </si>
  <si>
    <t>Lisa Fisher</t>
  </si>
  <si>
    <t>Harrell Inc</t>
  </si>
  <si>
    <t>Amber Williams</t>
  </si>
  <si>
    <t>Reed Valdez and Pratt,</t>
  </si>
  <si>
    <t>Patrick Medina</t>
  </si>
  <si>
    <t>Ali Group</t>
  </si>
  <si>
    <t>Sheri Castro</t>
  </si>
  <si>
    <t>Conner-Nelson</t>
  </si>
  <si>
    <t>Crystal Thornton</t>
  </si>
  <si>
    <t>and Miller Prince Rodriguez,</t>
  </si>
  <si>
    <t>Kimberly Carter</t>
  </si>
  <si>
    <t>Parker Davis Clark, and</t>
  </si>
  <si>
    <t>Frederick Arnold</t>
  </si>
  <si>
    <t>Mills-Petersen</t>
  </si>
  <si>
    <t>Anna Atkinson</t>
  </si>
  <si>
    <t>Smith Anderson and Hunt,</t>
  </si>
  <si>
    <t>Mary Coleman</t>
  </si>
  <si>
    <t>Kennedy-Smith</t>
  </si>
  <si>
    <t>Jeremy Parker</t>
  </si>
  <si>
    <t>and Moore, Ballard Johnson</t>
  </si>
  <si>
    <t>Dorothy Garcia</t>
  </si>
  <si>
    <t>Williams Reynolds and Rangel,</t>
  </si>
  <si>
    <t>John Sanders</t>
  </si>
  <si>
    <t>Shelton Johnson, and Green</t>
  </si>
  <si>
    <t>Ashlee Cooper</t>
  </si>
  <si>
    <t>Lopez, and Howard Morrison</t>
  </si>
  <si>
    <t>Nicole Vance</t>
  </si>
  <si>
    <t>Sons and Cortez</t>
  </si>
  <si>
    <t>Karen Lynn</t>
  </si>
  <si>
    <t>Roberts Ltd</t>
  </si>
  <si>
    <t>Rachel Lopez</t>
  </si>
  <si>
    <t>Sellers-Shepard</t>
  </si>
  <si>
    <t>Samuel Williams</t>
  </si>
  <si>
    <t>Lloyd Scott, and Reese</t>
  </si>
  <si>
    <t>Steven Rogers</t>
  </si>
  <si>
    <t>Gibson-Osborne</t>
  </si>
  <si>
    <t>Melanie Lloyd</t>
  </si>
  <si>
    <t>Matthews-Morgan</t>
  </si>
  <si>
    <t>Bobby Mayo</t>
  </si>
  <si>
    <t>Scott and Sons</t>
  </si>
  <si>
    <t>Fernando Hodge</t>
  </si>
  <si>
    <t>Diaz-Richards</t>
  </si>
  <si>
    <t>Valerie Simmons</t>
  </si>
  <si>
    <t>LLC Johnson</t>
  </si>
  <si>
    <t>Cheryl Herrera</t>
  </si>
  <si>
    <t>Murphy Group</t>
  </si>
  <si>
    <t>John Rodriguez MD</t>
  </si>
  <si>
    <t>Barajas and Byrd, Wolf</t>
  </si>
  <si>
    <t>Ashley Jackson</t>
  </si>
  <si>
    <t>Salazar Newman White, and</t>
  </si>
  <si>
    <t>Samuel Hebert</t>
  </si>
  <si>
    <t>Hancock-Lewis</t>
  </si>
  <si>
    <t>Ryan Garcia</t>
  </si>
  <si>
    <t>Barrett-Wright</t>
  </si>
  <si>
    <t>Kelli Gutierrez</t>
  </si>
  <si>
    <t>Bowers Blankenship Jackson, and</t>
  </si>
  <si>
    <t>Kenneth Watson</t>
  </si>
  <si>
    <t>Hahn-Wilson</t>
  </si>
  <si>
    <t>Jo Donaldson</t>
  </si>
  <si>
    <t>Ramirez and Nelson, Collins</t>
  </si>
  <si>
    <t>Ronald Patrick</t>
  </si>
  <si>
    <t>Sosa-Jackson</t>
  </si>
  <si>
    <t>Lonnie Patton</t>
  </si>
  <si>
    <t>Dillon-Richard</t>
  </si>
  <si>
    <t>Gabrielle Hendrix</t>
  </si>
  <si>
    <t>Stokes and Sons</t>
  </si>
  <si>
    <t>Brandy Parsons</t>
  </si>
  <si>
    <t>Inc Nguyen</t>
  </si>
  <si>
    <t>Anthony Norris</t>
  </si>
  <si>
    <t>Gallagher-Hernandez</t>
  </si>
  <si>
    <t>Kristina Mendez MD</t>
  </si>
  <si>
    <t>Johnson David Carpenter, and</t>
  </si>
  <si>
    <t>Justin Clark</t>
  </si>
  <si>
    <t>and Montes Marshall Valdez,</t>
  </si>
  <si>
    <t>Charles Schmidt</t>
  </si>
  <si>
    <t>PLC Kelly</t>
  </si>
  <si>
    <t>Johnny Alvarado</t>
  </si>
  <si>
    <t>Wilson-Sherman</t>
  </si>
  <si>
    <t>Patricia Kidd</t>
  </si>
  <si>
    <t>Peterson Group</t>
  </si>
  <si>
    <t>Christopher Fleming</t>
  </si>
  <si>
    <t>Hall-Taylor</t>
  </si>
  <si>
    <t>Robert Higgins</t>
  </si>
  <si>
    <t>Rios PLC</t>
  </si>
  <si>
    <t>Adrian Powell</t>
  </si>
  <si>
    <t>Lutz, Lester and Kelly</t>
  </si>
  <si>
    <t>Alexander Rivera</t>
  </si>
  <si>
    <t>Scott, Moore and Brewer</t>
  </si>
  <si>
    <t>Pam Johnson</t>
  </si>
  <si>
    <t>Sullivan Henderson Lloyd, and</t>
  </si>
  <si>
    <t>Tracy Howard</t>
  </si>
  <si>
    <t>and Rhodes Trujillo, Booth</t>
  </si>
  <si>
    <t>Matthew Taylor</t>
  </si>
  <si>
    <t>Bailey-White</t>
  </si>
  <si>
    <t>Sharon Harding</t>
  </si>
  <si>
    <t>Bridges Inc</t>
  </si>
  <si>
    <t>Kristine Browning</t>
  </si>
  <si>
    <t>Jackson Carr, Garcia and</t>
  </si>
  <si>
    <t>Timothy Kim</t>
  </si>
  <si>
    <t>Richardson-Griffin</t>
  </si>
  <si>
    <t>Joshua Ross</t>
  </si>
  <si>
    <t>Allen-Campbell</t>
  </si>
  <si>
    <t>Linda Adams</t>
  </si>
  <si>
    <t>Ferguson-Liu</t>
  </si>
  <si>
    <t>Richard Andrews</t>
  </si>
  <si>
    <t>Lee Ltd</t>
  </si>
  <si>
    <t>Julie Warren</t>
  </si>
  <si>
    <t>Baldwin-Marshall</t>
  </si>
  <si>
    <t>Angela Mathis</t>
  </si>
  <si>
    <t>Norman PLC</t>
  </si>
  <si>
    <t>Beth Williams</t>
  </si>
  <si>
    <t>Boyd-Fisher</t>
  </si>
  <si>
    <t>Alejandra Williams</t>
  </si>
  <si>
    <t>Inc Davis</t>
  </si>
  <si>
    <t>Jennifer Mitchell</t>
  </si>
  <si>
    <t>Perry Inc</t>
  </si>
  <si>
    <t>Bradley Hunter</t>
  </si>
  <si>
    <t>and Brown Larson Moyer,</t>
  </si>
  <si>
    <t>Todd Houston</t>
  </si>
  <si>
    <t>Soto-Boyle</t>
  </si>
  <si>
    <t>Jones-Ellis</t>
  </si>
  <si>
    <t>Debra Carpenter</t>
  </si>
  <si>
    <t>Jenkins, Mathews and Ho</t>
  </si>
  <si>
    <t>Amanda Johnson</t>
  </si>
  <si>
    <t>Villa Inc</t>
  </si>
  <si>
    <t>Joseph Flores</t>
  </si>
  <si>
    <t>Castro PLC</t>
  </si>
  <si>
    <t>Kyle Gray</t>
  </si>
  <si>
    <t>Ortiz-Martin</t>
  </si>
  <si>
    <t>Sarah Jackson</t>
  </si>
  <si>
    <t>Anthony-Torres</t>
  </si>
  <si>
    <t>Alyssa Cox</t>
  </si>
  <si>
    <t>PLC Drake</t>
  </si>
  <si>
    <t>Angela Johnson</t>
  </si>
  <si>
    <t>Schmidt Ltd</t>
  </si>
  <si>
    <t>Debbie Browning</t>
  </si>
  <si>
    <t>Ortiz-Gardner</t>
  </si>
  <si>
    <t>Smith-White</t>
  </si>
  <si>
    <t>Brandy Nichols</t>
  </si>
  <si>
    <t>Ltd Stewart</t>
  </si>
  <si>
    <t>Jennifer Roach</t>
  </si>
  <si>
    <t>Hunter and James Wilson,</t>
  </si>
  <si>
    <t>Kenneth Beltran</t>
  </si>
  <si>
    <t>Martinez-Elliott</t>
  </si>
  <si>
    <t>Elizabeth Freeman</t>
  </si>
  <si>
    <t>Wright-Nguyen</t>
  </si>
  <si>
    <t>Elizabeth Campbell</t>
  </si>
  <si>
    <t>and Johnson Wright Carter,</t>
  </si>
  <si>
    <t>Larry Collier</t>
  </si>
  <si>
    <t>Johnson-Collins</t>
  </si>
  <si>
    <t>Lisa Howell</t>
  </si>
  <si>
    <t>Olsen LLC</t>
  </si>
  <si>
    <t>Ellen Bailey</t>
  </si>
  <si>
    <t>Smith LLC</t>
  </si>
  <si>
    <t>Kimberly Gregory</t>
  </si>
  <si>
    <t>Rodriguez-Morgan</t>
  </si>
  <si>
    <t>Timothy Williams</t>
  </si>
  <si>
    <t>Ltd Bell</t>
  </si>
  <si>
    <t>Crystal Thompson</t>
  </si>
  <si>
    <t>and Thompson Mccall, Brooks</t>
  </si>
  <si>
    <t>John Bryant</t>
  </si>
  <si>
    <t>Castillo LLC</t>
  </si>
  <si>
    <t>Robert Brewer</t>
  </si>
  <si>
    <t>Torres Group</t>
  </si>
  <si>
    <t>Andrea Bentley</t>
  </si>
  <si>
    <t>and Wagner, Lee Klein</t>
  </si>
  <si>
    <t>Craig Allen</t>
  </si>
  <si>
    <t>Boyd and Baker Rasmussen,</t>
  </si>
  <si>
    <t>Shannon Hicks</t>
  </si>
  <si>
    <t>Owens-Adkins</t>
  </si>
  <si>
    <t>Toni Russell</t>
  </si>
  <si>
    <t>PLC Lewis</t>
  </si>
  <si>
    <t>Anita Ortega</t>
  </si>
  <si>
    <t>Brennan-Walters</t>
  </si>
  <si>
    <t>Anthony Lopez</t>
  </si>
  <si>
    <t>and Mcdonald Taylor, Pitts</t>
  </si>
  <si>
    <t>Timothy Johnson</t>
  </si>
  <si>
    <t>Martin LLC</t>
  </si>
  <si>
    <t>Erica Gallagher</t>
  </si>
  <si>
    <t>Huang-Blanchard</t>
  </si>
  <si>
    <t>Megan Zimmerman</t>
  </si>
  <si>
    <t>Gonzalez and Marks, Lopez</t>
  </si>
  <si>
    <t>Kyle Nelson</t>
  </si>
  <si>
    <t>Molina, Rogers and Horton</t>
  </si>
  <si>
    <t>Thomas Cross</t>
  </si>
  <si>
    <t>Haynes Miller, and Gray</t>
  </si>
  <si>
    <t>Stephanie Howard</t>
  </si>
  <si>
    <t>Garcia Woodward and Morgan,</t>
  </si>
  <si>
    <t>Dr. Alex Clark</t>
  </si>
  <si>
    <t>and Kennedy Sons</t>
  </si>
  <si>
    <t>Joseph Powers</t>
  </si>
  <si>
    <t>Inc Anderson</t>
  </si>
  <si>
    <t>Kevin Mack</t>
  </si>
  <si>
    <t>Armstrong Everett, Adams and</t>
  </si>
  <si>
    <t>Savannah Mahoney</t>
  </si>
  <si>
    <t>Mclaughlin-Jenkins</t>
  </si>
  <si>
    <t>Taylor Juarez</t>
  </si>
  <si>
    <t>Parks PLC</t>
  </si>
  <si>
    <t>Stephanie Thompson</t>
  </si>
  <si>
    <t>Hendrix, Roberts and Pitts</t>
  </si>
  <si>
    <t>Christopher Ross</t>
  </si>
  <si>
    <t>and Berger Perry, Calhoun</t>
  </si>
  <si>
    <t>Cassandra Howe</t>
  </si>
  <si>
    <t>Evans-Molina</t>
  </si>
  <si>
    <t>Hannah Garcia</t>
  </si>
  <si>
    <t>and Sons Tucker</t>
  </si>
  <si>
    <t>Raymond Mercer</t>
  </si>
  <si>
    <t>Group Holder</t>
  </si>
  <si>
    <t>Wendy Morgan</t>
  </si>
  <si>
    <t>Lawrence PLC</t>
  </si>
  <si>
    <t>Cynthia Sanders</t>
  </si>
  <si>
    <t>Smith Ltd</t>
  </si>
  <si>
    <t>Michael Munoz</t>
  </si>
  <si>
    <t>Howe-Smith</t>
  </si>
  <si>
    <t>Frederick Smith</t>
  </si>
  <si>
    <t>PLC Vargas</t>
  </si>
  <si>
    <t>Ricky King</t>
  </si>
  <si>
    <t>and Ray Wood Barrett,</t>
  </si>
  <si>
    <t>Richard Fox</t>
  </si>
  <si>
    <t>Davis Moore Bartlett, and</t>
  </si>
  <si>
    <t>Alexander Preston</t>
  </si>
  <si>
    <t>Barton-Johnson</t>
  </si>
  <si>
    <t>Stacey Weaver</t>
  </si>
  <si>
    <t>Salas-Farmer</t>
  </si>
  <si>
    <t>Cole Harris</t>
  </si>
  <si>
    <t>Neal and Roberson Hicks,</t>
  </si>
  <si>
    <t>Kimberly Martinez</t>
  </si>
  <si>
    <t>Daniel Calhoun</t>
  </si>
  <si>
    <t>and Howard Sons</t>
  </si>
  <si>
    <t>Zachary Lopez</t>
  </si>
  <si>
    <t>and Morris Mullins, Hernandez</t>
  </si>
  <si>
    <t>Dwayne Bradley</t>
  </si>
  <si>
    <t>Rodriguez-Howard</t>
  </si>
  <si>
    <t>Francisco Gray</t>
  </si>
  <si>
    <t>Martin Ltd</t>
  </si>
  <si>
    <t>Shane Mcintosh</t>
  </si>
  <si>
    <t>Jordan-Hood</t>
  </si>
  <si>
    <t>Katherine Taylor</t>
  </si>
  <si>
    <t>Fox-Singleton</t>
  </si>
  <si>
    <t>Laura Shaw</t>
  </si>
  <si>
    <t>Holland, Daniels Brennan and</t>
  </si>
  <si>
    <t>Susan Wheeler</t>
  </si>
  <si>
    <t>Sanchez-Green</t>
  </si>
  <si>
    <t>Tim Rodriguez</t>
  </si>
  <si>
    <t>Brown LLC</t>
  </si>
  <si>
    <t>Stephanie Lamb</t>
  </si>
  <si>
    <t>Pacheco-Morris</t>
  </si>
  <si>
    <t>Frank Bell</t>
  </si>
  <si>
    <t>Odonnell, Kelly Mejia and</t>
  </si>
  <si>
    <t>Sherry Parker</t>
  </si>
  <si>
    <t>Zimmerman-Schneider</t>
  </si>
  <si>
    <t>Hoover Rodriguez, and Vang</t>
  </si>
  <si>
    <t>Mr. Joseph Smith</t>
  </si>
  <si>
    <t>Fuller Sons and</t>
  </si>
  <si>
    <t>Abigail Flores</t>
  </si>
  <si>
    <t>and Sons Bonilla</t>
  </si>
  <si>
    <t>Maria Hernandez</t>
  </si>
  <si>
    <t>and Gordon Lee Yang,</t>
  </si>
  <si>
    <t>Tonya Potter</t>
  </si>
  <si>
    <t>LLC Howard</t>
  </si>
  <si>
    <t>Joshua Meyer</t>
  </si>
  <si>
    <t>and Shields Williams, James</t>
  </si>
  <si>
    <t>Stacy Bender</t>
  </si>
  <si>
    <t>Moore-Sanders</t>
  </si>
  <si>
    <t>John Moore</t>
  </si>
  <si>
    <t>Ortiz, and Massey Norton</t>
  </si>
  <si>
    <t>Michael Craig</t>
  </si>
  <si>
    <t>Christine Wood</t>
  </si>
  <si>
    <t>Herring-Smith</t>
  </si>
  <si>
    <t>Melissa White</t>
  </si>
  <si>
    <t>PLC Hale</t>
  </si>
  <si>
    <t>David Obrien</t>
  </si>
  <si>
    <t>Parker Jackson, Jackson and</t>
  </si>
  <si>
    <t>Matthew Clark</t>
  </si>
  <si>
    <t>Parsons Petersen, Mckenzie and</t>
  </si>
  <si>
    <t>Michele Alvarez</t>
  </si>
  <si>
    <t>Guerrero-Jordan</t>
  </si>
  <si>
    <t>Patrick Ross</t>
  </si>
  <si>
    <t>Lee Pugh, and Orozco</t>
  </si>
  <si>
    <t>Maureen Jones</t>
  </si>
  <si>
    <t>Payne Parker, Murphy and</t>
  </si>
  <si>
    <t>Eric Beard</t>
  </si>
  <si>
    <t>and Hernandez Mckinney Li,</t>
  </si>
  <si>
    <t>Colleen Lawrence</t>
  </si>
  <si>
    <t>Hancock Ltd</t>
  </si>
  <si>
    <t>Stefanie Howard</t>
  </si>
  <si>
    <t>Mitchell Brown and Rice,</t>
  </si>
  <si>
    <t>Mark Wallace</t>
  </si>
  <si>
    <t>Garcia-Martinez</t>
  </si>
  <si>
    <t>Nichole Washington</t>
  </si>
  <si>
    <t>Douglas-Diaz</t>
  </si>
  <si>
    <t>Gabrielle Brown</t>
  </si>
  <si>
    <t>Ltd Tran</t>
  </si>
  <si>
    <t>Sean Ortiz</t>
  </si>
  <si>
    <t>Smith and Foster Cooper,</t>
  </si>
  <si>
    <t>Jacqueline Monroe</t>
  </si>
  <si>
    <t>Hunter Inc</t>
  </si>
  <si>
    <t>Nicole Manning</t>
  </si>
  <si>
    <t>Sons Flores and</t>
  </si>
  <si>
    <t>Donna Callahan</t>
  </si>
  <si>
    <t>Green Group</t>
  </si>
  <si>
    <t>Ashley Warner</t>
  </si>
  <si>
    <t>Lewis, Gibbs and Powell</t>
  </si>
  <si>
    <t>Noah Schultz</t>
  </si>
  <si>
    <t>Gomez and Espinoza, Wilson</t>
  </si>
  <si>
    <t>Cassandra Martinez</t>
  </si>
  <si>
    <t>Sons Martin and</t>
  </si>
  <si>
    <t>Robert Gomez</t>
  </si>
  <si>
    <t>Sons and Moore</t>
  </si>
  <si>
    <t>Adam Torres</t>
  </si>
  <si>
    <t>Hernandez-Pearson</t>
  </si>
  <si>
    <t>Dawn Mcintosh</t>
  </si>
  <si>
    <t>Harrison-Robles</t>
  </si>
  <si>
    <t>Cody Shaw</t>
  </si>
  <si>
    <t>Ltd Guerra</t>
  </si>
  <si>
    <t>Ryan Mclean</t>
  </si>
  <si>
    <t>Group Hudson</t>
  </si>
  <si>
    <t>Mr. Evan Long PhD</t>
  </si>
  <si>
    <t>Cordova LLC</t>
  </si>
  <si>
    <t>Dr. William Santiago</t>
  </si>
  <si>
    <t>Horton-Boone</t>
  </si>
  <si>
    <t>Kimberly Conner</t>
  </si>
  <si>
    <t>Campbell-Ryan</t>
  </si>
  <si>
    <t>Kenneth Glass</t>
  </si>
  <si>
    <t>Johnson Aguilar Hamilton, and</t>
  </si>
  <si>
    <t>Preston Werner</t>
  </si>
  <si>
    <t>Moreno Inc</t>
  </si>
  <si>
    <t>Robin Davis</t>
  </si>
  <si>
    <t>Alexandra Kim</t>
  </si>
  <si>
    <t>Inc Singh</t>
  </si>
  <si>
    <t>David Moore</t>
  </si>
  <si>
    <t>Sanchez-Mccullough</t>
  </si>
  <si>
    <t>John Barker</t>
  </si>
  <si>
    <t>Smith Rodriguez and Buchanan,</t>
  </si>
  <si>
    <t>Taylor Dillon</t>
  </si>
  <si>
    <t>Grant-Wiggins</t>
  </si>
  <si>
    <t>Michael Preston</t>
  </si>
  <si>
    <t>May-Smith</t>
  </si>
  <si>
    <t>Mark Brown</t>
  </si>
  <si>
    <t>Franco and Trevino Clayton,</t>
  </si>
  <si>
    <t>Alyssa Tapia</t>
  </si>
  <si>
    <t>Herman-Griffin</t>
  </si>
  <si>
    <t>Justin Carey</t>
  </si>
  <si>
    <t>Mcclure Inc</t>
  </si>
  <si>
    <t>Kevin Chan</t>
  </si>
  <si>
    <t>Watson-Hill</t>
  </si>
  <si>
    <t>Gregory Braun</t>
  </si>
  <si>
    <t>Martin Rodriguez, Richardson and</t>
  </si>
  <si>
    <t>Todd Evans</t>
  </si>
  <si>
    <t>and Gray Smith, Jennings</t>
  </si>
  <si>
    <t>Donald Hebert</t>
  </si>
  <si>
    <t>and Reynolds Moore Martin,</t>
  </si>
  <si>
    <t>Erik Santos</t>
  </si>
  <si>
    <t>Inc Wyatt</t>
  </si>
  <si>
    <t>Diana Lee</t>
  </si>
  <si>
    <t>Potts, Salas Fletcher and</t>
  </si>
  <si>
    <t>Cory Mitchell</t>
  </si>
  <si>
    <t>Carr Group</t>
  </si>
  <si>
    <t>Michelle Moses</t>
  </si>
  <si>
    <t>Osborne-Hayes</t>
  </si>
  <si>
    <t>Jennifer Herman</t>
  </si>
  <si>
    <t>Sullivan-Thomas</t>
  </si>
  <si>
    <t>Danielle Jennings</t>
  </si>
  <si>
    <t>Group Graves</t>
  </si>
  <si>
    <t>Matthew Calhoun</t>
  </si>
  <si>
    <t>Inc Gonzales</t>
  </si>
  <si>
    <t>Marcus Green</t>
  </si>
  <si>
    <t>Roberts-Brock</t>
  </si>
  <si>
    <t>Kelly Warren</t>
  </si>
  <si>
    <t>PLC Johnson</t>
  </si>
  <si>
    <t>Jennifer Smith</t>
  </si>
  <si>
    <t>and Gill, King Osborn</t>
  </si>
  <si>
    <t>Shelia Burns</t>
  </si>
  <si>
    <t>and Johnson, Carter Johnston</t>
  </si>
  <si>
    <t>Gina Jackson</t>
  </si>
  <si>
    <t>Deleon Oneal, Moore and</t>
  </si>
  <si>
    <t>Jason Jackson</t>
  </si>
  <si>
    <t>Scott-Stewart</t>
  </si>
  <si>
    <t>Steven Burgess</t>
  </si>
  <si>
    <t>Santos-Harris</t>
  </si>
  <si>
    <t>Kenneth Simmons</t>
  </si>
  <si>
    <t>Brown PLC</t>
  </si>
  <si>
    <t>Melinda Valencia</t>
  </si>
  <si>
    <t>Benson-Cunningham</t>
  </si>
  <si>
    <t>Anita Ramos</t>
  </si>
  <si>
    <t>and Walker, Li Gomez</t>
  </si>
  <si>
    <t>Brian Wright</t>
  </si>
  <si>
    <t>Moore-Arias</t>
  </si>
  <si>
    <t>Alvin Guzman</t>
  </si>
  <si>
    <t>Cunningham Group</t>
  </si>
  <si>
    <t>Ricky Nguyen</t>
  </si>
  <si>
    <t>Pineda Rhodes, and Luna</t>
  </si>
  <si>
    <t>Nicole Weaver</t>
  </si>
  <si>
    <t>Pearson, Carroll and Lane</t>
  </si>
  <si>
    <t>John Whitney</t>
  </si>
  <si>
    <t>Gonzalez-Keith</t>
  </si>
  <si>
    <t>Emma Yang</t>
  </si>
  <si>
    <t>Perez-Henderson</t>
  </si>
  <si>
    <t>Sierra Kerr</t>
  </si>
  <si>
    <t>Davis-Smith</t>
  </si>
  <si>
    <t>James Austin</t>
  </si>
  <si>
    <t>Henderson Inc</t>
  </si>
  <si>
    <t>Jennifer Snyder</t>
  </si>
  <si>
    <t>Williams, and Diaz Campbell</t>
  </si>
  <si>
    <t>Casey Baker</t>
  </si>
  <si>
    <t>Finley Salinas, Jones and</t>
  </si>
  <si>
    <t>Joshua Vargas</t>
  </si>
  <si>
    <t>Baker and Barber Baxter,</t>
  </si>
  <si>
    <t>Calvin Evans</t>
  </si>
  <si>
    <t>Ltd Marquez</t>
  </si>
  <si>
    <t>Olivia Morales</t>
  </si>
  <si>
    <t>Stuart Inc</t>
  </si>
  <si>
    <t>Jessica Leblanc</t>
  </si>
  <si>
    <t>Ltd Dixon</t>
  </si>
  <si>
    <t>Kimberly Vargas</t>
  </si>
  <si>
    <t>PLC Harris</t>
  </si>
  <si>
    <t>Lucas Woods</t>
  </si>
  <si>
    <t>Carpenter-Chen</t>
  </si>
  <si>
    <t>Samantha Contreras</t>
  </si>
  <si>
    <t>Ltd Wilkinson</t>
  </si>
  <si>
    <t>Ashley Steele</t>
  </si>
  <si>
    <t>Miles-Sanchez</t>
  </si>
  <si>
    <t>Richard Stokes</t>
  </si>
  <si>
    <t>Collins Sons and</t>
  </si>
  <si>
    <t>Paula Herrera</t>
  </si>
  <si>
    <t>Donald Nguyen</t>
  </si>
  <si>
    <t>Baker and Thompson, Johnson</t>
  </si>
  <si>
    <t>Jonathon Galvan</t>
  </si>
  <si>
    <t>Group Robbins</t>
  </si>
  <si>
    <t>Joan Mccarty</t>
  </si>
  <si>
    <t>White-Stone</t>
  </si>
  <si>
    <t>Jason Stokes</t>
  </si>
  <si>
    <t>Caldwell Group</t>
  </si>
  <si>
    <t>Ronald Stafford</t>
  </si>
  <si>
    <t>Brown-Thompson</t>
  </si>
  <si>
    <t>Rebecca Davis</t>
  </si>
  <si>
    <t>Sons and Morton</t>
  </si>
  <si>
    <t>Kathleen Wheeler</t>
  </si>
  <si>
    <t>and Johnson Sons</t>
  </si>
  <si>
    <t>Clifford Wilson</t>
  </si>
  <si>
    <t>Travis Inc</t>
  </si>
  <si>
    <t>Ryan Patterson</t>
  </si>
  <si>
    <t>Kathryn Wong</t>
  </si>
  <si>
    <t>Nguyen, Simmons and Johnson</t>
  </si>
  <si>
    <t>Amy Perry</t>
  </si>
  <si>
    <t>Buck and Delgado, Rich</t>
  </si>
  <si>
    <t>Joe Hicks</t>
  </si>
  <si>
    <t>Snyder Ltd</t>
  </si>
  <si>
    <t>Aaron Johnson</t>
  </si>
  <si>
    <t>Patton and Mclaughlin, Barr</t>
  </si>
  <si>
    <t>Margaret Massey</t>
  </si>
  <si>
    <t>Pamela Miller</t>
  </si>
  <si>
    <t>Foley, Williams Gonzales and</t>
  </si>
  <si>
    <t>Christopher King</t>
  </si>
  <si>
    <t>Melton Ltd</t>
  </si>
  <si>
    <t>Debbie Peters</t>
  </si>
  <si>
    <t>Baker PLC</t>
  </si>
  <si>
    <t>William Paul</t>
  </si>
  <si>
    <t>Oconnor and Sons</t>
  </si>
  <si>
    <t>Dustin Russell</t>
  </si>
  <si>
    <t>Schmitt and Montgomery, Barber</t>
  </si>
  <si>
    <t>Mr. Jimmy Gonzales</t>
  </si>
  <si>
    <t>and Miller Montoya, Small</t>
  </si>
  <si>
    <t>Nicole Johnson</t>
  </si>
  <si>
    <t>Travis Graham and Whitehead,</t>
  </si>
  <si>
    <t>Michael Mcdaniel</t>
  </si>
  <si>
    <t>Thomas Ltd</t>
  </si>
  <si>
    <t>John Dixon</t>
  </si>
  <si>
    <t>LLC Allen</t>
  </si>
  <si>
    <t>James Murphy</t>
  </si>
  <si>
    <t>King Group</t>
  </si>
  <si>
    <t>Jason Hernandez</t>
  </si>
  <si>
    <t>Lamb-Hansen</t>
  </si>
  <si>
    <t>Lisa Thompson</t>
  </si>
  <si>
    <t>PLC Haney</t>
  </si>
  <si>
    <t>Tanya Gutierrez</t>
  </si>
  <si>
    <t>Moss-Jones</t>
  </si>
  <si>
    <t>Christopher Stevens</t>
  </si>
  <si>
    <t>Meyer Bishop and Wallace,</t>
  </si>
  <si>
    <t>Anne Alvarez</t>
  </si>
  <si>
    <t>Black and Sons</t>
  </si>
  <si>
    <t>Sonya Fletcher</t>
  </si>
  <si>
    <t>Davis-Bell</t>
  </si>
  <si>
    <t>Donald Maynard</t>
  </si>
  <si>
    <t>Hill, Murphy and Stewart</t>
  </si>
  <si>
    <t>Jessica Byrd</t>
  </si>
  <si>
    <t>Bryant and Thomas, Smith</t>
  </si>
  <si>
    <t>George Thompson</t>
  </si>
  <si>
    <t>Sons and Dawson</t>
  </si>
  <si>
    <t>Lisa Small</t>
  </si>
  <si>
    <t>Paul Watts and Perkins,</t>
  </si>
  <si>
    <t>Tonya Dodson</t>
  </si>
  <si>
    <t>Williams-Gordon</t>
  </si>
  <si>
    <t>William Scott</t>
  </si>
  <si>
    <t>and Chapman Payne, Werner</t>
  </si>
  <si>
    <t>Robert Evans</t>
  </si>
  <si>
    <t>Thomas, Green and Barron</t>
  </si>
  <si>
    <t>Francis Stout</t>
  </si>
  <si>
    <t>Lambert-Brandt</t>
  </si>
  <si>
    <t>Jasmine Jimenez</t>
  </si>
  <si>
    <t>Group Sparks</t>
  </si>
  <si>
    <t>Robert Martinez</t>
  </si>
  <si>
    <t>Inc Swanson</t>
  </si>
  <si>
    <t>Nathaniel Williams</t>
  </si>
  <si>
    <t>Mclaughlin, and Tucker Francis</t>
  </si>
  <si>
    <t>Michelle Shepard</t>
  </si>
  <si>
    <t>Inc Copeland</t>
  </si>
  <si>
    <t>Andrea Mitchell</t>
  </si>
  <si>
    <t>Marie Glass</t>
  </si>
  <si>
    <t>Ryan Fisher</t>
  </si>
  <si>
    <t>Hodges Brown, Munoz and</t>
  </si>
  <si>
    <t>Heather Petty</t>
  </si>
  <si>
    <t>Robinson-Ritter</t>
  </si>
  <si>
    <t>Nicole Stevenson</t>
  </si>
  <si>
    <t>Green, Howell and Jordan</t>
  </si>
  <si>
    <t>Monica Costa</t>
  </si>
  <si>
    <t>PLC Garcia</t>
  </si>
  <si>
    <t>Joseph Copeland</t>
  </si>
  <si>
    <t>Fox, and Lucas Cain</t>
  </si>
  <si>
    <t>Daniel Mayer</t>
  </si>
  <si>
    <t>and Lee Sons</t>
  </si>
  <si>
    <t>Christian Allen</t>
  </si>
  <si>
    <t>Petty-Lloyd</t>
  </si>
  <si>
    <t>Amy Gonzales</t>
  </si>
  <si>
    <t>Kelly PLC</t>
  </si>
  <si>
    <t>Tracy Sandoval</t>
  </si>
  <si>
    <t>Conley-Wood</t>
  </si>
  <si>
    <t>Daniel James</t>
  </si>
  <si>
    <t>Choi PLC</t>
  </si>
  <si>
    <t>Kerry Johnson</t>
  </si>
  <si>
    <t>Yu-Bryant</t>
  </si>
  <si>
    <t>Brian Strong</t>
  </si>
  <si>
    <t>LLC Chavez</t>
  </si>
  <si>
    <t>Christopher Barnes</t>
  </si>
  <si>
    <t>Mills and Young, Perry</t>
  </si>
  <si>
    <t>Adam Gray</t>
  </si>
  <si>
    <t>Sims-Castro</t>
  </si>
  <si>
    <t>Michael Thomas</t>
  </si>
  <si>
    <t>Reginald Williams</t>
  </si>
  <si>
    <t>Hall and Montgomery King,</t>
  </si>
  <si>
    <t>Ryan Tran</t>
  </si>
  <si>
    <t>Ingram-Collins</t>
  </si>
  <si>
    <t>Lauren Hines</t>
  </si>
  <si>
    <t>Watkins Group</t>
  </si>
  <si>
    <t>Jerry Farley</t>
  </si>
  <si>
    <t>Group Smith</t>
  </si>
  <si>
    <t>Cameron Smith</t>
  </si>
  <si>
    <t>Carpenter PLC</t>
  </si>
  <si>
    <t>Kelly Spencer</t>
  </si>
  <si>
    <t>Sons and Davis</t>
  </si>
  <si>
    <t>Michael Russell</t>
  </si>
  <si>
    <t>Ellis, and Smith Black</t>
  </si>
  <si>
    <t>Stephen Davis</t>
  </si>
  <si>
    <t>Aguilar-Moreno</t>
  </si>
  <si>
    <t>Joseph Lee</t>
  </si>
  <si>
    <t>Inc Howard</t>
  </si>
  <si>
    <t>Krista Hess</t>
  </si>
  <si>
    <t>Goodwin-Lawrence</t>
  </si>
  <si>
    <t>Eddie Williams</t>
  </si>
  <si>
    <t>PLC Hoffman</t>
  </si>
  <si>
    <t>Ellen Brown</t>
  </si>
  <si>
    <t>Acosta Group</t>
  </si>
  <si>
    <t>Stefanie Martinez</t>
  </si>
  <si>
    <t>Murray, Gilbert and Crawford</t>
  </si>
  <si>
    <t>Lauren Stevens</t>
  </si>
  <si>
    <t>Group Blake</t>
  </si>
  <si>
    <t>Jacob Soto</t>
  </si>
  <si>
    <t>Price, Neal and Mcpherson</t>
  </si>
  <si>
    <t>Lisa Carrillo</t>
  </si>
  <si>
    <t>Group Davis</t>
  </si>
  <si>
    <t>Heather Santiago</t>
  </si>
  <si>
    <t>Sellers and Nelson, Anderson</t>
  </si>
  <si>
    <t>Janet Holt</t>
  </si>
  <si>
    <t>Gordon-Foster</t>
  </si>
  <si>
    <t>Danielle Turner</t>
  </si>
  <si>
    <t>Boyd Ltd</t>
  </si>
  <si>
    <t>Amanda Grant</t>
  </si>
  <si>
    <t>Cole Inc</t>
  </si>
  <si>
    <t>Jeffrey Wilkinson</t>
  </si>
  <si>
    <t>Matthews Group</t>
  </si>
  <si>
    <t>Dr. Michael Peters</t>
  </si>
  <si>
    <t>PLC Clarke</t>
  </si>
  <si>
    <t>Christopher Griffin</t>
  </si>
  <si>
    <t>Graham-Smith</t>
  </si>
  <si>
    <t>Daniel Lucero</t>
  </si>
  <si>
    <t>Reynolds and Sons</t>
  </si>
  <si>
    <t>Eileen Sanchez</t>
  </si>
  <si>
    <t>Adams-Kim</t>
  </si>
  <si>
    <t>Mitchell Kerr</t>
  </si>
  <si>
    <t>Sons and Good</t>
  </si>
  <si>
    <t>Amanda Simmons</t>
  </si>
  <si>
    <t>Howell, Young Potts and</t>
  </si>
  <si>
    <t>Thomas Jenkins</t>
  </si>
  <si>
    <t>Martinez, Reed Watts and</t>
  </si>
  <si>
    <t>David Chan</t>
  </si>
  <si>
    <t>LLC Massey</t>
  </si>
  <si>
    <t>Bruce Moss</t>
  </si>
  <si>
    <t>Lewis-Fletcher</t>
  </si>
  <si>
    <t>Jamie Williamson</t>
  </si>
  <si>
    <t>and Harmon Brown, Cabrera</t>
  </si>
  <si>
    <t>Crystal Schwartz</t>
  </si>
  <si>
    <t>Wagner LLC</t>
  </si>
  <si>
    <t>Sarah Stafford</t>
  </si>
  <si>
    <t>Inc Johnson</t>
  </si>
  <si>
    <t>Anthony Atkins</t>
  </si>
  <si>
    <t>Inc Taylor</t>
  </si>
  <si>
    <t>Brenda Clements</t>
  </si>
  <si>
    <t>Steele-Robinson</t>
  </si>
  <si>
    <t>Tammy Walker</t>
  </si>
  <si>
    <t>Berry and Fischer, Wells</t>
  </si>
  <si>
    <t>Brian Hicks III</t>
  </si>
  <si>
    <t>Benson-Cook</t>
  </si>
  <si>
    <t>Monica Richardson</t>
  </si>
  <si>
    <t>Montes-Evans</t>
  </si>
  <si>
    <t>Melissa Tyler</t>
  </si>
  <si>
    <t>Ortega Ltd</t>
  </si>
  <si>
    <t>Jessica Hoffman PhD</t>
  </si>
  <si>
    <t>and Rose Stewart, Davis</t>
  </si>
  <si>
    <t>Elizabeth Smith</t>
  </si>
  <si>
    <t>Melendez LLC</t>
  </si>
  <si>
    <t>Heidi Miller</t>
  </si>
  <si>
    <t>Vazquez-Brown</t>
  </si>
  <si>
    <t>Crystal Cortez</t>
  </si>
  <si>
    <t>Warren-Bowman</t>
  </si>
  <si>
    <t>Anthony Sanchez</t>
  </si>
  <si>
    <t>Brown Reed Robinson, and</t>
  </si>
  <si>
    <t>Anna Crane</t>
  </si>
  <si>
    <t>Ltd Peterson</t>
  </si>
  <si>
    <t>Mark Adams</t>
  </si>
  <si>
    <t>Moore-Taylor</t>
  </si>
  <si>
    <t>Daniel Molina</t>
  </si>
  <si>
    <t>Stewart-Dominguez</t>
  </si>
  <si>
    <t>Andrea Roach</t>
  </si>
  <si>
    <t>Lamb-Herrera</t>
  </si>
  <si>
    <t>Damon Hayes</t>
  </si>
  <si>
    <t>and Sons Morrison</t>
  </si>
  <si>
    <t>Vincent Bell</t>
  </si>
  <si>
    <t>Ellis-Roberson</t>
  </si>
  <si>
    <t>Nicholas Obrien</t>
  </si>
  <si>
    <t>and Glover Christensen, Jackson</t>
  </si>
  <si>
    <t>Elijah Potts</t>
  </si>
  <si>
    <t>Alvarez Austin Snyder, and</t>
  </si>
  <si>
    <t>Christina Webb</t>
  </si>
  <si>
    <t>Erickson-Rodriguez</t>
  </si>
  <si>
    <t>Donna Dunn</t>
  </si>
  <si>
    <t>and Daniel Bryan Brown,</t>
  </si>
  <si>
    <t>Sarah Davis</t>
  </si>
  <si>
    <t>Sons and Sanchez</t>
  </si>
  <si>
    <t>Patty Day</t>
  </si>
  <si>
    <t>Costa LLC</t>
  </si>
  <si>
    <t>Coleman-Aguilar</t>
  </si>
  <si>
    <t>Christopher Prince</t>
  </si>
  <si>
    <t>PLC Morrison</t>
  </si>
  <si>
    <t>Glenda Jones</t>
  </si>
  <si>
    <t>Jones-Graham</t>
  </si>
  <si>
    <t>Raymond Watson</t>
  </si>
  <si>
    <t>Ltd Brown</t>
  </si>
  <si>
    <t>Dawn Herman</t>
  </si>
  <si>
    <t>Bell and Davis Ross,</t>
  </si>
  <si>
    <t>Mr. Matthew Luna</t>
  </si>
  <si>
    <t>Allen Garcia and Wolf,</t>
  </si>
  <si>
    <t>Derek Cruz</t>
  </si>
  <si>
    <t>Lin Chan, and Moreno</t>
  </si>
  <si>
    <t>Daniel Padilla</t>
  </si>
  <si>
    <t>Dennis, and Hood Guerra</t>
  </si>
  <si>
    <t>Sydney Garcia</t>
  </si>
  <si>
    <t>Inc Mercer</t>
  </si>
  <si>
    <t>Alexander Mcintosh</t>
  </si>
  <si>
    <t>Garrett PLC</t>
  </si>
  <si>
    <t>Alexandria Harris</t>
  </si>
  <si>
    <t>Rollins-Garrett</t>
  </si>
  <si>
    <t>Jacob Cabrera</t>
  </si>
  <si>
    <t>Medina, and Allen Wilkins</t>
  </si>
  <si>
    <t>Christopher Patel</t>
  </si>
  <si>
    <t>Matthew Brown</t>
  </si>
  <si>
    <t>Alex Davis</t>
  </si>
  <si>
    <t>Hayes and Miller, Sawyer</t>
  </si>
  <si>
    <t>Megan Cohen</t>
  </si>
  <si>
    <t>and Phelps Burke Fields,</t>
  </si>
  <si>
    <t>Victoria Horton</t>
  </si>
  <si>
    <t>Inc Smith</t>
  </si>
  <si>
    <t>Joshua Graham</t>
  </si>
  <si>
    <t>and Smith Conway, Byrd</t>
  </si>
  <si>
    <t>Joseph Johnson</t>
  </si>
  <si>
    <t>LLC Roberts</t>
  </si>
  <si>
    <t>David Lee</t>
  </si>
  <si>
    <t>Sons Gonzalez and</t>
  </si>
  <si>
    <t>Johnson Kirby and Richard,</t>
  </si>
  <si>
    <t>Wesley Mclaughlin</t>
  </si>
  <si>
    <t>LLC Ware</t>
  </si>
  <si>
    <t>Jenna Thomas</t>
  </si>
  <si>
    <t>Thomas and Nguyen, King</t>
  </si>
  <si>
    <t>Angela Clayton</t>
  </si>
  <si>
    <t>Bruce-Thomas</t>
  </si>
  <si>
    <t>Jose Wiggins</t>
  </si>
  <si>
    <t>Baldwin, and Roberts Ray</t>
  </si>
  <si>
    <t>Lisa Hart</t>
  </si>
  <si>
    <t>Horton-Hines</t>
  </si>
  <si>
    <t>Jay Wagner</t>
  </si>
  <si>
    <t>and Lewis, Hardy Cooper</t>
  </si>
  <si>
    <t>Justin Joyce</t>
  </si>
  <si>
    <t>Moore Group</t>
  </si>
  <si>
    <t>Nicole Craig</t>
  </si>
  <si>
    <t>Nelson-Hawkins</t>
  </si>
  <si>
    <t>Taylor Gregory</t>
  </si>
  <si>
    <t>LLC Martinez</t>
  </si>
  <si>
    <t>Mark Potts</t>
  </si>
  <si>
    <t>Ross LLC</t>
  </si>
  <si>
    <t>Raven Turner</t>
  </si>
  <si>
    <t>Jeremy Johnson</t>
  </si>
  <si>
    <t>Cowan Cardenas Allen, and</t>
  </si>
  <si>
    <t>Lisa Adams</t>
  </si>
  <si>
    <t>PLC Mann</t>
  </si>
  <si>
    <t>Paul Hale</t>
  </si>
  <si>
    <t>Inc Lopez</t>
  </si>
  <si>
    <t>Laura Morrow</t>
  </si>
  <si>
    <t>LLC Gonzalez</t>
  </si>
  <si>
    <t>Angela Brown</t>
  </si>
  <si>
    <t>Lee-White</t>
  </si>
  <si>
    <t>Amber Martinez</t>
  </si>
  <si>
    <t>Rodriguez-Beck</t>
  </si>
  <si>
    <t>George Gilbert</t>
  </si>
  <si>
    <t>King-Garza</t>
  </si>
  <si>
    <t>Amy Murillo</t>
  </si>
  <si>
    <t>and Nelson Blake, Gutierrez</t>
  </si>
  <si>
    <t>Richard Martin</t>
  </si>
  <si>
    <t>Willis-Dixon</t>
  </si>
  <si>
    <t>Nicole Cunningham</t>
  </si>
  <si>
    <t>Arnold, Steele Scott and</t>
  </si>
  <si>
    <t>Michael Owens</t>
  </si>
  <si>
    <t>Sharp-Greer</t>
  </si>
  <si>
    <t>Sharon Jones</t>
  </si>
  <si>
    <t>Jones, Valentine Pacheco and</t>
  </si>
  <si>
    <t>Christopher Burke</t>
  </si>
  <si>
    <t>Burns LLC</t>
  </si>
  <si>
    <t>Brianna Powers</t>
  </si>
  <si>
    <t>Floyd and Williams Stephenson,</t>
  </si>
  <si>
    <t>Mr. Brendan Young</t>
  </si>
  <si>
    <t>Smith, Singh and Gonzales</t>
  </si>
  <si>
    <t>Pedro Stewart</t>
  </si>
  <si>
    <t>Smith-Smith</t>
  </si>
  <si>
    <t>Shelley Miller</t>
  </si>
  <si>
    <t>Jenkins, Jenkins and Patterson</t>
  </si>
  <si>
    <t>Christopher Harris</t>
  </si>
  <si>
    <t>Duran Mendoza and Scott,</t>
  </si>
  <si>
    <t>Kenneth Brown</t>
  </si>
  <si>
    <t>Frye Group</t>
  </si>
  <si>
    <t>Travis Johnson</t>
  </si>
  <si>
    <t>Harding-Adams</t>
  </si>
  <si>
    <t>Michael Mcdowell</t>
  </si>
  <si>
    <t>Lopez Group</t>
  </si>
  <si>
    <t>Kathy Murray</t>
  </si>
  <si>
    <t>Powell Inc</t>
  </si>
  <si>
    <t>Alexander Williams</t>
  </si>
  <si>
    <t>Duran-Scott</t>
  </si>
  <si>
    <t>Rachel Duran</t>
  </si>
  <si>
    <t>LLC Fletcher</t>
  </si>
  <si>
    <t>Alexandra Howard</t>
  </si>
  <si>
    <t>Smith-Hicks</t>
  </si>
  <si>
    <t>Denise Rivera</t>
  </si>
  <si>
    <t>LLC Dickerson</t>
  </si>
  <si>
    <t>Matthew Lopez</t>
  </si>
  <si>
    <t>Guerrero Group</t>
  </si>
  <si>
    <t>Jason Williams</t>
  </si>
  <si>
    <t>and Gardner Torres, Rosario</t>
  </si>
  <si>
    <t>Thomas Schwartz</t>
  </si>
  <si>
    <t>Wilson Sons and</t>
  </si>
  <si>
    <t>Thomas Newton</t>
  </si>
  <si>
    <t>PLC Rivera</t>
  </si>
  <si>
    <t>Pamela Harris</t>
  </si>
  <si>
    <t>PLC Holmes</t>
  </si>
  <si>
    <t>Sherri Hill</t>
  </si>
  <si>
    <t>Taylor Mcintosh and Ross,</t>
  </si>
  <si>
    <t>Joseph Cole</t>
  </si>
  <si>
    <t>Anderson-Miller</t>
  </si>
  <si>
    <t>Michelle Wheeler</t>
  </si>
  <si>
    <t>Martin-Terry</t>
  </si>
  <si>
    <t>Amy Kennedy</t>
  </si>
  <si>
    <t>Inc Meyer</t>
  </si>
  <si>
    <t>Dustin Mcdaniel</t>
  </si>
  <si>
    <t>PLC Phillips</t>
  </si>
  <si>
    <t>Angela Melton</t>
  </si>
  <si>
    <t>Schneider and Hopkins Oconnor,</t>
  </si>
  <si>
    <t>Kathleen Davis</t>
  </si>
  <si>
    <t>Bauer Inc</t>
  </si>
  <si>
    <t>Jennifer Bennett</t>
  </si>
  <si>
    <t>Cowan Inc</t>
  </si>
  <si>
    <t>John Bush</t>
  </si>
  <si>
    <t>Burns-Callahan</t>
  </si>
  <si>
    <t>Sheila Schwartz</t>
  </si>
  <si>
    <t>Moore-Smith</t>
  </si>
  <si>
    <t>Mrs. Stephanie Miller</t>
  </si>
  <si>
    <t>Taylor Johnson, Beasley and</t>
  </si>
  <si>
    <t>Mike Carter</t>
  </si>
  <si>
    <t>Young Wright Davis, and</t>
  </si>
  <si>
    <t>Eric Haynes</t>
  </si>
  <si>
    <t>Wood and Murphy Jones,</t>
  </si>
  <si>
    <t>Victoria Cox</t>
  </si>
  <si>
    <t>Gonzalez and Stevens Ruiz,</t>
  </si>
  <si>
    <t>Kimberly Bernard</t>
  </si>
  <si>
    <t>Willis-Mcgee</t>
  </si>
  <si>
    <t>Bob Vega</t>
  </si>
  <si>
    <t>Williams-Meza</t>
  </si>
  <si>
    <t>Ryan Porter</t>
  </si>
  <si>
    <t>King Weiss, and West</t>
  </si>
  <si>
    <t>Deborah Mccarthy</t>
  </si>
  <si>
    <t>Benson PLC</t>
  </si>
  <si>
    <t>Gail Armstrong</t>
  </si>
  <si>
    <t>Morgan and Wilcox Barnett,</t>
  </si>
  <si>
    <t>Angela Massey</t>
  </si>
  <si>
    <t>Rubio LLC</t>
  </si>
  <si>
    <t>Ana Thomas</t>
  </si>
  <si>
    <t>Lee Chambers, and Foley</t>
  </si>
  <si>
    <t>Ian Davenport</t>
  </si>
  <si>
    <t>Hurley Ltd</t>
  </si>
  <si>
    <t>Michelle Clark</t>
  </si>
  <si>
    <t>PLC Trujillo</t>
  </si>
  <si>
    <t>James Chen</t>
  </si>
  <si>
    <t>Henson-Harmon</t>
  </si>
  <si>
    <t>Vanessa Mclaughlin</t>
  </si>
  <si>
    <t>Jacobs-Howell</t>
  </si>
  <si>
    <t>Allen Mcintosh</t>
  </si>
  <si>
    <t>Briana Pittman</t>
  </si>
  <si>
    <t>Martin PLC</t>
  </si>
  <si>
    <t>Ronald Crawford</t>
  </si>
  <si>
    <t>Mata Norman, Holmes and</t>
  </si>
  <si>
    <t>David Taylor</t>
  </si>
  <si>
    <t>Brandon Crawford</t>
  </si>
  <si>
    <t>Ward-Crosby</t>
  </si>
  <si>
    <t>Jordan Martinez</t>
  </si>
  <si>
    <t>Wong-Booth</t>
  </si>
  <si>
    <t>Sara Simmons</t>
  </si>
  <si>
    <t>and Valencia Flores, Byrd</t>
  </si>
  <si>
    <t>Timothy Guerra</t>
  </si>
  <si>
    <t>Collins-Gutierrez</t>
  </si>
  <si>
    <t>Sara Thomas</t>
  </si>
  <si>
    <t>Cameron Black Davis, and</t>
  </si>
  <si>
    <t>Brian Holmes</t>
  </si>
  <si>
    <t>Group Rivera</t>
  </si>
  <si>
    <t>Robert Wyatt</t>
  </si>
  <si>
    <t>PLC Davis</t>
  </si>
  <si>
    <t>Jacob Deleon</t>
  </si>
  <si>
    <t>Ltd Taylor</t>
  </si>
  <si>
    <t>Craig Hunt</t>
  </si>
  <si>
    <t>Anderson, Smith Smith and</t>
  </si>
  <si>
    <t>Wanda Sanchez</t>
  </si>
  <si>
    <t>and Walker Smith Cannon,</t>
  </si>
  <si>
    <t>Scott Kennedy</t>
  </si>
  <si>
    <t>Cynthia Sexton</t>
  </si>
  <si>
    <t>Ayers-Alvarez</t>
  </si>
  <si>
    <t>Julian Hernandez</t>
  </si>
  <si>
    <t>Walsh Alexander, and Dennis</t>
  </si>
  <si>
    <t>Robin Schwartz</t>
  </si>
  <si>
    <t>Luis Franklin</t>
  </si>
  <si>
    <t>Group Kim</t>
  </si>
  <si>
    <t>Alejandro Pearson</t>
  </si>
  <si>
    <t>Hess Sons and</t>
  </si>
  <si>
    <t>Mary Jackson</t>
  </si>
  <si>
    <t>Cardenas, and Fields Nichols</t>
  </si>
  <si>
    <t>Samantha Eaton</t>
  </si>
  <si>
    <t>Fisher Kirk, and Becker</t>
  </si>
  <si>
    <t>Brian Hobbs</t>
  </si>
  <si>
    <t>Jenkins-Jackson</t>
  </si>
  <si>
    <t>Chris May</t>
  </si>
  <si>
    <t>Jackson Hammond and Garcia,</t>
  </si>
  <si>
    <t>Mary Richardson</t>
  </si>
  <si>
    <t>Inc Miller</t>
  </si>
  <si>
    <t>Karen Oconnor</t>
  </si>
  <si>
    <t>Schroeder-Walker</t>
  </si>
  <si>
    <t>Tasha Meyer</t>
  </si>
  <si>
    <t>Mcguire and Wheeler, Morris</t>
  </si>
  <si>
    <t>Jose Smith</t>
  </si>
  <si>
    <t>Washington-Sanchez</t>
  </si>
  <si>
    <t>Janet Elliott</t>
  </si>
  <si>
    <t>Dawson-Baker</t>
  </si>
  <si>
    <t>Paul Harding</t>
  </si>
  <si>
    <t>LLC Perez</t>
  </si>
  <si>
    <t>Mr. Zachary Williams</t>
  </si>
  <si>
    <t>Sons and Olson</t>
  </si>
  <si>
    <t>Troy Williams</t>
  </si>
  <si>
    <t>Bell-Thomas</t>
  </si>
  <si>
    <t>Dennis Cabrera</t>
  </si>
  <si>
    <t>Thompson-Thomas</t>
  </si>
  <si>
    <t>Cassidy Thompson</t>
  </si>
  <si>
    <t>Kelly Johnson, Parker and</t>
  </si>
  <si>
    <t>Michelle Perez</t>
  </si>
  <si>
    <t>Tanner Smith Miller, and</t>
  </si>
  <si>
    <t>Joy Lewis</t>
  </si>
  <si>
    <t>Johnson and Doyle, Collins</t>
  </si>
  <si>
    <t>Candice Cardenas</t>
  </si>
  <si>
    <t>Melanie Cook</t>
  </si>
  <si>
    <t>Inc Williams</t>
  </si>
  <si>
    <t>Theodore Ramos</t>
  </si>
  <si>
    <t>King-Henry</t>
  </si>
  <si>
    <t>Rodney Hall</t>
  </si>
  <si>
    <t>Cruz and Hahn, Gibbs</t>
  </si>
  <si>
    <t>Sonya Miller</t>
  </si>
  <si>
    <t>and Higgins Mckay, Cruz</t>
  </si>
  <si>
    <t>Victoria Lara</t>
  </si>
  <si>
    <t>Johnson-Mitchell</t>
  </si>
  <si>
    <t>Kelly Watson</t>
  </si>
  <si>
    <t>Vincent, Walker Parsons and</t>
  </si>
  <si>
    <t>Kari Ramos</t>
  </si>
  <si>
    <t>Collins-Mcdonald</t>
  </si>
  <si>
    <t>Sydney Robbins</t>
  </si>
  <si>
    <t>Kelly-Tapia</t>
  </si>
  <si>
    <t>Bobby Becker</t>
  </si>
  <si>
    <t>Williams-Peterson</t>
  </si>
  <si>
    <t>Daniel Watkins</t>
  </si>
  <si>
    <t>LLC Merritt</t>
  </si>
  <si>
    <t>Karen Ramirez</t>
  </si>
  <si>
    <t>Ryan-Miller</t>
  </si>
  <si>
    <t>Craig Cooper</t>
  </si>
  <si>
    <t>Mcintosh-Cantu</t>
  </si>
  <si>
    <t>Erin Oconnell</t>
  </si>
  <si>
    <t>PLC Hill</t>
  </si>
  <si>
    <t>Carlos Jennings</t>
  </si>
  <si>
    <t>and Perkins, Long Herring</t>
  </si>
  <si>
    <t>Kimberly Freeman</t>
  </si>
  <si>
    <t>Russell, and Barnett Williams</t>
  </si>
  <si>
    <t>Mrs. Lisa Lucas DVM</t>
  </si>
  <si>
    <t>Lambert-Richardson</t>
  </si>
  <si>
    <t>Rachel Wallace</t>
  </si>
  <si>
    <t>Morgan, Stephenson and Frazier</t>
  </si>
  <si>
    <t>Laura Washington</t>
  </si>
  <si>
    <t>Taylor Reyes and Bowers,</t>
  </si>
  <si>
    <t>Jamie Bright</t>
  </si>
  <si>
    <t>PLC Gaines</t>
  </si>
  <si>
    <t>Paul Chen</t>
  </si>
  <si>
    <t>and Neal Vargas, Welch</t>
  </si>
  <si>
    <t>Susan Clark</t>
  </si>
  <si>
    <t>Howe-Mitchell</t>
  </si>
  <si>
    <t>Cheryl Maxwell</t>
  </si>
  <si>
    <t>Becker LLC</t>
  </si>
  <si>
    <t>Thomas Harding</t>
  </si>
  <si>
    <t>Vargas-Walker</t>
  </si>
  <si>
    <t>Jessica Lawrence</t>
  </si>
  <si>
    <t>Henderson-Cruz</t>
  </si>
  <si>
    <t>Jose Strickland</t>
  </si>
  <si>
    <t>Holt-Hale</t>
  </si>
  <si>
    <t>Lee Richard</t>
  </si>
  <si>
    <t>and Cohen Nelson, Davidson</t>
  </si>
  <si>
    <t>Margaret Booker</t>
  </si>
  <si>
    <t>Brooks PLC</t>
  </si>
  <si>
    <t>Jimmy Savage</t>
  </si>
  <si>
    <t>and Sons Curry</t>
  </si>
  <si>
    <t>Heather Fuller</t>
  </si>
  <si>
    <t>Group Owens</t>
  </si>
  <si>
    <t>Debra Everett</t>
  </si>
  <si>
    <t>Group Peters</t>
  </si>
  <si>
    <t>Walter Jacobs</t>
  </si>
  <si>
    <t>Vang, and Cook Moore</t>
  </si>
  <si>
    <t>Breanna Simmons</t>
  </si>
  <si>
    <t>Sons and Lewis</t>
  </si>
  <si>
    <t>Matthew Harrison</t>
  </si>
  <si>
    <t>Haynes Lopez and Simon,</t>
  </si>
  <si>
    <t>Emily Molina</t>
  </si>
  <si>
    <t>Walker Sons and</t>
  </si>
  <si>
    <t>Pamela Williams</t>
  </si>
  <si>
    <t>and Leon Anderson, Arnold</t>
  </si>
  <si>
    <t>Angela Garcia</t>
  </si>
  <si>
    <t>Santana-Thomas</t>
  </si>
  <si>
    <t>Amy Nguyen</t>
  </si>
  <si>
    <t>Hayes Ltd</t>
  </si>
  <si>
    <t>Kim Dean</t>
  </si>
  <si>
    <t>Baker-Gill</t>
  </si>
  <si>
    <t>Curtis Hopkins</t>
  </si>
  <si>
    <t>Cook-Fischer</t>
  </si>
  <si>
    <t>Tara Robinson DDS</t>
  </si>
  <si>
    <t>Garcia-Nichols</t>
  </si>
  <si>
    <t>Kevin Green</t>
  </si>
  <si>
    <t>LLC Baker</t>
  </si>
  <si>
    <t>Dr. Jennifer Weeks</t>
  </si>
  <si>
    <t>Gallegos Ltd</t>
  </si>
  <si>
    <t>Joy Rojas</t>
  </si>
  <si>
    <t>Nash Stevenson and Martinez,</t>
  </si>
  <si>
    <t>Leslie Cook</t>
  </si>
  <si>
    <t>Miller-Bell</t>
  </si>
  <si>
    <t>Ashley Petersen</t>
  </si>
  <si>
    <t>Gray and Harris, Oneal</t>
  </si>
  <si>
    <t>Daniel Barnes</t>
  </si>
  <si>
    <t>Ltd Carter</t>
  </si>
  <si>
    <t>Tara Smith</t>
  </si>
  <si>
    <t>Jennifer Taylor</t>
  </si>
  <si>
    <t>Henderson and Sons</t>
  </si>
  <si>
    <t>Martin Arnold</t>
  </si>
  <si>
    <t>Frey and Leon Espinoza,</t>
  </si>
  <si>
    <t>Kerri Wright</t>
  </si>
  <si>
    <t>Barnett LLC</t>
  </si>
  <si>
    <t>Jonathan Fields</t>
  </si>
  <si>
    <t>Ramos-Simon</t>
  </si>
  <si>
    <t>David Hayes</t>
  </si>
  <si>
    <t>Cook-Hurst</t>
  </si>
  <si>
    <t>Juan Andrews</t>
  </si>
  <si>
    <t>Ramirez-Hebert</t>
  </si>
  <si>
    <t>Clifford Fuller</t>
  </si>
  <si>
    <t>Frank Hernandez, Taylor and</t>
  </si>
  <si>
    <t>Kimberly Anderson</t>
  </si>
  <si>
    <t>Parker-Petersen</t>
  </si>
  <si>
    <t>Nicholas Fuller</t>
  </si>
  <si>
    <t>Medina, Wright and Shaffer</t>
  </si>
  <si>
    <t>Ryan Hall</t>
  </si>
  <si>
    <t>and Grant Hamilton Edwards,</t>
  </si>
  <si>
    <t>Keith Bates</t>
  </si>
  <si>
    <t>PLC Hunt</t>
  </si>
  <si>
    <t>Brenda Ramsey</t>
  </si>
  <si>
    <t>and Webb Robinson, Hicks</t>
  </si>
  <si>
    <t>Emma Kramer</t>
  </si>
  <si>
    <t>Collins Woodward Martinez, and</t>
  </si>
  <si>
    <t>Adrienne Rodriguez</t>
  </si>
  <si>
    <t>Hale Garner, Schultz and</t>
  </si>
  <si>
    <t>Maurice Cox</t>
  </si>
  <si>
    <t>Garcia Duncan Peters, and</t>
  </si>
  <si>
    <t>Aaron Manning</t>
  </si>
  <si>
    <t>and English Sanders, Wilcox</t>
  </si>
  <si>
    <t>Donna Jones</t>
  </si>
  <si>
    <t>Moore-Myers</t>
  </si>
  <si>
    <t>Charles Daniel</t>
  </si>
  <si>
    <t>and Reeves Sons</t>
  </si>
  <si>
    <t>Christian Arnold</t>
  </si>
  <si>
    <t>Walker, and Webb Morton</t>
  </si>
  <si>
    <t>Christopher Zuniga</t>
  </si>
  <si>
    <t>Thompson Ritter Austin, and</t>
  </si>
  <si>
    <t>Jeffrey Carr</t>
  </si>
  <si>
    <t>and Moyer Powell, Padilla</t>
  </si>
  <si>
    <t>Sean White</t>
  </si>
  <si>
    <t>Nelson-Edwards</t>
  </si>
  <si>
    <t>Kurt Scott</t>
  </si>
  <si>
    <t>LLC English</t>
  </si>
  <si>
    <t>Robert Johnson</t>
  </si>
  <si>
    <t>Jones-Lee</t>
  </si>
  <si>
    <t>Zachary Crawford</t>
  </si>
  <si>
    <t>Reed-Medina</t>
  </si>
  <si>
    <t>Jasmine Zimmerman</t>
  </si>
  <si>
    <t>Inc Stevens</t>
  </si>
  <si>
    <t>Christopher Stokes</t>
  </si>
  <si>
    <t>Rodriguez and Becker Holmes,</t>
  </si>
  <si>
    <t>Charles Moore</t>
  </si>
  <si>
    <t>Jacobs Owens Smith, and</t>
  </si>
  <si>
    <t>Brenda White</t>
  </si>
  <si>
    <t>Davis-Nguyen</t>
  </si>
  <si>
    <t>Steven Mills</t>
  </si>
  <si>
    <t>Moore Cooper, Wilson and</t>
  </si>
  <si>
    <t>Dorothy Simmons</t>
  </si>
  <si>
    <t>and Salazar, Gonzales Jones</t>
  </si>
  <si>
    <t>Theresa Martin</t>
  </si>
  <si>
    <t>Hunt Inc</t>
  </si>
  <si>
    <t>Steve Hood</t>
  </si>
  <si>
    <t>PLC Cox</t>
  </si>
  <si>
    <t>Darlene Mills</t>
  </si>
  <si>
    <t>Welch Carr and Kennedy,</t>
  </si>
  <si>
    <t>Maria Morales</t>
  </si>
  <si>
    <t>Group Stein</t>
  </si>
  <si>
    <t>John King</t>
  </si>
  <si>
    <t>Taylor Inc</t>
  </si>
  <si>
    <t>Nicole Parker</t>
  </si>
  <si>
    <t>Kidd Inc</t>
  </si>
  <si>
    <t>Adrienne Matthews</t>
  </si>
  <si>
    <t>Hurst, Thompson and Walls</t>
  </si>
  <si>
    <t>Thomas Miranda</t>
  </si>
  <si>
    <t>Black-Stevens</t>
  </si>
  <si>
    <t>Jill Nelson</t>
  </si>
  <si>
    <t>Collins and Murray Taylor,</t>
  </si>
  <si>
    <t>Kimberly Malone</t>
  </si>
  <si>
    <t>Wilson Whitney Henderson, and</t>
  </si>
  <si>
    <t>Destiny Nichols</t>
  </si>
  <si>
    <t>Vaughan, Adams and Garcia</t>
  </si>
  <si>
    <t>Michael Johnson</t>
  </si>
  <si>
    <t>Vazquez and Sons</t>
  </si>
  <si>
    <t>Mark Ewing</t>
  </si>
  <si>
    <t>Aguilar Mullins and Schmidt,</t>
  </si>
  <si>
    <t>Michael Collins</t>
  </si>
  <si>
    <t>Rivera-Norton</t>
  </si>
  <si>
    <t>Angelica Chavez</t>
  </si>
  <si>
    <t>Williams, and Howard Meyer</t>
  </si>
  <si>
    <t>Cassandra Knight</t>
  </si>
  <si>
    <t>Robbins-Wiggins</t>
  </si>
  <si>
    <t>Lisa Davenport</t>
  </si>
  <si>
    <t>and Hess, Nguyen Everett</t>
  </si>
  <si>
    <t>Donna Brown</t>
  </si>
  <si>
    <t>Holland-Brown</t>
  </si>
  <si>
    <t>Christopher Jones</t>
  </si>
  <si>
    <t>Santiago PLC</t>
  </si>
  <si>
    <t>Elizabeth Mccoy</t>
  </si>
  <si>
    <t>Hensley-Shepard</t>
  </si>
  <si>
    <t>Desiree Thornton</t>
  </si>
  <si>
    <t>Maldonado-White</t>
  </si>
  <si>
    <t>Scott York</t>
  </si>
  <si>
    <t>Mcmahon, and Steele Rose</t>
  </si>
  <si>
    <t>Lauren Mendoza</t>
  </si>
  <si>
    <t>Holmes, Vasquez Sanchez and</t>
  </si>
  <si>
    <t>Stephanie Brown</t>
  </si>
  <si>
    <t>Hall-Johnson</t>
  </si>
  <si>
    <t>Janet Pratt</t>
  </si>
  <si>
    <t>PLC Jacobs</t>
  </si>
  <si>
    <t>Sara Page</t>
  </si>
  <si>
    <t>Williams-Hill</t>
  </si>
  <si>
    <t>Thomas Gonzalez</t>
  </si>
  <si>
    <t>Petty Ltd</t>
  </si>
  <si>
    <t>John Potter</t>
  </si>
  <si>
    <t>Lopez Inc</t>
  </si>
  <si>
    <t>Debbie Johnson</t>
  </si>
  <si>
    <t>PLC Conway</t>
  </si>
  <si>
    <t>Brett Young</t>
  </si>
  <si>
    <t>Thompson and Miller, Allen</t>
  </si>
  <si>
    <t>Isaiah Foster</t>
  </si>
  <si>
    <t>Copeland LLC</t>
  </si>
  <si>
    <t>Ryan Kim</t>
  </si>
  <si>
    <t>PLC Doyle</t>
  </si>
  <si>
    <t>Joseph Koch</t>
  </si>
  <si>
    <t>Day Myers, Mayer and</t>
  </si>
  <si>
    <t>Emma Costa</t>
  </si>
  <si>
    <t>Brian Warren</t>
  </si>
  <si>
    <t>Thomas and Hogan Robertson,</t>
  </si>
  <si>
    <t>Michelle Brown</t>
  </si>
  <si>
    <t>Johnson-Taylor</t>
  </si>
  <si>
    <t>Emily Aguilar</t>
  </si>
  <si>
    <t>Warren, Wood Miller and</t>
  </si>
  <si>
    <t>Danielle Villanueva</t>
  </si>
  <si>
    <t>Fields Inc</t>
  </si>
  <si>
    <t>Curtis Gonzalez</t>
  </si>
  <si>
    <t>Group Sellers</t>
  </si>
  <si>
    <t>Chelsea Alvarado</t>
  </si>
  <si>
    <t>Ltd Ortega</t>
  </si>
  <si>
    <t>Nancy Matthews</t>
  </si>
  <si>
    <t>Joseph Howell</t>
  </si>
  <si>
    <t>and Greer, Dalton Williams</t>
  </si>
  <si>
    <t>Heidi White</t>
  </si>
  <si>
    <t>Ltd Thompson</t>
  </si>
  <si>
    <t>Latasha Wiggins</t>
  </si>
  <si>
    <t>Bartlett LLC</t>
  </si>
  <si>
    <t>Eric Hudson</t>
  </si>
  <si>
    <t>Curtis PLC</t>
  </si>
  <si>
    <t>Gary Ramos</t>
  </si>
  <si>
    <t>Gomez, Tucker Collins and</t>
  </si>
  <si>
    <t>Stephanie Melendez</t>
  </si>
  <si>
    <t>Arroyo-Taylor</t>
  </si>
  <si>
    <t>Stacie Andrade</t>
  </si>
  <si>
    <t>Thompson-Brown</t>
  </si>
  <si>
    <t>Johnson-Mckinney</t>
  </si>
  <si>
    <t>Derek Gonzalez</t>
  </si>
  <si>
    <t>Austin-Johnson</t>
  </si>
  <si>
    <t>Mary Henry</t>
  </si>
  <si>
    <t>Jacobs-Thompson</t>
  </si>
  <si>
    <t>Michele Roy</t>
  </si>
  <si>
    <t>and Johnson Morales, Smith</t>
  </si>
  <si>
    <t>Glenn Riggs</t>
  </si>
  <si>
    <t>Alvarado PLC</t>
  </si>
  <si>
    <t>Teresa May MD</t>
  </si>
  <si>
    <t>Glass Sons and</t>
  </si>
  <si>
    <t>Audrey Fleming</t>
  </si>
  <si>
    <t>Lin-Alexander</t>
  </si>
  <si>
    <t>Andrea White</t>
  </si>
  <si>
    <t>Jackson, Phillips and Dennis</t>
  </si>
  <si>
    <t>Corey Gallegos</t>
  </si>
  <si>
    <t>Hodges PLC</t>
  </si>
  <si>
    <t>Angela Carlson</t>
  </si>
  <si>
    <t>Berg-Hanson</t>
  </si>
  <si>
    <t>Gregory James</t>
  </si>
  <si>
    <t>Curry Miller and Padilla,</t>
  </si>
  <si>
    <t>Heather Williams</t>
  </si>
  <si>
    <t>Warner-James</t>
  </si>
  <si>
    <t>Blake Thomas</t>
  </si>
  <si>
    <t>Cross Johnson, and Foster</t>
  </si>
  <si>
    <t>David Sanchez</t>
  </si>
  <si>
    <t>Odom-Oneal</t>
  </si>
  <si>
    <t>Clarence Hamilton</t>
  </si>
  <si>
    <t>PLC Jones</t>
  </si>
  <si>
    <t>Mary Jacobs</t>
  </si>
  <si>
    <t>Doyle Mccullough Reyes, and</t>
  </si>
  <si>
    <t>John Carrillo</t>
  </si>
  <si>
    <t>Ltd Davis</t>
  </si>
  <si>
    <t>Laurie Johnson</t>
  </si>
  <si>
    <t>and Sons Lewis</t>
  </si>
  <si>
    <t>Tina Francis</t>
  </si>
  <si>
    <t>Pineda-Daniels</t>
  </si>
  <si>
    <t>Jamie Green</t>
  </si>
  <si>
    <t>Murphy PLC</t>
  </si>
  <si>
    <t>Willie Bonilla</t>
  </si>
  <si>
    <t>Zamora, Glass Brooks and</t>
  </si>
  <si>
    <t>Steven Moore</t>
  </si>
  <si>
    <t>Walker, Wallace and Ware</t>
  </si>
  <si>
    <t>Karen White</t>
  </si>
  <si>
    <t>Fischer-Powers</t>
  </si>
  <si>
    <t>Andrew Bryant</t>
  </si>
  <si>
    <t>John Cox</t>
  </si>
  <si>
    <t>Mccann-Smith</t>
  </si>
  <si>
    <t>Mitchell Ayala</t>
  </si>
  <si>
    <t>Williams Thomas and Hernandez,</t>
  </si>
  <si>
    <t>Krista Brown</t>
  </si>
  <si>
    <t>Burke-Dominguez</t>
  </si>
  <si>
    <t>Amy Melendez</t>
  </si>
  <si>
    <t>Riley Erickson and Cunningham,</t>
  </si>
  <si>
    <t>Jennifer Watson</t>
  </si>
  <si>
    <t>Williams and Frye Castaneda,</t>
  </si>
  <si>
    <t>Ryan Collins</t>
  </si>
  <si>
    <t>Merritt, and Young King</t>
  </si>
  <si>
    <t>Stephen Woods</t>
  </si>
  <si>
    <t>Duncan Harmon, and Joseph</t>
  </si>
  <si>
    <t>Scott Costa</t>
  </si>
  <si>
    <t>Johnson Smith Carey, and</t>
  </si>
  <si>
    <t>Kimberly Johnson</t>
  </si>
  <si>
    <t>Smith Harris, Smith and</t>
  </si>
  <si>
    <t>Christopher Thompson</t>
  </si>
  <si>
    <t>Swanson PLC</t>
  </si>
  <si>
    <t>Melissa Miller</t>
  </si>
  <si>
    <t>Perez-Sheppard</t>
  </si>
  <si>
    <t>Mariah Wall</t>
  </si>
  <si>
    <t>Miller-Cervantes</t>
  </si>
  <si>
    <t>Marvin Wolfe</t>
  </si>
  <si>
    <t>Chaney Gaines White, and</t>
  </si>
  <si>
    <t>Sean Soto DVM</t>
  </si>
  <si>
    <t>Baldwin LLC</t>
  </si>
  <si>
    <t>Bethany Smith</t>
  </si>
  <si>
    <t>Garrison-Rodriguez</t>
  </si>
  <si>
    <t>Shawn Russell</t>
  </si>
  <si>
    <t>Inc Gonzalez</t>
  </si>
  <si>
    <t>Molly Russell</t>
  </si>
  <si>
    <t>Pollard, Logan Mckee and</t>
  </si>
  <si>
    <t>Allen Estes</t>
  </si>
  <si>
    <t>Thomas, Bauer and Moore</t>
  </si>
  <si>
    <t>Anthony Daniels</t>
  </si>
  <si>
    <t>Stark-Walker</t>
  </si>
  <si>
    <t>Robert Bailey</t>
  </si>
  <si>
    <t>and Lee Nguyen Gonzalez,</t>
  </si>
  <si>
    <t>Donald Hendrix</t>
  </si>
  <si>
    <t>Collins-Gilbert</t>
  </si>
  <si>
    <t>William Roberts</t>
  </si>
  <si>
    <t>Gonzales Sons and</t>
  </si>
  <si>
    <t>Teresa Olson</t>
  </si>
  <si>
    <t>Group Jacobs</t>
  </si>
  <si>
    <t>Audrey Williams</t>
  </si>
  <si>
    <t>Williams-Combs</t>
  </si>
  <si>
    <t>Gina Coffey</t>
  </si>
  <si>
    <t>Wright PLC</t>
  </si>
  <si>
    <t>Munoz-Swanson</t>
  </si>
  <si>
    <t>William Waters</t>
  </si>
  <si>
    <t>Sons and Madden</t>
  </si>
  <si>
    <t>Julia Dominguez</t>
  </si>
  <si>
    <t>Lee-Casey</t>
  </si>
  <si>
    <t>Veronica Smith</t>
  </si>
  <si>
    <t>Juarez Sims, Henry and</t>
  </si>
  <si>
    <t>David Kelley</t>
  </si>
  <si>
    <t>Gibson LLC</t>
  </si>
  <si>
    <t>Aaron Fox</t>
  </si>
  <si>
    <t>Clark, and Cobb Parsons</t>
  </si>
  <si>
    <t>Robert Hartman</t>
  </si>
  <si>
    <t>PLC Garner</t>
  </si>
  <si>
    <t>Dorothy Gonzalez</t>
  </si>
  <si>
    <t>Holden Inc</t>
  </si>
  <si>
    <t>Jordan Gordon</t>
  </si>
  <si>
    <t>Ltd Houston</t>
  </si>
  <si>
    <t>Robert Carter</t>
  </si>
  <si>
    <t>Hayes-Walton</t>
  </si>
  <si>
    <t>Marcus Warren</t>
  </si>
  <si>
    <t>Ltd Austin</t>
  </si>
  <si>
    <t>William Hunter</t>
  </si>
  <si>
    <t>Nguyen-Hart</t>
  </si>
  <si>
    <t>Randy Sexton</t>
  </si>
  <si>
    <t>and Johns Spencer, George</t>
  </si>
  <si>
    <t>Rita Sandoval</t>
  </si>
  <si>
    <t>Stevens-Howard</t>
  </si>
  <si>
    <t>Crystal Smith</t>
  </si>
  <si>
    <t>and Cooper Potter, Landry</t>
  </si>
  <si>
    <t>Sarah Hernandez</t>
  </si>
  <si>
    <t>Brown-Hughes</t>
  </si>
  <si>
    <t>Christopher Barnett DDS</t>
  </si>
  <si>
    <t>Bell Peterson and Hall,</t>
  </si>
  <si>
    <t>Laura Taylor</t>
  </si>
  <si>
    <t>Flores-Franco</t>
  </si>
  <si>
    <t>Patricia Hart</t>
  </si>
  <si>
    <t>and Mcknight, Wilson Acevedo</t>
  </si>
  <si>
    <t>Michelle Evans</t>
  </si>
  <si>
    <t>Mendez, Rodriguez and Smith</t>
  </si>
  <si>
    <t>Paula Gray</t>
  </si>
  <si>
    <t>Clayton Thomas</t>
  </si>
  <si>
    <t>Davis-Sanchez</t>
  </si>
  <si>
    <t>Amy Garcia</t>
  </si>
  <si>
    <t>Ryan-Moore</t>
  </si>
  <si>
    <t>Amanda Obrien</t>
  </si>
  <si>
    <t>Wood Group</t>
  </si>
  <si>
    <t>Crystal Faulkner</t>
  </si>
  <si>
    <t>Carter, Carter Evans and</t>
  </si>
  <si>
    <t>Trevor Farrell</t>
  </si>
  <si>
    <t>Richards and Campbell, Lee</t>
  </si>
  <si>
    <t>Hannah Barrett</t>
  </si>
  <si>
    <t>Fuller, and Rios Murphy</t>
  </si>
  <si>
    <t>Caitlin Davis</t>
  </si>
  <si>
    <t>and Underwood, Benjamin Baker</t>
  </si>
  <si>
    <t>Nicole Perez</t>
  </si>
  <si>
    <t>Patterson-Barber</t>
  </si>
  <si>
    <t>David Morales</t>
  </si>
  <si>
    <t>Shepard Ltd</t>
  </si>
  <si>
    <t>Ann Alvarez</t>
  </si>
  <si>
    <t>Carter-Bell</t>
  </si>
  <si>
    <t>Linda Lutz</t>
  </si>
  <si>
    <t>Wood and Cummings Blankenship,</t>
  </si>
  <si>
    <t>Mike Moore</t>
  </si>
  <si>
    <t>Bates Gomez, and Larson</t>
  </si>
  <si>
    <t>Mrs. Hannah Davis MD</t>
  </si>
  <si>
    <t>Baker-Duffy</t>
  </si>
  <si>
    <t>Natalie Bauer</t>
  </si>
  <si>
    <t>Moore, Jenkins and Bolton</t>
  </si>
  <si>
    <t>Darlene Carr</t>
  </si>
  <si>
    <t>Ltd Orozco</t>
  </si>
  <si>
    <t>Jerry Ward</t>
  </si>
  <si>
    <t>Humphrey-Burton</t>
  </si>
  <si>
    <t>Christina Baker</t>
  </si>
  <si>
    <t>Floyd Group</t>
  </si>
  <si>
    <t>Robert May</t>
  </si>
  <si>
    <t>Hayes LLC</t>
  </si>
  <si>
    <t>Scott Collins</t>
  </si>
  <si>
    <t>Stevens, and Keller Martin</t>
  </si>
  <si>
    <t>Pamela Bauer</t>
  </si>
  <si>
    <t>Mullins PLC</t>
  </si>
  <si>
    <t>Evelyn Hinton</t>
  </si>
  <si>
    <t>Bell-Santana</t>
  </si>
  <si>
    <t>Erin Ross</t>
  </si>
  <si>
    <t>Gardner-Ross</t>
  </si>
  <si>
    <t>Shawn Miller</t>
  </si>
  <si>
    <t>Inc Herrera</t>
  </si>
  <si>
    <t>John Woodard</t>
  </si>
  <si>
    <t>Fuller Perez Scott, and</t>
  </si>
  <si>
    <t>Allison Smith</t>
  </si>
  <si>
    <t>Wright, Holmes and Mason</t>
  </si>
  <si>
    <t>Haley Williams</t>
  </si>
  <si>
    <t>Moyer Mcbride Cole, and</t>
  </si>
  <si>
    <t>Jaclyn Coleman</t>
  </si>
  <si>
    <t>Pearson PLC</t>
  </si>
  <si>
    <t>Cynthia Williams</t>
  </si>
  <si>
    <t>Wagner-Herrera</t>
  </si>
  <si>
    <t>James Webb</t>
  </si>
  <si>
    <t>Malone Group</t>
  </si>
  <si>
    <t>Kyle Brown</t>
  </si>
  <si>
    <t>Patel-Hanna</t>
  </si>
  <si>
    <t>Jared Schmitt</t>
  </si>
  <si>
    <t>Smith-Parker</t>
  </si>
  <si>
    <t>Jasmine Lawrence</t>
  </si>
  <si>
    <t>Inc Butler</t>
  </si>
  <si>
    <t>Sarah Wade</t>
  </si>
  <si>
    <t>Gross and Meyer, Smith</t>
  </si>
  <si>
    <t>Angela Price</t>
  </si>
  <si>
    <t>Gray-Howard</t>
  </si>
  <si>
    <t>Kathleen Humphrey</t>
  </si>
  <si>
    <t>Norton-Phillips</t>
  </si>
  <si>
    <t>Walter Erickson</t>
  </si>
  <si>
    <t>LLC Simpson</t>
  </si>
  <si>
    <t>Jacob Marshall</t>
  </si>
  <si>
    <t>Ltd Larson</t>
  </si>
  <si>
    <t>David Harding</t>
  </si>
  <si>
    <t>Brown, and Smith Hebert</t>
  </si>
  <si>
    <t>Luke Santiago</t>
  </si>
  <si>
    <t>and Sons Bruce</t>
  </si>
  <si>
    <t>Elizabeth Boone</t>
  </si>
  <si>
    <t>Hull Davidson Garcia, and</t>
  </si>
  <si>
    <t>Patricia Poole</t>
  </si>
  <si>
    <t>Taylor, Ross and Jones</t>
  </si>
  <si>
    <t>Courtney Gonzalez</t>
  </si>
  <si>
    <t>Ellison and Sons</t>
  </si>
  <si>
    <t>Amy Miles</t>
  </si>
  <si>
    <t>Leonard, Jacobson Schmidt and</t>
  </si>
  <si>
    <t>Troy Lyons</t>
  </si>
  <si>
    <t>Wallace PLC</t>
  </si>
  <si>
    <t>Tiffany Myers</t>
  </si>
  <si>
    <t>King-Anderson</t>
  </si>
  <si>
    <t>Alex Herrera</t>
  </si>
  <si>
    <t>Johnson-Dodson</t>
  </si>
  <si>
    <t>Stacey Oconnell</t>
  </si>
  <si>
    <t>LLC Stone</t>
  </si>
  <si>
    <t>Shannon Rocha</t>
  </si>
  <si>
    <t>Evans Inc</t>
  </si>
  <si>
    <t>Nicholas Reed</t>
  </si>
  <si>
    <t>Long-Santos</t>
  </si>
  <si>
    <t>David Schmidt</t>
  </si>
  <si>
    <t>Mitchell and Sons</t>
  </si>
  <si>
    <t>Michael Middleton</t>
  </si>
  <si>
    <t>Hernandez and Martin Blackwell,</t>
  </si>
  <si>
    <t>Tracy Johnson DDS</t>
  </si>
  <si>
    <t>Perry Bryant, Byrd and</t>
  </si>
  <si>
    <t>Todd Cox</t>
  </si>
  <si>
    <t>and Browning Merritt, Gonzalez</t>
  </si>
  <si>
    <t>Deanna Gonzalez</t>
  </si>
  <si>
    <t>Harper-Hicks</t>
  </si>
  <si>
    <t>Scott Turner</t>
  </si>
  <si>
    <t>Davis Inc</t>
  </si>
  <si>
    <t>Brianna Allen</t>
  </si>
  <si>
    <t>Curry and Gonzales, Thompson</t>
  </si>
  <si>
    <t>Cindy Herrera</t>
  </si>
  <si>
    <t>Sons and Nguyen</t>
  </si>
  <si>
    <t>Christopher Anderson</t>
  </si>
  <si>
    <t>Hill, Fernandez and Sullivan</t>
  </si>
  <si>
    <t>Andrew Garcia</t>
  </si>
  <si>
    <t>Newton-Jones</t>
  </si>
  <si>
    <t>Robert Moore</t>
  </si>
  <si>
    <t>Boyd, and Brown Guerrero</t>
  </si>
  <si>
    <t>Yvonne Decker</t>
  </si>
  <si>
    <t>Patterson, and Lawrence Leblanc</t>
  </si>
  <si>
    <t>Tiffany Moody</t>
  </si>
  <si>
    <t>Campos-Martinez</t>
  </si>
  <si>
    <t>Laura Hunt</t>
  </si>
  <si>
    <t>Heath Moore Jones, and</t>
  </si>
  <si>
    <t>Brenda Rodriguez</t>
  </si>
  <si>
    <t>and Parker Jackson Gilbert,</t>
  </si>
  <si>
    <t>Victoria Gallagher</t>
  </si>
  <si>
    <t>Scott-Sexton</t>
  </si>
  <si>
    <t>Jason Allen</t>
  </si>
  <si>
    <t>Massey-Mitchell</t>
  </si>
  <si>
    <t>Richard Nelson</t>
  </si>
  <si>
    <t>Parker-Hodges</t>
  </si>
  <si>
    <t>Joseph Good</t>
  </si>
  <si>
    <t>and Jackson Mccall, Kelly</t>
  </si>
  <si>
    <t>Ian Tyler</t>
  </si>
  <si>
    <t>Molina Group</t>
  </si>
  <si>
    <t>Cameron Johnson</t>
  </si>
  <si>
    <t>Marie Case</t>
  </si>
  <si>
    <t>Ltd Ward</t>
  </si>
  <si>
    <t>Amanda Ortega</t>
  </si>
  <si>
    <t>Braun-Stuart</t>
  </si>
  <si>
    <t>Danielle Henderson</t>
  </si>
  <si>
    <t>Montgomery and Howe Perez,</t>
  </si>
  <si>
    <t>Jeremy Wells</t>
  </si>
  <si>
    <t>Gutierrez, Martinez and Johnson</t>
  </si>
  <si>
    <t>Karen Eaton</t>
  </si>
  <si>
    <t>Robinson, Weaver Taylor and</t>
  </si>
  <si>
    <t>Charlene Lewis</t>
  </si>
  <si>
    <t>Ltd Phillips</t>
  </si>
  <si>
    <t>Connor Simmons</t>
  </si>
  <si>
    <t>Padilla Lewis, Anderson and</t>
  </si>
  <si>
    <t>Paul Kaiser</t>
  </si>
  <si>
    <t>Morgan-Perez</t>
  </si>
  <si>
    <t>Jeffrey Salazar</t>
  </si>
  <si>
    <t>LLC Castillo</t>
  </si>
  <si>
    <t>Sara Campbell</t>
  </si>
  <si>
    <t>Smith PLC</t>
  </si>
  <si>
    <t>James Booker</t>
  </si>
  <si>
    <t>Allen, Chaney Rice and</t>
  </si>
  <si>
    <t>Elizabeth Herrera</t>
  </si>
  <si>
    <t>Moore, Munoz and Dunlap</t>
  </si>
  <si>
    <t>Inc Travis</t>
  </si>
  <si>
    <t>Reginald Jimenez</t>
  </si>
  <si>
    <t>Pearson Escobar, and Harper</t>
  </si>
  <si>
    <t>Lacey Russell</t>
  </si>
  <si>
    <t>Singh-Hebert</t>
  </si>
  <si>
    <t>Joe Bennett</t>
  </si>
  <si>
    <t>Barton, and Howe Rivera</t>
  </si>
  <si>
    <t>Julia Melendez</t>
  </si>
  <si>
    <t>Patterson-Sexton</t>
  </si>
  <si>
    <t>Brett Schaefer</t>
  </si>
  <si>
    <t>Freeman-Simon</t>
  </si>
  <si>
    <t>Allison Campbell</t>
  </si>
  <si>
    <t>Adkins Knapp and Richards,</t>
  </si>
  <si>
    <t>Lydia Gallegos</t>
  </si>
  <si>
    <t>and Pineda Allen, Jackson</t>
  </si>
  <si>
    <t>Paul Woodard</t>
  </si>
  <si>
    <t>Ltd Martinez</t>
  </si>
  <si>
    <t>Scott Porter</t>
  </si>
  <si>
    <t>Robert Jimenez</t>
  </si>
  <si>
    <t>Rice-Donaldson</t>
  </si>
  <si>
    <t>Brittany Hunt</t>
  </si>
  <si>
    <t>Smith and Mann Spencer,</t>
  </si>
  <si>
    <t>Corey Webb</t>
  </si>
  <si>
    <t>Moss-Mathews</t>
  </si>
  <si>
    <t>Pamela Anderson</t>
  </si>
  <si>
    <t>Blanchard-Adams</t>
  </si>
  <si>
    <t>Danielle Wagner</t>
  </si>
  <si>
    <t>Sheppard-Rivera</t>
  </si>
  <si>
    <t>Jesse Waters</t>
  </si>
  <si>
    <t>Kaitlyn Bates</t>
  </si>
  <si>
    <t>Klein Inc</t>
  </si>
  <si>
    <t>Bethany Hardy</t>
  </si>
  <si>
    <t>Jackson-Thomas</t>
  </si>
  <si>
    <t>Alexis Brown</t>
  </si>
  <si>
    <t>Group Graham</t>
  </si>
  <si>
    <t>Eric Mendoza</t>
  </si>
  <si>
    <t>Potter-Fernandez</t>
  </si>
  <si>
    <t>Debbie Fernandez</t>
  </si>
  <si>
    <t>Green PLC</t>
  </si>
  <si>
    <t>Paul Key</t>
  </si>
  <si>
    <t>Andrews PLC</t>
  </si>
  <si>
    <t>Aaron Walker</t>
  </si>
  <si>
    <t>Sons Lam and</t>
  </si>
  <si>
    <t>Joan Washington</t>
  </si>
  <si>
    <t>and Foster, Allen Valdez</t>
  </si>
  <si>
    <t>Matthew Kane</t>
  </si>
  <si>
    <t>Welch Bryan Rodriguez, and</t>
  </si>
  <si>
    <t>Melissa Holland</t>
  </si>
  <si>
    <t>Lewis-James</t>
  </si>
  <si>
    <t>Johnson-Hines</t>
  </si>
  <si>
    <t>John Johnson</t>
  </si>
  <si>
    <t>Delgado, and Mcdonald Berry</t>
  </si>
  <si>
    <t>Jeff Lin</t>
  </si>
  <si>
    <t>Brooks, Nguyen Sellers and</t>
  </si>
  <si>
    <t>Anna Buckley</t>
  </si>
  <si>
    <t>and Thompson Moore, Torres</t>
  </si>
  <si>
    <t>Morgan Rasmussen</t>
  </si>
  <si>
    <t>Hardy PLC</t>
  </si>
  <si>
    <t>Robin Brown</t>
  </si>
  <si>
    <t>Gregory, Rosario and Bruce</t>
  </si>
  <si>
    <t>Sons Cox and</t>
  </si>
  <si>
    <t>Christina Perry</t>
  </si>
  <si>
    <t>Jones, and Moore Carter</t>
  </si>
  <si>
    <t>PLC Hodge</t>
  </si>
  <si>
    <t>Amber Valdez</t>
  </si>
  <si>
    <t>Moore-Pierce</t>
  </si>
  <si>
    <t>Richard Davis</t>
  </si>
  <si>
    <t>PLC Santana</t>
  </si>
  <si>
    <t>Jeremiah Bender</t>
  </si>
  <si>
    <t>David Navarro</t>
  </si>
  <si>
    <t>Gomez and Sons</t>
  </si>
  <si>
    <t>James Payne</t>
  </si>
  <si>
    <t>Martinez-Farley</t>
  </si>
  <si>
    <t>Mark Lee</t>
  </si>
  <si>
    <t>Macdonald Group</t>
  </si>
  <si>
    <t>Ashley Thomas</t>
  </si>
  <si>
    <t>and Ochoa Sons</t>
  </si>
  <si>
    <t>Kimberly Decker</t>
  </si>
  <si>
    <t>Johnson-Lopez</t>
  </si>
  <si>
    <t>Brian Elliott</t>
  </si>
  <si>
    <t>Howard-Pitts</t>
  </si>
  <si>
    <t>George Hartman</t>
  </si>
  <si>
    <t>and Sons Trujillo</t>
  </si>
  <si>
    <t>Jonathan Austin</t>
  </si>
  <si>
    <t>and Delgado Allen, Wilson</t>
  </si>
  <si>
    <t>Angel Smith</t>
  </si>
  <si>
    <t>Moody-Lee</t>
  </si>
  <si>
    <t>Ashley English</t>
  </si>
  <si>
    <t>Gonzalez Burch, and Diaz</t>
  </si>
  <si>
    <t>Stephanie Diaz</t>
  </si>
  <si>
    <t>Valencia Molina, Lopez and</t>
  </si>
  <si>
    <t>Mary Mathis</t>
  </si>
  <si>
    <t>Cruz-Jimenez</t>
  </si>
  <si>
    <t>Yolanda Harris</t>
  </si>
  <si>
    <t>Banks-Martin</t>
  </si>
  <si>
    <t>Dylan Hernandez</t>
  </si>
  <si>
    <t>Eaton and Ryan, Allen</t>
  </si>
  <si>
    <t>Matthew Johnson</t>
  </si>
  <si>
    <t>and Sons Powell</t>
  </si>
  <si>
    <t>Arthur Barker</t>
  </si>
  <si>
    <t>Lopez Carter and Campos,</t>
  </si>
  <si>
    <t>Laura Russo</t>
  </si>
  <si>
    <t>James-Mcintyre</t>
  </si>
  <si>
    <t>Adam May</t>
  </si>
  <si>
    <t>LLC Cole</t>
  </si>
  <si>
    <t>Jeff Perez</t>
  </si>
  <si>
    <t>Allen-Ortiz</t>
  </si>
  <si>
    <t>Alejandra Clark</t>
  </si>
  <si>
    <t>Friedman LLC</t>
  </si>
  <si>
    <t>Dawn Harding</t>
  </si>
  <si>
    <t>Rogers-Smith</t>
  </si>
  <si>
    <t>Robert Day</t>
  </si>
  <si>
    <t>and Smith Wang, Pham</t>
  </si>
  <si>
    <t>Alexander Stewart</t>
  </si>
  <si>
    <t>Terrell-Powell</t>
  </si>
  <si>
    <t>Christopher Bentley</t>
  </si>
  <si>
    <t>Juan Barnett</t>
  </si>
  <si>
    <t>Williams-Maldonado</t>
  </si>
  <si>
    <t>Ryan Johnson</t>
  </si>
  <si>
    <t>Saunders-Thomas</t>
  </si>
  <si>
    <t>Christopher Fitzpatrick</t>
  </si>
  <si>
    <t>Sarah Hill</t>
  </si>
  <si>
    <t>Bradley PLC</t>
  </si>
  <si>
    <t>John Martin</t>
  </si>
  <si>
    <t>Tucker, and Ramirez Patterson</t>
  </si>
  <si>
    <t>Michaela West</t>
  </si>
  <si>
    <t>Lee-Livingston</t>
  </si>
  <si>
    <t>Jacqueline Phelps</t>
  </si>
  <si>
    <t>Rodriguez, Taylor Conway and</t>
  </si>
  <si>
    <t>Matthew Nguyen</t>
  </si>
  <si>
    <t>Hudson Harrison, Cooper and</t>
  </si>
  <si>
    <t>Melissa Reyes</t>
  </si>
  <si>
    <t>PLC Adams</t>
  </si>
  <si>
    <t>Marcus Turner</t>
  </si>
  <si>
    <t>Gill, and Casey Martinez</t>
  </si>
  <si>
    <t>Robert Gill</t>
  </si>
  <si>
    <t>Blevins-Douglas</t>
  </si>
  <si>
    <t>Patrick Parrish</t>
  </si>
  <si>
    <t>and Campbell, Wiley Cook</t>
  </si>
  <si>
    <t>Maureen Salazar</t>
  </si>
  <si>
    <t>Tucker-Brown</t>
  </si>
  <si>
    <t>Jeffrey Taylor</t>
  </si>
  <si>
    <t>Hicks Kidd and Allen,</t>
  </si>
  <si>
    <t>Sherry Torres</t>
  </si>
  <si>
    <t>Williams-Howell</t>
  </si>
  <si>
    <t>Sara Crawford</t>
  </si>
  <si>
    <t>Washington and Sons</t>
  </si>
  <si>
    <t>Kimberly Tucker</t>
  </si>
  <si>
    <t>Moss Group</t>
  </si>
  <si>
    <t>Diana Martinez</t>
  </si>
  <si>
    <t>Mcknight Perry Rivera, and</t>
  </si>
  <si>
    <t>Nancy Watson</t>
  </si>
  <si>
    <t>Richardson-Powell</t>
  </si>
  <si>
    <t>Reese Adams, Lara and</t>
  </si>
  <si>
    <t>Brenda Torres MD</t>
  </si>
  <si>
    <t>Inc Huynh</t>
  </si>
  <si>
    <t>Daniel Pennington</t>
  </si>
  <si>
    <t>James Osborn</t>
  </si>
  <si>
    <t>Group Turner</t>
  </si>
  <si>
    <t>Lauren Brown</t>
  </si>
  <si>
    <t>Graham Group</t>
  </si>
  <si>
    <t>Stacey Armstrong</t>
  </si>
  <si>
    <t>Calhoun LLC</t>
  </si>
  <si>
    <t>Benjamin Thomas</t>
  </si>
  <si>
    <t>Ward-Jordan</t>
  </si>
  <si>
    <t>John Day</t>
  </si>
  <si>
    <t>Roberts-Sexton</t>
  </si>
  <si>
    <t>Steven Ortiz</t>
  </si>
  <si>
    <t>Group Powell</t>
  </si>
  <si>
    <t>Dawn Rodriguez</t>
  </si>
  <si>
    <t>Rogers LLC</t>
  </si>
  <si>
    <t>Lauren Lowe</t>
  </si>
  <si>
    <t>Davis Maddox Harris, and</t>
  </si>
  <si>
    <t>Scott Meyer</t>
  </si>
  <si>
    <t>Wright-Walker</t>
  </si>
  <si>
    <t>Evan George</t>
  </si>
  <si>
    <t>Thomas and Lambert, Young</t>
  </si>
  <si>
    <t>James Bray</t>
  </si>
  <si>
    <t>Smith-Ewing</t>
  </si>
  <si>
    <t>Eric Bowen</t>
  </si>
  <si>
    <t>LLC Hayes</t>
  </si>
  <si>
    <t>Christine Hines</t>
  </si>
  <si>
    <t>Gonzalez Ltd</t>
  </si>
  <si>
    <t>Travis-Watkins</t>
  </si>
  <si>
    <t>Adrian Jacobs PhD</t>
  </si>
  <si>
    <t>and Pittman Thomas, Stein</t>
  </si>
  <si>
    <t>Allison Roberson</t>
  </si>
  <si>
    <t>Lopez, Rodriguez Hodges and</t>
  </si>
  <si>
    <t>Susan Reid</t>
  </si>
  <si>
    <t>Bentley Ltd</t>
  </si>
  <si>
    <t>Patrick Morales</t>
  </si>
  <si>
    <t>Pratt and Keller, Davis</t>
  </si>
  <si>
    <t>Michael Burns</t>
  </si>
  <si>
    <t>Buck PLC</t>
  </si>
  <si>
    <t>Mark Lawson</t>
  </si>
  <si>
    <t>Williams Evans Myers, and</t>
  </si>
  <si>
    <t>Cynthia Martin</t>
  </si>
  <si>
    <t>Riddle LLC</t>
  </si>
  <si>
    <t>Lynn Miller</t>
  </si>
  <si>
    <t>Medina-Hubbard</t>
  </si>
  <si>
    <t>Julie Jones</t>
  </si>
  <si>
    <t>Jenkins PLC</t>
  </si>
  <si>
    <t>Amanda Fowler</t>
  </si>
  <si>
    <t>and Yates Serrano, Henderson</t>
  </si>
  <si>
    <t>Russell Serrano</t>
  </si>
  <si>
    <t>Murillo-Warner</t>
  </si>
  <si>
    <t>Thomas White</t>
  </si>
  <si>
    <t>and Fitzgerald, Sharp Cooke</t>
  </si>
  <si>
    <t>Dr. Matthew Hamilton MD</t>
  </si>
  <si>
    <t>Smith-Carter</t>
  </si>
  <si>
    <t>Daniel Flowers</t>
  </si>
  <si>
    <t>Hernandez-Patton</t>
  </si>
  <si>
    <t>John Gaines</t>
  </si>
  <si>
    <t>Evans-Torres</t>
  </si>
  <si>
    <t>Jennifer Gray</t>
  </si>
  <si>
    <t>and Neal Barrett, Bailey</t>
  </si>
  <si>
    <t>Erik Woods</t>
  </si>
  <si>
    <t>Hernandez-Valdez</t>
  </si>
  <si>
    <t>Carol Moore</t>
  </si>
  <si>
    <t>Smith-Nguyen</t>
  </si>
  <si>
    <t>Hailey Jackson</t>
  </si>
  <si>
    <t>Wilson-Torres</t>
  </si>
  <si>
    <t>Joseph Miranda</t>
  </si>
  <si>
    <t>Burton and Curry, Parker</t>
  </si>
  <si>
    <t>Jason Wallace</t>
  </si>
  <si>
    <t>Patterson Mann, Williamson and</t>
  </si>
  <si>
    <t>James Thomas</t>
  </si>
  <si>
    <t>Velasquez, Bullock and Maldonado</t>
  </si>
  <si>
    <t>Amanda Allen</t>
  </si>
  <si>
    <t>Spence Sons and</t>
  </si>
  <si>
    <t>Frank Stephens</t>
  </si>
  <si>
    <t>Sparks-Smith</t>
  </si>
  <si>
    <t>David Walker</t>
  </si>
  <si>
    <t>Brown, and Stone Perez</t>
  </si>
  <si>
    <t>Karen Rodriguez MD</t>
  </si>
  <si>
    <t>Inc Banks</t>
  </si>
  <si>
    <t>Christine Singleton</t>
  </si>
  <si>
    <t>PLC Reese</t>
  </si>
  <si>
    <t>Sarah Lawrence</t>
  </si>
  <si>
    <t>Porter, Woods Miller and</t>
  </si>
  <si>
    <t>Allison Ruiz</t>
  </si>
  <si>
    <t>Wagner-Sanchez</t>
  </si>
  <si>
    <t>Phillip Green</t>
  </si>
  <si>
    <t>Wilson and Hood, Robinson</t>
  </si>
  <si>
    <t>Richard Hernandez</t>
  </si>
  <si>
    <t>Smith Holland, and Hogan</t>
  </si>
  <si>
    <t>Ryan Lewis</t>
  </si>
  <si>
    <t>Simpson-Jennings</t>
  </si>
  <si>
    <t>Kyle Johnson</t>
  </si>
  <si>
    <t>Owens-Cole</t>
  </si>
  <si>
    <t>Carly Johnston</t>
  </si>
  <si>
    <t>and Weaver, Lee Baxter</t>
  </si>
  <si>
    <t>Kevin Harris</t>
  </si>
  <si>
    <t>Walker Ltd</t>
  </si>
  <si>
    <t>John Moody</t>
  </si>
  <si>
    <t>Edwards, Daniels Garcia and</t>
  </si>
  <si>
    <t>Peggy Underwood</t>
  </si>
  <si>
    <t>Hernandez-Wood</t>
  </si>
  <si>
    <t>Angela Taylor</t>
  </si>
  <si>
    <t>Mccormick-Morales</t>
  </si>
  <si>
    <t>Elizabeth Fields</t>
  </si>
  <si>
    <t>Inc Santos</t>
  </si>
  <si>
    <t>Michael Stone</t>
  </si>
  <si>
    <t>Group Greer</t>
  </si>
  <si>
    <t>Daniel Ball</t>
  </si>
  <si>
    <t>Gonzales-Snyder</t>
  </si>
  <si>
    <t>Vanessa Whitaker</t>
  </si>
  <si>
    <t>Beard-Michael</t>
  </si>
  <si>
    <t>Emily Roberson</t>
  </si>
  <si>
    <t>Leon Mcfarland Wise, and</t>
  </si>
  <si>
    <t>Angel Hawkins</t>
  </si>
  <si>
    <t>and Sons Bryan</t>
  </si>
  <si>
    <t>Megan Wright</t>
  </si>
  <si>
    <t>Coleman, and Berry Davis</t>
  </si>
  <si>
    <t>Kimberly Hawkins</t>
  </si>
  <si>
    <t>Reed-Gibson</t>
  </si>
  <si>
    <t>Jamie Ortega</t>
  </si>
  <si>
    <t>Rios Group</t>
  </si>
  <si>
    <t>Diane Hood</t>
  </si>
  <si>
    <t>Inc Duran</t>
  </si>
  <si>
    <t>Denise Hernandez</t>
  </si>
  <si>
    <t>and Patel Owens Dominguez,</t>
  </si>
  <si>
    <t>Wendy Castillo</t>
  </si>
  <si>
    <t>Kathryn Guerra</t>
  </si>
  <si>
    <t>Berry and Clark Shaw,</t>
  </si>
  <si>
    <t>Melissa Weeks</t>
  </si>
  <si>
    <t>Allen Parker and Estes,</t>
  </si>
  <si>
    <t>Scott Reed</t>
  </si>
  <si>
    <t>Hogan Malone, and Gray</t>
  </si>
  <si>
    <t>Alejandro Cole</t>
  </si>
  <si>
    <t>Ltd Martin</t>
  </si>
  <si>
    <t>John White</t>
  </si>
  <si>
    <t>Contreras Myers and Young,</t>
  </si>
  <si>
    <t>Noah Moore</t>
  </si>
  <si>
    <t>Inc Valenzuela</t>
  </si>
  <si>
    <t>Frank Quinn DVM</t>
  </si>
  <si>
    <t>Knox-Esparza</t>
  </si>
  <si>
    <t>Thomas Jones</t>
  </si>
  <si>
    <t>Rodriguez and Sanders, Luna</t>
  </si>
  <si>
    <t>John Long</t>
  </si>
  <si>
    <t>Miller Bailey, and Anderson</t>
  </si>
  <si>
    <t>Stephanie Farmer</t>
  </si>
  <si>
    <t>Hancock-Galloway</t>
  </si>
  <si>
    <t>Tammy Cisneros</t>
  </si>
  <si>
    <t>Vasquez-Carr</t>
  </si>
  <si>
    <t>Benjamin Taylor</t>
  </si>
  <si>
    <t>Gomez-Spencer</t>
  </si>
  <si>
    <t>Nichole Rodriguez</t>
  </si>
  <si>
    <t>Sweeney LLC</t>
  </si>
  <si>
    <t>Vincent Young</t>
  </si>
  <si>
    <t>and Patton Sons</t>
  </si>
  <si>
    <t>Roger Serrano</t>
  </si>
  <si>
    <t>Lewis-Henry</t>
  </si>
  <si>
    <t>Jared Prince</t>
  </si>
  <si>
    <t>Rowe, Stone and Patterson</t>
  </si>
  <si>
    <t>Emily Joseph</t>
  </si>
  <si>
    <t>Bell-Morgan</t>
  </si>
  <si>
    <t>Toni Parker</t>
  </si>
  <si>
    <t>Alvarado-Martin</t>
  </si>
  <si>
    <t>Jenna Larson</t>
  </si>
  <si>
    <t>Thomas-Adams</t>
  </si>
  <si>
    <t>Joseph Dixon</t>
  </si>
  <si>
    <t>Cortez-Cannon</t>
  </si>
  <si>
    <t>Adam Richard</t>
  </si>
  <si>
    <t>Burch-Hernandez</t>
  </si>
  <si>
    <t>Julie Taylor</t>
  </si>
  <si>
    <t>Cochran-Hart</t>
  </si>
  <si>
    <t>Derrick Martinez</t>
  </si>
  <si>
    <t>Wood Ltd</t>
  </si>
  <si>
    <t>Maurice Dunn</t>
  </si>
  <si>
    <t>White Group</t>
  </si>
  <si>
    <t>Jesus Mitchell</t>
  </si>
  <si>
    <t>Jackson-Brennan</t>
  </si>
  <si>
    <t>Gerald Chase</t>
  </si>
  <si>
    <t>Smith Sons and</t>
  </si>
  <si>
    <t>Dr. Joseph Mitchell</t>
  </si>
  <si>
    <t>and Walsh, Floyd Owens</t>
  </si>
  <si>
    <t>Denise Chase</t>
  </si>
  <si>
    <t>Howard-Bates</t>
  </si>
  <si>
    <t>Edward Burgess</t>
  </si>
  <si>
    <t>and Perez, Graham Herrera</t>
  </si>
  <si>
    <t>Pamela Clayton</t>
  </si>
  <si>
    <t>Medina-Palmer</t>
  </si>
  <si>
    <t>and Nelson Sons</t>
  </si>
  <si>
    <t>Sharon Perez</t>
  </si>
  <si>
    <t>Patterson Jones and Hernandez,</t>
  </si>
  <si>
    <t>Gail Roman</t>
  </si>
  <si>
    <t>Jackson Inc</t>
  </si>
  <si>
    <t>Mary King</t>
  </si>
  <si>
    <t>Woodard, and Martin Baker</t>
  </si>
  <si>
    <t>Jennifer Jones</t>
  </si>
  <si>
    <t>Ramsey and Malone Sanford,</t>
  </si>
  <si>
    <t>Christian Dawson</t>
  </si>
  <si>
    <t>and Perry Leach, Alexander</t>
  </si>
  <si>
    <t>Sarah Lopez</t>
  </si>
  <si>
    <t>Sons and Bowman</t>
  </si>
  <si>
    <t>Angela Ramirez</t>
  </si>
  <si>
    <t>and Garza Martin Holloway,</t>
  </si>
  <si>
    <t>James Barnes</t>
  </si>
  <si>
    <t>Holland Brown, and York</t>
  </si>
  <si>
    <t>Melvin Montgomery</t>
  </si>
  <si>
    <t>Ltd Weber</t>
  </si>
  <si>
    <t>Caroline Castillo</t>
  </si>
  <si>
    <t>Tran Wright and Vasquez,</t>
  </si>
  <si>
    <t>Cheryl Lane</t>
  </si>
  <si>
    <t>Atkinson Ltd</t>
  </si>
  <si>
    <t>Brittany Harding</t>
  </si>
  <si>
    <t>and Brown Sons</t>
  </si>
  <si>
    <t>Daniel Contreras</t>
  </si>
  <si>
    <t>Simpson Inc</t>
  </si>
  <si>
    <t>Jacob Garcia</t>
  </si>
  <si>
    <t>Edwards PLC</t>
  </si>
  <si>
    <t>Dana Page</t>
  </si>
  <si>
    <t>Perez and Ho, Riley</t>
  </si>
  <si>
    <t>Tara Ruiz</t>
  </si>
  <si>
    <t>Ltd Curry</t>
  </si>
  <si>
    <t>Mitchell Franklin</t>
  </si>
  <si>
    <t>Group Young</t>
  </si>
  <si>
    <t>Edwards, Fry and Lopez</t>
  </si>
  <si>
    <t>Bailey Foster</t>
  </si>
  <si>
    <t>Ferguson-Cole</t>
  </si>
  <si>
    <t>Anthony Allen</t>
  </si>
  <si>
    <t>Santos and Blake Wood,</t>
  </si>
  <si>
    <t>Amy Roberts</t>
  </si>
  <si>
    <t>Inc Robinson</t>
  </si>
  <si>
    <t>Susan Brown</t>
  </si>
  <si>
    <t>Matthews-Mcbride</t>
  </si>
  <si>
    <t>Alexandra Pena</t>
  </si>
  <si>
    <t>Wright Sons and</t>
  </si>
  <si>
    <t>Andrew Alvarez</t>
  </si>
  <si>
    <t>Owens-Douglas</t>
  </si>
  <si>
    <t>Eric Shields</t>
  </si>
  <si>
    <t>Melanie Watson</t>
  </si>
  <si>
    <t>Frost Inc</t>
  </si>
  <si>
    <t>Russell Cox</t>
  </si>
  <si>
    <t>and Baird, Simmons Peters</t>
  </si>
  <si>
    <t>Brenda Chavez</t>
  </si>
  <si>
    <t>Higgins Inc</t>
  </si>
  <si>
    <t>Ryan Hamilton</t>
  </si>
  <si>
    <t>Gates Underwood, Coleman and</t>
  </si>
  <si>
    <t>Justin Harris</t>
  </si>
  <si>
    <t>Hobbs Schneider, and Walter</t>
  </si>
  <si>
    <t>Michelle Mcdonald</t>
  </si>
  <si>
    <t>Miller-Wilson</t>
  </si>
  <si>
    <t>Angela Sweeney</t>
  </si>
  <si>
    <t>Benitez-Nguyen</t>
  </si>
  <si>
    <t>Cheryl Hamilton</t>
  </si>
  <si>
    <t>Terry Ltd</t>
  </si>
  <si>
    <t>Wendy Montgomery</t>
  </si>
  <si>
    <t>Foley Nelson, and Thompson</t>
  </si>
  <si>
    <t>Maurice Ramos</t>
  </si>
  <si>
    <t>Long-Golden</t>
  </si>
  <si>
    <t>Kenneth Robbins</t>
  </si>
  <si>
    <t>Inc Edwards</t>
  </si>
  <si>
    <t>Curtis Evans</t>
  </si>
  <si>
    <t>Johnson-Stewart</t>
  </si>
  <si>
    <t>Aaron Pace</t>
  </si>
  <si>
    <t>Clark-Rivers</t>
  </si>
  <si>
    <t>Jonathan White</t>
  </si>
  <si>
    <t>Mccoy-Luna</t>
  </si>
  <si>
    <t>Joe Jacobs DVM</t>
  </si>
  <si>
    <t>and Mahoney Johnson Vasquez,</t>
  </si>
  <si>
    <t>Laura Sweeney</t>
  </si>
  <si>
    <t>Smith Inc</t>
  </si>
  <si>
    <t>Anita Johnson</t>
  </si>
  <si>
    <t>and Swanson Proctor Daniels,</t>
  </si>
  <si>
    <t>Collin Gaines</t>
  </si>
  <si>
    <t>Inc Jones</t>
  </si>
  <si>
    <t>Amy Pearson</t>
  </si>
  <si>
    <t>Austin-Galvan</t>
  </si>
  <si>
    <t>Mary Moore</t>
  </si>
  <si>
    <t>and Meadows, Thomas Vaughn</t>
  </si>
  <si>
    <t>Audrey Luna</t>
  </si>
  <si>
    <t>Brown, and Perez Osborne</t>
  </si>
  <si>
    <t>Justin Perry</t>
  </si>
  <si>
    <t>Larson-Townsend</t>
  </si>
  <si>
    <t>Katie Silva</t>
  </si>
  <si>
    <t>and Green Garza Ware,</t>
  </si>
  <si>
    <t>Paige Carpenter</t>
  </si>
  <si>
    <t>May-Rodriguez</t>
  </si>
  <si>
    <t>Lisa Burns</t>
  </si>
  <si>
    <t>Hahn-Rollins</t>
  </si>
  <si>
    <t>Cody Galvan</t>
  </si>
  <si>
    <t>Anderson-Oconnor</t>
  </si>
  <si>
    <t>Scott Bell</t>
  </si>
  <si>
    <t>Rodgers Inc</t>
  </si>
  <si>
    <t>Karen Lee</t>
  </si>
  <si>
    <t>Terrell-Stewart</t>
  </si>
  <si>
    <t>Julia Reyes</t>
  </si>
  <si>
    <t>Thompson, and Ruiz Vance</t>
  </si>
  <si>
    <t>Maria Parker</t>
  </si>
  <si>
    <t>Clark-Leon</t>
  </si>
  <si>
    <t>Yvonne Santana</t>
  </si>
  <si>
    <t>Burton-Hernandez</t>
  </si>
  <si>
    <t>Ashley Johnson</t>
  </si>
  <si>
    <t>Wilson Ltd</t>
  </si>
  <si>
    <t>Timothy Gomez</t>
  </si>
  <si>
    <t>and Brewer Sons</t>
  </si>
  <si>
    <t>James Bryan</t>
  </si>
  <si>
    <t>Randall-Castaneda</t>
  </si>
  <si>
    <t>Amy Mcdonald</t>
  </si>
  <si>
    <t>Inc Griffin</t>
  </si>
  <si>
    <t>James Blair</t>
  </si>
  <si>
    <t>Long Riley Lewis, and</t>
  </si>
  <si>
    <t>Destiny Hooper</t>
  </si>
  <si>
    <t>Lopez Stanley, and Perez</t>
  </si>
  <si>
    <t>Ricky Mccormick</t>
  </si>
  <si>
    <t>Fry LLC</t>
  </si>
  <si>
    <t>William Gonzalez</t>
  </si>
  <si>
    <t>Henry Inc</t>
  </si>
  <si>
    <t>Brandon Mejia</t>
  </si>
  <si>
    <t>Williams Ltd</t>
  </si>
  <si>
    <t>Meagan Jordan</t>
  </si>
  <si>
    <t>Wilson and Kelley, Fitzgerald</t>
  </si>
  <si>
    <t>Melinda Smith</t>
  </si>
  <si>
    <t>Vang Group</t>
  </si>
  <si>
    <t>Meghan Hardin</t>
  </si>
  <si>
    <t>Group Alexander</t>
  </si>
  <si>
    <t>Alyssa Rivas</t>
  </si>
  <si>
    <t>Wilson-Smith</t>
  </si>
  <si>
    <t>Inc Cannon</t>
  </si>
  <si>
    <t>Steven Parrish</t>
  </si>
  <si>
    <t>Collins Cooper Thompson, and</t>
  </si>
  <si>
    <t>Kaylee Smith</t>
  </si>
  <si>
    <t>Williams, Rice Barnes and</t>
  </si>
  <si>
    <t>Lee-Brennan</t>
  </si>
  <si>
    <t>Sandra Gonzales</t>
  </si>
  <si>
    <t>Greene-Barnett</t>
  </si>
  <si>
    <t>Lisa Williams</t>
  </si>
  <si>
    <t>Howard-Meyer</t>
  </si>
  <si>
    <t>Patrick Robbins</t>
  </si>
  <si>
    <t>Brandon Mercado</t>
  </si>
  <si>
    <t>Jones Lopez, and Ali</t>
  </si>
  <si>
    <t>Roberta Garcia</t>
  </si>
  <si>
    <t>Kevin Oliver</t>
  </si>
  <si>
    <t>PLC Smith</t>
  </si>
  <si>
    <t>Sydney Mcbride</t>
  </si>
  <si>
    <t>Stone Ltd</t>
  </si>
  <si>
    <t>Maria Brown PhD</t>
  </si>
  <si>
    <t>Washington, Moran and Le</t>
  </si>
  <si>
    <t>Darren Walters</t>
  </si>
  <si>
    <t>Fernandez-Mahoney</t>
  </si>
  <si>
    <t>Shane Gates</t>
  </si>
  <si>
    <t>LLC Cooley</t>
  </si>
  <si>
    <t>Alex Thomas</t>
  </si>
  <si>
    <t>Gonzalez Sons and</t>
  </si>
  <si>
    <t>Heather Taylor</t>
  </si>
  <si>
    <t>Group Beck</t>
  </si>
  <si>
    <t>Samantha Banks</t>
  </si>
  <si>
    <t>Lowe-Bruce</t>
  </si>
  <si>
    <t>Patricia Wagner</t>
  </si>
  <si>
    <t>Best-Ramsey</t>
  </si>
  <si>
    <t>Kathleen Lawrence</t>
  </si>
  <si>
    <t>Smith, Miller Rosario and</t>
  </si>
  <si>
    <t>Savannah Herrera</t>
  </si>
  <si>
    <t>PLC Mendez</t>
  </si>
  <si>
    <t>Erin Martinez</t>
  </si>
  <si>
    <t>LLC Lee</t>
  </si>
  <si>
    <t>Seth Kennedy</t>
  </si>
  <si>
    <t>Bowman-Young</t>
  </si>
  <si>
    <t>Brandon Dixon</t>
  </si>
  <si>
    <t>and Sons Holmes</t>
  </si>
  <si>
    <t>Elizabeth Nixon</t>
  </si>
  <si>
    <t>Shaw Inc</t>
  </si>
  <si>
    <t>Jordan Bruce</t>
  </si>
  <si>
    <t>Floyd LLC</t>
  </si>
  <si>
    <t>Amber Bailey</t>
  </si>
  <si>
    <t>Morris-Rowe</t>
  </si>
  <si>
    <t>Sheena Weaver</t>
  </si>
  <si>
    <t>LLC Wood</t>
  </si>
  <si>
    <t>Preston Lewis</t>
  </si>
  <si>
    <t>Sims-Mullins</t>
  </si>
  <si>
    <t>Brady Johnson</t>
  </si>
  <si>
    <t>Barker and Sons</t>
  </si>
  <si>
    <t>Kyle Lucas</t>
  </si>
  <si>
    <t>Ltd Wright</t>
  </si>
  <si>
    <t>Blake Pope</t>
  </si>
  <si>
    <t>Jimenez, Green and Wright</t>
  </si>
  <si>
    <t>Ashley Walters</t>
  </si>
  <si>
    <t>Rice, Thompson Williams and</t>
  </si>
  <si>
    <t>Brian Taylor</t>
  </si>
  <si>
    <t>Barnes-Norris</t>
  </si>
  <si>
    <t>Christopher Green</t>
  </si>
  <si>
    <t>Lee-Edwards</t>
  </si>
  <si>
    <t>Tonya Cobb</t>
  </si>
  <si>
    <t>Medina-Campos</t>
  </si>
  <si>
    <t>Smith Group</t>
  </si>
  <si>
    <t>Heather Church</t>
  </si>
  <si>
    <t>Davis-Freeman</t>
  </si>
  <si>
    <t>Jacqueline Bowman</t>
  </si>
  <si>
    <t>Price-Keller</t>
  </si>
  <si>
    <t>Mrs. Victoria Sanchez MD</t>
  </si>
  <si>
    <t>LLC Wilson</t>
  </si>
  <si>
    <t>Linda Peterson</t>
  </si>
  <si>
    <t>Fox-Campos</t>
  </si>
  <si>
    <t>Julie Nelson</t>
  </si>
  <si>
    <t>Jones-George</t>
  </si>
  <si>
    <t>Christopher Page</t>
  </si>
  <si>
    <t>Hall Group</t>
  </si>
  <si>
    <t>Kevin Paul</t>
  </si>
  <si>
    <t>and Merritt Turner, Sanders</t>
  </si>
  <si>
    <t>Madeline Lewis</t>
  </si>
  <si>
    <t>Bennett Group</t>
  </si>
  <si>
    <t>Cassandra Cain</t>
  </si>
  <si>
    <t>Johnson LLC</t>
  </si>
  <si>
    <t>David Simmons</t>
  </si>
  <si>
    <t>Hebert and Morgan, Wilson</t>
  </si>
  <si>
    <t>Dennis Gutierrez</t>
  </si>
  <si>
    <t>Wright Miller Gonzalez, and</t>
  </si>
  <si>
    <t>Jack Reilly</t>
  </si>
  <si>
    <t>and Mayo Chen, Murray</t>
  </si>
  <si>
    <t>Curtis Li</t>
  </si>
  <si>
    <t>Bailey-Buckley</t>
  </si>
  <si>
    <t>Joseph Young</t>
  </si>
  <si>
    <t>Peters-Bentley</t>
  </si>
  <si>
    <t>Danielle Robinson</t>
  </si>
  <si>
    <t>Martinez, Sullivan Bowers and</t>
  </si>
  <si>
    <t>Melvin Harmon</t>
  </si>
  <si>
    <t>Wright-Schmidt</t>
  </si>
  <si>
    <t>Tracy Bowman</t>
  </si>
  <si>
    <t>Sons and Patton</t>
  </si>
  <si>
    <t>Leah Guerra</t>
  </si>
  <si>
    <t>Jennings Group</t>
  </si>
  <si>
    <t>Adam Perez</t>
  </si>
  <si>
    <t>Sandoval Cook and Gutierrez,</t>
  </si>
  <si>
    <t>Justin Cameron</t>
  </si>
  <si>
    <t>Mason-Moore</t>
  </si>
  <si>
    <t>Eric Simpson</t>
  </si>
  <si>
    <t>Parker, and Parker Macdonald</t>
  </si>
  <si>
    <t>Joseph Price</t>
  </si>
  <si>
    <t>Inc Jensen</t>
  </si>
  <si>
    <t>Debra Johnson</t>
  </si>
  <si>
    <t>Ltd Potts</t>
  </si>
  <si>
    <t>Catherine Joseph</t>
  </si>
  <si>
    <t>Smith-Miller</t>
  </si>
  <si>
    <t>Amanda Miller</t>
  </si>
  <si>
    <t>and Allen Anderson, Rivera</t>
  </si>
  <si>
    <t>Dr. Rachel Hudson</t>
  </si>
  <si>
    <t>Logan Smith Vaughn, and</t>
  </si>
  <si>
    <t>Gina Curry</t>
  </si>
  <si>
    <t>PLC Harrison</t>
  </si>
  <si>
    <t>Christopher Scott</t>
  </si>
  <si>
    <t>Harris Jackson Pearson, and</t>
  </si>
  <si>
    <t>Bell-Hernandez</t>
  </si>
  <si>
    <t>Krystal Bowman</t>
  </si>
  <si>
    <t>Chavez-Chapman</t>
  </si>
  <si>
    <t>Michelle Simmons</t>
  </si>
  <si>
    <t>Stephens Group</t>
  </si>
  <si>
    <t>Jeffrey Haley</t>
  </si>
  <si>
    <t>Bush-Rodgers</t>
  </si>
  <si>
    <t>Joshua Jones</t>
  </si>
  <si>
    <t>Wade Savage, Harrington and</t>
  </si>
  <si>
    <t>Daryl Oconnor</t>
  </si>
  <si>
    <t>Butler Mathis and Mooney,</t>
  </si>
  <si>
    <t>Tyler Pearson</t>
  </si>
  <si>
    <t>Burns-Smith</t>
  </si>
  <si>
    <t>Katrina Martin</t>
  </si>
  <si>
    <t>Cook and Craig, Herrera</t>
  </si>
  <si>
    <t>Sharon Morris</t>
  </si>
  <si>
    <t>Serrano Group</t>
  </si>
  <si>
    <t>Erika Gordon</t>
  </si>
  <si>
    <t>and Gentry Rich, King</t>
  </si>
  <si>
    <t>Mike Riley</t>
  </si>
  <si>
    <t>Davila-Harding</t>
  </si>
  <si>
    <t>David Sims</t>
  </si>
  <si>
    <t>Ortega, Taylor Berry and</t>
  </si>
  <si>
    <t>Joseph Smith</t>
  </si>
  <si>
    <t>Cabrera Barnes, Harper and</t>
  </si>
  <si>
    <t>Sandra Key</t>
  </si>
  <si>
    <t>Jessica Perez</t>
  </si>
  <si>
    <t>Chen-Garrett</t>
  </si>
  <si>
    <t>Maria Jones</t>
  </si>
  <si>
    <t>Brianna Mccoy</t>
  </si>
  <si>
    <t>Mitchell-Ryan</t>
  </si>
  <si>
    <t>Robert Hampton</t>
  </si>
  <si>
    <t>Ltd Todd</t>
  </si>
  <si>
    <t>Michelle James</t>
  </si>
  <si>
    <t>Johnson-Nichols</t>
  </si>
  <si>
    <t>Brandon Sutton</t>
  </si>
  <si>
    <t>Dean-Smith</t>
  </si>
  <si>
    <t>Wendy Oliver</t>
  </si>
  <si>
    <t>Shaw Taylor, and Khan</t>
  </si>
  <si>
    <t>Victor Dixon</t>
  </si>
  <si>
    <t>Mercado-Brown</t>
  </si>
  <si>
    <t>Rebecca Herring</t>
  </si>
  <si>
    <t>Powell-Nelson</t>
  </si>
  <si>
    <t>Bill Clark</t>
  </si>
  <si>
    <t>Nelson-Wilson</t>
  </si>
  <si>
    <t>Cooley-Howell</t>
  </si>
  <si>
    <t>Justin Tapia</t>
  </si>
  <si>
    <t>PLC Wright</t>
  </si>
  <si>
    <t>Robyn Howard</t>
  </si>
  <si>
    <t>Willis PLC</t>
  </si>
  <si>
    <t>William Taylor</t>
  </si>
  <si>
    <t>and Edwards Brown Murphy,</t>
  </si>
  <si>
    <t>David Perry</t>
  </si>
  <si>
    <t>Nelson-Drake</t>
  </si>
  <si>
    <t>Sarah Becker</t>
  </si>
  <si>
    <t>Stewart-Daniel</t>
  </si>
  <si>
    <t>Jessica Washington</t>
  </si>
  <si>
    <t>Miller and Perez Wood,</t>
  </si>
  <si>
    <t>Jennifer Webster</t>
  </si>
  <si>
    <t>Ltd Simmons</t>
  </si>
  <si>
    <t>Carrie Li</t>
  </si>
  <si>
    <t>and Simmons Lopez Chavez,</t>
  </si>
  <si>
    <t>Jay Moore</t>
  </si>
  <si>
    <t>Ltd Carson</t>
  </si>
  <si>
    <t>Christopher Avery</t>
  </si>
  <si>
    <t>Perry and Sons</t>
  </si>
  <si>
    <t>Dr. Michael Patrick</t>
  </si>
  <si>
    <t>Kelly LLC</t>
  </si>
  <si>
    <t>Gregory Jenkins</t>
  </si>
  <si>
    <t>Morris-Fox</t>
  </si>
  <si>
    <t>Kenneth Vargas</t>
  </si>
  <si>
    <t>Richmond, and Williams Cabrera</t>
  </si>
  <si>
    <t>Michelle Anderson</t>
  </si>
  <si>
    <t>Ltd George</t>
  </si>
  <si>
    <t>Amber Schaefer</t>
  </si>
  <si>
    <t>Ramirez, Owens and Evans</t>
  </si>
  <si>
    <t>Ryan Andersen</t>
  </si>
  <si>
    <t>Sparks PLC</t>
  </si>
  <si>
    <t>Mr. Matthew Howell</t>
  </si>
  <si>
    <t>Ewing Carr Watson, and</t>
  </si>
  <si>
    <t>Joshua Evans</t>
  </si>
  <si>
    <t>Smith-Hoffman</t>
  </si>
  <si>
    <t>William Mcdonald</t>
  </si>
  <si>
    <t>Frey and Wise, Mendez</t>
  </si>
  <si>
    <t>Heather Lopez</t>
  </si>
  <si>
    <t>Lyons PLC</t>
  </si>
  <si>
    <t>Melanie Ortiz</t>
  </si>
  <si>
    <t>Inc Pruitt</t>
  </si>
  <si>
    <t>Timothy Wood</t>
  </si>
  <si>
    <t>Hernandez Brown, and Norman</t>
  </si>
  <si>
    <t>Bonnie Johnson</t>
  </si>
  <si>
    <t>Weeks, Carey Johnson and</t>
  </si>
  <si>
    <t>Heather Jensen</t>
  </si>
  <si>
    <t>Stein-Smith</t>
  </si>
  <si>
    <t>Cassandra Carroll</t>
  </si>
  <si>
    <t>Cole Dawson and King,</t>
  </si>
  <si>
    <t>Kelly Davis</t>
  </si>
  <si>
    <t>Jordan-Combs</t>
  </si>
  <si>
    <t>Jeremy Vaughn</t>
  </si>
  <si>
    <t>Jones-Buchanan</t>
  </si>
  <si>
    <t>Bradley Bryant</t>
  </si>
  <si>
    <t>Anthony Ramirez</t>
  </si>
  <si>
    <t>Jackson Parks, and Hickman</t>
  </si>
  <si>
    <t>Tiffany Dickerson</t>
  </si>
  <si>
    <t>Sons Allison and</t>
  </si>
  <si>
    <t>Brett Snyder</t>
  </si>
  <si>
    <t>Hunter-Vincent</t>
  </si>
  <si>
    <t>Alexis Garrison</t>
  </si>
  <si>
    <t>Chen, and Avery Green</t>
  </si>
  <si>
    <t>Rachel Miranda</t>
  </si>
  <si>
    <t>Hunter LLC</t>
  </si>
  <si>
    <t>William Fisher</t>
  </si>
  <si>
    <t>Cunningham-Stephens</t>
  </si>
  <si>
    <t>Dennis Gregory</t>
  </si>
  <si>
    <t>Fox PLC</t>
  </si>
  <si>
    <t>Matthew Medina</t>
  </si>
  <si>
    <t>Moore Morris Martinez, and</t>
  </si>
  <si>
    <t>Jennifer Lopez</t>
  </si>
  <si>
    <t>Lyons-Hickman</t>
  </si>
  <si>
    <t>Maria Spencer</t>
  </si>
  <si>
    <t>and Hall Little Moon,</t>
  </si>
  <si>
    <t>Molly Rios</t>
  </si>
  <si>
    <t>French Ltd</t>
  </si>
  <si>
    <t>Danielle Shields</t>
  </si>
  <si>
    <t>and Henderson Kline Barnett,</t>
  </si>
  <si>
    <t>Tammy Wilson</t>
  </si>
  <si>
    <t>Walton Inc</t>
  </si>
  <si>
    <t>Tyler Henry</t>
  </si>
  <si>
    <t>Theresa Brown</t>
  </si>
  <si>
    <t>Cruz-Fritz</t>
  </si>
  <si>
    <t>Roger Brown</t>
  </si>
  <si>
    <t>Lewis-Greene</t>
  </si>
  <si>
    <t>Jennifer Paul</t>
  </si>
  <si>
    <t>Perry-Hayes</t>
  </si>
  <si>
    <t>Alexandra Ramos</t>
  </si>
  <si>
    <t>Meyers-Hicks</t>
  </si>
  <si>
    <t>Michelle Gilbert</t>
  </si>
  <si>
    <t>Nicholson-Perez</t>
  </si>
  <si>
    <t>Teresa Carroll</t>
  </si>
  <si>
    <t>Thompson-Jones</t>
  </si>
  <si>
    <t>Russell Miles</t>
  </si>
  <si>
    <t>Shaw-Mullins</t>
  </si>
  <si>
    <t>Nina Stephens</t>
  </si>
  <si>
    <t>Bradshaw-Meadows</t>
  </si>
  <si>
    <t>Angela Richard</t>
  </si>
  <si>
    <t>LLC Ferrell</t>
  </si>
  <si>
    <t>Andrew Collins</t>
  </si>
  <si>
    <t>Weaver-Figueroa</t>
  </si>
  <si>
    <t>Meghan Mccullough</t>
  </si>
  <si>
    <t>Hill-Bowman</t>
  </si>
  <si>
    <t>Antonio Mcdonald</t>
  </si>
  <si>
    <t>Fuller-Gilbert</t>
  </si>
  <si>
    <t>Anthony Robinson</t>
  </si>
  <si>
    <t>Davis Garcia, and Gay</t>
  </si>
  <si>
    <t>Dawn Ward</t>
  </si>
  <si>
    <t>Cole-Montgomery</t>
  </si>
  <si>
    <t>Sarah Patterson</t>
  </si>
  <si>
    <t>Daniel Livingston</t>
  </si>
  <si>
    <t>PLC Brooks</t>
  </si>
  <si>
    <t>Randy Shea</t>
  </si>
  <si>
    <t>Massey, and Snyder Bell</t>
  </si>
  <si>
    <t>Kathryn Humphrey</t>
  </si>
  <si>
    <t>Ltd Malone</t>
  </si>
  <si>
    <t>John Cruz</t>
  </si>
  <si>
    <t>Martinez-Potter</t>
  </si>
  <si>
    <t>Amy Taylor</t>
  </si>
  <si>
    <t>Mckenzie-Miller</t>
  </si>
  <si>
    <t>Steven Morales</t>
  </si>
  <si>
    <t>Garcia-Farmer</t>
  </si>
  <si>
    <t>Paula Anderson</t>
  </si>
  <si>
    <t>PLC Richard</t>
  </si>
  <si>
    <t>Lisa Horne</t>
  </si>
  <si>
    <t>Jones-Johnson</t>
  </si>
  <si>
    <t>Ashley Johnston</t>
  </si>
  <si>
    <t>Stephenson-Cruz</t>
  </si>
  <si>
    <t>Patricia Cole</t>
  </si>
  <si>
    <t>Taylor and Scott Bowman,</t>
  </si>
  <si>
    <t>Robert Garcia</t>
  </si>
  <si>
    <t>Anderson-Cox</t>
  </si>
  <si>
    <t>Cynthia Wright</t>
  </si>
  <si>
    <t>Inc Garcia</t>
  </si>
  <si>
    <t>Phillip Harris</t>
  </si>
  <si>
    <t>Harper Ltd</t>
  </si>
  <si>
    <t>Christopher Johnson</t>
  </si>
  <si>
    <t>Smith-Mack</t>
  </si>
  <si>
    <t>Lisa Gonzales</t>
  </si>
  <si>
    <t>Inc Moore</t>
  </si>
  <si>
    <t>Jessica Page</t>
  </si>
  <si>
    <t>Jones, Walker Moore and</t>
  </si>
  <si>
    <t>Timothy Salazar</t>
  </si>
  <si>
    <t>Greene-Garrett</t>
  </si>
  <si>
    <t>Tamara Mckee</t>
  </si>
  <si>
    <t>Simpson-Brown</t>
  </si>
  <si>
    <t>Brittney Roberson</t>
  </si>
  <si>
    <t>Fritz-Cox</t>
  </si>
  <si>
    <t>Robert Mack</t>
  </si>
  <si>
    <t>Sanchez-Lopez</t>
  </si>
  <si>
    <t>Larry Boyd</t>
  </si>
  <si>
    <t>Cooper Gomez, and Simmons</t>
  </si>
  <si>
    <t>Michelle Jackson</t>
  </si>
  <si>
    <t>Hodge-Thomas</t>
  </si>
  <si>
    <t>Allison Stone</t>
  </si>
  <si>
    <t>and Wright, Coffey Eaton</t>
  </si>
  <si>
    <t>William Gillespie</t>
  </si>
  <si>
    <t>Johnson-Gutierrez</t>
  </si>
  <si>
    <t>Wayne Morales</t>
  </si>
  <si>
    <t>Ward, and Clarke Ayala</t>
  </si>
  <si>
    <t>David Johnson</t>
  </si>
  <si>
    <t>Little Moore, Ellis and</t>
  </si>
  <si>
    <t>Mark Mcknight</t>
  </si>
  <si>
    <t>Inc Jackson</t>
  </si>
  <si>
    <t>Anthony Huff</t>
  </si>
  <si>
    <t>and Sons Alexander</t>
  </si>
  <si>
    <t>Gregory Burke</t>
  </si>
  <si>
    <t>Ltd Owens</t>
  </si>
  <si>
    <t>Jerry Walker</t>
  </si>
  <si>
    <t>King-Powell</t>
  </si>
  <si>
    <t>Deborah Kennedy</t>
  </si>
  <si>
    <t>Small-Simmons</t>
  </si>
  <si>
    <t>Daniel Rose</t>
  </si>
  <si>
    <t>Figueroa Gibson Hess, and</t>
  </si>
  <si>
    <t>Denise Richardson</t>
  </si>
  <si>
    <t>Torres-Jones</t>
  </si>
  <si>
    <t>Nicholas Wolf</t>
  </si>
  <si>
    <t>Trujillo-Newman</t>
  </si>
  <si>
    <t>Sandra Hanson</t>
  </si>
  <si>
    <t>Taylor Hughes and Smith,</t>
  </si>
  <si>
    <t>Carrie Fisher</t>
  </si>
  <si>
    <t>Friedman-Smith</t>
  </si>
  <si>
    <t>Wendy Ramos</t>
  </si>
  <si>
    <t>and Huff Reeves, Dennis</t>
  </si>
  <si>
    <t>Douglas Martinez</t>
  </si>
  <si>
    <t>Lopez-Wilson</t>
  </si>
  <si>
    <t>Chad Johnson</t>
  </si>
  <si>
    <t>Ltd Montes</t>
  </si>
  <si>
    <t>Johnny Reed</t>
  </si>
  <si>
    <t>Bradford-Andrews</t>
  </si>
  <si>
    <t>Clinton Edwards</t>
  </si>
  <si>
    <t>Steven Hubbard</t>
  </si>
  <si>
    <t>Mcintyre-Beasley</t>
  </si>
  <si>
    <t>Gary Kerr</t>
  </si>
  <si>
    <t>Nelson and Sons</t>
  </si>
  <si>
    <t>Anna Gallagher</t>
  </si>
  <si>
    <t>Williams, Lopez David and</t>
  </si>
  <si>
    <t>Christian Richardson</t>
  </si>
  <si>
    <t>King-Fowler</t>
  </si>
  <si>
    <t>Herrera-Vance</t>
  </si>
  <si>
    <t>Kurt Flowers</t>
  </si>
  <si>
    <t>Pratt Inc</t>
  </si>
  <si>
    <t>Chris Klein</t>
  </si>
  <si>
    <t>Butler Group</t>
  </si>
  <si>
    <t>Richard Mejia</t>
  </si>
  <si>
    <t>Jimenez, and Miller Perry</t>
  </si>
  <si>
    <t>Christopher Williams</t>
  </si>
  <si>
    <t>Humphrey Ltd</t>
  </si>
  <si>
    <t>Ann Sheppard</t>
  </si>
  <si>
    <t>Rogers Chen Gordon, and</t>
  </si>
  <si>
    <t>Sherry Cisneros</t>
  </si>
  <si>
    <t>Green Sons and</t>
  </si>
  <si>
    <t>Wendy Moreno</t>
  </si>
  <si>
    <t>and Johnson Perez, Hernandez</t>
  </si>
  <si>
    <t>Brian Farmer</t>
  </si>
  <si>
    <t>Mosley Ltd</t>
  </si>
  <si>
    <t>Jason Torres</t>
  </si>
  <si>
    <t>and Franklin Moore Campbell,</t>
  </si>
  <si>
    <t>Joshua Schwartz</t>
  </si>
  <si>
    <t>PLC Conner</t>
  </si>
  <si>
    <t>Shawn Hicks</t>
  </si>
  <si>
    <t>and Sons Wright</t>
  </si>
  <si>
    <t>Chelsea Hester</t>
  </si>
  <si>
    <t>Harris-Farrell</t>
  </si>
  <si>
    <t>Caitlin Romero</t>
  </si>
  <si>
    <t>Barrett PLC</t>
  </si>
  <si>
    <t>Todd Lowe</t>
  </si>
  <si>
    <t>Smith and Delacruz, Poole</t>
  </si>
  <si>
    <t>Brooke Hill</t>
  </si>
  <si>
    <t>Newman-Martinez</t>
  </si>
  <si>
    <t>Brian Callahan</t>
  </si>
  <si>
    <t>Floyd-Hayes</t>
  </si>
  <si>
    <t>Paul Jones</t>
  </si>
  <si>
    <t>and Anderson, Berry Franklin</t>
  </si>
  <si>
    <t>Robert Jones</t>
  </si>
  <si>
    <t>Rice and Ochoa Parker,</t>
  </si>
  <si>
    <t>Henry Cardenas</t>
  </si>
  <si>
    <t>and Lopez Sons</t>
  </si>
  <si>
    <t>William Cohen</t>
  </si>
  <si>
    <t>Sullivan Group</t>
  </si>
  <si>
    <t>Cheryl Gonzalez</t>
  </si>
  <si>
    <t>LLC Mason</t>
  </si>
  <si>
    <t>Jennifer Hartman</t>
  </si>
  <si>
    <t>Bryan Inc</t>
  </si>
  <si>
    <t>Susan Hansen</t>
  </si>
  <si>
    <t>and Ross, Crosby Caldwell</t>
  </si>
  <si>
    <t>Dennis Torres</t>
  </si>
  <si>
    <t>Pamela Hayes</t>
  </si>
  <si>
    <t>Antonio Torres</t>
  </si>
  <si>
    <t>Fritz-Evans</t>
  </si>
  <si>
    <t>James Parker</t>
  </si>
  <si>
    <t>and May Sons</t>
  </si>
  <si>
    <t>Chad Newman</t>
  </si>
  <si>
    <t>Dawson-Williams</t>
  </si>
  <si>
    <t>Raven Lewis</t>
  </si>
  <si>
    <t>Bishop, Wright and Wright</t>
  </si>
  <si>
    <t>Olivia Hill</t>
  </si>
  <si>
    <t>Reed-Guzman</t>
  </si>
  <si>
    <t>Phillip Huff</t>
  </si>
  <si>
    <t>Patrick-White</t>
  </si>
  <si>
    <t>David Lynch</t>
  </si>
  <si>
    <t>Chavez Kennedy, and Hensley</t>
  </si>
  <si>
    <t>Gregory Martin MD</t>
  </si>
  <si>
    <t>Ltd Vaughn</t>
  </si>
  <si>
    <t>Kristen Woods</t>
  </si>
  <si>
    <t>Hill-Rogers</t>
  </si>
  <si>
    <t>Karl Bennett</t>
  </si>
  <si>
    <t>Green, Silva Singleton and</t>
  </si>
  <si>
    <t>PLC Dorsey</t>
  </si>
  <si>
    <t>Samuel Navarro</t>
  </si>
  <si>
    <t>Steven Mack</t>
  </si>
  <si>
    <t>Gary Yang</t>
  </si>
  <si>
    <t>Martinez-Gonzalez</t>
  </si>
  <si>
    <t>Travis Garcia</t>
  </si>
  <si>
    <t>Acosta Weeks Yates, and</t>
  </si>
  <si>
    <t>Mrs. Olivia Wood DVM</t>
  </si>
  <si>
    <t>Cobb Rubio, Williamson and</t>
  </si>
  <si>
    <t>Jeremy Baker</t>
  </si>
  <si>
    <t>Black LLC</t>
  </si>
  <si>
    <t>Glenda Delgado</t>
  </si>
  <si>
    <t>Clayton LLC</t>
  </si>
  <si>
    <t>Margaret Peterson</t>
  </si>
  <si>
    <t>and Fleming, Brown Short</t>
  </si>
  <si>
    <t>Richard Rodriguez</t>
  </si>
  <si>
    <t>Sons and Dominguez</t>
  </si>
  <si>
    <t>Thomas Hamilton</t>
  </si>
  <si>
    <t>Monroe-Morris</t>
  </si>
  <si>
    <t>Mackenzie Hammond</t>
  </si>
  <si>
    <t>Brown, Stevens Tran and</t>
  </si>
  <si>
    <t>Miranda Fry</t>
  </si>
  <si>
    <t>Gibson Ltd</t>
  </si>
  <si>
    <t>Michael Brown</t>
  </si>
  <si>
    <t>Miller-Robinson</t>
  </si>
  <si>
    <t>Diana Willis</t>
  </si>
  <si>
    <t>Ferguson and Benton, Moore</t>
  </si>
  <si>
    <t>James Crawford</t>
  </si>
  <si>
    <t>Heidi Estrada</t>
  </si>
  <si>
    <t>Brown Cochran and Murphy,</t>
  </si>
  <si>
    <t>Eric Colon</t>
  </si>
  <si>
    <t>Rangel-Barton</t>
  </si>
  <si>
    <t>Wendy Flores</t>
  </si>
  <si>
    <t>Andrade, Johnson Watts and</t>
  </si>
  <si>
    <t>Danielle Lee</t>
  </si>
  <si>
    <t>Reynolds and Ward, Wise</t>
  </si>
  <si>
    <t>Lucas Lewis</t>
  </si>
  <si>
    <t>Clark-Stewart</t>
  </si>
  <si>
    <t>Anna Chapman</t>
  </si>
  <si>
    <t>Smith-Prince</t>
  </si>
  <si>
    <t>Gabriel Booker</t>
  </si>
  <si>
    <t>Inc Navarro</t>
  </si>
  <si>
    <t>Andrew Whitehead</t>
  </si>
  <si>
    <t>Mcclure-Sparks</t>
  </si>
  <si>
    <t>Suzanne Butler</t>
  </si>
  <si>
    <t>Reyes-Gutierrez</t>
  </si>
  <si>
    <t>Julie Henderson</t>
  </si>
  <si>
    <t>Stevens, Hudson and Simmons</t>
  </si>
  <si>
    <t>Linda Rogers</t>
  </si>
  <si>
    <t>Fowler Ltd</t>
  </si>
  <si>
    <t>Jeffrey Chandler</t>
  </si>
  <si>
    <t>Powers Wyatt and Underwood,</t>
  </si>
  <si>
    <t>Melissa Shields</t>
  </si>
  <si>
    <t>and Lawson Sons</t>
  </si>
  <si>
    <t>Renee Wilson</t>
  </si>
  <si>
    <t>and Huang, Alvarez Gray</t>
  </si>
  <si>
    <t>Joshua Gill</t>
  </si>
  <si>
    <t>LLC Miller</t>
  </si>
  <si>
    <t>Stephanie Smith</t>
  </si>
  <si>
    <t>Brown-Zimmerman</t>
  </si>
  <si>
    <t>Patricia Munoz</t>
  </si>
  <si>
    <t>Thomas-Schneider</t>
  </si>
  <si>
    <t>Amanda Richardson</t>
  </si>
  <si>
    <t>Hayden-Day</t>
  </si>
  <si>
    <t>Samantha Baker</t>
  </si>
  <si>
    <t>Perkins and Gomez Collins,</t>
  </si>
  <si>
    <t>Jeffrey Nguyen</t>
  </si>
  <si>
    <t>Sons and Drake</t>
  </si>
  <si>
    <t>Mary Gordon</t>
  </si>
  <si>
    <t>and Lopez Dean, Rowland</t>
  </si>
  <si>
    <t>Brian Nelson</t>
  </si>
  <si>
    <t>Hays Inc</t>
  </si>
  <si>
    <t>Erica Mckay</t>
  </si>
  <si>
    <t>Bridges-Anthony</t>
  </si>
  <si>
    <t>Jessica Cox</t>
  </si>
  <si>
    <t>Sons Wood and</t>
  </si>
  <si>
    <t>Philip Rhodes</t>
  </si>
  <si>
    <t>Carter Lowe Benitez, and</t>
  </si>
  <si>
    <t>Kenneth Jackson</t>
  </si>
  <si>
    <t>Floyd, and Johnson Miller</t>
  </si>
  <si>
    <t>Deanna Kim</t>
  </si>
  <si>
    <t>Willis Stewart, and Warner</t>
  </si>
  <si>
    <t>David Hardin</t>
  </si>
  <si>
    <t>Haas Ltd</t>
  </si>
  <si>
    <t>Adrian Swanson</t>
  </si>
  <si>
    <t>and Gonzalez Smith, Arnold</t>
  </si>
  <si>
    <t>Cole Young</t>
  </si>
  <si>
    <t>Bennett-Wheeler</t>
  </si>
  <si>
    <t>Jennifer Sims</t>
  </si>
  <si>
    <t>Cox-Johnson</t>
  </si>
  <si>
    <t>April Noble</t>
  </si>
  <si>
    <t>Bruce-Preston</t>
  </si>
  <si>
    <t>Jeffrey Caldwell</t>
  </si>
  <si>
    <t>Walton-Thomas</t>
  </si>
  <si>
    <t>Andrew Moore</t>
  </si>
  <si>
    <t>Bishop Ltd</t>
  </si>
  <si>
    <t>Michael Garcia</t>
  </si>
  <si>
    <t>Moore-Walker</t>
  </si>
  <si>
    <t>Allison Mullen</t>
  </si>
  <si>
    <t>Davis Petersen, and Colon</t>
  </si>
  <si>
    <t>Rachel Underwood</t>
  </si>
  <si>
    <t>Pace-Peterson</t>
  </si>
  <si>
    <t>Tony Casey</t>
  </si>
  <si>
    <t>Beck, Malone Braun and</t>
  </si>
  <si>
    <t>Sean Avila</t>
  </si>
  <si>
    <t>Boyle PLC</t>
  </si>
  <si>
    <t>Erin Thomas</t>
  </si>
  <si>
    <t>and Tate Sons</t>
  </si>
  <si>
    <t>Sarah Porter</t>
  </si>
  <si>
    <t>Alexander Simmons and Martinez,</t>
  </si>
  <si>
    <t>Luis Pierce</t>
  </si>
  <si>
    <t>Jessica Williams</t>
  </si>
  <si>
    <t>Byrd Moore, and Norton</t>
  </si>
  <si>
    <t>Vanessa Smith</t>
  </si>
  <si>
    <t>Padilla Sons and</t>
  </si>
  <si>
    <t>and Lane Jones, Hill</t>
  </si>
  <si>
    <t>Anthony Brown</t>
  </si>
  <si>
    <t>Carlson-Delacruz</t>
  </si>
  <si>
    <t>Ronald Dawson</t>
  </si>
  <si>
    <t>Joseph Inc</t>
  </si>
  <si>
    <t>Rose Sanders</t>
  </si>
  <si>
    <t>and Martin Sons</t>
  </si>
  <si>
    <t>Kristine Buchanan</t>
  </si>
  <si>
    <t>Ramirez Inc</t>
  </si>
  <si>
    <t>Michelle Lam</t>
  </si>
  <si>
    <t>Williams and Nunez Mccullough,</t>
  </si>
  <si>
    <t>Kayla Acosta</t>
  </si>
  <si>
    <t>and Orozco Henry Harris,</t>
  </si>
  <si>
    <t>Wayne Robbins</t>
  </si>
  <si>
    <t>Ruiz-Schroeder</t>
  </si>
  <si>
    <t>Jessica Kelly</t>
  </si>
  <si>
    <t>Catherine Dunn</t>
  </si>
  <si>
    <t>and Wilson Swanson, Griffin</t>
  </si>
  <si>
    <t>Lucas Rodriguez</t>
  </si>
  <si>
    <t>and Ryan, Browning Vargas</t>
  </si>
  <si>
    <t>Jessica Snyder</t>
  </si>
  <si>
    <t>Hensley-Ward</t>
  </si>
  <si>
    <t>Kimberly Rogers</t>
  </si>
  <si>
    <t>Carlson-Perry</t>
  </si>
  <si>
    <t>Elizabeth James</t>
  </si>
  <si>
    <t>Sanchez Group</t>
  </si>
  <si>
    <t>Juan Kelley</t>
  </si>
  <si>
    <t>Wilson and Thomas, Anderson</t>
  </si>
  <si>
    <t>Morgan Douglas</t>
  </si>
  <si>
    <t>and Robinson Sons</t>
  </si>
  <si>
    <t>Erica Fields</t>
  </si>
  <si>
    <t>Adams-Bass</t>
  </si>
  <si>
    <t>Robert Griffin</t>
  </si>
  <si>
    <t>Wright and Hart Brown,</t>
  </si>
  <si>
    <t>Jennifer Davis</t>
  </si>
  <si>
    <t>Ltd Jackson</t>
  </si>
  <si>
    <t>Lisa Jones</t>
  </si>
  <si>
    <t>Hall Sullivan and Hernandez,</t>
  </si>
  <si>
    <t>Eric Bean</t>
  </si>
  <si>
    <t>Camacho PLC</t>
  </si>
  <si>
    <t>Janice Smith</t>
  </si>
  <si>
    <t>Duran Navarro Torres, and</t>
  </si>
  <si>
    <t>Robert Ray</t>
  </si>
  <si>
    <t>Brian Pennington</t>
  </si>
  <si>
    <t>Morris-Taylor</t>
  </si>
  <si>
    <t>Cody Hernandez</t>
  </si>
  <si>
    <t>Ross-Coleman</t>
  </si>
  <si>
    <t>Ashley Lynch</t>
  </si>
  <si>
    <t>Moses Nunez, Gray and</t>
  </si>
  <si>
    <t>James Ryan</t>
  </si>
  <si>
    <t>Cohen LLC</t>
  </si>
  <si>
    <t>Dr. Thomas Chan Jr.</t>
  </si>
  <si>
    <t>Webb Daniel, Turner and</t>
  </si>
  <si>
    <t>John Rivera</t>
  </si>
  <si>
    <t>Hawkins Davidson Oliver, and</t>
  </si>
  <si>
    <t>Jose Page</t>
  </si>
  <si>
    <t>and Foley, Jones Harris</t>
  </si>
  <si>
    <t>Patient_ID</t>
  </si>
  <si>
    <t>Department</t>
  </si>
  <si>
    <t>Length_of_stay</t>
  </si>
  <si>
    <t>Readmission_Flag</t>
  </si>
  <si>
    <t>Severity</t>
  </si>
  <si>
    <t>Ward</t>
  </si>
  <si>
    <t>Bed_ID</t>
  </si>
  <si>
    <t>Room_Type</t>
  </si>
  <si>
    <t>Nurse_ID</t>
  </si>
  <si>
    <t>Staff_Shift</t>
  </si>
  <si>
    <t>Equipment_Used</t>
  </si>
  <si>
    <t>Equipment_status</t>
  </si>
  <si>
    <t>Payment_Status</t>
  </si>
  <si>
    <t>Payment_Method</t>
  </si>
  <si>
    <t>Emergency_Case</t>
  </si>
  <si>
    <t>ICU_Admission</t>
  </si>
  <si>
    <t>Discharge_Status</t>
  </si>
  <si>
    <t>Hospital_Region</t>
  </si>
  <si>
    <t>Admisission_Month</t>
  </si>
  <si>
    <t>Admission_Year</t>
  </si>
  <si>
    <t>Occupancy_Status</t>
  </si>
  <si>
    <t>Bed_Capacity</t>
  </si>
  <si>
    <t>Bobby Jackson</t>
  </si>
  <si>
    <t>Leslie Terry</t>
  </si>
  <si>
    <t>Danny Smith</t>
  </si>
  <si>
    <t>Andrew Watts</t>
  </si>
  <si>
    <t>Adrienne Bell</t>
  </si>
  <si>
    <t>Emily Johnson</t>
  </si>
  <si>
    <t>Edward Edwards</t>
  </si>
  <si>
    <t>Christina Martinez</t>
  </si>
  <si>
    <t>Jasmine Aguilar</t>
  </si>
  <si>
    <t>Christopher Berg</t>
  </si>
  <si>
    <t>Michelle Daniels</t>
  </si>
  <si>
    <t>Aaron Martinez</t>
  </si>
  <si>
    <t>Connor Hansen</t>
  </si>
  <si>
    <t>Robert Bauer</t>
  </si>
  <si>
    <t>Brooke Brady</t>
  </si>
  <si>
    <t>Ms. Natalie Gamble</t>
  </si>
  <si>
    <t>Haley Perkins</t>
  </si>
  <si>
    <t>Mrs. Jamie Campbell</t>
  </si>
  <si>
    <t>Luke Burgess</t>
  </si>
  <si>
    <t>Daniel Schmidt</t>
  </si>
  <si>
    <t>Timothy Burns</t>
  </si>
  <si>
    <t>Christopher Bright</t>
  </si>
  <si>
    <t>Kathryn Stewart</t>
  </si>
  <si>
    <t>Dr. Eileen Thompson</t>
  </si>
  <si>
    <t>Paul Henderson</t>
  </si>
  <si>
    <t>Peter Fitzgerald</t>
  </si>
  <si>
    <t>Cathy Small</t>
  </si>
  <si>
    <t>Mr. Kenneth Moore</t>
  </si>
  <si>
    <t>Mary Hunter</t>
  </si>
  <si>
    <t>Joshua Oliver</t>
  </si>
  <si>
    <t>Thomas Martinez</t>
  </si>
  <si>
    <t>James Patterson</t>
  </si>
  <si>
    <t>William Cooper</t>
  </si>
  <si>
    <t>Erin Ortega</t>
  </si>
  <si>
    <t>Nicole Rodriguez</t>
  </si>
  <si>
    <t>David Anderson</t>
  </si>
  <si>
    <t>Denise Torres</t>
  </si>
  <si>
    <t>Cassandra Robinson</t>
  </si>
  <si>
    <t>Nicole Lucero</t>
  </si>
  <si>
    <t>Pamela Fernandez</t>
  </si>
  <si>
    <t>Christopher Lee</t>
  </si>
  <si>
    <t>Thomas Morse</t>
  </si>
  <si>
    <t>Mr. Eric Lane</t>
  </si>
  <si>
    <t>Katherine Smith</t>
  </si>
  <si>
    <t>Paul Williams</t>
  </si>
  <si>
    <t>Lynn Martinez</t>
  </si>
  <si>
    <t>Christopher Chapman</t>
  </si>
  <si>
    <t>Chris Frye</t>
  </si>
  <si>
    <t>Kyle Bennett</t>
  </si>
  <si>
    <t>Brandon Collins</t>
  </si>
  <si>
    <t>Michael Liu</t>
  </si>
  <si>
    <t>Stephanie Kent</t>
  </si>
  <si>
    <t>Jesse Banks</t>
  </si>
  <si>
    <t>Peggy Lee</t>
  </si>
  <si>
    <t>Tamara Hernandez</t>
  </si>
  <si>
    <t>Mr. David Pierce Md</t>
  </si>
  <si>
    <t>Bethany Moore</t>
  </si>
  <si>
    <t>Michael Mills</t>
  </si>
  <si>
    <t>Kyle Wiley</t>
  </si>
  <si>
    <t>Jacqueline Jordan</t>
  </si>
  <si>
    <t>Ashley Gutierrez</t>
  </si>
  <si>
    <t>Kim Scott</t>
  </si>
  <si>
    <t>Travis Carter</t>
  </si>
  <si>
    <t>Larry Rodgers</t>
  </si>
  <si>
    <t>Nancy Glover</t>
  </si>
  <si>
    <t>Jessica King</t>
  </si>
  <si>
    <t>Christopher Gonzalez</t>
  </si>
  <si>
    <t>Erica Myers</t>
  </si>
  <si>
    <t>Carol Patterson</t>
  </si>
  <si>
    <t>Jose Lopez</t>
  </si>
  <si>
    <t>Kevin Simmons Jr.</t>
  </si>
  <si>
    <t>Duane Haney</t>
  </si>
  <si>
    <t>Jonathan Yates</t>
  </si>
  <si>
    <t>John Thomas</t>
  </si>
  <si>
    <t>Adrian Buckley</t>
  </si>
  <si>
    <t>April Santiago</t>
  </si>
  <si>
    <t>Diane Schultz</t>
  </si>
  <si>
    <t>Timothy Myers</t>
  </si>
  <si>
    <t>Nicole Hughes</t>
  </si>
  <si>
    <t>Chad Moreno</t>
  </si>
  <si>
    <t>Sean Jennings</t>
  </si>
  <si>
    <t>Diane Branch</t>
  </si>
  <si>
    <t>Cindy Orozco</t>
  </si>
  <si>
    <t>Patricia Medina</t>
  </si>
  <si>
    <t>Kayla Padilla</t>
  </si>
  <si>
    <t>Juan Klein</t>
  </si>
  <si>
    <t>William Hill</t>
  </si>
  <si>
    <t>Carl Best</t>
  </si>
  <si>
    <t>Mr. Tyler Taylor Phd</t>
  </si>
  <si>
    <t>Taylor Howell Dds</t>
  </si>
  <si>
    <t>Michael Martin</t>
  </si>
  <si>
    <t>Catherine Gardner</t>
  </si>
  <si>
    <t>Anne Thompson</t>
  </si>
  <si>
    <t>Todd Cooper</t>
  </si>
  <si>
    <t>Phillip Lyons</t>
  </si>
  <si>
    <t>Mark Ford</t>
  </si>
  <si>
    <t>Marcus Zamora</t>
  </si>
  <si>
    <t>Katie Henry</t>
  </si>
  <si>
    <t>William Morton</t>
  </si>
  <si>
    <t>Hunter Mckay</t>
  </si>
  <si>
    <t>Dwayne Davis</t>
  </si>
  <si>
    <t>Sarah Caldwell</t>
  </si>
  <si>
    <t>David Higgins</t>
  </si>
  <si>
    <t>Bradley Combs</t>
  </si>
  <si>
    <t>Christina Schmitt</t>
  </si>
  <si>
    <t>Colton Strong</t>
  </si>
  <si>
    <t>Mark Price</t>
  </si>
  <si>
    <t>Suzanne Schneider</t>
  </si>
  <si>
    <t>Michael Hurley</t>
  </si>
  <si>
    <t>Lindsey Lambert</t>
  </si>
  <si>
    <t>Rebecca Parsons</t>
  </si>
  <si>
    <t>Judy Johnson</t>
  </si>
  <si>
    <t>Tonya Campbell</t>
  </si>
  <si>
    <t>James Ross</t>
  </si>
  <si>
    <t>Sara Cook</t>
  </si>
  <si>
    <t>Anne Howell</t>
  </si>
  <si>
    <t>Renee Bailey</t>
  </si>
  <si>
    <t>Jeffrey Turner</t>
  </si>
  <si>
    <t>Dr. Lauren Clark Dds</t>
  </si>
  <si>
    <t>Terry Thomas</t>
  </si>
  <si>
    <t>Jason Baker</t>
  </si>
  <si>
    <t>Jessica Gutierrez</t>
  </si>
  <si>
    <t>Courtney Hodges</t>
  </si>
  <si>
    <t>Anthony Reyes</t>
  </si>
  <si>
    <t>Leah Cross Dds</t>
  </si>
  <si>
    <t>Paul Martinez</t>
  </si>
  <si>
    <t>Denise Rodriguez</t>
  </si>
  <si>
    <t>Ashley Erickson</t>
  </si>
  <si>
    <t>Sean Cardenas</t>
  </si>
  <si>
    <t>Alan Alvarez</t>
  </si>
  <si>
    <t>Jessica Phillips</t>
  </si>
  <si>
    <t>Timothy Coleman</t>
  </si>
  <si>
    <t>Christina Woods</t>
  </si>
  <si>
    <t>Melissa Scott</t>
  </si>
  <si>
    <t>Gary Hopkins</t>
  </si>
  <si>
    <t>April Valencia</t>
  </si>
  <si>
    <t>Rita Archer</t>
  </si>
  <si>
    <t>Kim Pena</t>
  </si>
  <si>
    <t>Jason Foley</t>
  </si>
  <si>
    <t>Shaun Guzman</t>
  </si>
  <si>
    <t>Matthew White</t>
  </si>
  <si>
    <t>Alexis Wilson</t>
  </si>
  <si>
    <t>Jacqueline Marshall</t>
  </si>
  <si>
    <t>Sierra Morton</t>
  </si>
  <si>
    <t>Natalie Stanton</t>
  </si>
  <si>
    <t>Jessica Acevedo</t>
  </si>
  <si>
    <t>Jennifer Mcmillan</t>
  </si>
  <si>
    <t>Christopher Mcclain</t>
  </si>
  <si>
    <t>Kevin Hicks</t>
  </si>
  <si>
    <t>Melinda Richards</t>
  </si>
  <si>
    <t>Robyn Miranda</t>
  </si>
  <si>
    <t>Scott Castillo</t>
  </si>
  <si>
    <t>John Garcia</t>
  </si>
  <si>
    <t>Michael Taylor</t>
  </si>
  <si>
    <t>Jeffrey Wood</t>
  </si>
  <si>
    <t>Michael Smith</t>
  </si>
  <si>
    <t>William Griffith</t>
  </si>
  <si>
    <t>Christina Lawrence</t>
  </si>
  <si>
    <t>Jessica Holmes</t>
  </si>
  <si>
    <t>Tracey Greene</t>
  </si>
  <si>
    <t>Amanda Lopez</t>
  </si>
  <si>
    <t>Laura Peters</t>
  </si>
  <si>
    <t>Lauren Anderson</t>
  </si>
  <si>
    <t>William Campos</t>
  </si>
  <si>
    <t>Jessica Gonzales</t>
  </si>
  <si>
    <t>Bruce Gonzales</t>
  </si>
  <si>
    <t>Robert Walsh</t>
  </si>
  <si>
    <t>Lisa Lewis</t>
  </si>
  <si>
    <t>William Ruiz</t>
  </si>
  <si>
    <t>Steven Baldwin</t>
  </si>
  <si>
    <t>Megan Colon</t>
  </si>
  <si>
    <t>Kimberly Brooks</t>
  </si>
  <si>
    <t>Edward Smith Jr.</t>
  </si>
  <si>
    <t>Allison Cordova</t>
  </si>
  <si>
    <t>Linda Thomas</t>
  </si>
  <si>
    <t>Parker Moore</t>
  </si>
  <si>
    <t>Tanya Soto</t>
  </si>
  <si>
    <t>Michael Jordan</t>
  </si>
  <si>
    <t>Christina Martin</t>
  </si>
  <si>
    <t>Tracy Burke</t>
  </si>
  <si>
    <t>David Spence</t>
  </si>
  <si>
    <t>Joseph Foster</t>
  </si>
  <si>
    <t>Nicholas Hall</t>
  </si>
  <si>
    <t>Christina Macias</t>
  </si>
  <si>
    <t>Scott Jones</t>
  </si>
  <si>
    <t>James Anderson</t>
  </si>
  <si>
    <t>Shaun Long</t>
  </si>
  <si>
    <t>Kristina Mora</t>
  </si>
  <si>
    <t>Joshua Richmond</t>
  </si>
  <si>
    <t>Mark Lawrence</t>
  </si>
  <si>
    <t>John Ellis</t>
  </si>
  <si>
    <t>Mrs. Tiffany Dennis</t>
  </si>
  <si>
    <t>Cynthia Huang</t>
  </si>
  <si>
    <t>Melissa Lawrence</t>
  </si>
  <si>
    <t>Steven Goodwin</t>
  </si>
  <si>
    <t>Mary Hunt</t>
  </si>
  <si>
    <t>Eric Rivera</t>
  </si>
  <si>
    <t>Alan Taylor</t>
  </si>
  <si>
    <t>Michael Campbell</t>
  </si>
  <si>
    <t>Ashley Webb Dds</t>
  </si>
  <si>
    <t>Shannon Brown</t>
  </si>
  <si>
    <t>Lawrence Shepherd</t>
  </si>
  <si>
    <t>Scott Wade</t>
  </si>
  <si>
    <t>Heather Curtis</t>
  </si>
  <si>
    <t>Kevin Jefferson</t>
  </si>
  <si>
    <t>David Griffin</t>
  </si>
  <si>
    <t>Grant George</t>
  </si>
  <si>
    <t>Eric Stewart</t>
  </si>
  <si>
    <t>Robert Pittman</t>
  </si>
  <si>
    <t>Sydney Cross</t>
  </si>
  <si>
    <t>David Crawford</t>
  </si>
  <si>
    <t>Leah Drake</t>
  </si>
  <si>
    <t>Diana Hall</t>
  </si>
  <si>
    <t>Justin Le</t>
  </si>
  <si>
    <t>Karen Price Dds</t>
  </si>
  <si>
    <t>Carolyn Steele</t>
  </si>
  <si>
    <t>Lauren Ramirez</t>
  </si>
  <si>
    <t>Jacob Newman</t>
  </si>
  <si>
    <t>Katherine Barnett</t>
  </si>
  <si>
    <t>Jodi Martinez</t>
  </si>
  <si>
    <t>Andrea Allen</t>
  </si>
  <si>
    <t>Noah Baxter</t>
  </si>
  <si>
    <t>Hector Maxwell</t>
  </si>
  <si>
    <t>Holly Walters</t>
  </si>
  <si>
    <t>Albert Thomas</t>
  </si>
  <si>
    <t>Jeffery Williamson</t>
  </si>
  <si>
    <t>Jonathan Meadows</t>
  </si>
  <si>
    <t>Kristin Bennett</t>
  </si>
  <si>
    <t>Joseph Carpenter</t>
  </si>
  <si>
    <t>Larry Mayer</t>
  </si>
  <si>
    <t>Clayton Peterson</t>
  </si>
  <si>
    <t>Donald Alvarez</t>
  </si>
  <si>
    <t>Sarah Lee</t>
  </si>
  <si>
    <t>John Perez</t>
  </si>
  <si>
    <t>Timothy Jacobs</t>
  </si>
  <si>
    <t>Nathan Small</t>
  </si>
  <si>
    <t>Dustin Wright</t>
  </si>
  <si>
    <t>Jacob Williams</t>
  </si>
  <si>
    <t>William Mccoy</t>
  </si>
  <si>
    <t>Dr. Matthew Wilkins</t>
  </si>
  <si>
    <t>Joseph Gonzalez</t>
  </si>
  <si>
    <t>Robert Fields</t>
  </si>
  <si>
    <t>Lawrence Miranda</t>
  </si>
  <si>
    <t>Mitchell Carroll</t>
  </si>
  <si>
    <t>Cody Nichols</t>
  </si>
  <si>
    <t>Kelli Thompson</t>
  </si>
  <si>
    <t>Danielle Lopez</t>
  </si>
  <si>
    <t>Melinda Jones</t>
  </si>
  <si>
    <t>Kristin Smith</t>
  </si>
  <si>
    <t>Stephanie Reynolds</t>
  </si>
  <si>
    <t>Anna Norman</t>
  </si>
  <si>
    <t>Maria Hayes</t>
  </si>
  <si>
    <t>Tonya Riley Md</t>
  </si>
  <si>
    <t>Regina Dunn</t>
  </si>
  <si>
    <t>Michael Jacobs</t>
  </si>
  <si>
    <t>Jason Moore Md</t>
  </si>
  <si>
    <t>Eric Hall</t>
  </si>
  <si>
    <t>Malik Martinez</t>
  </si>
  <si>
    <t>Lisa Kennedy</t>
  </si>
  <si>
    <t>Kristin Ochoa</t>
  </si>
  <si>
    <t>Joseph Zuniga</t>
  </si>
  <si>
    <t>Kyle Tyler</t>
  </si>
  <si>
    <t>Eric Duncan</t>
  </si>
  <si>
    <t>Rachel Romero</t>
  </si>
  <si>
    <t>Emily Clark</t>
  </si>
  <si>
    <t>Daniel Mckinney</t>
  </si>
  <si>
    <t>Bonnie Williams</t>
  </si>
  <si>
    <t>Marcus Henry</t>
  </si>
  <si>
    <t>Katherine Hart</t>
  </si>
  <si>
    <t>Michelle Pierce</t>
  </si>
  <si>
    <t>Cameron Sanchez</t>
  </si>
  <si>
    <t>David Vincent</t>
  </si>
  <si>
    <t>Melissa Gomez</t>
  </si>
  <si>
    <t>Amanda Ponce</t>
  </si>
  <si>
    <t>Carol Gomez</t>
  </si>
  <si>
    <t>Christopher Palmer</t>
  </si>
  <si>
    <t>Paul Hahn</t>
  </si>
  <si>
    <t>Ashley Moore</t>
  </si>
  <si>
    <t>Linda Hamilton</t>
  </si>
  <si>
    <t>Robin Cox</t>
  </si>
  <si>
    <t>Anthony Hall</t>
  </si>
  <si>
    <t>Robert Smith</t>
  </si>
  <si>
    <t>Derek Carter</t>
  </si>
  <si>
    <t>Heather May</t>
  </si>
  <si>
    <t>Peter Gonzalez</t>
  </si>
  <si>
    <t>Chris Fletcher</t>
  </si>
  <si>
    <t>Shirley Wilkinson</t>
  </si>
  <si>
    <t>Courtney Farrell</t>
  </si>
  <si>
    <t>Andrea Willis</t>
  </si>
  <si>
    <t>Chad Huff</t>
  </si>
  <si>
    <t>Devin Gilbert</t>
  </si>
  <si>
    <t>Donald Davis</t>
  </si>
  <si>
    <t>Kurt Murphy</t>
  </si>
  <si>
    <t>Sylvia West</t>
  </si>
  <si>
    <t>Donald Vazquez</t>
  </si>
  <si>
    <t>Rebecca Rush</t>
  </si>
  <si>
    <t>Christopher Curry</t>
  </si>
  <si>
    <t>Michael Edwards</t>
  </si>
  <si>
    <t>Christopher Arnold</t>
  </si>
  <si>
    <t>Rachel Hickman</t>
  </si>
  <si>
    <t>Ashley Gray</t>
  </si>
  <si>
    <t>Elizabeth Perez</t>
  </si>
  <si>
    <t>Angel Randolph Dds</t>
  </si>
  <si>
    <t>Mark Saunders</t>
  </si>
  <si>
    <t>Christian Lang</t>
  </si>
  <si>
    <t>Pam Perkins</t>
  </si>
  <si>
    <t>Kayla Greene</t>
  </si>
  <si>
    <t>Michael David</t>
  </si>
  <si>
    <t>Alexis Mccall</t>
  </si>
  <si>
    <t>Mr. Brandon Perez Md</t>
  </si>
  <si>
    <t>Dr. Jeffrey Cole</t>
  </si>
  <si>
    <t>Robert Sexton</t>
  </si>
  <si>
    <t>Ashley Vasquez</t>
  </si>
  <si>
    <t>Michelle Flynn</t>
  </si>
  <si>
    <t>Steven Tran</t>
  </si>
  <si>
    <t>James Miller</t>
  </si>
  <si>
    <t>Bonnie Hill</t>
  </si>
  <si>
    <t>Anthony Davis</t>
  </si>
  <si>
    <t>David Sheppard</t>
  </si>
  <si>
    <t>Jodi Lang</t>
  </si>
  <si>
    <t>Vanessa Taylor</t>
  </si>
  <si>
    <t>Wayne Lynch</t>
  </si>
  <si>
    <t>Yesenia Mcfarland</t>
  </si>
  <si>
    <t>Kenneth Wilson</t>
  </si>
  <si>
    <t>Jillian Marks</t>
  </si>
  <si>
    <t>Michelle Cruz Dds</t>
  </si>
  <si>
    <t>Clarence Ford Jr.</t>
  </si>
  <si>
    <t>Donald Kane</t>
  </si>
  <si>
    <t>Zachary Larsen</t>
  </si>
  <si>
    <t>Sheryl Martinez</t>
  </si>
  <si>
    <t>Mr. Nathan Avila</t>
  </si>
  <si>
    <t>Anne Anthony</t>
  </si>
  <si>
    <t>Holly Lambert</t>
  </si>
  <si>
    <t>James Rasmussen</t>
  </si>
  <si>
    <t>Sarah Cannon</t>
  </si>
  <si>
    <t>Melinda Tanner</t>
  </si>
  <si>
    <t>Laurie Joseph</t>
  </si>
  <si>
    <t>Stephanie Hunter</t>
  </si>
  <si>
    <t>Gina Davis</t>
  </si>
  <si>
    <t>Christopher Shea Jr.</t>
  </si>
  <si>
    <t>Mrs. Sabrina Ball</t>
  </si>
  <si>
    <t>Joyce Mccormick</t>
  </si>
  <si>
    <t>Devin Bell</t>
  </si>
  <si>
    <t>Allison Ramirez</t>
  </si>
  <si>
    <t>Laura Romero</t>
  </si>
  <si>
    <t>Toni Faulkner</t>
  </si>
  <si>
    <t>Patricia Turner</t>
  </si>
  <si>
    <t>Nathan Ray</t>
  </si>
  <si>
    <t>Ryan Sanchez</t>
  </si>
  <si>
    <t>Thomas Dennis</t>
  </si>
  <si>
    <t>Mr. Timothy Flores</t>
  </si>
  <si>
    <t>Wendy Levine</t>
  </si>
  <si>
    <t>Nicole Gonzalez</t>
  </si>
  <si>
    <t>Michael Ellison</t>
  </si>
  <si>
    <t>Brandon Davis</t>
  </si>
  <si>
    <t>Vanessa Garcia</t>
  </si>
  <si>
    <t>Autumn Peck</t>
  </si>
  <si>
    <t>Nathaniel Reynolds</t>
  </si>
  <si>
    <t>Joyce Moody</t>
  </si>
  <si>
    <t>Mark Fuentes</t>
  </si>
  <si>
    <t>Brett Ferguson</t>
  </si>
  <si>
    <t>Travis Simmons</t>
  </si>
  <si>
    <t>Jeremy Frye</t>
  </si>
  <si>
    <t>Cameron Miller</t>
  </si>
  <si>
    <t>William Williams Dds</t>
  </si>
  <si>
    <t>Tracie Wright</t>
  </si>
  <si>
    <t>David Reyes</t>
  </si>
  <si>
    <t>Paige King</t>
  </si>
  <si>
    <t>James Garcia</t>
  </si>
  <si>
    <t>Lori Harvey</t>
  </si>
  <si>
    <t>Amy Wang</t>
  </si>
  <si>
    <t>Jordan Vargas</t>
  </si>
  <si>
    <t>Gordon Kelly</t>
  </si>
  <si>
    <t>Nathan Scott</t>
  </si>
  <si>
    <t>Lisa Green</t>
  </si>
  <si>
    <t>Amy Combs</t>
  </si>
  <si>
    <t>Kelly Sanford</t>
  </si>
  <si>
    <t>Mrs. Jessica Black Md</t>
  </si>
  <si>
    <t>Robert Gould</t>
  </si>
  <si>
    <t>Christine Vargas</t>
  </si>
  <si>
    <t>Barbara Diaz</t>
  </si>
  <si>
    <t>John Washington</t>
  </si>
  <si>
    <t>Devin Stewart</t>
  </si>
  <si>
    <t>James Roberts</t>
  </si>
  <si>
    <t>James Yates</t>
  </si>
  <si>
    <t>Peter Nichols</t>
  </si>
  <si>
    <t>Karen Price</t>
  </si>
  <si>
    <t>Larry Leonard</t>
  </si>
  <si>
    <t>Michelle Zhang</t>
  </si>
  <si>
    <t>Kristen Flores</t>
  </si>
  <si>
    <t>Matthew Bell</t>
  </si>
  <si>
    <t>Bradley Miranda</t>
  </si>
  <si>
    <t>Christopher Moore</t>
  </si>
  <si>
    <t>Dan Pineda</t>
  </si>
  <si>
    <t>Mariah Smith</t>
  </si>
  <si>
    <t>Sabrina Cook</t>
  </si>
  <si>
    <t>Melissa Hoffman</t>
  </si>
  <si>
    <t>Joseph Martin</t>
  </si>
  <si>
    <t>Melissa Sims</t>
  </si>
  <si>
    <t>Sarah Evans</t>
  </si>
  <si>
    <t>Maria Anderson</t>
  </si>
  <si>
    <t>Maria Johnston</t>
  </si>
  <si>
    <t>James Cole</t>
  </si>
  <si>
    <t>Isaiah Holt</t>
  </si>
  <si>
    <t>Joseph Gonzales</t>
  </si>
  <si>
    <t>Jennifer Camacho</t>
  </si>
  <si>
    <t>Hector Jones</t>
  </si>
  <si>
    <t>Jessica Jones Dds</t>
  </si>
  <si>
    <t>Isabella Martin</t>
  </si>
  <si>
    <t>Daniel Palmer</t>
  </si>
  <si>
    <t>Stephanie Benson</t>
  </si>
  <si>
    <t>Ashley Williams</t>
  </si>
  <si>
    <t>Gregory Nguyen</t>
  </si>
  <si>
    <t>Joe Smith</t>
  </si>
  <si>
    <t>Lisa Watts</t>
  </si>
  <si>
    <t>Elizabeth Perkins</t>
  </si>
  <si>
    <t>Laura Wells</t>
  </si>
  <si>
    <t>Robert Mccormick</t>
  </si>
  <si>
    <t>Michael Yu</t>
  </si>
  <si>
    <t>Jacob Graham</t>
  </si>
  <si>
    <t>Andrea Kennedy</t>
  </si>
  <si>
    <t>Stacey Anderson</t>
  </si>
  <si>
    <t>Jason Marsh</t>
  </si>
  <si>
    <t>Tiffany Ferguson</t>
  </si>
  <si>
    <t>Mark Hernandez</t>
  </si>
  <si>
    <t>Keith Henry</t>
  </si>
  <si>
    <t>Michelle Wright</t>
  </si>
  <si>
    <t>Troy Davis</t>
  </si>
  <si>
    <t>Misty Burton</t>
  </si>
  <si>
    <t>Robert Robinson</t>
  </si>
  <si>
    <t>Christina Calderon</t>
  </si>
  <si>
    <t>John Graham</t>
  </si>
  <si>
    <t>Michael Parker</t>
  </si>
  <si>
    <t>William Evans</t>
  </si>
  <si>
    <t>Valerie Hodges</t>
  </si>
  <si>
    <t>Brenda Beck</t>
  </si>
  <si>
    <t>Christine Davis</t>
  </si>
  <si>
    <t>Kevin Daniel</t>
  </si>
  <si>
    <t>Brittney Wagner</t>
  </si>
  <si>
    <t>Cristian Buchanan</t>
  </si>
  <si>
    <t>Michael Brady</t>
  </si>
  <si>
    <t>Jordan Leon</t>
  </si>
  <si>
    <t>Katelyn Cunningham</t>
  </si>
  <si>
    <t>Krystal Mendoza</t>
  </si>
  <si>
    <t>Alex Rodriguez</t>
  </si>
  <si>
    <t>Geoffrey Barker</t>
  </si>
  <si>
    <t>Alec Mitchell</t>
  </si>
  <si>
    <t>Jason Jordan</t>
  </si>
  <si>
    <t>Philip Reyes</t>
  </si>
  <si>
    <t>Aaron Bradshaw</t>
  </si>
  <si>
    <t>Erica Ford</t>
  </si>
  <si>
    <t>Dr. Katie Barrett Dvm</t>
  </si>
  <si>
    <t>Jacob Young</t>
  </si>
  <si>
    <t>Amy Ramos</t>
  </si>
  <si>
    <t>Sophia Conway</t>
  </si>
  <si>
    <t>James Moore</t>
  </si>
  <si>
    <t>Christopher Cochran</t>
  </si>
  <si>
    <t>Morgan Nguyen</t>
  </si>
  <si>
    <t>Nathan Montoya</t>
  </si>
  <si>
    <t>Joe Berry Phd</t>
  </si>
  <si>
    <t>Daniel Ortiz</t>
  </si>
  <si>
    <t>Jacqueline Hardy</t>
  </si>
  <si>
    <t>Sarah Hicks</t>
  </si>
  <si>
    <t>Briana Ross</t>
  </si>
  <si>
    <t>Mary Mccullough</t>
  </si>
  <si>
    <t>Brian Osborne</t>
  </si>
  <si>
    <t>Susan Walters</t>
  </si>
  <si>
    <t>Catherine Harvey</t>
  </si>
  <si>
    <t>Cory Pierce</t>
  </si>
  <si>
    <t>Jesus Jordan</t>
  </si>
  <si>
    <t>Ann Duncan</t>
  </si>
  <si>
    <t>Jacqueline Dean</t>
  </si>
  <si>
    <t>Anne Lam</t>
  </si>
  <si>
    <t>Jennifer Gomez</t>
  </si>
  <si>
    <t>David Curtis</t>
  </si>
  <si>
    <t>Joshua Johnson</t>
  </si>
  <si>
    <t>Jeremy Bowen</t>
  </si>
  <si>
    <t>Dennis Clarke</t>
  </si>
  <si>
    <t>Jennifer Spence</t>
  </si>
  <si>
    <t>Billy Fitzgerald</t>
  </si>
  <si>
    <t>Kristen James</t>
  </si>
  <si>
    <t>Caitlin Bender</t>
  </si>
  <si>
    <t>Brenda Fuller</t>
  </si>
  <si>
    <t>Cassandra Rice</t>
  </si>
  <si>
    <t>Sergio Sanchez</t>
  </si>
  <si>
    <t>Kevin Stein</t>
  </si>
  <si>
    <t>Maureen Grant Md</t>
  </si>
  <si>
    <t>Samantha Gutierrez</t>
  </si>
  <si>
    <t>George Woodward</t>
  </si>
  <si>
    <t>Shane Tate</t>
  </si>
  <si>
    <t>Kerry Hawkins</t>
  </si>
  <si>
    <t>Marissa Mora</t>
  </si>
  <si>
    <t>Ricky Meyer</t>
  </si>
  <si>
    <t>Edward Jones Jr.</t>
  </si>
  <si>
    <t>Heather Melendez</t>
  </si>
  <si>
    <t>Jessica Macias</t>
  </si>
  <si>
    <t>Jamie Leach</t>
  </si>
  <si>
    <t>Matthew Simmons</t>
  </si>
  <si>
    <t>Sheila Baxter</t>
  </si>
  <si>
    <t>Dave Parrish</t>
  </si>
  <si>
    <t>Bryan Stewart</t>
  </si>
  <si>
    <t>James Bell</t>
  </si>
  <si>
    <t>Joshua Love</t>
  </si>
  <si>
    <t>Robert Clark</t>
  </si>
  <si>
    <t>Marisa Golden</t>
  </si>
  <si>
    <t>Nancy Hamilton</t>
  </si>
  <si>
    <t>Bryan Bowers</t>
  </si>
  <si>
    <t>Nicole Martin</t>
  </si>
  <si>
    <t>William Harmon</t>
  </si>
  <si>
    <t>Tom Brown</t>
  </si>
  <si>
    <t>Cynthia Nelson</t>
  </si>
  <si>
    <t>Todd Gross</t>
  </si>
  <si>
    <t>Stephanie Chung</t>
  </si>
  <si>
    <t>Kayla Perez</t>
  </si>
  <si>
    <t>Joshua Nelson</t>
  </si>
  <si>
    <t>Jake Copeland</t>
  </si>
  <si>
    <t>Maria Gardner</t>
  </si>
  <si>
    <t>Janet Roberts Dds</t>
  </si>
  <si>
    <t>Peter Ramsey</t>
  </si>
  <si>
    <t>Ashley Farmer</t>
  </si>
  <si>
    <t>Katherine Hale</t>
  </si>
  <si>
    <t>Gary Bowen</t>
  </si>
  <si>
    <t>Laura Ryan</t>
  </si>
  <si>
    <t>Timothy Lopez</t>
  </si>
  <si>
    <t>Anthony Guzman</t>
  </si>
  <si>
    <t>Michael Sharp</t>
  </si>
  <si>
    <t>David Carroll</t>
  </si>
  <si>
    <t>Connor Barton</t>
  </si>
  <si>
    <t>Angela Scott</t>
  </si>
  <si>
    <t>David Ortiz</t>
  </si>
  <si>
    <t>Patrick Pierce</t>
  </si>
  <si>
    <t>Keith Johnson</t>
  </si>
  <si>
    <t>Antonio Smith</t>
  </si>
  <si>
    <t>John Taylor</t>
  </si>
  <si>
    <t>Barbara Stewart</t>
  </si>
  <si>
    <t>Larry Tanner</t>
  </si>
  <si>
    <t>Mallory Diaz</t>
  </si>
  <si>
    <t>John Williams</t>
  </si>
  <si>
    <t>Peter Miller</t>
  </si>
  <si>
    <t>Ryan Butler</t>
  </si>
  <si>
    <t>Samantha Lowery</t>
  </si>
  <si>
    <t>Tiffany Lee</t>
  </si>
  <si>
    <t>Samantha Willis</t>
  </si>
  <si>
    <t>Pamela Brown</t>
  </si>
  <si>
    <t>Carla Walker</t>
  </si>
  <si>
    <t>Mary Gonzales</t>
  </si>
  <si>
    <t>Shelley Fleming</t>
  </si>
  <si>
    <t>Mark Blake</t>
  </si>
  <si>
    <t>Scott King</t>
  </si>
  <si>
    <t>Jessica Davis</t>
  </si>
  <si>
    <t>Anthony Odom</t>
  </si>
  <si>
    <t>Charles Brown</t>
  </si>
  <si>
    <t>Rachel Davis</t>
  </si>
  <si>
    <t>Sandra Mccall</t>
  </si>
  <si>
    <t>Nicole Francis</t>
  </si>
  <si>
    <t>Karen Johnson</t>
  </si>
  <si>
    <t>Anna Rogers</t>
  </si>
  <si>
    <t>Priscilla Decker</t>
  </si>
  <si>
    <t>Trevor Wright</t>
  </si>
  <si>
    <t>William Tucker</t>
  </si>
  <si>
    <t>Jessica Keller</t>
  </si>
  <si>
    <t>William Henry</t>
  </si>
  <si>
    <t>Robin Clarke</t>
  </si>
  <si>
    <t>Jessica Garza</t>
  </si>
  <si>
    <t>Jamie Salazar</t>
  </si>
  <si>
    <t>Steven Vaughan</t>
  </si>
  <si>
    <t>Michael Contreras</t>
  </si>
  <si>
    <t>Allen Roberts</t>
  </si>
  <si>
    <t>Amy Powell</t>
  </si>
  <si>
    <t>Kenneth Smith</t>
  </si>
  <si>
    <t>Matthew West</t>
  </si>
  <si>
    <t>Erik Montoya</t>
  </si>
  <si>
    <t>Austin Lewis</t>
  </si>
  <si>
    <t>Kenneth Thompson</t>
  </si>
  <si>
    <t>Amanda Durham</t>
  </si>
  <si>
    <t>Stephen Hudson</t>
  </si>
  <si>
    <t>Cassandra Velazquez</t>
  </si>
  <si>
    <t>Susan Pena</t>
  </si>
  <si>
    <t>Anthony Perkins</t>
  </si>
  <si>
    <t>Katrina Lopez</t>
  </si>
  <si>
    <t>Brian Foster</t>
  </si>
  <si>
    <t>Jason Thompson</t>
  </si>
  <si>
    <t>David Ayala</t>
  </si>
  <si>
    <t>Jared Yoder</t>
  </si>
  <si>
    <t>Gregory Cannon</t>
  </si>
  <si>
    <t>Lisa Anderson</t>
  </si>
  <si>
    <t>Elizabeth Shields</t>
  </si>
  <si>
    <t>Patricia Kim</t>
  </si>
  <si>
    <t>Jessica Soto</t>
  </si>
  <si>
    <t>Jenny Reynolds</t>
  </si>
  <si>
    <t>Shannon Barrett</t>
  </si>
  <si>
    <t>Terri Perry</t>
  </si>
  <si>
    <t>Joseph Madden</t>
  </si>
  <si>
    <t>Rebecca Hogan</t>
  </si>
  <si>
    <t>Kelly Walker</t>
  </si>
  <si>
    <t>Julia Mueller</t>
  </si>
  <si>
    <t>Kayla Moore</t>
  </si>
  <si>
    <t>Kaitlyn Smith</t>
  </si>
  <si>
    <t>Daniel Kemp</t>
  </si>
  <si>
    <t>Carol Reed</t>
  </si>
  <si>
    <t>Jessica Carter</t>
  </si>
  <si>
    <t>Vanessa Schaefer</t>
  </si>
  <si>
    <t>Miguel Gomez</t>
  </si>
  <si>
    <t>Linda Cardenas</t>
  </si>
  <si>
    <t>Annette James</t>
  </si>
  <si>
    <t>Susan Hurley</t>
  </si>
  <si>
    <t>Carolyn Wade</t>
  </si>
  <si>
    <t>Angela Deleon</t>
  </si>
  <si>
    <t>Carolyn Cooper</t>
  </si>
  <si>
    <t>Rebecca Harris</t>
  </si>
  <si>
    <t>Gary Curtis</t>
  </si>
  <si>
    <t>Ryan Liu</t>
  </si>
  <si>
    <t>Dennis Morrow</t>
  </si>
  <si>
    <t>Jennifer Cooper</t>
  </si>
  <si>
    <t>Jacob Lopez</t>
  </si>
  <si>
    <t>Carol Mcclain</t>
  </si>
  <si>
    <t>Mark Nguyen</t>
  </si>
  <si>
    <t>Eric Cook</t>
  </si>
  <si>
    <t>Kristen Stephens</t>
  </si>
  <si>
    <t>Dana Walton</t>
  </si>
  <si>
    <t>Scott Arnold</t>
  </si>
  <si>
    <t>Megan Wheeler</t>
  </si>
  <si>
    <t>Aaron Cox</t>
  </si>
  <si>
    <t>Shawn Brown</t>
  </si>
  <si>
    <t>Sandra Williamson</t>
  </si>
  <si>
    <t>Jennifer Stephens</t>
  </si>
  <si>
    <t>Stephanie Rodriguez</t>
  </si>
  <si>
    <t>Caroline Mcintyre</t>
  </si>
  <si>
    <t>Mr. Cameron Robinson</t>
  </si>
  <si>
    <t>Tammy Pineda</t>
  </si>
  <si>
    <t>Natalie Anderson</t>
  </si>
  <si>
    <t>Jasmine Rodriguez</t>
  </si>
  <si>
    <t>Debra Mckee</t>
  </si>
  <si>
    <t>Sandra Greene</t>
  </si>
  <si>
    <t>Crystal Morris</t>
  </si>
  <si>
    <t>Jason Parker</t>
  </si>
  <si>
    <t>Roy Jones</t>
  </si>
  <si>
    <t>Richard Anderson</t>
  </si>
  <si>
    <t>Jennifer Foster</t>
  </si>
  <si>
    <t>Debbie Wilson</t>
  </si>
  <si>
    <t>Travis Flores</t>
  </si>
  <si>
    <t>Emily Young</t>
  </si>
  <si>
    <t>Sandy Hall</t>
  </si>
  <si>
    <t>Madison Wright</t>
  </si>
  <si>
    <t>Amy Mann</t>
  </si>
  <si>
    <t>Jason Steele</t>
  </si>
  <si>
    <t>Pamela Middleton</t>
  </si>
  <si>
    <t>Lisa Jackson</t>
  </si>
  <si>
    <t>Samantha Patel</t>
  </si>
  <si>
    <t>Herbert Rodriguez</t>
  </si>
  <si>
    <t>Olivia Powell</t>
  </si>
  <si>
    <t>Samantha Perkins</t>
  </si>
  <si>
    <t>Michael Potts</t>
  </si>
  <si>
    <t>Kerry Hernandez</t>
  </si>
  <si>
    <t>Joshua Reyes</t>
  </si>
  <si>
    <t>Jennifer Ortega</t>
  </si>
  <si>
    <t>Brittany Braun</t>
  </si>
  <si>
    <t>Daniel Chen</t>
  </si>
  <si>
    <t>Erica Hart</t>
  </si>
  <si>
    <t>Alicia Scott</t>
  </si>
  <si>
    <t>Amanda Aguirre</t>
  </si>
  <si>
    <t>Mark Hicks</t>
  </si>
  <si>
    <t>Timothy Davis</t>
  </si>
  <si>
    <t>Lonnie Dominguez</t>
  </si>
  <si>
    <t>Kimberly Hale</t>
  </si>
  <si>
    <t>Dana Williamson</t>
  </si>
  <si>
    <t>Mr. George Brown Jr.</t>
  </si>
  <si>
    <t>Allen Camacho</t>
  </si>
  <si>
    <t>Nathan Woods</t>
  </si>
  <si>
    <t>Catherine Smith</t>
  </si>
  <si>
    <t>Jerry Lee</t>
  </si>
  <si>
    <t>Alexander Coleman</t>
  </si>
  <si>
    <t>David Jensen</t>
  </si>
  <si>
    <t>Deborah Evans</t>
  </si>
  <si>
    <t>Alexandria Colon</t>
  </si>
  <si>
    <t>Samuel Hanson</t>
  </si>
  <si>
    <t>Bryan Phillips</t>
  </si>
  <si>
    <t>Nathan Wiley</t>
  </si>
  <si>
    <t>Alisha Murphy</t>
  </si>
  <si>
    <t>Amanda Lucero</t>
  </si>
  <si>
    <t>Sheila Sellers</t>
  </si>
  <si>
    <t>Susan Chan</t>
  </si>
  <si>
    <t>Angel Mitchell</t>
  </si>
  <si>
    <t>Darlene Cohen</t>
  </si>
  <si>
    <t>Kristy Oneill</t>
  </si>
  <si>
    <t>Sherri Garcia</t>
  </si>
  <si>
    <t>Michael Weber</t>
  </si>
  <si>
    <t>Beth Schwartz</t>
  </si>
  <si>
    <t>Cynthia Clarke</t>
  </si>
  <si>
    <t>Mark Giles</t>
  </si>
  <si>
    <t>Tamara Beltran</t>
  </si>
  <si>
    <t>Joseph Gutierrez</t>
  </si>
  <si>
    <t>Jamie Jimenez</t>
  </si>
  <si>
    <t>Charles Murphy</t>
  </si>
  <si>
    <t>Carlos Lopez</t>
  </si>
  <si>
    <t>Johnny Irwin</t>
  </si>
  <si>
    <t>Scott Werner</t>
  </si>
  <si>
    <t>Terri Stewart</t>
  </si>
  <si>
    <t>David Davis</t>
  </si>
  <si>
    <t>Stephen Harris</t>
  </si>
  <si>
    <t>Bridget Adams</t>
  </si>
  <si>
    <t>Michael Morton</t>
  </si>
  <si>
    <t>Michelle Liu</t>
  </si>
  <si>
    <t>Regina Bright</t>
  </si>
  <si>
    <t>Samuel Decker</t>
  </si>
  <si>
    <t>Paul Wright</t>
  </si>
  <si>
    <t>Brian Olson</t>
  </si>
  <si>
    <t>Tracey Harrison</t>
  </si>
  <si>
    <t>Erika Johnson</t>
  </si>
  <si>
    <t>Peter Cunningham</t>
  </si>
  <si>
    <t>Sierra White</t>
  </si>
  <si>
    <t>Eddie Russo Dvm</t>
  </si>
  <si>
    <t>Yvette Turner</t>
  </si>
  <si>
    <t>James Charles</t>
  </si>
  <si>
    <t>Alexis Allen</t>
  </si>
  <si>
    <t>Stephanie Martin</t>
  </si>
  <si>
    <t>Shelby Anderson</t>
  </si>
  <si>
    <t>Abigail Farmer</t>
  </si>
  <si>
    <t>Christina Miller</t>
  </si>
  <si>
    <t>Matthew Wyatt</t>
  </si>
  <si>
    <t>David Montoya</t>
  </si>
  <si>
    <t>Eric Park</t>
  </si>
  <si>
    <t>Lori Trevino</t>
  </si>
  <si>
    <t>Dwayne Castillo</t>
  </si>
  <si>
    <t>Kristine Mccall</t>
  </si>
  <si>
    <t>Joseph Sellers</t>
  </si>
  <si>
    <t>Dr. Donald Anderson</t>
  </si>
  <si>
    <t>Anna Jones</t>
  </si>
  <si>
    <t>Mr. Robert Davis</t>
  </si>
  <si>
    <t>Jeffrey Hall</t>
  </si>
  <si>
    <t>Terry Graves</t>
  </si>
  <si>
    <t>Jerome Morales</t>
  </si>
  <si>
    <t>Keith Rodriguez</t>
  </si>
  <si>
    <t>Tamara Davenport</t>
  </si>
  <si>
    <t>Jonathan Simon</t>
  </si>
  <si>
    <t>Holly Armstrong</t>
  </si>
  <si>
    <t>Ronald Banks</t>
  </si>
  <si>
    <t>Ryan Bradford Dds</t>
  </si>
  <si>
    <t>Janice Hall</t>
  </si>
  <si>
    <t>Jacob Mcdonald</t>
  </si>
  <si>
    <t>Glenn Massey</t>
  </si>
  <si>
    <t>Sandra Murray</t>
  </si>
  <si>
    <t>Mark Williams</t>
  </si>
  <si>
    <t>Stephanie Reid Dvm</t>
  </si>
  <si>
    <t>Seth Bartlett Ii</t>
  </si>
  <si>
    <t>Jeremy Rich</t>
  </si>
  <si>
    <t>Erin Martin</t>
  </si>
  <si>
    <t>Frank Hess</t>
  </si>
  <si>
    <t>Paul Rogers</t>
  </si>
  <si>
    <t>Jennifer Edwards</t>
  </si>
  <si>
    <t>Brian Hall</t>
  </si>
  <si>
    <t>Kimberly Williams</t>
  </si>
  <si>
    <t>Isaac Mendez</t>
  </si>
  <si>
    <t>Sarah Smith</t>
  </si>
  <si>
    <t>Daniel Wolf</t>
  </si>
  <si>
    <t>Robert Ross</t>
  </si>
  <si>
    <t>Douglas Foster</t>
  </si>
  <si>
    <t>Louis Lowery</t>
  </si>
  <si>
    <t>Jessica Tyler</t>
  </si>
  <si>
    <t>William Davies</t>
  </si>
  <si>
    <t>Jessica Reyes</t>
  </si>
  <si>
    <t>Paula Morales</t>
  </si>
  <si>
    <t>David Spears</t>
  </si>
  <si>
    <t>Scott Berry</t>
  </si>
  <si>
    <t>Dalton Nguyen</t>
  </si>
  <si>
    <t>Scott Clark</t>
  </si>
  <si>
    <t>Courtney Patrick</t>
  </si>
  <si>
    <t>William Ware</t>
  </si>
  <si>
    <t>Amber Anderson</t>
  </si>
  <si>
    <t>Casey Johnson</t>
  </si>
  <si>
    <t>Zachary Collins</t>
  </si>
  <si>
    <t>Zachary Reed</t>
  </si>
  <si>
    <t>Christopher Weiss</t>
  </si>
  <si>
    <t>Charles Strong</t>
  </si>
  <si>
    <t>Katherine Kelly</t>
  </si>
  <si>
    <t>Christopher Henderson</t>
  </si>
  <si>
    <t>Joseph Brown</t>
  </si>
  <si>
    <t>Joseph Sanchez</t>
  </si>
  <si>
    <t>Kyle Perez</t>
  </si>
  <si>
    <t>Eduardo Houston</t>
  </si>
  <si>
    <t>Lori Roach</t>
  </si>
  <si>
    <t>Eric Butler</t>
  </si>
  <si>
    <t>Jeffrey Brown</t>
  </si>
  <si>
    <t>Thomas Haas</t>
  </si>
  <si>
    <t>Kelly Turner</t>
  </si>
  <si>
    <t>Lance Simpson</t>
  </si>
  <si>
    <t>Jeffrey Green</t>
  </si>
  <si>
    <t>Eric Collins</t>
  </si>
  <si>
    <t>Brianna Williams</t>
  </si>
  <si>
    <t>Robert Graves</t>
  </si>
  <si>
    <t>Cindy Williams</t>
  </si>
  <si>
    <t>Victor Sullivan</t>
  </si>
  <si>
    <t>Frank Scott</t>
  </si>
  <si>
    <t>Mark Bradshaw</t>
  </si>
  <si>
    <t>Jessica Dunn</t>
  </si>
  <si>
    <t>Kelsey Fox</t>
  </si>
  <si>
    <t>Mary Rice</t>
  </si>
  <si>
    <t>Rachel Jackson</t>
  </si>
  <si>
    <t>Leah Frederick</t>
  </si>
  <si>
    <t>Connor Odonnell</t>
  </si>
  <si>
    <t>Claudia Downs</t>
  </si>
  <si>
    <t>William Lang</t>
  </si>
  <si>
    <t>Lisa Moran</t>
  </si>
  <si>
    <t>Ruben Burton</t>
  </si>
  <si>
    <t>Brandon Smith</t>
  </si>
  <si>
    <t>Jessica Murphy</t>
  </si>
  <si>
    <t>Misty Williams</t>
  </si>
  <si>
    <t>Brandy George</t>
  </si>
  <si>
    <t>Andrea Buck</t>
  </si>
  <si>
    <t>Stephanie Burke</t>
  </si>
  <si>
    <t>Stephanie Moon</t>
  </si>
  <si>
    <t>Sharon Johnson</t>
  </si>
  <si>
    <t>Matthew Haley</t>
  </si>
  <si>
    <t>Sabrina May</t>
  </si>
  <si>
    <t>Melinda Austin</t>
  </si>
  <si>
    <t>Angela Montgomery</t>
  </si>
  <si>
    <t>Vanessa Martin</t>
  </si>
  <si>
    <t>Gabriel Stevens</t>
  </si>
  <si>
    <t>Michael Wolfe</t>
  </si>
  <si>
    <t>Brooke Torres</t>
  </si>
  <si>
    <t>Victor Duke</t>
  </si>
  <si>
    <t>Joseph Garrett</t>
  </si>
  <si>
    <t>Kara Li</t>
  </si>
  <si>
    <t>Shawna Russell</t>
  </si>
  <si>
    <t>Lori Lawrence</t>
  </si>
  <si>
    <t>Whitney Jones</t>
  </si>
  <si>
    <t>Joe Davila</t>
  </si>
  <si>
    <t>Lisa Keller</t>
  </si>
  <si>
    <t>Jordan Bush</t>
  </si>
  <si>
    <t>Brenda Yu</t>
  </si>
  <si>
    <t>Jasmine Short</t>
  </si>
  <si>
    <t>Tamara Leonard</t>
  </si>
  <si>
    <t>Kevin Wong</t>
  </si>
  <si>
    <t>Lisa Lopez</t>
  </si>
  <si>
    <t>Justin Vargas</t>
  </si>
  <si>
    <t>Jody Lopez</t>
  </si>
  <si>
    <t>Jonathan Woods</t>
  </si>
  <si>
    <t>Emma Ray</t>
  </si>
  <si>
    <t>Andrea Johnson</t>
  </si>
  <si>
    <t>Wayne Sharp</t>
  </si>
  <si>
    <t>Shelby Black</t>
  </si>
  <si>
    <t>Martha Martin</t>
  </si>
  <si>
    <t>Amanda Wilson</t>
  </si>
  <si>
    <t>Jeremy Nguyen</t>
  </si>
  <si>
    <t>Eileen Harris</t>
  </si>
  <si>
    <t>John Becker</t>
  </si>
  <si>
    <t>Felicia Wiley</t>
  </si>
  <si>
    <t>Jesse Jones</t>
  </si>
  <si>
    <t>Steven Glenn</t>
  </si>
  <si>
    <t>Caroline Swanson</t>
  </si>
  <si>
    <t>Terry Nicholson</t>
  </si>
  <si>
    <t>Kelly Thomas</t>
  </si>
  <si>
    <t>Steven Mcgee</t>
  </si>
  <si>
    <t>Shelley Ware</t>
  </si>
  <si>
    <t>Melissa Brady</t>
  </si>
  <si>
    <t>Maria Hall</t>
  </si>
  <si>
    <t>Andre Smith</t>
  </si>
  <si>
    <t>Karen Gonzalez</t>
  </si>
  <si>
    <t>Vincent Sellers</t>
  </si>
  <si>
    <t>Brandon Burke</t>
  </si>
  <si>
    <t>Mr. Mark Hancock</t>
  </si>
  <si>
    <t>Kenneth Perez</t>
  </si>
  <si>
    <t>Martin Hansen</t>
  </si>
  <si>
    <t>Nicole Alvarado</t>
  </si>
  <si>
    <t>Jessica Rodriguez</t>
  </si>
  <si>
    <t>Tina Price</t>
  </si>
  <si>
    <t>Mr. Jack Willis</t>
  </si>
  <si>
    <t>Gregory Adams</t>
  </si>
  <si>
    <t>David Roberts</t>
  </si>
  <si>
    <t>Cory Perry</t>
  </si>
  <si>
    <t>Jessica Barry</t>
  </si>
  <si>
    <t>Shannon Johnson</t>
  </si>
  <si>
    <t>Justin White</t>
  </si>
  <si>
    <t>Regina Stewart</t>
  </si>
  <si>
    <t>Chelsea Finley</t>
  </si>
  <si>
    <t>Emma Bennett</t>
  </si>
  <si>
    <t>Alan Lee</t>
  </si>
  <si>
    <t>Katelyn Miller</t>
  </si>
  <si>
    <t>David Pratt</t>
  </si>
  <si>
    <t>Matthew Cunningham</t>
  </si>
  <si>
    <t>Bobby Carson</t>
  </si>
  <si>
    <t>Melinda Wilson</t>
  </si>
  <si>
    <t>Nancy Hansen</t>
  </si>
  <si>
    <t>Gregory Walls</t>
  </si>
  <si>
    <t>Amber Nixon</t>
  </si>
  <si>
    <t>Kristin Franco</t>
  </si>
  <si>
    <t>Jeremiah Vazquez</t>
  </si>
  <si>
    <t>Victoria Brady</t>
  </si>
  <si>
    <t>Erin Clark</t>
  </si>
  <si>
    <t>Heather Boyle</t>
  </si>
  <si>
    <t>Elizabeth Sheppard</t>
  </si>
  <si>
    <t>Robert Boone</t>
  </si>
  <si>
    <t>Geoffrey Daniels</t>
  </si>
  <si>
    <t>John Khan</t>
  </si>
  <si>
    <t>Christopher Armstrong</t>
  </si>
  <si>
    <t>Melissa Robertson</t>
  </si>
  <si>
    <t>Lisa Franklin</t>
  </si>
  <si>
    <t>Kristin Burton</t>
  </si>
  <si>
    <t>Caitlin Adams</t>
  </si>
  <si>
    <t>Evan Hernandez</t>
  </si>
  <si>
    <t>Jennifer Knight</t>
  </si>
  <si>
    <t>Bonnie Wilson</t>
  </si>
  <si>
    <t>Kenneth Ramirez</t>
  </si>
  <si>
    <t>Ellen Mccullough</t>
  </si>
  <si>
    <t>Thomas Stone</t>
  </si>
  <si>
    <t>Kathleen Armstrong</t>
  </si>
  <si>
    <t>Terry Bennett</t>
  </si>
  <si>
    <t>Kristin Nguyen</t>
  </si>
  <si>
    <t>Angela Randolph</t>
  </si>
  <si>
    <t>Christopher Tate</t>
  </si>
  <si>
    <t>Christopher Walton</t>
  </si>
  <si>
    <t>Meagan Miranda</t>
  </si>
  <si>
    <t>David Brown</t>
  </si>
  <si>
    <t>Eric Miller</t>
  </si>
  <si>
    <t>Joel Bartlett</t>
  </si>
  <si>
    <t>Stacy Gillespie</t>
  </si>
  <si>
    <t>Cindy Shaw</t>
  </si>
  <si>
    <t>Andrew Erickson</t>
  </si>
  <si>
    <t>Ashley Rodriguez</t>
  </si>
  <si>
    <t>Darryl Cruz</t>
  </si>
  <si>
    <t>Sheila Church</t>
  </si>
  <si>
    <t>Nancy Munoz</t>
  </si>
  <si>
    <t>Rebecca Martinez</t>
  </si>
  <si>
    <t>John Simmons</t>
  </si>
  <si>
    <t>Lance Torres</t>
  </si>
  <si>
    <t>Timothy Terry</t>
  </si>
  <si>
    <t>Bradley Ramos</t>
  </si>
  <si>
    <t>Jill Taylor</t>
  </si>
  <si>
    <t>Kelly Brown</t>
  </si>
  <si>
    <t>Jonathan Chavez</t>
  </si>
  <si>
    <t>Denise Wall</t>
  </si>
  <si>
    <t>Todd Martinez</t>
  </si>
  <si>
    <t>Jennifer Ford</t>
  </si>
  <si>
    <t>Raymond Park Jr.</t>
  </si>
  <si>
    <t>Julia Reynolds</t>
  </si>
  <si>
    <t>John Mclean</t>
  </si>
  <si>
    <t>Katie Howard</t>
  </si>
  <si>
    <t>Amanda Lawson</t>
  </si>
  <si>
    <t>Paul Murray</t>
  </si>
  <si>
    <t>James Morris</t>
  </si>
  <si>
    <t>Matthew Collins</t>
  </si>
  <si>
    <t>Sharon Carpenter</t>
  </si>
  <si>
    <t>Marcus Brown</t>
  </si>
  <si>
    <t>Mitchell Decker</t>
  </si>
  <si>
    <t>Donald Murphy</t>
  </si>
  <si>
    <t>Joseph Farley</t>
  </si>
  <si>
    <t>Brendan Parker</t>
  </si>
  <si>
    <t>Samuel Davis</t>
  </si>
  <si>
    <t>Kelsey Porter</t>
  </si>
  <si>
    <t>Mark Bryant</t>
  </si>
  <si>
    <t>Margaret Zamora</t>
  </si>
  <si>
    <t>David Payne</t>
  </si>
  <si>
    <t>Tony Salas Phd</t>
  </si>
  <si>
    <t>Adrian Bowman</t>
  </si>
  <si>
    <t>Mrs. Lauren Morgan</t>
  </si>
  <si>
    <t>Joshua Murray</t>
  </si>
  <si>
    <t>Jason Weber</t>
  </si>
  <si>
    <t>Rebecca Lewis</t>
  </si>
  <si>
    <t>Joan Archer</t>
  </si>
  <si>
    <t>Brittany Edwards</t>
  </si>
  <si>
    <t>Timothy Diaz</t>
  </si>
  <si>
    <t>Daniel Blankenship</t>
  </si>
  <si>
    <t>Mary Stephens</t>
  </si>
  <si>
    <t>Brian Figueroa</t>
  </si>
  <si>
    <t>Stephanie Anderson</t>
  </si>
  <si>
    <t>Michael Doyle</t>
  </si>
  <si>
    <t>Kathleen Marshall</t>
  </si>
  <si>
    <t>Donald Lynch</t>
  </si>
  <si>
    <t>David Espinoza</t>
  </si>
  <si>
    <t>Julia Keith</t>
  </si>
  <si>
    <t>Kristen Cohen</t>
  </si>
  <si>
    <t>Erica Reyes</t>
  </si>
  <si>
    <t>Andrew Bryan</t>
  </si>
  <si>
    <t>Mary Parrish</t>
  </si>
  <si>
    <t>Katrina Warren</t>
  </si>
  <si>
    <t>Kevin Robinson</t>
  </si>
  <si>
    <t>Michael Bradley</t>
  </si>
  <si>
    <t>Debbie Scott</t>
  </si>
  <si>
    <t>Sara Cantrell</t>
  </si>
  <si>
    <t>Catherine Peterson</t>
  </si>
  <si>
    <t>Kyle Thomas</t>
  </si>
  <si>
    <t>Scott Simon</t>
  </si>
  <si>
    <t>Valerie Hunter</t>
  </si>
  <si>
    <t>Monique Dominguez</t>
  </si>
  <si>
    <t>Cody Taylor</t>
  </si>
  <si>
    <t>Amanda Sullivan</t>
  </si>
  <si>
    <t>Mary Ruiz</t>
  </si>
  <si>
    <t>April Martin</t>
  </si>
  <si>
    <t>Sean Bennett</t>
  </si>
  <si>
    <t>Ryan Harris</t>
  </si>
  <si>
    <t>Tyler Gonzalez</t>
  </si>
  <si>
    <t>Christopher Rodriguez</t>
  </si>
  <si>
    <t>Brian Arellano</t>
  </si>
  <si>
    <t>Danielle Cannon</t>
  </si>
  <si>
    <t>Katie Martinez</t>
  </si>
  <si>
    <t>Pamela Kelly</t>
  </si>
  <si>
    <t>Laurie Edwards</t>
  </si>
  <si>
    <t>Chad Cross</t>
  </si>
  <si>
    <t>Casey Hamilton</t>
  </si>
  <si>
    <t>Jillian Silva</t>
  </si>
  <si>
    <t>Donald Ayala</t>
  </si>
  <si>
    <t>William Ford</t>
  </si>
  <si>
    <t>Isabella Kennedy</t>
  </si>
  <si>
    <t>Justin Brown</t>
  </si>
  <si>
    <t>Shannon Alexander</t>
  </si>
  <si>
    <t>Katherine Whitaker</t>
  </si>
  <si>
    <t>Jeremy Campbell</t>
  </si>
  <si>
    <t>Joel Montgomery</t>
  </si>
  <si>
    <t>Christine Frazier</t>
  </si>
  <si>
    <t>Brittany Norman</t>
  </si>
  <si>
    <t>Julie Freeman</t>
  </si>
  <si>
    <t>Henry Castro</t>
  </si>
  <si>
    <t>Dr. Aaron Andersen</t>
  </si>
  <si>
    <t>Brandon Gomez</t>
  </si>
  <si>
    <t>Regina Matthews</t>
  </si>
  <si>
    <t>Alan Roach</t>
  </si>
  <si>
    <t>Christopher Mcfarland</t>
  </si>
  <si>
    <t>Michaela Patterson Md</t>
  </si>
  <si>
    <t>Michael Hoffman</t>
  </si>
  <si>
    <t>Dylan Simon</t>
  </si>
  <si>
    <t>Christina Davis</t>
  </si>
  <si>
    <t>Jennifer Fuentes</t>
  </si>
  <si>
    <t>Peter Kelly</t>
  </si>
  <si>
    <t>Tammy Cole</t>
  </si>
  <si>
    <t>Sandra Flynn</t>
  </si>
  <si>
    <t>Kathryn Smith</t>
  </si>
  <si>
    <t>Jacqueline Stanton</t>
  </si>
  <si>
    <t>Emma Frederick</t>
  </si>
  <si>
    <t>Kenneth Jones</t>
  </si>
  <si>
    <t>Jeffrey Smith</t>
  </si>
  <si>
    <t>David Owen</t>
  </si>
  <si>
    <t>Kyle Reed</t>
  </si>
  <si>
    <t>Chad Perez</t>
  </si>
  <si>
    <t>Courtney Barnett</t>
  </si>
  <si>
    <t>Kelly Miller</t>
  </si>
  <si>
    <t>Larry Ramsey</t>
  </si>
  <si>
    <t>Edward Duran</t>
  </si>
  <si>
    <t>Leah Sullivan</t>
  </si>
  <si>
    <t>Susan Owen</t>
  </si>
  <si>
    <t>Holly Colon</t>
  </si>
  <si>
    <t>Patrick Cook</t>
  </si>
  <si>
    <t>Daniel Hendricks</t>
  </si>
  <si>
    <t>Ryan Berg</t>
  </si>
  <si>
    <t>Debbie Thompson</t>
  </si>
  <si>
    <t>Jesse Sanchez</t>
  </si>
  <si>
    <t>Norman Thomas</t>
  </si>
  <si>
    <t>Catherine Zhang</t>
  </si>
  <si>
    <t>John Orozco Md</t>
  </si>
  <si>
    <t>Wayne Hodge</t>
  </si>
  <si>
    <t>Elaine Lynch</t>
  </si>
  <si>
    <t>Derek Lawson</t>
  </si>
  <si>
    <t>Andre Anderson</t>
  </si>
  <si>
    <t>Donna Smith</t>
  </si>
  <si>
    <t>Dr. Leonard Brewer Ii</t>
  </si>
  <si>
    <t>Pamela Garrett</t>
  </si>
  <si>
    <t>Phillip Wilson</t>
  </si>
  <si>
    <t>Vanessa Walker</t>
  </si>
  <si>
    <t>Justin Lewis</t>
  </si>
  <si>
    <t>Anthony Coleman</t>
  </si>
  <si>
    <t>Jasmine Luna</t>
  </si>
  <si>
    <t>Michael Patton</t>
  </si>
  <si>
    <t>Joshua Turner</t>
  </si>
  <si>
    <t>Billy Johnson</t>
  </si>
  <si>
    <t>Anthony Gonzalez Phd</t>
  </si>
  <si>
    <t>Lawrence Williams</t>
  </si>
  <si>
    <t>Susan Nichols</t>
  </si>
  <si>
    <t>Jean Rodriguez</t>
  </si>
  <si>
    <t>Jennifer Leon</t>
  </si>
  <si>
    <t>Meredith Hill</t>
  </si>
  <si>
    <t>Laura Lawrence</t>
  </si>
  <si>
    <t>Justin Hicks</t>
  </si>
  <si>
    <t>Krista Thornton</t>
  </si>
  <si>
    <t>Ian Duffy</t>
  </si>
  <si>
    <t>Jade Baker</t>
  </si>
  <si>
    <t>Billy Petersen</t>
  </si>
  <si>
    <t>John Donaldson</t>
  </si>
  <si>
    <t>Raymond Galvan</t>
  </si>
  <si>
    <t>Brandon Greene</t>
  </si>
  <si>
    <t>Christine Cooper</t>
  </si>
  <si>
    <t>Ashley Hawkins</t>
  </si>
  <si>
    <t>Derek Singleton</t>
  </si>
  <si>
    <t>Kyle Anderson</t>
  </si>
  <si>
    <t>Sarah Green</t>
  </si>
  <si>
    <t>Shelly Lynn</t>
  </si>
  <si>
    <t>John Mccarty</t>
  </si>
  <si>
    <t>Courtney Moore</t>
  </si>
  <si>
    <t>Javier Hamilton</t>
  </si>
  <si>
    <t>Sandra Graham</t>
  </si>
  <si>
    <t>Carol Miller</t>
  </si>
  <si>
    <t>Brandi Hood</t>
  </si>
  <si>
    <t>Adam Thompson</t>
  </si>
  <si>
    <t>Amber Reid</t>
  </si>
  <si>
    <t>Jennifer Evans</t>
  </si>
  <si>
    <t>Keith Wilcox</t>
  </si>
  <si>
    <t>Cynthia Bryant</t>
  </si>
  <si>
    <t>Nicholas Bell</t>
  </si>
  <si>
    <t>Hannah Carey</t>
  </si>
  <si>
    <t>Brad Lewis</t>
  </si>
  <si>
    <t>Christina Sullivan</t>
  </si>
  <si>
    <t>Sharon Ferrell</t>
  </si>
  <si>
    <t>Kyle Armstrong</t>
  </si>
  <si>
    <t>Bryce Klein</t>
  </si>
  <si>
    <t>Gabriel Garcia</t>
  </si>
  <si>
    <t>Justin Gibbs</t>
  </si>
  <si>
    <t>Kelly Johnson</t>
  </si>
  <si>
    <t>Christopher Brown</t>
  </si>
  <si>
    <t>Lisa Chambers</t>
  </si>
  <si>
    <t>Michael Zimmerman</t>
  </si>
  <si>
    <t>Deanna Collins</t>
  </si>
  <si>
    <t>Erika Hernandez</t>
  </si>
  <si>
    <t>Pamela Duncan</t>
  </si>
  <si>
    <t>Sara Jones</t>
  </si>
  <si>
    <t>Theresa Coleman</t>
  </si>
  <si>
    <t>Stacey Wood</t>
  </si>
  <si>
    <t>Patrick Flores</t>
  </si>
  <si>
    <t>Laura Morgan</t>
  </si>
  <si>
    <t>Nicole Crane</t>
  </si>
  <si>
    <t>Robert Arellano</t>
  </si>
  <si>
    <t>Jon Spence</t>
  </si>
  <si>
    <t>Kevin Smith</t>
  </si>
  <si>
    <t>Rhonda Jackson</t>
  </si>
  <si>
    <t>Daniel Morris</t>
  </si>
  <si>
    <t>Courtney Stephens</t>
  </si>
  <si>
    <t>Brent Robinson</t>
  </si>
  <si>
    <t>Devin Harmon</t>
  </si>
  <si>
    <t>Kimberly Shannon</t>
  </si>
  <si>
    <t>Patricia Benitez</t>
  </si>
  <si>
    <t>Michael Rogers</t>
  </si>
  <si>
    <t>Amy Hartman</t>
  </si>
  <si>
    <t>Holly Andersen</t>
  </si>
  <si>
    <t>Jennifer Mayo</t>
  </si>
  <si>
    <t>Greg White</t>
  </si>
  <si>
    <t>Kenneth Weeks</t>
  </si>
  <si>
    <t>Jesse York</t>
  </si>
  <si>
    <t>Leah Stone</t>
  </si>
  <si>
    <t>Jeffrey Ferguson</t>
  </si>
  <si>
    <t>Travis Roman</t>
  </si>
  <si>
    <t>Ashley Salazar</t>
  </si>
  <si>
    <t>David Miranda</t>
  </si>
  <si>
    <t>Angela Sullivan</t>
  </si>
  <si>
    <t>Ashley Bell</t>
  </si>
  <si>
    <t>Mrs. Sabrina Moreno</t>
  </si>
  <si>
    <t>Craig Clarke</t>
  </si>
  <si>
    <t>Kelly Hill</t>
  </si>
  <si>
    <t>Aaron Weaver</t>
  </si>
  <si>
    <t>George Mason</t>
  </si>
  <si>
    <t>Jonathan Hodges</t>
  </si>
  <si>
    <t>Felicia Yang</t>
  </si>
  <si>
    <t>Sarah Miller</t>
  </si>
  <si>
    <t>Vincent Ray</t>
  </si>
  <si>
    <t>Jamie Collins</t>
  </si>
  <si>
    <t>Amanda Cummings</t>
  </si>
  <si>
    <t>Rachel Swanson</t>
  </si>
  <si>
    <t>Nicole Knight</t>
  </si>
  <si>
    <t>Michael Mann</t>
  </si>
  <si>
    <t>William Rogers</t>
  </si>
  <si>
    <t>Melanie Mitchell</t>
  </si>
  <si>
    <t>Steven Robinson</t>
  </si>
  <si>
    <t>Brian George</t>
  </si>
  <si>
    <t>Tony Harrison</t>
  </si>
  <si>
    <t>Elaine Guzman</t>
  </si>
  <si>
    <t>Michelle Lane</t>
  </si>
  <si>
    <t>Jason Smith</t>
  </si>
  <si>
    <t>Janice Moore</t>
  </si>
  <si>
    <t>Jennifer Hayes</t>
  </si>
  <si>
    <t>Phillip Espinoza</t>
  </si>
  <si>
    <t>Charlene Brown Md</t>
  </si>
  <si>
    <t>Thomas Erickson</t>
  </si>
  <si>
    <t>Jerome Day</t>
  </si>
  <si>
    <t>Alejandro Khan</t>
  </si>
  <si>
    <t>Laurie Cole</t>
  </si>
  <si>
    <t>Bill Walker</t>
  </si>
  <si>
    <t>Alexander Cervantes</t>
  </si>
  <si>
    <t>Manuel Knight</t>
  </si>
  <si>
    <t>Aaron Simmons</t>
  </si>
  <si>
    <t>Sandy George</t>
  </si>
  <si>
    <t>Austin Anderson</t>
  </si>
  <si>
    <t>Sharon Freeman</t>
  </si>
  <si>
    <t>Gary Wilson</t>
  </si>
  <si>
    <t>Rebecca Jones</t>
  </si>
  <si>
    <t>Craig Wyatt</t>
  </si>
  <si>
    <t>Amanda Dixon</t>
  </si>
  <si>
    <t>Clayton Hoffman</t>
  </si>
  <si>
    <t>Lindsey Cherry</t>
  </si>
  <si>
    <t>Jordan Valdez</t>
  </si>
  <si>
    <t>Misty Clark</t>
  </si>
  <si>
    <t>Rebecca Fuller</t>
  </si>
  <si>
    <t>John Lopez</t>
  </si>
  <si>
    <t>Christina Williams</t>
  </si>
  <si>
    <t>Lauren Friedman</t>
  </si>
  <si>
    <t>Andrea Morgan</t>
  </si>
  <si>
    <t>Angela Gilbert</t>
  </si>
  <si>
    <t>Faith Foster</t>
  </si>
  <si>
    <t>Tanner Burgess</t>
  </si>
  <si>
    <t>Elizabeth Taylor</t>
  </si>
  <si>
    <t>Elizabeth Hunt</t>
  </si>
  <si>
    <t>Erin Ryan</t>
  </si>
  <si>
    <t>Mr. Cody Navarro</t>
  </si>
  <si>
    <t>Laurie Garcia</t>
  </si>
  <si>
    <t>Devin Shelton</t>
  </si>
  <si>
    <t>Oscar Nelson</t>
  </si>
  <si>
    <t>Taylor Brown</t>
  </si>
  <si>
    <t>Aaron Oneal</t>
  </si>
  <si>
    <t>John Miller</t>
  </si>
  <si>
    <t>Brittany Watson</t>
  </si>
  <si>
    <t>Joseph Livingston</t>
  </si>
  <si>
    <t>Andrew Brooks</t>
  </si>
  <si>
    <t>Harold Webb</t>
  </si>
  <si>
    <t>Douglas King</t>
  </si>
  <si>
    <t>Jessica Franklin</t>
  </si>
  <si>
    <t>John Howard</t>
  </si>
  <si>
    <t>Robyn Thompson</t>
  </si>
  <si>
    <t>Isaac Morales</t>
  </si>
  <si>
    <t>Donna Johnson</t>
  </si>
  <si>
    <t>Denise Guerrero</t>
  </si>
  <si>
    <t>David Chandler</t>
  </si>
  <si>
    <t>Michelle Bender</t>
  </si>
  <si>
    <t>Jesse Molina</t>
  </si>
  <si>
    <t>Rita Nelson</t>
  </si>
  <si>
    <t>Janet Boyd</t>
  </si>
  <si>
    <t>Catherine Welch</t>
  </si>
  <si>
    <t>Jason Davis</t>
  </si>
  <si>
    <t>Christopher Reynolds</t>
  </si>
  <si>
    <t>Leah Martinez</t>
  </si>
  <si>
    <t>Michael Duarte</t>
  </si>
  <si>
    <t>Laura Baker</t>
  </si>
  <si>
    <t>Charles Thompson</t>
  </si>
  <si>
    <t>Julia Wade</t>
  </si>
  <si>
    <t>Gloria Vance</t>
  </si>
  <si>
    <t>John Atkins</t>
  </si>
  <si>
    <t>Angela Miller</t>
  </si>
  <si>
    <t>Maria Sutton</t>
  </si>
  <si>
    <t>Lauren Taylor</t>
  </si>
  <si>
    <t>Eric Pineda</t>
  </si>
  <si>
    <t>Douglas Turner</t>
  </si>
  <si>
    <t>Dorothy Quinn</t>
  </si>
  <si>
    <t>Christina Dyer</t>
  </si>
  <si>
    <t>Alexandria Coleman</t>
  </si>
  <si>
    <t>Victoria Evans</t>
  </si>
  <si>
    <t>Willie May</t>
  </si>
  <si>
    <t>Joseph Ellis</t>
  </si>
  <si>
    <t>Isaac Peterson</t>
  </si>
  <si>
    <t>William Bass</t>
  </si>
  <si>
    <t>Michael Evans</t>
  </si>
  <si>
    <t>Herbert Jimenez</t>
  </si>
  <si>
    <t>Sandra Murphy</t>
  </si>
  <si>
    <t>Michael Elliott</t>
  </si>
  <si>
    <t>Mary Savage</t>
  </si>
  <si>
    <t>Cheryl Foster</t>
  </si>
  <si>
    <t>Mr. David Bowen</t>
  </si>
  <si>
    <t>Christopher Wilson</t>
  </si>
  <si>
    <t>Matthew Shannon</t>
  </si>
  <si>
    <t>Jill Cunningham</t>
  </si>
  <si>
    <t>Christina Brown</t>
  </si>
  <si>
    <t>Connie Page</t>
  </si>
  <si>
    <t>David Lopez</t>
  </si>
  <si>
    <t>James Williams</t>
  </si>
  <si>
    <t>Andrew Yang</t>
  </si>
  <si>
    <t>Maureen Dunn</t>
  </si>
  <si>
    <t>Andrew Arnold</t>
  </si>
  <si>
    <t>Mrs. Courtney Moore Md</t>
  </si>
  <si>
    <t>Raymond Bruce</t>
  </si>
  <si>
    <t>Samantha Bates</t>
  </si>
  <si>
    <t>Matthew Burnett</t>
  </si>
  <si>
    <t>Linda Butler</t>
  </si>
  <si>
    <t>Angela Wiley</t>
  </si>
  <si>
    <t>Deborah Garner</t>
  </si>
  <si>
    <t>Eric Smith</t>
  </si>
  <si>
    <t>Carrie Whitehead</t>
  </si>
  <si>
    <t>Dominique Maldonado</t>
  </si>
  <si>
    <t>Jorge Singh</t>
  </si>
  <si>
    <t>Jill Lane</t>
  </si>
  <si>
    <t>James Nguyen</t>
  </si>
  <si>
    <t>Debbie Shaw</t>
  </si>
  <si>
    <t>Emily Valdez</t>
  </si>
  <si>
    <t>Alejandro Pierce</t>
  </si>
  <si>
    <t>Omar Lopez</t>
  </si>
  <si>
    <t>Marilyn Figueroa</t>
  </si>
  <si>
    <t>Sara Green</t>
  </si>
  <si>
    <t>Jessica Miller</t>
  </si>
  <si>
    <t>Jonathan Garcia</t>
  </si>
  <si>
    <t>John Thompson</t>
  </si>
  <si>
    <t>Clifford Bell</t>
  </si>
  <si>
    <t>Charles Finley</t>
  </si>
  <si>
    <t>Mrs. Monica Craig</t>
  </si>
  <si>
    <t>Heidi Evans</t>
  </si>
  <si>
    <t>Mr. Timothy Howard</t>
  </si>
  <si>
    <t>Mario Cox</t>
  </si>
  <si>
    <t>Luis Barnes</t>
  </si>
  <si>
    <t>Sydney Tucker</t>
  </si>
  <si>
    <t>Andre Harvey</t>
  </si>
  <si>
    <t>Kimberly Vasquez</t>
  </si>
  <si>
    <t>Benjamin Kerr</t>
  </si>
  <si>
    <t>Alexis Simmons</t>
  </si>
  <si>
    <t>David Hensley</t>
  </si>
  <si>
    <t>Christine Dyer</t>
  </si>
  <si>
    <t>Shari Williams</t>
  </si>
  <si>
    <t>Tammy Jackson</t>
  </si>
  <si>
    <t>Kimberly Crawford</t>
  </si>
  <si>
    <t>Taylor Petersen</t>
  </si>
  <si>
    <t>Chris Stevenson</t>
  </si>
  <si>
    <t>Leslie Collins</t>
  </si>
  <si>
    <t>Deborah Moore</t>
  </si>
  <si>
    <t>James Horton</t>
  </si>
  <si>
    <t>Karla Crawford</t>
  </si>
  <si>
    <t>Peter Spencer</t>
  </si>
  <si>
    <t>Lisa Mcclure</t>
  </si>
  <si>
    <t>Marilyn Tran</t>
  </si>
  <si>
    <t>Nicole Harrison</t>
  </si>
  <si>
    <t>Chad Maldonado</t>
  </si>
  <si>
    <t>Ariana Brown</t>
  </si>
  <si>
    <t>Robert Dunn</t>
  </si>
  <si>
    <t>Teresa Harrison</t>
  </si>
  <si>
    <t>Thomas Arnold</t>
  </si>
  <si>
    <t>Crystal Simpson</t>
  </si>
  <si>
    <t>George Phillips</t>
  </si>
  <si>
    <t>Jeffrey Gutierrez</t>
  </si>
  <si>
    <t>Paul Mack</t>
  </si>
  <si>
    <t>Kimberly Ramirez</t>
  </si>
  <si>
    <t>Sarah Villarreal</t>
  </si>
  <si>
    <t>Chloe Hunt</t>
  </si>
  <si>
    <t>Heidi Pope</t>
  </si>
  <si>
    <t>Megan Gray</t>
  </si>
  <si>
    <t>Sandra Soto</t>
  </si>
  <si>
    <t>Brenda Le</t>
  </si>
  <si>
    <t>Lori Rivas</t>
  </si>
  <si>
    <t>Roger Hamilton</t>
  </si>
  <si>
    <t>Melissa Waller</t>
  </si>
  <si>
    <t>Darryl Williams</t>
  </si>
  <si>
    <t>Monica Walker</t>
  </si>
  <si>
    <t>Teresa Campbell</t>
  </si>
  <si>
    <t>Frederick Mcintosh</t>
  </si>
  <si>
    <t>Debra Harris</t>
  </si>
  <si>
    <t>Chad Green</t>
  </si>
  <si>
    <t>Terry Martin</t>
  </si>
  <si>
    <t>Madison Palmer</t>
  </si>
  <si>
    <t>Michael Jones</t>
  </si>
  <si>
    <t>Michael Newman</t>
  </si>
  <si>
    <t>Lindsey Turner</t>
  </si>
  <si>
    <t>Nicole Hall</t>
  </si>
  <si>
    <t>Leslie Roth</t>
  </si>
  <si>
    <t>Robert Roberts</t>
  </si>
  <si>
    <t>Eric Torres</t>
  </si>
  <si>
    <t>Rebecca Moore</t>
  </si>
  <si>
    <t>Steve Goodman</t>
  </si>
  <si>
    <t>Teresa Strong</t>
  </si>
  <si>
    <t>Monica White</t>
  </si>
  <si>
    <t>Sara Harris</t>
  </si>
  <si>
    <t>Kathleen Sandoval</t>
  </si>
  <si>
    <t>Caroline Miller</t>
  </si>
  <si>
    <t>Jennifer Baker</t>
  </si>
  <si>
    <t>Kristina Payne</t>
  </si>
  <si>
    <t>Stacy Jones</t>
  </si>
  <si>
    <t>Michael Ramos</t>
  </si>
  <si>
    <t>Michael Meza</t>
  </si>
  <si>
    <t>Randy Shaw</t>
  </si>
  <si>
    <t>Ann Sullivan</t>
  </si>
  <si>
    <t>Amy White</t>
  </si>
  <si>
    <t>Nicholas Sullivan</t>
  </si>
  <si>
    <t>Jonathan Young</t>
  </si>
  <si>
    <t>Glenn Rodriguez</t>
  </si>
  <si>
    <t>Christopher Hurst</t>
  </si>
  <si>
    <t>Patrick Smith</t>
  </si>
  <si>
    <t>Mark Lane</t>
  </si>
  <si>
    <t>Carrie Scott</t>
  </si>
  <si>
    <t>Dalton Tucker</t>
  </si>
  <si>
    <t>Steven Price</t>
  </si>
  <si>
    <t>Anna Clements</t>
  </si>
  <si>
    <t>Heidi Buchanan</t>
  </si>
  <si>
    <t>Annette Pruitt</t>
  </si>
  <si>
    <t>Kari Wells</t>
  </si>
  <si>
    <t>Jay Galloway</t>
  </si>
  <si>
    <t>Clifford Lee</t>
  </si>
  <si>
    <t>Melissa Nguyen</t>
  </si>
  <si>
    <t>Judy Ruiz</t>
  </si>
  <si>
    <t>David Bowman</t>
  </si>
  <si>
    <t>Erica Stevens</t>
  </si>
  <si>
    <t>Jordan Warren</t>
  </si>
  <si>
    <t>Lee White</t>
  </si>
  <si>
    <t>Julie Gonzalez</t>
  </si>
  <si>
    <t>Summer Herman</t>
  </si>
  <si>
    <t>Angela Cox</t>
  </si>
  <si>
    <t>Steven Williams</t>
  </si>
  <si>
    <t>Susan Lee</t>
  </si>
  <si>
    <t>William Rodriguez</t>
  </si>
  <si>
    <t>Mike Mcbride</t>
  </si>
  <si>
    <t>Heather Carter</t>
  </si>
  <si>
    <t>Elizabeth Ibarra</t>
  </si>
  <si>
    <t>Grace Hawkins</t>
  </si>
  <si>
    <t>Kiara Clark</t>
  </si>
  <si>
    <t>Kimberly Welch</t>
  </si>
  <si>
    <t>Jeffrey Bailey</t>
  </si>
  <si>
    <t>John Fox</t>
  </si>
  <si>
    <t>Shaun Acosta</t>
  </si>
  <si>
    <t>Roger Soto</t>
  </si>
  <si>
    <t>Hannah Barton</t>
  </si>
  <si>
    <t>Christopher Castillo</t>
  </si>
  <si>
    <t>Larry Singleton</t>
  </si>
  <si>
    <t>Thomas Donaldson</t>
  </si>
  <si>
    <t>Timothy Meadows</t>
  </si>
  <si>
    <t>Daniel Brooks</t>
  </si>
  <si>
    <t>Tim Davis</t>
  </si>
  <si>
    <t>Theresa Wright</t>
  </si>
  <si>
    <t>Brian Downs</t>
  </si>
  <si>
    <t>Thomas Lee</t>
  </si>
  <si>
    <t>Curtis Garcia</t>
  </si>
  <si>
    <t>Tammy Rivers</t>
  </si>
  <si>
    <t>Brandon Johnson</t>
  </si>
  <si>
    <t>Peter Richardson</t>
  </si>
  <si>
    <t>Mrs. Rachel Spencer</t>
  </si>
  <si>
    <t>William Sims</t>
  </si>
  <si>
    <t>Lisa Booker</t>
  </si>
  <si>
    <t>Bonnie Buckley</t>
  </si>
  <si>
    <t>Elizabeth Michael</t>
  </si>
  <si>
    <t>Jason Lynch</t>
  </si>
  <si>
    <t>Amber Ortiz</t>
  </si>
  <si>
    <t>Susan Lynch</t>
  </si>
  <si>
    <t>Andrew Walsh</t>
  </si>
  <si>
    <t>Mary Bell</t>
  </si>
  <si>
    <t>Monica James</t>
  </si>
  <si>
    <t>Amy Osborne</t>
  </si>
  <si>
    <t>Zachary Rice</t>
  </si>
  <si>
    <t>Anthony Jones</t>
  </si>
  <si>
    <t>Christina Burns</t>
  </si>
  <si>
    <t>Katherine Bass</t>
  </si>
  <si>
    <t>Claudia Tyler</t>
  </si>
  <si>
    <t>Robert Edwards</t>
  </si>
  <si>
    <t>Jill Serrano</t>
  </si>
  <si>
    <t>Troy Gould</t>
  </si>
  <si>
    <t>John Hobbs</t>
  </si>
  <si>
    <t>Mark Hunter</t>
  </si>
  <si>
    <t>Andrea Torres</t>
  </si>
  <si>
    <t>Christian Washington Md</t>
  </si>
  <si>
    <t>Christopher Charles</t>
  </si>
  <si>
    <t>Sara Hall</t>
  </si>
  <si>
    <t>Joshua Patel</t>
  </si>
  <si>
    <t>Brianna Moreno</t>
  </si>
  <si>
    <t>Jenna Turner</t>
  </si>
  <si>
    <t>Jeffrey Long</t>
  </si>
  <si>
    <t>Alexander Bishop</t>
  </si>
  <si>
    <t>John Young</t>
  </si>
  <si>
    <t>Heather Sanchez</t>
  </si>
  <si>
    <t>Amanda White</t>
  </si>
  <si>
    <t>Bruce Cox</t>
  </si>
  <si>
    <t>George Wolfe</t>
  </si>
  <si>
    <t>Shannon Williamson</t>
  </si>
  <si>
    <t>Julie Rivas</t>
  </si>
  <si>
    <t>Roger Escobar</t>
  </si>
  <si>
    <t>Tammy Hall</t>
  </si>
  <si>
    <t>Tyler Campbell</t>
  </si>
  <si>
    <t>Nicholas Garcia</t>
  </si>
  <si>
    <t>Desiree Frazier</t>
  </si>
  <si>
    <t>Bianca Johnson</t>
  </si>
  <si>
    <t>Wendy Cain</t>
  </si>
  <si>
    <t>Veronica Meyer</t>
  </si>
  <si>
    <t>Elizabeth Ramirez</t>
  </si>
  <si>
    <t>Brett Stevens</t>
  </si>
  <si>
    <t>Mario Haley</t>
  </si>
  <si>
    <t>Patrick Owens</t>
  </si>
  <si>
    <t>Karen Clark</t>
  </si>
  <si>
    <t>Sarah Jensen</t>
  </si>
  <si>
    <t>Christopher Marshall</t>
  </si>
  <si>
    <t>Brenda Davis</t>
  </si>
  <si>
    <t>Angela Young Md</t>
  </si>
  <si>
    <t>Brian Smith</t>
  </si>
  <si>
    <t>Rebecca James</t>
  </si>
  <si>
    <t>Jacob Farmer</t>
  </si>
  <si>
    <t>Daniel Flores</t>
  </si>
  <si>
    <t>Marcus Gillespie</t>
  </si>
  <si>
    <t>Susan Johnson</t>
  </si>
  <si>
    <t>Marie Turner</t>
  </si>
  <si>
    <t>Brian Larson</t>
  </si>
  <si>
    <t>Antonio Contreras</t>
  </si>
  <si>
    <t>Melanie Morales</t>
  </si>
  <si>
    <t>Amanda Hebert</t>
  </si>
  <si>
    <t>James Ward</t>
  </si>
  <si>
    <t>Nicole Flynn</t>
  </si>
  <si>
    <t>Thomas Sutton</t>
  </si>
  <si>
    <t>Brandi Woodard</t>
  </si>
  <si>
    <t>Jacob Cunningham</t>
  </si>
  <si>
    <t>Mark Armstrong</t>
  </si>
  <si>
    <t>Mark Rodriguez</t>
  </si>
  <si>
    <t>Jimmy Jones</t>
  </si>
  <si>
    <t>David Howard</t>
  </si>
  <si>
    <t>Amanda Mills</t>
  </si>
  <si>
    <t>Daniel Moore</t>
  </si>
  <si>
    <t>Michael Bruce</t>
  </si>
  <si>
    <t>Timothy Bennett</t>
  </si>
  <si>
    <t>Carlos Burton</t>
  </si>
  <si>
    <t>Nicole Nguyen</t>
  </si>
  <si>
    <t>Matthew Harper</t>
  </si>
  <si>
    <t>Jamie Price</t>
  </si>
  <si>
    <t>Thomas Hicks</t>
  </si>
  <si>
    <t>Michelle Hughes</t>
  </si>
  <si>
    <t>Cassie Nelson</t>
  </si>
  <si>
    <t>Eric Turner</t>
  </si>
  <si>
    <t>Sharon Smith</t>
  </si>
  <si>
    <t>Nancy May</t>
  </si>
  <si>
    <t>Elizabeth Flores</t>
  </si>
  <si>
    <t>David Flores</t>
  </si>
  <si>
    <t>Joseph Cohen Jr.</t>
  </si>
  <si>
    <t>Richard Hammond</t>
  </si>
  <si>
    <t>Richard Hines</t>
  </si>
  <si>
    <t>Justin Bryant</t>
  </si>
  <si>
    <t>Ernest Taylor</t>
  </si>
  <si>
    <t>Tyrone Newman</t>
  </si>
  <si>
    <t>Nicole Thornton</t>
  </si>
  <si>
    <t>Dawn Thomas</t>
  </si>
  <si>
    <t>Jessica Booth</t>
  </si>
  <si>
    <t>Douglas Myers</t>
  </si>
  <si>
    <t>Kendra Walker</t>
  </si>
  <si>
    <t>Chris Nunez</t>
  </si>
  <si>
    <t>Thomas Martin</t>
  </si>
  <si>
    <t>Jesse Sutton</t>
  </si>
  <si>
    <t>Linda Kennedy</t>
  </si>
  <si>
    <t>Allison Price</t>
  </si>
  <si>
    <t>Fred Snyder</t>
  </si>
  <si>
    <t>Jorge Richard</t>
  </si>
  <si>
    <t>Jason Martinez</t>
  </si>
  <si>
    <t>Samantha Garza</t>
  </si>
  <si>
    <t>Robert Nichols</t>
  </si>
  <si>
    <t>Brett Marshall</t>
  </si>
  <si>
    <t>Brianna Lee</t>
  </si>
  <si>
    <t>Chase Good</t>
  </si>
  <si>
    <t>Barbara Young</t>
  </si>
  <si>
    <t>Michael Christian</t>
  </si>
  <si>
    <t>Sean Gray</t>
  </si>
  <si>
    <t>Michael Hill</t>
  </si>
  <si>
    <t>Briana Bowen</t>
  </si>
  <si>
    <t>Jeff Moss</t>
  </si>
  <si>
    <t>Ronald Park</t>
  </si>
  <si>
    <t>Matthew Rivera</t>
  </si>
  <si>
    <t>Kimberly Singleton</t>
  </si>
  <si>
    <t>Sabrina Gonzalez</t>
  </si>
  <si>
    <t>Steven Thompson</t>
  </si>
  <si>
    <t>Lauren Cuevas</t>
  </si>
  <si>
    <t>Michael Gomez</t>
  </si>
  <si>
    <t>Denise Ramirez</t>
  </si>
  <si>
    <t>Jordan Brown</t>
  </si>
  <si>
    <t>Dr. Dana Leonard</t>
  </si>
  <si>
    <t>Eric Fernandez</t>
  </si>
  <si>
    <t>Scott Andersen</t>
  </si>
  <si>
    <t>Dave Kennedy</t>
  </si>
  <si>
    <t>Robert Burton</t>
  </si>
  <si>
    <t>Stephanie Gibson</t>
  </si>
  <si>
    <t>Bryan Harper</t>
  </si>
  <si>
    <t>Diana Bennett</t>
  </si>
  <si>
    <t>Maria Carter</t>
  </si>
  <si>
    <t>Charles Johnson</t>
  </si>
  <si>
    <t>Deanna Ferrell</t>
  </si>
  <si>
    <t>Jerry Cruz Dds</t>
  </si>
  <si>
    <t>Krista Caldwell</t>
  </si>
  <si>
    <t>Kimberly Mejia</t>
  </si>
  <si>
    <t>Barbara Clark</t>
  </si>
  <si>
    <t>Joel Bowen</t>
  </si>
  <si>
    <t>Scott Martin</t>
  </si>
  <si>
    <t>Shawn King</t>
  </si>
  <si>
    <t>Edwin Castillo</t>
  </si>
  <si>
    <t>Robert Robbins</t>
  </si>
  <si>
    <t>Linda Wilson</t>
  </si>
  <si>
    <t>James White</t>
  </si>
  <si>
    <t>Alyssa Gonzalez</t>
  </si>
  <si>
    <t>James Hudson</t>
  </si>
  <si>
    <t>Isabella Daniel</t>
  </si>
  <si>
    <t>Andrew Johnson</t>
  </si>
  <si>
    <t>Becky Rivera</t>
  </si>
  <si>
    <t>Donna Bernard</t>
  </si>
  <si>
    <t>Vickie Martinez</t>
  </si>
  <si>
    <t>Stephanie Nielsen</t>
  </si>
  <si>
    <t>Taylor Hunter</t>
  </si>
  <si>
    <t>Kelly Zamora</t>
  </si>
  <si>
    <t>Kara Herring</t>
  </si>
  <si>
    <t>Richard Hall</t>
  </si>
  <si>
    <t>Gregory Olson</t>
  </si>
  <si>
    <t>Maria Kramer</t>
  </si>
  <si>
    <t>Kenneth Clark</t>
  </si>
  <si>
    <t>Shannon Edwards</t>
  </si>
  <si>
    <t>Ruth Adams</t>
  </si>
  <si>
    <t>Calvin Barry</t>
  </si>
  <si>
    <t>Pamela Lopez</t>
  </si>
  <si>
    <t>Catherine Thompson Dds</t>
  </si>
  <si>
    <t>Tracy Martin</t>
  </si>
  <si>
    <t>Christina Barber</t>
  </si>
  <si>
    <t>Brandy Friedman Md</t>
  </si>
  <si>
    <t>Adam Smith</t>
  </si>
  <si>
    <t>Curtis Harding</t>
  </si>
  <si>
    <t>Alexander Smith</t>
  </si>
  <si>
    <t>Mary Walker</t>
  </si>
  <si>
    <t>Jessica Wood</t>
  </si>
  <si>
    <t>Paula Vega</t>
  </si>
  <si>
    <t>Matthew Bentley</t>
  </si>
  <si>
    <t>Cathy Robinson</t>
  </si>
  <si>
    <t>Caitlin Hill</t>
  </si>
  <si>
    <t>Pam Powell</t>
  </si>
  <si>
    <t>Nancy Davis</t>
  </si>
  <si>
    <t>Jonathan Miller</t>
  </si>
  <si>
    <t>Noah Moon</t>
  </si>
  <si>
    <t>Jose Anderson</t>
  </si>
  <si>
    <t>Craig Chavez</t>
  </si>
  <si>
    <t>Nicholas Doyle</t>
  </si>
  <si>
    <t>Amber Schneider</t>
  </si>
  <si>
    <t>Eric Carrillo</t>
  </si>
  <si>
    <t>Christopher Bowers</t>
  </si>
  <si>
    <t>Krystal Rodriguez</t>
  </si>
  <si>
    <t>Kelsey Bailey</t>
  </si>
  <si>
    <t>Kelly Barnes</t>
  </si>
  <si>
    <t>Madison Myers</t>
  </si>
  <si>
    <t>Lisa Downs Dds</t>
  </si>
  <si>
    <t>Alexander Hopkins</t>
  </si>
  <si>
    <t>Jesse Ewing</t>
  </si>
  <si>
    <t>Kayla Thomas</t>
  </si>
  <si>
    <t>Marcus Jones</t>
  </si>
  <si>
    <t>Jacqueline Swanson</t>
  </si>
  <si>
    <t>Mark Walker</t>
  </si>
  <si>
    <t>Mr. Ryan Williams</t>
  </si>
  <si>
    <t>Nicole Bartlett</t>
  </si>
  <si>
    <t>Emily Buckley</t>
  </si>
  <si>
    <t>Michael Harvey</t>
  </si>
  <si>
    <t>Becky Robinson</t>
  </si>
  <si>
    <t>Timothy Ramirez</t>
  </si>
  <si>
    <t>Bonnie Bradford</t>
  </si>
  <si>
    <t>Tammy Alvarez</t>
  </si>
  <si>
    <t>Mariah Barton</t>
  </si>
  <si>
    <t>Tonya Shah</t>
  </si>
  <si>
    <t>Kristi Harris</t>
  </si>
  <si>
    <t>Mark Todd</t>
  </si>
  <si>
    <t>Ruth Rhodes</t>
  </si>
  <si>
    <t>Logan Torres</t>
  </si>
  <si>
    <t>Rachel Evans</t>
  </si>
  <si>
    <t>Rebecca Perez</t>
  </si>
  <si>
    <t>Ashley Ryan</t>
  </si>
  <si>
    <t>William Glenn</t>
  </si>
  <si>
    <t>Cynthia Frye</t>
  </si>
  <si>
    <t>Stephen Weiss</t>
  </si>
  <si>
    <t>Brad Farley</t>
  </si>
  <si>
    <t>Felicia Bender</t>
  </si>
  <si>
    <t>Leah Stuart</t>
  </si>
  <si>
    <t>Heidi Carlson</t>
  </si>
  <si>
    <t>Douglas Lee</t>
  </si>
  <si>
    <t>Mary Riley</t>
  </si>
  <si>
    <t>Amy Reyes</t>
  </si>
  <si>
    <t>Monica Sampson</t>
  </si>
  <si>
    <t>Tony Owen</t>
  </si>
  <si>
    <t>Clayton Brown</t>
  </si>
  <si>
    <t>James Vance</t>
  </si>
  <si>
    <t>Daniel Green</t>
  </si>
  <si>
    <t>Natalie Knight</t>
  </si>
  <si>
    <t>Rebecca Hayes</t>
  </si>
  <si>
    <t>Tara York</t>
  </si>
  <si>
    <t>Elizabeth Tyler</t>
  </si>
  <si>
    <t>Ashley Kim</t>
  </si>
  <si>
    <t>Brandi Lopez</t>
  </si>
  <si>
    <t>Tamara Castillo</t>
  </si>
  <si>
    <t>Claire Alvarez</t>
  </si>
  <si>
    <t>Joseph Wheeler</t>
  </si>
  <si>
    <t>Rachel Martinez</t>
  </si>
  <si>
    <t>John Walker</t>
  </si>
  <si>
    <t>Amanda Hill</t>
  </si>
  <si>
    <t>Christopher Jimenez</t>
  </si>
  <si>
    <t>Nancy Stevens</t>
  </si>
  <si>
    <t>Christina Medina</t>
  </si>
  <si>
    <t>Donald Morrison</t>
  </si>
  <si>
    <t>Brian Butler</t>
  </si>
  <si>
    <t>Elizabeth Bridges</t>
  </si>
  <si>
    <t>Matthew Barnes</t>
  </si>
  <si>
    <t>Dr. Lisa Dunn Md</t>
  </si>
  <si>
    <t>Anthony Gonzalez</t>
  </si>
  <si>
    <t>Jason Haney</t>
  </si>
  <si>
    <t>Larry Finley</t>
  </si>
  <si>
    <t>Lindsay Sparks</t>
  </si>
  <si>
    <t>Dale Reyes</t>
  </si>
  <si>
    <t>Jack Cox</t>
  </si>
  <si>
    <t>Sheena Zuniga</t>
  </si>
  <si>
    <t>Raymond Chandler</t>
  </si>
  <si>
    <t>Robin White</t>
  </si>
  <si>
    <t>Elizabeth Jones</t>
  </si>
  <si>
    <t>Jacob Carter</t>
  </si>
  <si>
    <t>Stephen Moore</t>
  </si>
  <si>
    <t>Jacqueline Walker</t>
  </si>
  <si>
    <t>Nicole Smith</t>
  </si>
  <si>
    <t>Brett Davenport</t>
  </si>
  <si>
    <t>Jennifer Benson</t>
  </si>
  <si>
    <t>Hayley Craig</t>
  </si>
  <si>
    <t>Ann Graham</t>
  </si>
  <si>
    <t>Jaime Thompson</t>
  </si>
  <si>
    <t>Maria Johnson</t>
  </si>
  <si>
    <t>Julie Matthews</t>
  </si>
  <si>
    <t>Michael Howe</t>
  </si>
  <si>
    <t>Dominique Martinez</t>
  </si>
  <si>
    <t>Monique Cantu</t>
  </si>
  <si>
    <t>Kelsey Allen</t>
  </si>
  <si>
    <t>Jimmy Johnson</t>
  </si>
  <si>
    <t>Jacob Pena</t>
  </si>
  <si>
    <t>Dwayne Cole</t>
  </si>
  <si>
    <t>Stephanie Tapia</t>
  </si>
  <si>
    <t>Joshua Doyle</t>
  </si>
  <si>
    <t>Gregory Thomas</t>
  </si>
  <si>
    <t>Jennifer West</t>
  </si>
  <si>
    <t>Shannon Key</t>
  </si>
  <si>
    <t>Kathy White</t>
  </si>
  <si>
    <t>Amanda Vaughn</t>
  </si>
  <si>
    <t>Michele Fernandez</t>
  </si>
  <si>
    <t>Philip Bailey</t>
  </si>
  <si>
    <t>Ryan White</t>
  </si>
  <si>
    <t>Stephanie Harris</t>
  </si>
  <si>
    <t>Erika Irwin</t>
  </si>
  <si>
    <t>Charles Daniels</t>
  </si>
  <si>
    <t>Daniel Howard</t>
  </si>
  <si>
    <t>Keith White</t>
  </si>
  <si>
    <t>Michelle Johnson</t>
  </si>
  <si>
    <t>Bradley Jordan</t>
  </si>
  <si>
    <t>Holly Stuart</t>
  </si>
  <si>
    <t>Christopher Frye</t>
  </si>
  <si>
    <t>Jeremiah Riley</t>
  </si>
  <si>
    <t>Brenda Bell</t>
  </si>
  <si>
    <t>Brian Bernard</t>
  </si>
  <si>
    <t>William Baker</t>
  </si>
  <si>
    <t>Kenneth Reyes</t>
  </si>
  <si>
    <t>Holly Bishop</t>
  </si>
  <si>
    <t>Dennis Gonzalez</t>
  </si>
  <si>
    <t>Zachary Lyons</t>
  </si>
  <si>
    <t>Carrie Black</t>
  </si>
  <si>
    <t>Miguel Nguyen</t>
  </si>
  <si>
    <t>Alexis Hicks</t>
  </si>
  <si>
    <t>Jillian Velasquez</t>
  </si>
  <si>
    <t>Laura Wu</t>
  </si>
  <si>
    <t>Terri Murphy</t>
  </si>
  <si>
    <t>Vanessa King</t>
  </si>
  <si>
    <t>Adam Martinez</t>
  </si>
  <si>
    <t>Claire Ramirez</t>
  </si>
  <si>
    <t>Scott Walker</t>
  </si>
  <si>
    <t>Victoria Crawford</t>
  </si>
  <si>
    <t>Jeffery Nelson</t>
  </si>
  <si>
    <t>Brian Long</t>
  </si>
  <si>
    <t>Kathryn Fernandez</t>
  </si>
  <si>
    <t>Michelle Wilson</t>
  </si>
  <si>
    <t>Michelle Smith</t>
  </si>
  <si>
    <t>Cynthia Caldwell</t>
  </si>
  <si>
    <t>Elizabeth Phelps</t>
  </si>
  <si>
    <t>Connie Gomez</t>
  </si>
  <si>
    <t>Kristy Walker</t>
  </si>
  <si>
    <t>Karen Mooney</t>
  </si>
  <si>
    <t>Patricia Chambers</t>
  </si>
  <si>
    <t>John Flores</t>
  </si>
  <si>
    <t>Mr. Nicholas Hall</t>
  </si>
  <si>
    <t>Shirley Smith</t>
  </si>
  <si>
    <t>Kimberly Armstrong</t>
  </si>
  <si>
    <t>Heather Hopkins</t>
  </si>
  <si>
    <t>Brenda Burgess</t>
  </si>
  <si>
    <t>Robert Bell</t>
  </si>
  <si>
    <t>Vanessa Mcintosh</t>
  </si>
  <si>
    <t>Jennifer Dixon</t>
  </si>
  <si>
    <t>Valerie Rodriguez</t>
  </si>
  <si>
    <t>Tara West</t>
  </si>
  <si>
    <t>Kenneth Williams</t>
  </si>
  <si>
    <t>George Ross</t>
  </si>
  <si>
    <t>Lucas Wilson</t>
  </si>
  <si>
    <t>Ronald Brown</t>
  </si>
  <si>
    <t>Charles Barajas</t>
  </si>
  <si>
    <t>Lauren Sanford</t>
  </si>
  <si>
    <t>Peter Conway</t>
  </si>
  <si>
    <t>Mary Baldwin</t>
  </si>
  <si>
    <t>William Mathis</t>
  </si>
  <si>
    <t>Michelle Whitaker</t>
  </si>
  <si>
    <t>Gary Reeves</t>
  </si>
  <si>
    <t>Kristie Vasquez</t>
  </si>
  <si>
    <t>Rachel Bowman</t>
  </si>
  <si>
    <t>Mrs. Jillian Sosa</t>
  </si>
  <si>
    <t>Amber Lawson</t>
  </si>
  <si>
    <t>Jill Cohen</t>
  </si>
  <si>
    <t>Molly Alvarado</t>
  </si>
  <si>
    <t>Barbara May</t>
  </si>
  <si>
    <t>Darrell Johnston</t>
  </si>
  <si>
    <t>Gary Santos</t>
  </si>
  <si>
    <t>Tracy Garcia</t>
  </si>
  <si>
    <t>Kristen Rowland</t>
  </si>
  <si>
    <t>Joseph Figueroa</t>
  </si>
  <si>
    <t>Taylor Jones</t>
  </si>
  <si>
    <t>David Lewis</t>
  </si>
  <si>
    <t>Ryan Howard</t>
  </si>
  <si>
    <t>Laura Harper</t>
  </si>
  <si>
    <t>Patrick Rodriguez</t>
  </si>
  <si>
    <t>Brittney Chen</t>
  </si>
  <si>
    <t>David Graham</t>
  </si>
  <si>
    <t>Desiree Roy</t>
  </si>
  <si>
    <t>Valerie Chavez</t>
  </si>
  <si>
    <t>Toni Collins</t>
  </si>
  <si>
    <t>Elizabeth Baker</t>
  </si>
  <si>
    <t>Morgan Pace</t>
  </si>
  <si>
    <t>Anthony Erickson</t>
  </si>
  <si>
    <t>Priscilla Sanders</t>
  </si>
  <si>
    <t>Cynthia Hill</t>
  </si>
  <si>
    <t>Timothy Elliott</t>
  </si>
  <si>
    <t>Taylor Mason</t>
  </si>
  <si>
    <t>Morgan Perry Dds</t>
  </si>
  <si>
    <t>Roger Bartlett</t>
  </si>
  <si>
    <t>Thomas Crawford</t>
  </si>
  <si>
    <t>Courtney Schroeder</t>
  </si>
  <si>
    <t>Amber Nguyen</t>
  </si>
  <si>
    <t>Tiffany Cooper</t>
  </si>
  <si>
    <t>Scott Perry</t>
  </si>
  <si>
    <t>Caitlin Lam</t>
  </si>
  <si>
    <t>Joseph Dudley</t>
  </si>
  <si>
    <t>Shane Gardner</t>
  </si>
  <si>
    <t>Thomas Cruz</t>
  </si>
  <si>
    <t>Mario Dalton</t>
  </si>
  <si>
    <t>John Powell</t>
  </si>
  <si>
    <t>Andrew Martinez</t>
  </si>
  <si>
    <t>Mary Collins</t>
  </si>
  <si>
    <t>Michael Obrien</t>
  </si>
  <si>
    <t>Valerie Nelson</t>
  </si>
  <si>
    <t>Gary Jensen</t>
  </si>
  <si>
    <t>Lisa Valencia</t>
  </si>
  <si>
    <t>Jeffrey Livingston Dds</t>
  </si>
  <si>
    <t>Sara Bush</t>
  </si>
  <si>
    <t>Autumn Sutton</t>
  </si>
  <si>
    <t>William Blair</t>
  </si>
  <si>
    <t>Heather Wang</t>
  </si>
  <si>
    <t>Alex White</t>
  </si>
  <si>
    <t>Amy Oconnor</t>
  </si>
  <si>
    <t>Justin Eaton</t>
  </si>
  <si>
    <t>Joseph Berger</t>
  </si>
  <si>
    <t>Brent Mccarthy</t>
  </si>
  <si>
    <t>Cody Cummings</t>
  </si>
  <si>
    <t>Lisa Gilmore</t>
  </si>
  <si>
    <t>Charles Mcdowell</t>
  </si>
  <si>
    <t>Sonya Erickson</t>
  </si>
  <si>
    <t>Emily Owens</t>
  </si>
  <si>
    <t>Ann Miller</t>
  </si>
  <si>
    <t>Zachary Bautista</t>
  </si>
  <si>
    <t>Tara Adams</t>
  </si>
  <si>
    <t>Melissa Morgan</t>
  </si>
  <si>
    <t>Joshua Smith</t>
  </si>
  <si>
    <t>Nicole Hicks</t>
  </si>
  <si>
    <t>Brenda Collins</t>
  </si>
  <si>
    <t>Michael Riley</t>
  </si>
  <si>
    <t>Dr. Robert Todd</t>
  </si>
  <si>
    <t>Eric Blackburn</t>
  </si>
  <si>
    <t>Thomas Gonzales</t>
  </si>
  <si>
    <t>Julie Brown</t>
  </si>
  <si>
    <t>Joshua Lawson</t>
  </si>
  <si>
    <t>Brenda Baird</t>
  </si>
  <si>
    <t>Willie Cox</t>
  </si>
  <si>
    <t>Amanda Gonzalez</t>
  </si>
  <si>
    <t>Megan Rocha</t>
  </si>
  <si>
    <t>Paige Mueller</t>
  </si>
  <si>
    <t>Kari Ibarra</t>
  </si>
  <si>
    <t>Susan Rodriguez</t>
  </si>
  <si>
    <t>Monica Thompson Md</t>
  </si>
  <si>
    <t>Robert Grant</t>
  </si>
  <si>
    <t>Andrew Sanchez</t>
  </si>
  <si>
    <t>Hannah Everett</t>
  </si>
  <si>
    <t>Jonathan Mcgrath</t>
  </si>
  <si>
    <t>Michael Wilkins</t>
  </si>
  <si>
    <t>Robin Castillo</t>
  </si>
  <si>
    <t>James Bradley</t>
  </si>
  <si>
    <t>Kenneth Perkins</t>
  </si>
  <si>
    <t>Jonathan Cook</t>
  </si>
  <si>
    <t>Courtney Anderson</t>
  </si>
  <si>
    <t>Rachel Ware</t>
  </si>
  <si>
    <t>Scott Anderson</t>
  </si>
  <si>
    <t>Chloe Cruz</t>
  </si>
  <si>
    <t>Matthew Bryant</t>
  </si>
  <si>
    <t>Angelica Martinez</t>
  </si>
  <si>
    <t>Steven Duncan</t>
  </si>
  <si>
    <t>Brittany Sanchez</t>
  </si>
  <si>
    <t>Angela Walker</t>
  </si>
  <si>
    <t>Erin Mason</t>
  </si>
  <si>
    <t>Howard Morris</t>
  </si>
  <si>
    <t>Dr. Kevin Hayden</t>
  </si>
  <si>
    <t>Kenneth Davidson</t>
  </si>
  <si>
    <t>Dennis Russell</t>
  </si>
  <si>
    <t>Evan Kim</t>
  </si>
  <si>
    <t>Dr. Sierra Mueller</t>
  </si>
  <si>
    <t>Justin Edwards</t>
  </si>
  <si>
    <t>Timothy George</t>
  </si>
  <si>
    <t>Michelle Robinson Md</t>
  </si>
  <si>
    <t>Stephanie Cruz</t>
  </si>
  <si>
    <t>Kristen Duarte</t>
  </si>
  <si>
    <t>Jeffrey Heath</t>
  </si>
  <si>
    <t>Robert Hubbard</t>
  </si>
  <si>
    <t>Scott Bowen</t>
  </si>
  <si>
    <t>William Richards</t>
  </si>
  <si>
    <t>Chelsea Cook</t>
  </si>
  <si>
    <t>Charlotte Thomas</t>
  </si>
  <si>
    <t>Patricia Hernandez</t>
  </si>
  <si>
    <t>Brianna Bell</t>
  </si>
  <si>
    <t>Alicia Fields</t>
  </si>
  <si>
    <t>Hannah Sanchez</t>
  </si>
  <si>
    <t>Keith Allen</t>
  </si>
  <si>
    <t>Zachary Hernandez</t>
  </si>
  <si>
    <t>Anna Miller</t>
  </si>
  <si>
    <t>Hector Clay</t>
  </si>
  <si>
    <t>Brian Reyes</t>
  </si>
  <si>
    <t>Shane Medina</t>
  </si>
  <si>
    <t>Monica Lucero</t>
  </si>
  <si>
    <t>Rebecca Flores</t>
  </si>
  <si>
    <t>Alyssa Little</t>
  </si>
  <si>
    <t>Nicole Santiago</t>
  </si>
  <si>
    <t>Heather Scott</t>
  </si>
  <si>
    <t>Rhonda Wilson</t>
  </si>
  <si>
    <t>Nicole Herman</t>
  </si>
  <si>
    <t>Kimberly Lee</t>
  </si>
  <si>
    <t>Cody Gardner</t>
  </si>
  <si>
    <t>Jason Melendez</t>
  </si>
  <si>
    <t>Thomas Lopez</t>
  </si>
  <si>
    <t>Brittany Gutierrez</t>
  </si>
  <si>
    <t>Johnathan Dixon</t>
  </si>
  <si>
    <t>Cody Moore</t>
  </si>
  <si>
    <t>Paul Bradford</t>
  </si>
  <si>
    <t>Juan Burgess</t>
  </si>
  <si>
    <t>Matthew Shaw</t>
  </si>
  <si>
    <t>Patrick Murphy</t>
  </si>
  <si>
    <t>Kevin Gallagher</t>
  </si>
  <si>
    <t>Jordan Jackson</t>
  </si>
  <si>
    <t>Catherine Wall</t>
  </si>
  <si>
    <t>Luis Patterson</t>
  </si>
  <si>
    <t>Julie Tanner</t>
  </si>
  <si>
    <t>Leroy Price</t>
  </si>
  <si>
    <t>Rebecca Castaneda</t>
  </si>
  <si>
    <t>Andrea Kirk Dds</t>
  </si>
  <si>
    <t>Holly Nelson</t>
  </si>
  <si>
    <t>Kathy Waller</t>
  </si>
  <si>
    <t>Matthew Glover</t>
  </si>
  <si>
    <t>Tina Frey</t>
  </si>
  <si>
    <t>Mark Cox</t>
  </si>
  <si>
    <t>Bryan Jones</t>
  </si>
  <si>
    <t>Kelly Williams</t>
  </si>
  <si>
    <t>Aaron Wilson</t>
  </si>
  <si>
    <t>Samuel Phillips</t>
  </si>
  <si>
    <t>Steven Sullivan</t>
  </si>
  <si>
    <t>Kelly Harris</t>
  </si>
  <si>
    <t>Eugene Hoffman</t>
  </si>
  <si>
    <t>Chelsea Mendoza</t>
  </si>
  <si>
    <t>Phillip Wallace</t>
  </si>
  <si>
    <t>Brett Griffin</t>
  </si>
  <si>
    <t>Antonio Barnes</t>
  </si>
  <si>
    <t>James Benson</t>
  </si>
  <si>
    <t>Frederick Mcfarland</t>
  </si>
  <si>
    <t>Justin Long</t>
  </si>
  <si>
    <t>Abigail Tucker</t>
  </si>
  <si>
    <t>Amy Powers</t>
  </si>
  <si>
    <t>Michael Gonzalez</t>
  </si>
  <si>
    <t>Michael Williams</t>
  </si>
  <si>
    <t>Donna Melendez</t>
  </si>
  <si>
    <t>Ann Fitzgerald</t>
  </si>
  <si>
    <t>Keith Wilson</t>
  </si>
  <si>
    <t>Brandi Cross</t>
  </si>
  <si>
    <t>Ashley Rogers</t>
  </si>
  <si>
    <t>Shawn Ramirez</t>
  </si>
  <si>
    <t>Johnny Jenkins</t>
  </si>
  <si>
    <t>Regina Mitchell</t>
  </si>
  <si>
    <t>Michael Stevens</t>
  </si>
  <si>
    <t>Megan Reese</t>
  </si>
  <si>
    <t>Kaitlyn Vazquez</t>
  </si>
  <si>
    <t>Jason Ross</t>
  </si>
  <si>
    <t>Andrew Black</t>
  </si>
  <si>
    <t>Terrence Richard</t>
  </si>
  <si>
    <t>Sharon Chapman</t>
  </si>
  <si>
    <t>Sharon Goodwin</t>
  </si>
  <si>
    <t>Matthew Watts</t>
  </si>
  <si>
    <t>Bruce Le</t>
  </si>
  <si>
    <t>Benjamin Bernard</t>
  </si>
  <si>
    <t>Robert Tucker</t>
  </si>
  <si>
    <t>Sarah Morris</t>
  </si>
  <si>
    <t>Adrienne Oneal</t>
  </si>
  <si>
    <t>Kevin Marshall</t>
  </si>
  <si>
    <t>Jessica Evans</t>
  </si>
  <si>
    <t>Jonathan Clarke</t>
  </si>
  <si>
    <t>Julie Harvey</t>
  </si>
  <si>
    <t>Kevin Glass</t>
  </si>
  <si>
    <t>Lucas Charles</t>
  </si>
  <si>
    <t>Jimmy Arnold</t>
  </si>
  <si>
    <t>William Herrera</t>
  </si>
  <si>
    <t>Bradley Pham</t>
  </si>
  <si>
    <t>Paula Montoya</t>
  </si>
  <si>
    <t>Karen Ferguson</t>
  </si>
  <si>
    <t>Kimberly Nelson</t>
  </si>
  <si>
    <t>Joseph Brooks</t>
  </si>
  <si>
    <t>Caleb Branch</t>
  </si>
  <si>
    <t>Christopher Thomas</t>
  </si>
  <si>
    <t>Jeremy Barrett</t>
  </si>
  <si>
    <t>Richard Sanchez</t>
  </si>
  <si>
    <t>Anthony Ray</t>
  </si>
  <si>
    <t>Jamie Lamb</t>
  </si>
  <si>
    <t>Dustin Mclaughlin</t>
  </si>
  <si>
    <t>Teresa Green</t>
  </si>
  <si>
    <t>Cody Mahoney</t>
  </si>
  <si>
    <t>Molly Mendez</t>
  </si>
  <si>
    <t>Amy Thomas</t>
  </si>
  <si>
    <t>William Smith</t>
  </si>
  <si>
    <t>Richard York</t>
  </si>
  <si>
    <t>Megan Paul</t>
  </si>
  <si>
    <t>Joshua Davis</t>
  </si>
  <si>
    <t>Samuel Reed</t>
  </si>
  <si>
    <t>Joshua Anderson</t>
  </si>
  <si>
    <t>Andrew Marshall</t>
  </si>
  <si>
    <t>Joan Miller</t>
  </si>
  <si>
    <t>Kristin Fry</t>
  </si>
  <si>
    <t>Jasmine Oliver</t>
  </si>
  <si>
    <t>Tracy Johnson</t>
  </si>
  <si>
    <t>Dalton Davis</t>
  </si>
  <si>
    <t>Johnny Gallegos</t>
  </si>
  <si>
    <t>Christopher Aguilar</t>
  </si>
  <si>
    <t>Lauren Reed</t>
  </si>
  <si>
    <t>Kimberly Carpenter</t>
  </si>
  <si>
    <t>Maria Reed</t>
  </si>
  <si>
    <t>Eric Henderson</t>
  </si>
  <si>
    <t>Jennifer Grimes</t>
  </si>
  <si>
    <t>Samantha Nguyen</t>
  </si>
  <si>
    <t>Elizabeth Wang</t>
  </si>
  <si>
    <t>Jason Young</t>
  </si>
  <si>
    <t>Jill Fritz</t>
  </si>
  <si>
    <t>Kathryn Rowe</t>
  </si>
  <si>
    <t>Paul Ross</t>
  </si>
  <si>
    <t>Jessica Orozco</t>
  </si>
  <si>
    <t>Lauren Dixon</t>
  </si>
  <si>
    <t>Jennifer Navarro</t>
  </si>
  <si>
    <t>Victoria Anderson</t>
  </si>
  <si>
    <t>Blake Hayes</t>
  </si>
  <si>
    <t>Joshua Williamson</t>
  </si>
  <si>
    <t>Marie Wilkins</t>
  </si>
  <si>
    <t>Trevor Hall</t>
  </si>
  <si>
    <t>Tamara Todd</t>
  </si>
  <si>
    <t>Stephanie Palmer</t>
  </si>
  <si>
    <t>Isaiah Richardson</t>
  </si>
  <si>
    <t>Paul Watkins</t>
  </si>
  <si>
    <t>Allison Crosby</t>
  </si>
  <si>
    <t>Matthew Williamson</t>
  </si>
  <si>
    <t>Melissa Maynard</t>
  </si>
  <si>
    <t>Tara Li</t>
  </si>
  <si>
    <t>Carla Gonzalez</t>
  </si>
  <si>
    <t>Jeremy Nelson</t>
  </si>
  <si>
    <t>Andrew James</t>
  </si>
  <si>
    <t>Melissa Rodriguez</t>
  </si>
  <si>
    <t>Jeremiah Martinez</t>
  </si>
  <si>
    <t>Tyler Brewer</t>
  </si>
  <si>
    <t>Carrie Obrien</t>
  </si>
  <si>
    <t>Deborah Davis</t>
  </si>
  <si>
    <t>Michelle Lopez</t>
  </si>
  <si>
    <t>Kathryn Boyd</t>
  </si>
  <si>
    <t>Stacey Huffman</t>
  </si>
  <si>
    <t>Kathryn Young</t>
  </si>
  <si>
    <t>Brittney Weiss</t>
  </si>
  <si>
    <t>Jamie Doyle</t>
  </si>
  <si>
    <t>Jesse Weber</t>
  </si>
  <si>
    <t>Eric Taylor</t>
  </si>
  <si>
    <t>Courtney Jones</t>
  </si>
  <si>
    <t>Thomas Sharp</t>
  </si>
  <si>
    <t>Wesley Harrington</t>
  </si>
  <si>
    <t>Wendy Long</t>
  </si>
  <si>
    <t>Douglas Farley</t>
  </si>
  <si>
    <t>Dana Hardy</t>
  </si>
  <si>
    <t>Margaret Klein</t>
  </si>
  <si>
    <t>Kristen Anderson</t>
  </si>
  <si>
    <t>Julia Edwards</t>
  </si>
  <si>
    <t>Kevin Powell</t>
  </si>
  <si>
    <t>Charles Gonzalez</t>
  </si>
  <si>
    <t>Megan Bass</t>
  </si>
  <si>
    <t>Dr. Christine Patel</t>
  </si>
  <si>
    <t>Ricardo Miller</t>
  </si>
  <si>
    <t>Dennis Melendez</t>
  </si>
  <si>
    <t>Kelly Rios</t>
  </si>
  <si>
    <t>Kerri Caldwell</t>
  </si>
  <si>
    <t>Dana Potter</t>
  </si>
  <si>
    <t>Paul Harris</t>
  </si>
  <si>
    <t>Brian Wilson</t>
  </si>
  <si>
    <t>Claudia Garcia</t>
  </si>
  <si>
    <t>Timothy Sanchez</t>
  </si>
  <si>
    <t>Sharon Jenkins Dvm</t>
  </si>
  <si>
    <t>Kimberly Contreras</t>
  </si>
  <si>
    <t>Leah Mercer</t>
  </si>
  <si>
    <t>Jamie Duran</t>
  </si>
  <si>
    <t>Denise Mcguire</t>
  </si>
  <si>
    <t>Kevin Kim</t>
  </si>
  <si>
    <t>Julie White</t>
  </si>
  <si>
    <t>Anthony House</t>
  </si>
  <si>
    <t>Mary Flores</t>
  </si>
  <si>
    <t>Oscar Brown</t>
  </si>
  <si>
    <t>Michael Jensen</t>
  </si>
  <si>
    <t>Erica Anderson</t>
  </si>
  <si>
    <t>Ryan Hoffman</t>
  </si>
  <si>
    <t>Shannon Gay</t>
  </si>
  <si>
    <t>Andrew Morgan</t>
  </si>
  <si>
    <t>Michael Rice</t>
  </si>
  <si>
    <t>Charles Knapp</t>
  </si>
  <si>
    <t>Amanda Swanson</t>
  </si>
  <si>
    <t>Barbara Khan</t>
  </si>
  <si>
    <t>Michael Wilson</t>
  </si>
  <si>
    <t>Elizabeth Moran</t>
  </si>
  <si>
    <t>Jeffery Ibarra</t>
  </si>
  <si>
    <t>Alyssa Mendoza</t>
  </si>
  <si>
    <t>Nicole Jackson</t>
  </si>
  <si>
    <t>David Nelson</t>
  </si>
  <si>
    <t>Howard Taylor</t>
  </si>
  <si>
    <t>Mr. Brandon Bernard</t>
  </si>
  <si>
    <t>Patrick White</t>
  </si>
  <si>
    <t>Madison Lee</t>
  </si>
  <si>
    <t>Robin Lopez</t>
  </si>
  <si>
    <t>Marcus King</t>
  </si>
  <si>
    <t>Bill Cunningham</t>
  </si>
  <si>
    <t>Jason Gonzales</t>
  </si>
  <si>
    <t>Thomas Davis</t>
  </si>
  <si>
    <t>April Dean</t>
  </si>
  <si>
    <t>David Barnett</t>
  </si>
  <si>
    <t>Rhonda Griffin</t>
  </si>
  <si>
    <t>Rachel Lewis</t>
  </si>
  <si>
    <t>Michael Arnold</t>
  </si>
  <si>
    <t>Andrew Nguyen</t>
  </si>
  <si>
    <t>Julie Williams</t>
  </si>
  <si>
    <t>Robert West</t>
  </si>
  <si>
    <t>Ryan Gill</t>
  </si>
  <si>
    <t>David Smith</t>
  </si>
  <si>
    <t>Tyler Austin</t>
  </si>
  <si>
    <t>Douglas Rivas</t>
  </si>
  <si>
    <t>Julia Lloyd</t>
  </si>
  <si>
    <t>Mary Watkins</t>
  </si>
  <si>
    <t>Lucas Jones</t>
  </si>
  <si>
    <t>Joshua Rodriguez</t>
  </si>
  <si>
    <t>Edward Reed</t>
  </si>
  <si>
    <t>Lindsay Elliott</t>
  </si>
  <si>
    <t>Brandi Sullivan</t>
  </si>
  <si>
    <t>Susan Coleman</t>
  </si>
  <si>
    <t>Victoria Ford</t>
  </si>
  <si>
    <t>Maria Ballard</t>
  </si>
  <si>
    <t>Benjamin Chandler</t>
  </si>
  <si>
    <t>Andrea Moody</t>
  </si>
  <si>
    <t>Michele Smith</t>
  </si>
  <si>
    <t>Clinton Bauer</t>
  </si>
  <si>
    <t>Meredith Ross</t>
  </si>
  <si>
    <t>Steven Allen</t>
  </si>
  <si>
    <t>Andrew Tran</t>
  </si>
  <si>
    <t>Charles Olsen</t>
  </si>
  <si>
    <t>Andrew Gonzalez</t>
  </si>
  <si>
    <t>Nicole Carpenter</t>
  </si>
  <si>
    <t>George Larsen</t>
  </si>
  <si>
    <t>Colleen Harris</t>
  </si>
  <si>
    <t>Steven Beck</t>
  </si>
  <si>
    <t>Andrew Smith</t>
  </si>
  <si>
    <t>Joseph Wang</t>
  </si>
  <si>
    <t>Monica Silva</t>
  </si>
  <si>
    <t>Carrie Peterson</t>
  </si>
  <si>
    <t>Leon Smith</t>
  </si>
  <si>
    <t>Richard Juarez</t>
  </si>
  <si>
    <t>Natalie Velez</t>
  </si>
  <si>
    <t>Brenda Rogers</t>
  </si>
  <si>
    <t>Maria Ramirez</t>
  </si>
  <si>
    <t>Kelly Clay</t>
  </si>
  <si>
    <t>Michelle Vega</t>
  </si>
  <si>
    <t>Misty Tate</t>
  </si>
  <si>
    <t>William 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</si>
</sst>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39"/>
  <sheetViews>
    <sheetView tabSelected="1" topLeftCell="A2228" workbookViewId="0">
      <selection activeCell="G2246" sqref="G2246"/>
    </sheetView>
  </sheetViews>
  <sheetFormatPr defaultRowHeight="14.4" x14ac:dyDescent="0.3"/>
  <cols>
    <col min="1" max="1" width="23.5546875" bestFit="1" customWidth="1"/>
    <col min="2" max="2" width="4" bestFit="1" customWidth="1"/>
    <col min="3" max="3" width="6.88671875" bestFit="1" customWidth="1"/>
    <col min="4" max="4" width="10.109375" bestFit="1" customWidth="1"/>
    <col min="5" max="6" width="15.88671875" bestFit="1" customWidth="1"/>
    <col min="7" max="7" width="22.88671875" bestFit="1" customWidth="1"/>
    <col min="8" max="8" width="30.5546875" bestFit="1" customWidth="1"/>
    <col min="9" max="9" width="16.21875" bestFit="1" customWidth="1"/>
    <col min="10" max="10" width="12.6640625" bestFit="1" customWidth="1"/>
    <col min="11" max="11" width="12.88671875" bestFit="1" customWidth="1"/>
    <col min="12" max="12" width="13.6640625" bestFit="1" customWidth="1"/>
    <col min="13" max="13" width="13.33203125" bestFit="1" customWidth="1"/>
    <col min="14" max="14" width="11.33203125" bestFit="1" customWidth="1"/>
    <col min="15" max="15" width="11" bestFit="1" customWidth="1"/>
    <col min="16" max="16" width="9.5546875" bestFit="1" customWidth="1"/>
    <col min="17" max="17" width="15.33203125" bestFit="1" customWidth="1"/>
    <col min="18" max="18" width="13.6640625" bestFit="1" customWidth="1"/>
    <col min="19" max="19" width="15.5546875" bestFit="1" customWidth="1"/>
    <col min="20" max="20" width="9.109375" bestFit="1" customWidth="1"/>
    <col min="21" max="21" width="12.21875" bestFit="1" customWidth="1"/>
    <col min="22" max="22" width="8.33203125" bestFit="1" customWidth="1"/>
    <col min="23" max="23" width="11.21875" bestFit="1" customWidth="1"/>
    <col min="24" max="24" width="8.5546875" bestFit="1" customWidth="1"/>
    <col min="25" max="25" width="9.5546875" bestFit="1" customWidth="1"/>
    <col min="26" max="26" width="14.88671875" bestFit="1" customWidth="1"/>
    <col min="27" max="27" width="15.6640625" bestFit="1" customWidth="1"/>
    <col min="28" max="28" width="14.21875" bestFit="1" customWidth="1"/>
    <col min="29" max="29" width="15.6640625" bestFit="1" customWidth="1"/>
    <col min="30" max="30" width="14.88671875" bestFit="1" customWidth="1"/>
    <col min="31" max="31" width="13.33203125" bestFit="1" customWidth="1"/>
    <col min="32" max="32" width="16.44140625" bestFit="1" customWidth="1"/>
    <col min="33" max="33" width="14.33203125" bestFit="1" customWidth="1"/>
    <col min="34" max="34" width="17" bestFit="1" customWidth="1"/>
    <col min="35" max="35" width="14" bestFit="1" customWidth="1"/>
    <col min="36" max="36" width="16" bestFit="1" customWidth="1"/>
    <col min="37" max="37" width="12.1093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4427</v>
      </c>
      <c r="Q1" t="s">
        <v>4428</v>
      </c>
      <c r="R1" t="s">
        <v>4429</v>
      </c>
      <c r="S1" t="s">
        <v>4430</v>
      </c>
      <c r="T1" t="s">
        <v>4431</v>
      </c>
      <c r="U1" t="s">
        <v>4432</v>
      </c>
      <c r="V1" t="s">
        <v>4433</v>
      </c>
      <c r="W1" t="s">
        <v>4434</v>
      </c>
      <c r="X1" t="s">
        <v>4435</v>
      </c>
      <c r="Y1" t="s">
        <v>4436</v>
      </c>
      <c r="Z1" t="s">
        <v>4437</v>
      </c>
      <c r="AA1" t="s">
        <v>4438</v>
      </c>
      <c r="AB1" t="s">
        <v>4439</v>
      </c>
      <c r="AC1" t="s">
        <v>4440</v>
      </c>
      <c r="AD1" t="s">
        <v>4441</v>
      </c>
      <c r="AE1" t="s">
        <v>4442</v>
      </c>
      <c r="AF1" t="s">
        <v>4443</v>
      </c>
      <c r="AG1" t="s">
        <v>4444</v>
      </c>
      <c r="AH1" t="s">
        <v>4445</v>
      </c>
      <c r="AI1" t="s">
        <v>4446</v>
      </c>
      <c r="AJ1" t="s">
        <v>4447</v>
      </c>
      <c r="AK1" t="s">
        <v>4448</v>
      </c>
    </row>
    <row r="2" spans="1:37" x14ac:dyDescent="0.3">
      <c r="A2" t="s">
        <v>4449</v>
      </c>
      <c r="B2">
        <v>30</v>
      </c>
      <c r="C2" t="s">
        <v>15</v>
      </c>
      <c r="D2" t="s">
        <v>16</v>
      </c>
      <c r="E2" t="s">
        <v>17</v>
      </c>
      <c r="F2" s="1">
        <v>45322</v>
      </c>
      <c r="G2" t="s">
        <v>18</v>
      </c>
      <c r="H2" t="s">
        <v>19</v>
      </c>
      <c r="I2" t="s">
        <v>20</v>
      </c>
      <c r="J2">
        <v>18856</v>
      </c>
      <c r="K2">
        <v>328</v>
      </c>
      <c r="L2" t="s">
        <v>21</v>
      </c>
      <c r="M2" s="1">
        <v>45324</v>
      </c>
      <c r="N2" t="s">
        <v>22</v>
      </c>
      <c r="O2" t="s">
        <v>23</v>
      </c>
      <c r="P2" t="str">
        <f>"P"&amp;TEXT(ROW()-1,"0000")</f>
        <v>P0001</v>
      </c>
      <c r="Q2" t="str">
        <f t="shared" ref="Q2:Q65" si="0">IF(E2="Cancer","Oncology",IF(E2="Obesity","Nutrition",IF(E2="Diabetes","Endocrinology",IF(E2="Asthma","Pulmonology",IF(E2="Arthritis","Orthopedics",IF(E2="Hypertension","Cardiology","General Medicine"))))))</f>
        <v>Oncology</v>
      </c>
      <c r="R2">
        <f t="shared" ref="R2:R65" si="1">M2-F2</f>
        <v>2</v>
      </c>
      <c r="S2" t="str">
        <f ca="1">IF(RAND()&lt;0.1,"Yes","No")</f>
        <v>No</v>
      </c>
      <c r="T2" t="str">
        <f ca="1">CHOOSE(RANDBETWEEN(1,4),"Mild","Moderate","Severe","Critical")</f>
        <v>Severe</v>
      </c>
      <c r="U2" t="str">
        <f ca="1">CHOOSE(RANDBETWEEN(1,5),"General Ward","ICU","Emergency","Private Ward","Semi-Private")</f>
        <v>Semi-Private</v>
      </c>
      <c r="V2" t="str">
        <f>"BED"&amp;TEXT(ROW()-1,"0000")</f>
        <v>BED0001</v>
      </c>
      <c r="W2" t="str">
        <f ca="1">CHOOSE(RANDBETWEEN(1,4),"General","Private","Semi-Private","ICU")</f>
        <v>ICU</v>
      </c>
      <c r="X2" t="str">
        <f>"NUR"&amp;TEXT(MOD(ROW()-2,50)+1,"000")</f>
        <v>NUR001</v>
      </c>
      <c r="Y2" t="str">
        <f ca="1">CHOOSE(RANDBETWEEN(1,3),"Morning","Evening","Night")</f>
        <v>Evening</v>
      </c>
      <c r="Z2" t="str">
        <f ca="1">CHOOSE(RANDBETWEEN(1,6),"MRI Scanner","CT Scanner","Ventilator","X-Ray","ECG Machine","Ultrasound")</f>
        <v>Ultrasound</v>
      </c>
      <c r="AA2" t="str">
        <f ca="1">CHOOSE(RANDBETWEEN(1,3),"Available","In Use","Maintenance")</f>
        <v>Available</v>
      </c>
      <c r="AB2" t="str">
        <f ca="1">CHOOSE(RANDBETWEEN(1,3),"Paid","Pending","Partially Paid")</f>
        <v>Paid</v>
      </c>
      <c r="AC2" t="str">
        <f ca="1">CHOOSE(RANDBETWEEN(1,5),"Cash","Credit Card","Debit Card","Insurance","Bank Transfer")</f>
        <v>Insurance</v>
      </c>
      <c r="AD2" t="str">
        <f ca="1">IF(RAND()&lt;0.2,"Yes","No")</f>
        <v>No</v>
      </c>
      <c r="AE2" t="str">
        <f ca="1">IF(RAND()&lt;0.15,"Yes","No")</f>
        <v>Yes</v>
      </c>
      <c r="AF2" t="str">
        <f ca="1">CHOOSE(RANDBETWEEN(1,3),"Recovered","Transferred","Under Observation")</f>
        <v>Under Observation</v>
      </c>
      <c r="AG2" t="str">
        <f ca="1">CHOOSE(RANDBETWEEN(1,5),"Northeast","Southeast","Midwest","Southwest","West Coast")</f>
        <v>Southeast</v>
      </c>
      <c r="AH2" t="str">
        <f t="shared" ref="AH2:AH65" si="2">TEXT(F2,"MMMM")</f>
        <v>January</v>
      </c>
      <c r="AI2">
        <f t="shared" ref="AI2:AI65" si="3">YEAR(F2)</f>
        <v>2024</v>
      </c>
      <c r="AJ2" t="str">
        <f ca="1">IF(RANDBETWEEN(1,100)&lt;=80,"Occupied","Vacant")</f>
        <v>Occupied</v>
      </c>
      <c r="AK2">
        <f ca="1">CHOOSE(RANDBETWEEN(1,3),1,2,4)</f>
        <v>4</v>
      </c>
    </row>
    <row r="3" spans="1:37" x14ac:dyDescent="0.3">
      <c r="A3" t="s">
        <v>4450</v>
      </c>
      <c r="B3">
        <v>62</v>
      </c>
      <c r="C3" t="s">
        <v>15</v>
      </c>
      <c r="D3" t="s">
        <v>24</v>
      </c>
      <c r="E3" t="s">
        <v>25</v>
      </c>
      <c r="F3" s="1">
        <v>43697</v>
      </c>
      <c r="G3" t="s">
        <v>26</v>
      </c>
      <c r="H3" t="s">
        <v>27</v>
      </c>
      <c r="I3" t="s">
        <v>28</v>
      </c>
      <c r="J3">
        <v>33643</v>
      </c>
      <c r="K3">
        <v>265</v>
      </c>
      <c r="L3" t="s">
        <v>29</v>
      </c>
      <c r="M3" s="1">
        <v>43703</v>
      </c>
      <c r="N3" t="s">
        <v>30</v>
      </c>
      <c r="O3" t="s">
        <v>31</v>
      </c>
      <c r="P3" t="str">
        <f t="shared" ref="P3:P66" si="4">"P"&amp;TEXT(ROW()-1,"0000")</f>
        <v>P0002</v>
      </c>
      <c r="Q3" t="str">
        <f t="shared" si="0"/>
        <v>Nutrition</v>
      </c>
      <c r="R3">
        <f t="shared" si="1"/>
        <v>6</v>
      </c>
      <c r="S3" t="str">
        <f t="shared" ref="S3:S66" ca="1" si="5">IF(RAND()&lt;0.1,"Yes","No")</f>
        <v>No</v>
      </c>
      <c r="T3" t="str">
        <f t="shared" ref="T3:T66" ca="1" si="6">CHOOSE(RANDBETWEEN(1,4),"Mild","Moderate","Severe","Critical")</f>
        <v>Mild</v>
      </c>
      <c r="U3" t="str">
        <f t="shared" ref="U3:U66" ca="1" si="7">CHOOSE(RANDBETWEEN(1,5),"General Ward","ICU","Emergency","Private Ward","Semi-Private")</f>
        <v>Semi-Private</v>
      </c>
      <c r="V3" t="str">
        <f t="shared" ref="V3:V66" si="8">"BED"&amp;TEXT(ROW()-1,"0000")</f>
        <v>BED0002</v>
      </c>
      <c r="W3" t="str">
        <f t="shared" ref="W3:W66" ca="1" si="9">CHOOSE(RANDBETWEEN(1,4),"General","Private","Semi-Private","ICU")</f>
        <v>General</v>
      </c>
      <c r="X3" t="str">
        <f t="shared" ref="X3:X66" si="10">"NUR"&amp;TEXT(MOD(ROW()-2,50)+1,"000")</f>
        <v>NUR002</v>
      </c>
      <c r="Y3" t="str">
        <f t="shared" ref="Y3:Y66" ca="1" si="11">CHOOSE(RANDBETWEEN(1,3),"Morning","Evening","Night")</f>
        <v>Evening</v>
      </c>
      <c r="Z3" t="str">
        <f t="shared" ref="Z3:Z66" ca="1" si="12">CHOOSE(RANDBETWEEN(1,6),"MRI Scanner","CT Scanner","Ventilator","X-Ray","ECG Machine","Ultrasound")</f>
        <v>MRI Scanner</v>
      </c>
      <c r="AA3" t="str">
        <f t="shared" ref="AA3:AA66" ca="1" si="13">CHOOSE(RANDBETWEEN(1,3),"Available","In Use","Maintenance")</f>
        <v>Maintenance</v>
      </c>
      <c r="AB3" t="str">
        <f t="shared" ref="AB3:AB66" ca="1" si="14">CHOOSE(RANDBETWEEN(1,3),"Paid","Pending","Partially Paid")</f>
        <v>Partially Paid</v>
      </c>
      <c r="AC3" t="str">
        <f t="shared" ref="AC3:AC66" ca="1" si="15">CHOOSE(RANDBETWEEN(1,5),"Cash","Credit Card","Debit Card","Insurance","Bank Transfer")</f>
        <v>Cash</v>
      </c>
      <c r="AD3" t="str">
        <f t="shared" ref="AD3:AD66" ca="1" si="16">IF(RAND()&lt;0.2,"Yes","No")</f>
        <v>No</v>
      </c>
      <c r="AE3" t="str">
        <f t="shared" ref="AE3:AE66" ca="1" si="17">IF(RAND()&lt;0.15,"Yes","No")</f>
        <v>No</v>
      </c>
      <c r="AF3" t="str">
        <f t="shared" ref="AF3:AF66" ca="1" si="18">CHOOSE(RANDBETWEEN(1,3),"Recovered","Transferred","Under Observation")</f>
        <v>Under Observation</v>
      </c>
      <c r="AG3" t="str">
        <f t="shared" ref="AG3:AG66" ca="1" si="19">CHOOSE(RANDBETWEEN(1,5),"Northeast","Southeast","Midwest","Southwest","West Coast")</f>
        <v>Southeast</v>
      </c>
      <c r="AH3" t="str">
        <f t="shared" si="2"/>
        <v>August</v>
      </c>
      <c r="AI3">
        <f t="shared" si="3"/>
        <v>2019</v>
      </c>
      <c r="AJ3" t="str">
        <f t="shared" ref="AJ3:AJ66" ca="1" si="20">IF(RANDBETWEEN(1,100)&lt;=80,"Occupied","Vacant")</f>
        <v>Vacant</v>
      </c>
      <c r="AK3">
        <f t="shared" ref="AK3:AK66" ca="1" si="21">CHOOSE(RANDBETWEEN(1,3),1,2,4)</f>
        <v>2</v>
      </c>
    </row>
    <row r="4" spans="1:37" x14ac:dyDescent="0.3">
      <c r="A4" t="s">
        <v>4451</v>
      </c>
      <c r="B4">
        <v>76</v>
      </c>
      <c r="C4" t="s">
        <v>32</v>
      </c>
      <c r="D4" t="s">
        <v>33</v>
      </c>
      <c r="E4" t="s">
        <v>25</v>
      </c>
      <c r="F4" s="1">
        <v>44826</v>
      </c>
      <c r="G4" t="s">
        <v>34</v>
      </c>
      <c r="H4" t="s">
        <v>35</v>
      </c>
      <c r="I4" t="s">
        <v>36</v>
      </c>
      <c r="J4">
        <v>27955</v>
      </c>
      <c r="K4">
        <v>205</v>
      </c>
      <c r="L4" t="s">
        <v>29</v>
      </c>
      <c r="M4" s="1">
        <v>44841</v>
      </c>
      <c r="N4" t="s">
        <v>37</v>
      </c>
      <c r="O4" t="s">
        <v>23</v>
      </c>
      <c r="P4" t="str">
        <f t="shared" si="4"/>
        <v>P0003</v>
      </c>
      <c r="Q4" t="str">
        <f t="shared" si="0"/>
        <v>Nutrition</v>
      </c>
      <c r="R4">
        <f t="shared" si="1"/>
        <v>15</v>
      </c>
      <c r="S4" t="str">
        <f t="shared" ca="1" si="5"/>
        <v>No</v>
      </c>
      <c r="T4" t="str">
        <f t="shared" ca="1" si="6"/>
        <v>Severe</v>
      </c>
      <c r="U4" t="str">
        <f t="shared" ca="1" si="7"/>
        <v>Semi-Private</v>
      </c>
      <c r="V4" t="str">
        <f t="shared" si="8"/>
        <v>BED0003</v>
      </c>
      <c r="W4" t="str">
        <f t="shared" ca="1" si="9"/>
        <v>ICU</v>
      </c>
      <c r="X4" t="str">
        <f t="shared" si="10"/>
        <v>NUR003</v>
      </c>
      <c r="Y4" t="str">
        <f t="shared" ca="1" si="11"/>
        <v>Morning</v>
      </c>
      <c r="Z4" t="str">
        <f t="shared" ca="1" si="12"/>
        <v>Ultrasound</v>
      </c>
      <c r="AA4" t="str">
        <f t="shared" ca="1" si="13"/>
        <v>Available</v>
      </c>
      <c r="AB4" t="str">
        <f t="shared" ca="1" si="14"/>
        <v>Pending</v>
      </c>
      <c r="AC4" t="str">
        <f t="shared" ca="1" si="15"/>
        <v>Credit Card</v>
      </c>
      <c r="AD4" t="str">
        <f t="shared" ca="1" si="16"/>
        <v>No</v>
      </c>
      <c r="AE4" t="str">
        <f t="shared" ca="1" si="17"/>
        <v>Yes</v>
      </c>
      <c r="AF4" t="str">
        <f t="shared" ca="1" si="18"/>
        <v>Transferred</v>
      </c>
      <c r="AG4" t="str">
        <f t="shared" ca="1" si="19"/>
        <v>Southwest</v>
      </c>
      <c r="AH4" t="str">
        <f t="shared" si="2"/>
        <v>September</v>
      </c>
      <c r="AI4">
        <f t="shared" si="3"/>
        <v>2022</v>
      </c>
      <c r="AJ4" t="str">
        <f t="shared" ca="1" si="20"/>
        <v>Occupied</v>
      </c>
      <c r="AK4">
        <f t="shared" ca="1" si="21"/>
        <v>2</v>
      </c>
    </row>
    <row r="5" spans="1:37" x14ac:dyDescent="0.3">
      <c r="A5" t="s">
        <v>4452</v>
      </c>
      <c r="B5">
        <v>28</v>
      </c>
      <c r="C5" t="s">
        <v>32</v>
      </c>
      <c r="D5" t="s">
        <v>38</v>
      </c>
      <c r="E5" t="s">
        <v>39</v>
      </c>
      <c r="F5" s="1">
        <v>44153</v>
      </c>
      <c r="G5" t="s">
        <v>40</v>
      </c>
      <c r="H5" t="s">
        <v>41</v>
      </c>
      <c r="I5" t="s">
        <v>28</v>
      </c>
      <c r="J5">
        <v>37910</v>
      </c>
      <c r="K5">
        <v>450</v>
      </c>
      <c r="L5" t="s">
        <v>42</v>
      </c>
      <c r="M5" s="1">
        <v>44183</v>
      </c>
      <c r="N5" t="s">
        <v>30</v>
      </c>
      <c r="O5" t="s">
        <v>43</v>
      </c>
      <c r="P5" t="str">
        <f t="shared" si="4"/>
        <v>P0004</v>
      </c>
      <c r="Q5" t="str">
        <f t="shared" si="0"/>
        <v>Endocrinology</v>
      </c>
      <c r="R5">
        <f t="shared" si="1"/>
        <v>30</v>
      </c>
      <c r="S5" t="str">
        <f t="shared" ca="1" si="5"/>
        <v>No</v>
      </c>
      <c r="T5" t="str">
        <f t="shared" ca="1" si="6"/>
        <v>Critical</v>
      </c>
      <c r="U5" t="str">
        <f t="shared" ca="1" si="7"/>
        <v>Emergency</v>
      </c>
      <c r="V5" t="str">
        <f t="shared" si="8"/>
        <v>BED0004</v>
      </c>
      <c r="W5" t="str">
        <f t="shared" ca="1" si="9"/>
        <v>Semi-Private</v>
      </c>
      <c r="X5" t="str">
        <f t="shared" si="10"/>
        <v>NUR004</v>
      </c>
      <c r="Y5" t="str">
        <f t="shared" ca="1" si="11"/>
        <v>Evening</v>
      </c>
      <c r="Z5" t="str">
        <f t="shared" ca="1" si="12"/>
        <v>MRI Scanner</v>
      </c>
      <c r="AA5" t="str">
        <f t="shared" ca="1" si="13"/>
        <v>Maintenance</v>
      </c>
      <c r="AB5" t="str">
        <f t="shared" ca="1" si="14"/>
        <v>Pending</v>
      </c>
      <c r="AC5" t="str">
        <f t="shared" ca="1" si="15"/>
        <v>Debit Card</v>
      </c>
      <c r="AD5" t="str">
        <f t="shared" ca="1" si="16"/>
        <v>No</v>
      </c>
      <c r="AE5" t="str">
        <f t="shared" ca="1" si="17"/>
        <v>No</v>
      </c>
      <c r="AF5" t="str">
        <f t="shared" ca="1" si="18"/>
        <v>Under Observation</v>
      </c>
      <c r="AG5" t="str">
        <f t="shared" ca="1" si="19"/>
        <v>Southeast</v>
      </c>
      <c r="AH5" t="str">
        <f t="shared" si="2"/>
        <v>November</v>
      </c>
      <c r="AI5">
        <f t="shared" si="3"/>
        <v>2020</v>
      </c>
      <c r="AJ5" t="str">
        <f t="shared" ca="1" si="20"/>
        <v>Occupied</v>
      </c>
      <c r="AK5">
        <f t="shared" ca="1" si="21"/>
        <v>2</v>
      </c>
    </row>
    <row r="6" spans="1:37" x14ac:dyDescent="0.3">
      <c r="A6" t="s">
        <v>4453</v>
      </c>
      <c r="B6">
        <v>43</v>
      </c>
      <c r="C6" t="s">
        <v>32</v>
      </c>
      <c r="D6" t="s">
        <v>44</v>
      </c>
      <c r="E6" t="s">
        <v>17</v>
      </c>
      <c r="F6" s="1">
        <v>44823</v>
      </c>
      <c r="G6" t="s">
        <v>45</v>
      </c>
      <c r="H6" t="s">
        <v>46</v>
      </c>
      <c r="I6" t="s">
        <v>36</v>
      </c>
      <c r="J6">
        <v>14238</v>
      </c>
      <c r="K6">
        <v>458</v>
      </c>
      <c r="L6" t="s">
        <v>21</v>
      </c>
      <c r="M6" s="1">
        <v>44843</v>
      </c>
      <c r="N6" t="s">
        <v>47</v>
      </c>
      <c r="O6" t="s">
        <v>43</v>
      </c>
      <c r="P6" t="str">
        <f t="shared" si="4"/>
        <v>P0005</v>
      </c>
      <c r="Q6" t="str">
        <f t="shared" si="0"/>
        <v>Oncology</v>
      </c>
      <c r="R6">
        <f t="shared" si="1"/>
        <v>20</v>
      </c>
      <c r="S6" t="str">
        <f t="shared" ca="1" si="5"/>
        <v>No</v>
      </c>
      <c r="T6" t="str">
        <f t="shared" ca="1" si="6"/>
        <v>Mild</v>
      </c>
      <c r="U6" t="str">
        <f t="shared" ca="1" si="7"/>
        <v>Semi-Private</v>
      </c>
      <c r="V6" t="str">
        <f t="shared" si="8"/>
        <v>BED0005</v>
      </c>
      <c r="W6" t="str">
        <f t="shared" ca="1" si="9"/>
        <v>General</v>
      </c>
      <c r="X6" t="str">
        <f t="shared" si="10"/>
        <v>NUR005</v>
      </c>
      <c r="Y6" t="str">
        <f t="shared" ca="1" si="11"/>
        <v>Evening</v>
      </c>
      <c r="Z6" t="str">
        <f t="shared" ca="1" si="12"/>
        <v>CT Scanner</v>
      </c>
      <c r="AA6" t="str">
        <f t="shared" ca="1" si="13"/>
        <v>Maintenance</v>
      </c>
      <c r="AB6" t="str">
        <f t="shared" ca="1" si="14"/>
        <v>Paid</v>
      </c>
      <c r="AC6" t="str">
        <f t="shared" ca="1" si="15"/>
        <v>Cash</v>
      </c>
      <c r="AD6" t="str">
        <f t="shared" ca="1" si="16"/>
        <v>No</v>
      </c>
      <c r="AE6" t="str">
        <f t="shared" ca="1" si="17"/>
        <v>No</v>
      </c>
      <c r="AF6" t="str">
        <f t="shared" ca="1" si="18"/>
        <v>Transferred</v>
      </c>
      <c r="AG6" t="str">
        <f t="shared" ca="1" si="19"/>
        <v>Midwest</v>
      </c>
      <c r="AH6" t="str">
        <f t="shared" si="2"/>
        <v>September</v>
      </c>
      <c r="AI6">
        <f t="shared" si="3"/>
        <v>2022</v>
      </c>
      <c r="AJ6" t="str">
        <f t="shared" ca="1" si="20"/>
        <v>Occupied</v>
      </c>
      <c r="AK6">
        <f t="shared" ca="1" si="21"/>
        <v>4</v>
      </c>
    </row>
    <row r="7" spans="1:37" x14ac:dyDescent="0.3">
      <c r="A7" t="s">
        <v>4454</v>
      </c>
      <c r="B7">
        <v>36</v>
      </c>
      <c r="C7" t="s">
        <v>15</v>
      </c>
      <c r="D7" t="s">
        <v>24</v>
      </c>
      <c r="E7" t="s">
        <v>48</v>
      </c>
      <c r="F7" s="1">
        <v>45280</v>
      </c>
      <c r="G7" t="s">
        <v>49</v>
      </c>
      <c r="H7" t="s">
        <v>50</v>
      </c>
      <c r="I7" t="s">
        <v>51</v>
      </c>
      <c r="J7">
        <v>48145</v>
      </c>
      <c r="K7">
        <v>389</v>
      </c>
      <c r="L7" t="s">
        <v>21</v>
      </c>
      <c r="M7" s="1">
        <v>45284</v>
      </c>
      <c r="N7" t="s">
        <v>30</v>
      </c>
      <c r="O7" t="s">
        <v>23</v>
      </c>
      <c r="P7" t="str">
        <f t="shared" si="4"/>
        <v>P0006</v>
      </c>
      <c r="Q7" t="str">
        <f t="shared" si="0"/>
        <v>Pulmonology</v>
      </c>
      <c r="R7">
        <f t="shared" si="1"/>
        <v>4</v>
      </c>
      <c r="S7" t="str">
        <f t="shared" ca="1" si="5"/>
        <v>No</v>
      </c>
      <c r="T7" t="str">
        <f t="shared" ca="1" si="6"/>
        <v>Severe</v>
      </c>
      <c r="U7" t="str">
        <f t="shared" ca="1" si="7"/>
        <v>Emergency</v>
      </c>
      <c r="V7" t="str">
        <f t="shared" si="8"/>
        <v>BED0006</v>
      </c>
      <c r="W7" t="str">
        <f t="shared" ca="1" si="9"/>
        <v>General</v>
      </c>
      <c r="X7" t="str">
        <f t="shared" si="10"/>
        <v>NUR006</v>
      </c>
      <c r="Y7" t="str">
        <f t="shared" ca="1" si="11"/>
        <v>Evening</v>
      </c>
      <c r="Z7" t="str">
        <f t="shared" ca="1" si="12"/>
        <v>MRI Scanner</v>
      </c>
      <c r="AA7" t="str">
        <f t="shared" ca="1" si="13"/>
        <v>In Use</v>
      </c>
      <c r="AB7" t="str">
        <f t="shared" ca="1" si="14"/>
        <v>Paid</v>
      </c>
      <c r="AC7" t="str">
        <f t="shared" ca="1" si="15"/>
        <v>Debit Card</v>
      </c>
      <c r="AD7" t="str">
        <f t="shared" ca="1" si="16"/>
        <v>No</v>
      </c>
      <c r="AE7" t="str">
        <f t="shared" ca="1" si="17"/>
        <v>No</v>
      </c>
      <c r="AF7" t="str">
        <f t="shared" ca="1" si="18"/>
        <v>Under Observation</v>
      </c>
      <c r="AG7" t="str">
        <f t="shared" ca="1" si="19"/>
        <v>Northeast</v>
      </c>
      <c r="AH7" t="str">
        <f t="shared" si="2"/>
        <v>December</v>
      </c>
      <c r="AI7">
        <f t="shared" si="3"/>
        <v>2023</v>
      </c>
      <c r="AJ7" t="str">
        <f t="shared" ca="1" si="20"/>
        <v>Occupied</v>
      </c>
      <c r="AK7">
        <f t="shared" ca="1" si="21"/>
        <v>4</v>
      </c>
    </row>
    <row r="8" spans="1:37" x14ac:dyDescent="0.3">
      <c r="A8" t="s">
        <v>4455</v>
      </c>
      <c r="B8">
        <v>21</v>
      </c>
      <c r="C8" t="s">
        <v>32</v>
      </c>
      <c r="D8" t="s">
        <v>52</v>
      </c>
      <c r="E8" t="s">
        <v>39</v>
      </c>
      <c r="F8" s="1">
        <v>44138</v>
      </c>
      <c r="G8" t="s">
        <v>53</v>
      </c>
      <c r="H8" t="s">
        <v>54</v>
      </c>
      <c r="I8" t="s">
        <v>28</v>
      </c>
      <c r="J8">
        <v>19581</v>
      </c>
      <c r="K8">
        <v>389</v>
      </c>
      <c r="L8" t="s">
        <v>29</v>
      </c>
      <c r="M8" s="1">
        <v>44150</v>
      </c>
      <c r="N8" t="s">
        <v>22</v>
      </c>
      <c r="O8" t="s">
        <v>31</v>
      </c>
      <c r="P8" t="str">
        <f t="shared" si="4"/>
        <v>P0007</v>
      </c>
      <c r="Q8" t="str">
        <f t="shared" si="0"/>
        <v>Endocrinology</v>
      </c>
      <c r="R8">
        <f t="shared" si="1"/>
        <v>12</v>
      </c>
      <c r="S8" t="str">
        <f t="shared" ca="1" si="5"/>
        <v>No</v>
      </c>
      <c r="T8" t="str">
        <f t="shared" ca="1" si="6"/>
        <v>Moderate</v>
      </c>
      <c r="U8" t="str">
        <f t="shared" ca="1" si="7"/>
        <v>Semi-Private</v>
      </c>
      <c r="V8" t="str">
        <f t="shared" si="8"/>
        <v>BED0007</v>
      </c>
      <c r="W8" t="str">
        <f t="shared" ca="1" si="9"/>
        <v>ICU</v>
      </c>
      <c r="X8" t="str">
        <f t="shared" si="10"/>
        <v>NUR007</v>
      </c>
      <c r="Y8" t="str">
        <f t="shared" ca="1" si="11"/>
        <v>Evening</v>
      </c>
      <c r="Z8" t="str">
        <f t="shared" ca="1" si="12"/>
        <v>MRI Scanner</v>
      </c>
      <c r="AA8" t="str">
        <f t="shared" ca="1" si="13"/>
        <v>In Use</v>
      </c>
      <c r="AB8" t="str">
        <f t="shared" ca="1" si="14"/>
        <v>Partially Paid</v>
      </c>
      <c r="AC8" t="str">
        <f t="shared" ca="1" si="15"/>
        <v>Cash</v>
      </c>
      <c r="AD8" t="str">
        <f t="shared" ca="1" si="16"/>
        <v>No</v>
      </c>
      <c r="AE8" t="str">
        <f t="shared" ca="1" si="17"/>
        <v>No</v>
      </c>
      <c r="AF8" t="str">
        <f t="shared" ca="1" si="18"/>
        <v>Recovered</v>
      </c>
      <c r="AG8" t="str">
        <f t="shared" ca="1" si="19"/>
        <v>Northeast</v>
      </c>
      <c r="AH8" t="str">
        <f t="shared" si="2"/>
        <v>November</v>
      </c>
      <c r="AI8">
        <f t="shared" si="3"/>
        <v>2020</v>
      </c>
      <c r="AJ8" t="str">
        <f t="shared" ca="1" si="20"/>
        <v>Occupied</v>
      </c>
      <c r="AK8">
        <f t="shared" ca="1" si="21"/>
        <v>4</v>
      </c>
    </row>
    <row r="9" spans="1:37" x14ac:dyDescent="0.3">
      <c r="A9" t="s">
        <v>4456</v>
      </c>
      <c r="B9">
        <v>20</v>
      </c>
      <c r="C9" t="s">
        <v>32</v>
      </c>
      <c r="D9" t="s">
        <v>24</v>
      </c>
      <c r="E9" t="s">
        <v>17</v>
      </c>
      <c r="F9" s="1">
        <v>44558</v>
      </c>
      <c r="G9" t="s">
        <v>55</v>
      </c>
      <c r="H9" t="s">
        <v>56</v>
      </c>
      <c r="I9" t="s">
        <v>57</v>
      </c>
      <c r="J9">
        <v>45820</v>
      </c>
      <c r="K9">
        <v>277</v>
      </c>
      <c r="L9" t="s">
        <v>29</v>
      </c>
      <c r="M9" s="1">
        <v>44568</v>
      </c>
      <c r="N9" t="s">
        <v>22</v>
      </c>
      <c r="O9" t="s">
        <v>31</v>
      </c>
      <c r="P9" t="str">
        <f t="shared" si="4"/>
        <v>P0008</v>
      </c>
      <c r="Q9" t="str">
        <f t="shared" si="0"/>
        <v>Oncology</v>
      </c>
      <c r="R9">
        <f t="shared" si="1"/>
        <v>10</v>
      </c>
      <c r="S9" t="str">
        <f t="shared" ca="1" si="5"/>
        <v>No</v>
      </c>
      <c r="T9" t="str">
        <f t="shared" ca="1" si="6"/>
        <v>Mild</v>
      </c>
      <c r="U9" t="str">
        <f t="shared" ca="1" si="7"/>
        <v>General Ward</v>
      </c>
      <c r="V9" t="str">
        <f t="shared" si="8"/>
        <v>BED0008</v>
      </c>
      <c r="W9" t="str">
        <f t="shared" ca="1" si="9"/>
        <v>Private</v>
      </c>
      <c r="X9" t="str">
        <f t="shared" si="10"/>
        <v>NUR008</v>
      </c>
      <c r="Y9" t="str">
        <f t="shared" ca="1" si="11"/>
        <v>Night</v>
      </c>
      <c r="Z9" t="str">
        <f t="shared" ca="1" si="12"/>
        <v>ECG Machine</v>
      </c>
      <c r="AA9" t="str">
        <f t="shared" ca="1" si="13"/>
        <v>In Use</v>
      </c>
      <c r="AB9" t="str">
        <f t="shared" ca="1" si="14"/>
        <v>Pending</v>
      </c>
      <c r="AC9" t="str">
        <f t="shared" ca="1" si="15"/>
        <v>Bank Transfer</v>
      </c>
      <c r="AD9" t="str">
        <f t="shared" ca="1" si="16"/>
        <v>No</v>
      </c>
      <c r="AE9" t="str">
        <f t="shared" ca="1" si="17"/>
        <v>No</v>
      </c>
      <c r="AF9" t="str">
        <f t="shared" ca="1" si="18"/>
        <v>Transferred</v>
      </c>
      <c r="AG9" t="str">
        <f t="shared" ca="1" si="19"/>
        <v>Southwest</v>
      </c>
      <c r="AH9" t="str">
        <f t="shared" si="2"/>
        <v>December</v>
      </c>
      <c r="AI9">
        <f t="shared" si="3"/>
        <v>2021</v>
      </c>
      <c r="AJ9" t="str">
        <f t="shared" ca="1" si="20"/>
        <v>Occupied</v>
      </c>
      <c r="AK9">
        <f t="shared" ca="1" si="21"/>
        <v>2</v>
      </c>
    </row>
    <row r="10" spans="1:37" x14ac:dyDescent="0.3">
      <c r="A10" t="s">
        <v>4457</v>
      </c>
      <c r="B10">
        <v>82</v>
      </c>
      <c r="C10" t="s">
        <v>15</v>
      </c>
      <c r="D10" t="s">
        <v>44</v>
      </c>
      <c r="E10" t="s">
        <v>48</v>
      </c>
      <c r="F10" s="1">
        <v>44013</v>
      </c>
      <c r="G10" t="s">
        <v>58</v>
      </c>
      <c r="H10" t="s">
        <v>59</v>
      </c>
      <c r="I10" t="s">
        <v>57</v>
      </c>
      <c r="J10">
        <v>50119</v>
      </c>
      <c r="K10">
        <v>316</v>
      </c>
      <c r="L10" t="s">
        <v>42</v>
      </c>
      <c r="M10" s="1">
        <v>44026</v>
      </c>
      <c r="N10" t="s">
        <v>37</v>
      </c>
      <c r="O10" t="s">
        <v>43</v>
      </c>
      <c r="P10" t="str">
        <f t="shared" si="4"/>
        <v>P0009</v>
      </c>
      <c r="Q10" t="str">
        <f t="shared" si="0"/>
        <v>Pulmonology</v>
      </c>
      <c r="R10">
        <f t="shared" si="1"/>
        <v>13</v>
      </c>
      <c r="S10" t="str">
        <f t="shared" ca="1" si="5"/>
        <v>No</v>
      </c>
      <c r="T10" t="str">
        <f t="shared" ca="1" si="6"/>
        <v>Moderate</v>
      </c>
      <c r="U10" t="str">
        <f t="shared" ca="1" si="7"/>
        <v>Emergency</v>
      </c>
      <c r="V10" t="str">
        <f t="shared" si="8"/>
        <v>BED0009</v>
      </c>
      <c r="W10" t="str">
        <f t="shared" ca="1" si="9"/>
        <v>General</v>
      </c>
      <c r="X10" t="str">
        <f t="shared" si="10"/>
        <v>NUR009</v>
      </c>
      <c r="Y10" t="str">
        <f t="shared" ca="1" si="11"/>
        <v>Evening</v>
      </c>
      <c r="Z10" t="str">
        <f t="shared" ca="1" si="12"/>
        <v>Ventilator</v>
      </c>
      <c r="AA10" t="str">
        <f t="shared" ca="1" si="13"/>
        <v>In Use</v>
      </c>
      <c r="AB10" t="str">
        <f t="shared" ca="1" si="14"/>
        <v>Pending</v>
      </c>
      <c r="AC10" t="str">
        <f t="shared" ca="1" si="15"/>
        <v>Bank Transfer</v>
      </c>
      <c r="AD10" t="str">
        <f t="shared" ca="1" si="16"/>
        <v>No</v>
      </c>
      <c r="AE10" t="str">
        <f t="shared" ca="1" si="17"/>
        <v>No</v>
      </c>
      <c r="AF10" t="str">
        <f t="shared" ca="1" si="18"/>
        <v>Transferred</v>
      </c>
      <c r="AG10" t="str">
        <f t="shared" ca="1" si="19"/>
        <v>Northeast</v>
      </c>
      <c r="AH10" t="str">
        <f t="shared" si="2"/>
        <v>July</v>
      </c>
      <c r="AI10">
        <f t="shared" si="3"/>
        <v>2020</v>
      </c>
      <c r="AJ10" t="str">
        <f t="shared" ca="1" si="20"/>
        <v>Occupied</v>
      </c>
      <c r="AK10">
        <f t="shared" ca="1" si="21"/>
        <v>4</v>
      </c>
    </row>
    <row r="11" spans="1:37" x14ac:dyDescent="0.3">
      <c r="A11" t="s">
        <v>4458</v>
      </c>
      <c r="B11">
        <v>58</v>
      </c>
      <c r="C11" t="s">
        <v>32</v>
      </c>
      <c r="D11" t="s">
        <v>52</v>
      </c>
      <c r="E11" t="s">
        <v>17</v>
      </c>
      <c r="F11" s="1">
        <v>44339</v>
      </c>
      <c r="G11" t="s">
        <v>60</v>
      </c>
      <c r="H11" t="s">
        <v>61</v>
      </c>
      <c r="I11" t="s">
        <v>51</v>
      </c>
      <c r="J11">
        <v>19785</v>
      </c>
      <c r="K11">
        <v>249</v>
      </c>
      <c r="L11" t="s">
        <v>42</v>
      </c>
      <c r="M11" s="1">
        <v>44369</v>
      </c>
      <c r="N11" t="s">
        <v>22</v>
      </c>
      <c r="O11" t="s">
        <v>31</v>
      </c>
      <c r="P11" t="str">
        <f t="shared" si="4"/>
        <v>P0010</v>
      </c>
      <c r="Q11" t="str">
        <f t="shared" si="0"/>
        <v>Oncology</v>
      </c>
      <c r="R11">
        <f t="shared" si="1"/>
        <v>30</v>
      </c>
      <c r="S11" t="str">
        <f t="shared" ca="1" si="5"/>
        <v>No</v>
      </c>
      <c r="T11" t="str">
        <f t="shared" ca="1" si="6"/>
        <v>Critical</v>
      </c>
      <c r="U11" t="str">
        <f t="shared" ca="1" si="7"/>
        <v>Private Ward</v>
      </c>
      <c r="V11" t="str">
        <f t="shared" si="8"/>
        <v>BED0010</v>
      </c>
      <c r="W11" t="str">
        <f t="shared" ca="1" si="9"/>
        <v>Semi-Private</v>
      </c>
      <c r="X11" t="str">
        <f t="shared" si="10"/>
        <v>NUR010</v>
      </c>
      <c r="Y11" t="str">
        <f t="shared" ca="1" si="11"/>
        <v>Night</v>
      </c>
      <c r="Z11" t="str">
        <f t="shared" ca="1" si="12"/>
        <v>Ventilator</v>
      </c>
      <c r="AA11" t="str">
        <f t="shared" ca="1" si="13"/>
        <v>Maintenance</v>
      </c>
      <c r="AB11" t="str">
        <f t="shared" ca="1" si="14"/>
        <v>Paid</v>
      </c>
      <c r="AC11" t="str">
        <f t="shared" ca="1" si="15"/>
        <v>Debit Card</v>
      </c>
      <c r="AD11" t="str">
        <f t="shared" ca="1" si="16"/>
        <v>No</v>
      </c>
      <c r="AE11" t="str">
        <f t="shared" ca="1" si="17"/>
        <v>No</v>
      </c>
      <c r="AF11" t="str">
        <f t="shared" ca="1" si="18"/>
        <v>Under Observation</v>
      </c>
      <c r="AG11" t="str">
        <f t="shared" ca="1" si="19"/>
        <v>West Coast</v>
      </c>
      <c r="AH11" t="str">
        <f t="shared" si="2"/>
        <v>May</v>
      </c>
      <c r="AI11">
        <f t="shared" si="3"/>
        <v>2021</v>
      </c>
      <c r="AJ11" t="str">
        <f t="shared" ca="1" si="20"/>
        <v>Occupied</v>
      </c>
      <c r="AK11">
        <f t="shared" ca="1" si="21"/>
        <v>1</v>
      </c>
    </row>
    <row r="12" spans="1:37" x14ac:dyDescent="0.3">
      <c r="A12" t="s">
        <v>4459</v>
      </c>
      <c r="B12">
        <v>72</v>
      </c>
      <c r="C12" t="s">
        <v>15</v>
      </c>
      <c r="D12" t="s">
        <v>38</v>
      </c>
      <c r="E12" t="s">
        <v>17</v>
      </c>
      <c r="F12" s="1">
        <v>43940</v>
      </c>
      <c r="G12" t="s">
        <v>62</v>
      </c>
      <c r="H12" t="s">
        <v>63</v>
      </c>
      <c r="I12" t="s">
        <v>28</v>
      </c>
      <c r="J12">
        <v>12577</v>
      </c>
      <c r="K12">
        <v>394</v>
      </c>
      <c r="L12" t="s">
        <v>21</v>
      </c>
      <c r="M12" s="1">
        <v>43943</v>
      </c>
      <c r="N12" t="s">
        <v>22</v>
      </c>
      <c r="O12" t="s">
        <v>23</v>
      </c>
      <c r="P12" t="str">
        <f t="shared" si="4"/>
        <v>P0011</v>
      </c>
      <c r="Q12" t="str">
        <f t="shared" si="0"/>
        <v>Oncology</v>
      </c>
      <c r="R12">
        <f t="shared" si="1"/>
        <v>3</v>
      </c>
      <c r="S12" t="str">
        <f t="shared" ca="1" si="5"/>
        <v>No</v>
      </c>
      <c r="T12" t="str">
        <f t="shared" ca="1" si="6"/>
        <v>Mild</v>
      </c>
      <c r="U12" t="str">
        <f t="shared" ca="1" si="7"/>
        <v>General Ward</v>
      </c>
      <c r="V12" t="str">
        <f t="shared" si="8"/>
        <v>BED0011</v>
      </c>
      <c r="W12" t="str">
        <f t="shared" ca="1" si="9"/>
        <v>ICU</v>
      </c>
      <c r="X12" t="str">
        <f t="shared" si="10"/>
        <v>NUR011</v>
      </c>
      <c r="Y12" t="str">
        <f t="shared" ca="1" si="11"/>
        <v>Morning</v>
      </c>
      <c r="Z12" t="str">
        <f t="shared" ca="1" si="12"/>
        <v>X-Ray</v>
      </c>
      <c r="AA12" t="str">
        <f t="shared" ca="1" si="13"/>
        <v>In Use</v>
      </c>
      <c r="AB12" t="str">
        <f t="shared" ca="1" si="14"/>
        <v>Pending</v>
      </c>
      <c r="AC12" t="str">
        <f t="shared" ca="1" si="15"/>
        <v>Cash</v>
      </c>
      <c r="AD12" t="str">
        <f t="shared" ca="1" si="16"/>
        <v>No</v>
      </c>
      <c r="AE12" t="str">
        <f t="shared" ca="1" si="17"/>
        <v>No</v>
      </c>
      <c r="AF12" t="str">
        <f t="shared" ca="1" si="18"/>
        <v>Under Observation</v>
      </c>
      <c r="AG12" t="str">
        <f t="shared" ca="1" si="19"/>
        <v>Northeast</v>
      </c>
      <c r="AH12" t="str">
        <f t="shared" si="2"/>
        <v>April</v>
      </c>
      <c r="AI12">
        <f t="shared" si="3"/>
        <v>2020</v>
      </c>
      <c r="AJ12" t="str">
        <f t="shared" ca="1" si="20"/>
        <v>Vacant</v>
      </c>
      <c r="AK12">
        <f t="shared" ca="1" si="21"/>
        <v>4</v>
      </c>
    </row>
    <row r="13" spans="1:37" x14ac:dyDescent="0.3">
      <c r="A13" t="s">
        <v>4460</v>
      </c>
      <c r="B13">
        <v>38</v>
      </c>
      <c r="C13" t="s">
        <v>32</v>
      </c>
      <c r="D13" t="s">
        <v>33</v>
      </c>
      <c r="E13" t="s">
        <v>64</v>
      </c>
      <c r="F13" s="1">
        <v>45151</v>
      </c>
      <c r="G13" t="s">
        <v>65</v>
      </c>
      <c r="H13" t="s">
        <v>66</v>
      </c>
      <c r="I13" t="s">
        <v>28</v>
      </c>
      <c r="J13">
        <v>8000</v>
      </c>
      <c r="K13">
        <v>288</v>
      </c>
      <c r="L13" t="s">
        <v>21</v>
      </c>
      <c r="M13" s="1">
        <v>45174</v>
      </c>
      <c r="N13" t="s">
        <v>67</v>
      </c>
      <c r="O13" t="s">
        <v>31</v>
      </c>
      <c r="P13" t="str">
        <f t="shared" si="4"/>
        <v>P0012</v>
      </c>
      <c r="Q13" t="str">
        <f t="shared" si="0"/>
        <v>Cardiology</v>
      </c>
      <c r="R13">
        <f t="shared" si="1"/>
        <v>23</v>
      </c>
      <c r="S13" t="str">
        <f t="shared" ca="1" si="5"/>
        <v>No</v>
      </c>
      <c r="T13" t="str">
        <f t="shared" ca="1" si="6"/>
        <v>Moderate</v>
      </c>
      <c r="U13" t="str">
        <f t="shared" ca="1" si="7"/>
        <v>General Ward</v>
      </c>
      <c r="V13" t="str">
        <f t="shared" si="8"/>
        <v>BED0012</v>
      </c>
      <c r="W13" t="str">
        <f t="shared" ca="1" si="9"/>
        <v>Semi-Private</v>
      </c>
      <c r="X13" t="str">
        <f t="shared" si="10"/>
        <v>NUR012</v>
      </c>
      <c r="Y13" t="str">
        <f t="shared" ca="1" si="11"/>
        <v>Morning</v>
      </c>
      <c r="Z13" t="str">
        <f t="shared" ca="1" si="12"/>
        <v>X-Ray</v>
      </c>
      <c r="AA13" t="str">
        <f t="shared" ca="1" si="13"/>
        <v>Maintenance</v>
      </c>
      <c r="AB13" t="str">
        <f t="shared" ca="1" si="14"/>
        <v>Partially Paid</v>
      </c>
      <c r="AC13" t="str">
        <f t="shared" ca="1" si="15"/>
        <v>Credit Card</v>
      </c>
      <c r="AD13" t="str">
        <f t="shared" ca="1" si="16"/>
        <v>No</v>
      </c>
      <c r="AE13" t="str">
        <f t="shared" ca="1" si="17"/>
        <v>No</v>
      </c>
      <c r="AF13" t="str">
        <f t="shared" ca="1" si="18"/>
        <v>Under Observation</v>
      </c>
      <c r="AG13" t="str">
        <f t="shared" ca="1" si="19"/>
        <v>Northeast</v>
      </c>
      <c r="AH13" t="str">
        <f t="shared" si="2"/>
        <v>August</v>
      </c>
      <c r="AI13">
        <f t="shared" si="3"/>
        <v>2023</v>
      </c>
      <c r="AJ13" t="str">
        <f t="shared" ca="1" si="20"/>
        <v>Vacant</v>
      </c>
      <c r="AK13">
        <f t="shared" ca="1" si="21"/>
        <v>4</v>
      </c>
    </row>
    <row r="14" spans="1:37" x14ac:dyDescent="0.3">
      <c r="A14" t="s">
        <v>4461</v>
      </c>
      <c r="B14">
        <v>75</v>
      </c>
      <c r="C14" t="s">
        <v>32</v>
      </c>
      <c r="D14" t="s">
        <v>24</v>
      </c>
      <c r="E14" t="s">
        <v>39</v>
      </c>
      <c r="F14" s="1">
        <v>43811</v>
      </c>
      <c r="G14" t="s">
        <v>68</v>
      </c>
      <c r="H14" t="s">
        <v>69</v>
      </c>
      <c r="I14" t="s">
        <v>57</v>
      </c>
      <c r="J14">
        <v>43282</v>
      </c>
      <c r="K14">
        <v>134</v>
      </c>
      <c r="L14" t="s">
        <v>29</v>
      </c>
      <c r="M14" s="1">
        <v>43827</v>
      </c>
      <c r="N14" t="s">
        <v>47</v>
      </c>
      <c r="O14" t="s">
        <v>43</v>
      </c>
      <c r="P14" t="str">
        <f t="shared" si="4"/>
        <v>P0013</v>
      </c>
      <c r="Q14" t="str">
        <f t="shared" si="0"/>
        <v>Endocrinology</v>
      </c>
      <c r="R14">
        <f t="shared" si="1"/>
        <v>16</v>
      </c>
      <c r="S14" t="str">
        <f t="shared" ca="1" si="5"/>
        <v>No</v>
      </c>
      <c r="T14" t="str">
        <f t="shared" ca="1" si="6"/>
        <v>Severe</v>
      </c>
      <c r="U14" t="str">
        <f t="shared" ca="1" si="7"/>
        <v>ICU</v>
      </c>
      <c r="V14" t="str">
        <f t="shared" si="8"/>
        <v>BED0013</v>
      </c>
      <c r="W14" t="str">
        <f t="shared" ca="1" si="9"/>
        <v>ICU</v>
      </c>
      <c r="X14" t="str">
        <f t="shared" si="10"/>
        <v>NUR013</v>
      </c>
      <c r="Y14" t="str">
        <f t="shared" ca="1" si="11"/>
        <v>Morning</v>
      </c>
      <c r="Z14" t="str">
        <f t="shared" ca="1" si="12"/>
        <v>CT Scanner</v>
      </c>
      <c r="AA14" t="str">
        <f t="shared" ca="1" si="13"/>
        <v>In Use</v>
      </c>
      <c r="AB14" t="str">
        <f t="shared" ca="1" si="14"/>
        <v>Paid</v>
      </c>
      <c r="AC14" t="str">
        <f t="shared" ca="1" si="15"/>
        <v>Bank Transfer</v>
      </c>
      <c r="AD14" t="str">
        <f t="shared" ca="1" si="16"/>
        <v>No</v>
      </c>
      <c r="AE14" t="str">
        <f t="shared" ca="1" si="17"/>
        <v>Yes</v>
      </c>
      <c r="AF14" t="str">
        <f t="shared" ca="1" si="18"/>
        <v>Under Observation</v>
      </c>
      <c r="AG14" t="str">
        <f t="shared" ca="1" si="19"/>
        <v>Midwest</v>
      </c>
      <c r="AH14" t="str">
        <f t="shared" si="2"/>
        <v>December</v>
      </c>
      <c r="AI14">
        <f t="shared" si="3"/>
        <v>2019</v>
      </c>
      <c r="AJ14" t="str">
        <f t="shared" ca="1" si="20"/>
        <v>Occupied</v>
      </c>
      <c r="AK14">
        <f t="shared" ca="1" si="21"/>
        <v>1</v>
      </c>
    </row>
    <row r="15" spans="1:37" x14ac:dyDescent="0.3">
      <c r="A15" t="s">
        <v>4462</v>
      </c>
      <c r="B15">
        <v>68</v>
      </c>
      <c r="C15" t="s">
        <v>32</v>
      </c>
      <c r="D15" t="s">
        <v>44</v>
      </c>
      <c r="E15" t="s">
        <v>48</v>
      </c>
      <c r="F15" s="1">
        <v>43973</v>
      </c>
      <c r="G15" t="s">
        <v>70</v>
      </c>
      <c r="H15" t="s">
        <v>71</v>
      </c>
      <c r="I15" t="s">
        <v>51</v>
      </c>
      <c r="J15">
        <v>33208</v>
      </c>
      <c r="K15">
        <v>309</v>
      </c>
      <c r="L15" t="s">
        <v>21</v>
      </c>
      <c r="M15" s="1">
        <v>44001</v>
      </c>
      <c r="N15" t="s">
        <v>67</v>
      </c>
      <c r="O15" t="s">
        <v>23</v>
      </c>
      <c r="P15" t="str">
        <f t="shared" si="4"/>
        <v>P0014</v>
      </c>
      <c r="Q15" t="str">
        <f t="shared" si="0"/>
        <v>Pulmonology</v>
      </c>
      <c r="R15">
        <f t="shared" si="1"/>
        <v>28</v>
      </c>
      <c r="S15" t="str">
        <f t="shared" ca="1" si="5"/>
        <v>No</v>
      </c>
      <c r="T15" t="str">
        <f t="shared" ca="1" si="6"/>
        <v>Severe</v>
      </c>
      <c r="U15" t="str">
        <f t="shared" ca="1" si="7"/>
        <v>Semi-Private</v>
      </c>
      <c r="V15" t="str">
        <f t="shared" si="8"/>
        <v>BED0014</v>
      </c>
      <c r="W15" t="str">
        <f t="shared" ca="1" si="9"/>
        <v>ICU</v>
      </c>
      <c r="X15" t="str">
        <f t="shared" si="10"/>
        <v>NUR014</v>
      </c>
      <c r="Y15" t="str">
        <f t="shared" ca="1" si="11"/>
        <v>Night</v>
      </c>
      <c r="Z15" t="str">
        <f t="shared" ca="1" si="12"/>
        <v>X-Ray</v>
      </c>
      <c r="AA15" t="str">
        <f t="shared" ca="1" si="13"/>
        <v>Maintenance</v>
      </c>
      <c r="AB15" t="str">
        <f t="shared" ca="1" si="14"/>
        <v>Partially Paid</v>
      </c>
      <c r="AC15" t="str">
        <f t="shared" ca="1" si="15"/>
        <v>Bank Transfer</v>
      </c>
      <c r="AD15" t="str">
        <f t="shared" ca="1" si="16"/>
        <v>No</v>
      </c>
      <c r="AE15" t="str">
        <f t="shared" ca="1" si="17"/>
        <v>No</v>
      </c>
      <c r="AF15" t="str">
        <f t="shared" ca="1" si="18"/>
        <v>Under Observation</v>
      </c>
      <c r="AG15" t="str">
        <f t="shared" ca="1" si="19"/>
        <v>West Coast</v>
      </c>
      <c r="AH15" t="str">
        <f t="shared" si="2"/>
        <v>May</v>
      </c>
      <c r="AI15">
        <f t="shared" si="3"/>
        <v>2020</v>
      </c>
      <c r="AJ15" t="str">
        <f t="shared" ca="1" si="20"/>
        <v>Vacant</v>
      </c>
      <c r="AK15">
        <f t="shared" ca="1" si="21"/>
        <v>2</v>
      </c>
    </row>
    <row r="16" spans="1:37" x14ac:dyDescent="0.3">
      <c r="A16" t="s">
        <v>4463</v>
      </c>
      <c r="B16">
        <v>44</v>
      </c>
      <c r="C16" t="s">
        <v>32</v>
      </c>
      <c r="D16" t="s">
        <v>44</v>
      </c>
      <c r="E16" t="s">
        <v>17</v>
      </c>
      <c r="F16" s="1">
        <v>44477</v>
      </c>
      <c r="G16" t="s">
        <v>72</v>
      </c>
      <c r="H16" t="s">
        <v>73</v>
      </c>
      <c r="I16" t="s">
        <v>51</v>
      </c>
      <c r="J16">
        <v>40702</v>
      </c>
      <c r="K16">
        <v>182</v>
      </c>
      <c r="L16" t="s">
        <v>21</v>
      </c>
      <c r="M16" s="1">
        <v>44482</v>
      </c>
      <c r="N16" t="s">
        <v>22</v>
      </c>
      <c r="O16" t="s">
        <v>23</v>
      </c>
      <c r="P16" t="str">
        <f t="shared" si="4"/>
        <v>P0015</v>
      </c>
      <c r="Q16" t="str">
        <f t="shared" si="0"/>
        <v>Oncology</v>
      </c>
      <c r="R16">
        <f t="shared" si="1"/>
        <v>5</v>
      </c>
      <c r="S16" t="str">
        <f t="shared" ca="1" si="5"/>
        <v>No</v>
      </c>
      <c r="T16" t="str">
        <f t="shared" ca="1" si="6"/>
        <v>Mild</v>
      </c>
      <c r="U16" t="str">
        <f t="shared" ca="1" si="7"/>
        <v>Emergency</v>
      </c>
      <c r="V16" t="str">
        <f t="shared" si="8"/>
        <v>BED0015</v>
      </c>
      <c r="W16" t="str">
        <f t="shared" ca="1" si="9"/>
        <v>Semi-Private</v>
      </c>
      <c r="X16" t="str">
        <f t="shared" si="10"/>
        <v>NUR015</v>
      </c>
      <c r="Y16" t="str">
        <f t="shared" ca="1" si="11"/>
        <v>Night</v>
      </c>
      <c r="Z16" t="str">
        <f t="shared" ca="1" si="12"/>
        <v>X-Ray</v>
      </c>
      <c r="AA16" t="str">
        <f t="shared" ca="1" si="13"/>
        <v>Available</v>
      </c>
      <c r="AB16" t="str">
        <f t="shared" ca="1" si="14"/>
        <v>Partially Paid</v>
      </c>
      <c r="AC16" t="str">
        <f t="shared" ca="1" si="15"/>
        <v>Cash</v>
      </c>
      <c r="AD16" t="str">
        <f t="shared" ca="1" si="16"/>
        <v>No</v>
      </c>
      <c r="AE16" t="str">
        <f t="shared" ca="1" si="17"/>
        <v>Yes</v>
      </c>
      <c r="AF16" t="str">
        <f t="shared" ca="1" si="18"/>
        <v>Recovered</v>
      </c>
      <c r="AG16" t="str">
        <f t="shared" ca="1" si="19"/>
        <v>Midwest</v>
      </c>
      <c r="AH16" t="str">
        <f t="shared" si="2"/>
        <v>October</v>
      </c>
      <c r="AI16">
        <f t="shared" si="3"/>
        <v>2021</v>
      </c>
      <c r="AJ16" t="str">
        <f t="shared" ca="1" si="20"/>
        <v>Occupied</v>
      </c>
      <c r="AK16">
        <f t="shared" ca="1" si="21"/>
        <v>2</v>
      </c>
    </row>
    <row r="17" spans="1:37" x14ac:dyDescent="0.3">
      <c r="A17" t="s">
        <v>4464</v>
      </c>
      <c r="B17">
        <v>46</v>
      </c>
      <c r="C17" t="s">
        <v>32</v>
      </c>
      <c r="D17" t="s">
        <v>52</v>
      </c>
      <c r="E17" t="s">
        <v>25</v>
      </c>
      <c r="F17" s="1">
        <v>44927</v>
      </c>
      <c r="G17" t="s">
        <v>74</v>
      </c>
      <c r="H17" t="s">
        <v>75</v>
      </c>
      <c r="I17" t="s">
        <v>20</v>
      </c>
      <c r="J17">
        <v>12263</v>
      </c>
      <c r="K17">
        <v>465</v>
      </c>
      <c r="L17" t="s">
        <v>42</v>
      </c>
      <c r="M17" s="1">
        <v>44937</v>
      </c>
      <c r="N17" t="s">
        <v>37</v>
      </c>
      <c r="O17" t="s">
        <v>31</v>
      </c>
      <c r="P17" t="str">
        <f t="shared" si="4"/>
        <v>P0016</v>
      </c>
      <c r="Q17" t="str">
        <f t="shared" si="0"/>
        <v>Nutrition</v>
      </c>
      <c r="R17">
        <f t="shared" si="1"/>
        <v>10</v>
      </c>
      <c r="S17" t="str">
        <f t="shared" ca="1" si="5"/>
        <v>No</v>
      </c>
      <c r="T17" t="str">
        <f t="shared" ca="1" si="6"/>
        <v>Moderate</v>
      </c>
      <c r="U17" t="str">
        <f t="shared" ca="1" si="7"/>
        <v>General Ward</v>
      </c>
      <c r="V17" t="str">
        <f t="shared" si="8"/>
        <v>BED0016</v>
      </c>
      <c r="W17" t="str">
        <f t="shared" ca="1" si="9"/>
        <v>Private</v>
      </c>
      <c r="X17" t="str">
        <f t="shared" si="10"/>
        <v>NUR016</v>
      </c>
      <c r="Y17" t="str">
        <f t="shared" ca="1" si="11"/>
        <v>Night</v>
      </c>
      <c r="Z17" t="str">
        <f t="shared" ca="1" si="12"/>
        <v>Ultrasound</v>
      </c>
      <c r="AA17" t="str">
        <f t="shared" ca="1" si="13"/>
        <v>Available</v>
      </c>
      <c r="AB17" t="str">
        <f t="shared" ca="1" si="14"/>
        <v>Paid</v>
      </c>
      <c r="AC17" t="str">
        <f t="shared" ca="1" si="15"/>
        <v>Cash</v>
      </c>
      <c r="AD17" t="str">
        <f t="shared" ca="1" si="16"/>
        <v>No</v>
      </c>
      <c r="AE17" t="str">
        <f t="shared" ca="1" si="17"/>
        <v>No</v>
      </c>
      <c r="AF17" t="str">
        <f t="shared" ca="1" si="18"/>
        <v>Transferred</v>
      </c>
      <c r="AG17" t="str">
        <f t="shared" ca="1" si="19"/>
        <v>Southeast</v>
      </c>
      <c r="AH17" t="str">
        <f t="shared" si="2"/>
        <v>January</v>
      </c>
      <c r="AI17">
        <f t="shared" si="3"/>
        <v>2023</v>
      </c>
      <c r="AJ17" t="str">
        <f t="shared" ca="1" si="20"/>
        <v>Occupied</v>
      </c>
      <c r="AK17">
        <f t="shared" ca="1" si="21"/>
        <v>1</v>
      </c>
    </row>
    <row r="18" spans="1:37" x14ac:dyDescent="0.3">
      <c r="A18" t="s">
        <v>4465</v>
      </c>
      <c r="B18">
        <v>63</v>
      </c>
      <c r="C18" t="s">
        <v>32</v>
      </c>
      <c r="D18" t="s">
        <v>24</v>
      </c>
      <c r="E18" t="s">
        <v>76</v>
      </c>
      <c r="F18" s="1">
        <v>44005</v>
      </c>
      <c r="G18" t="s">
        <v>77</v>
      </c>
      <c r="H18" t="s">
        <v>78</v>
      </c>
      <c r="I18" t="s">
        <v>51</v>
      </c>
      <c r="J18">
        <v>24500</v>
      </c>
      <c r="K18">
        <v>114</v>
      </c>
      <c r="L18" t="s">
        <v>42</v>
      </c>
      <c r="M18" s="1">
        <v>44026</v>
      </c>
      <c r="N18" t="s">
        <v>22</v>
      </c>
      <c r="O18" t="s">
        <v>23</v>
      </c>
      <c r="P18" t="str">
        <f t="shared" si="4"/>
        <v>P0017</v>
      </c>
      <c r="Q18" t="str">
        <f t="shared" si="0"/>
        <v>Orthopedics</v>
      </c>
      <c r="R18">
        <f t="shared" si="1"/>
        <v>21</v>
      </c>
      <c r="S18" t="str">
        <f t="shared" ca="1" si="5"/>
        <v>No</v>
      </c>
      <c r="T18" t="str">
        <f t="shared" ca="1" si="6"/>
        <v>Critical</v>
      </c>
      <c r="U18" t="str">
        <f t="shared" ca="1" si="7"/>
        <v>General Ward</v>
      </c>
      <c r="V18" t="str">
        <f t="shared" si="8"/>
        <v>BED0017</v>
      </c>
      <c r="W18" t="str">
        <f t="shared" ca="1" si="9"/>
        <v>ICU</v>
      </c>
      <c r="X18" t="str">
        <f t="shared" si="10"/>
        <v>NUR017</v>
      </c>
      <c r="Y18" t="str">
        <f t="shared" ca="1" si="11"/>
        <v>Morning</v>
      </c>
      <c r="Z18" t="str">
        <f t="shared" ca="1" si="12"/>
        <v>Ultrasound</v>
      </c>
      <c r="AA18" t="str">
        <f t="shared" ca="1" si="13"/>
        <v>Available</v>
      </c>
      <c r="AB18" t="str">
        <f t="shared" ca="1" si="14"/>
        <v>Partially Paid</v>
      </c>
      <c r="AC18" t="str">
        <f t="shared" ca="1" si="15"/>
        <v>Insurance</v>
      </c>
      <c r="AD18" t="str">
        <f t="shared" ca="1" si="16"/>
        <v>No</v>
      </c>
      <c r="AE18" t="str">
        <f t="shared" ca="1" si="17"/>
        <v>No</v>
      </c>
      <c r="AF18" t="str">
        <f t="shared" ca="1" si="18"/>
        <v>Under Observation</v>
      </c>
      <c r="AG18" t="str">
        <f t="shared" ca="1" si="19"/>
        <v>Northeast</v>
      </c>
      <c r="AH18" t="str">
        <f t="shared" si="2"/>
        <v>June</v>
      </c>
      <c r="AI18">
        <f t="shared" si="3"/>
        <v>2020</v>
      </c>
      <c r="AJ18" t="str">
        <f t="shared" ca="1" si="20"/>
        <v>Occupied</v>
      </c>
      <c r="AK18">
        <f t="shared" ca="1" si="21"/>
        <v>2</v>
      </c>
    </row>
    <row r="19" spans="1:37" x14ac:dyDescent="0.3">
      <c r="A19" t="s">
        <v>4466</v>
      </c>
      <c r="B19">
        <v>38</v>
      </c>
      <c r="C19" t="s">
        <v>15</v>
      </c>
      <c r="D19" t="s">
        <v>52</v>
      </c>
      <c r="E19" t="s">
        <v>25</v>
      </c>
      <c r="F19" s="1">
        <v>43898</v>
      </c>
      <c r="G19" t="s">
        <v>79</v>
      </c>
      <c r="H19" t="s">
        <v>80</v>
      </c>
      <c r="I19" t="s">
        <v>57</v>
      </c>
      <c r="J19">
        <v>17440</v>
      </c>
      <c r="K19">
        <v>449</v>
      </c>
      <c r="L19" t="s">
        <v>21</v>
      </c>
      <c r="M19" s="1">
        <v>43923</v>
      </c>
      <c r="N19" t="s">
        <v>22</v>
      </c>
      <c r="O19" t="s">
        <v>43</v>
      </c>
      <c r="P19" t="str">
        <f t="shared" si="4"/>
        <v>P0018</v>
      </c>
      <c r="Q19" t="str">
        <f t="shared" si="0"/>
        <v>Nutrition</v>
      </c>
      <c r="R19">
        <f t="shared" si="1"/>
        <v>25</v>
      </c>
      <c r="S19" t="str">
        <f t="shared" ca="1" si="5"/>
        <v>No</v>
      </c>
      <c r="T19" t="str">
        <f t="shared" ca="1" si="6"/>
        <v>Severe</v>
      </c>
      <c r="U19" t="str">
        <f t="shared" ca="1" si="7"/>
        <v>Semi-Private</v>
      </c>
      <c r="V19" t="str">
        <f t="shared" si="8"/>
        <v>BED0018</v>
      </c>
      <c r="W19" t="str">
        <f t="shared" ca="1" si="9"/>
        <v>General</v>
      </c>
      <c r="X19" t="str">
        <f t="shared" si="10"/>
        <v>NUR018</v>
      </c>
      <c r="Y19" t="str">
        <f t="shared" ca="1" si="11"/>
        <v>Evening</v>
      </c>
      <c r="Z19" t="str">
        <f t="shared" ca="1" si="12"/>
        <v>X-Ray</v>
      </c>
      <c r="AA19" t="str">
        <f t="shared" ca="1" si="13"/>
        <v>In Use</v>
      </c>
      <c r="AB19" t="str">
        <f t="shared" ca="1" si="14"/>
        <v>Partially Paid</v>
      </c>
      <c r="AC19" t="str">
        <f t="shared" ca="1" si="15"/>
        <v>Bank Transfer</v>
      </c>
      <c r="AD19" t="str">
        <f t="shared" ca="1" si="16"/>
        <v>No</v>
      </c>
      <c r="AE19" t="str">
        <f t="shared" ca="1" si="17"/>
        <v>No</v>
      </c>
      <c r="AF19" t="str">
        <f t="shared" ca="1" si="18"/>
        <v>Transferred</v>
      </c>
      <c r="AG19" t="str">
        <f t="shared" ca="1" si="19"/>
        <v>Midwest</v>
      </c>
      <c r="AH19" t="str">
        <f t="shared" si="2"/>
        <v>March</v>
      </c>
      <c r="AI19">
        <f t="shared" si="3"/>
        <v>2020</v>
      </c>
      <c r="AJ19" t="str">
        <f t="shared" ca="1" si="20"/>
        <v>Occupied</v>
      </c>
      <c r="AK19">
        <f t="shared" ca="1" si="21"/>
        <v>4</v>
      </c>
    </row>
    <row r="20" spans="1:37" x14ac:dyDescent="0.3">
      <c r="A20" t="s">
        <v>4467</v>
      </c>
      <c r="B20">
        <v>34</v>
      </c>
      <c r="C20" t="s">
        <v>32</v>
      </c>
      <c r="D20" t="s">
        <v>33</v>
      </c>
      <c r="E20" t="s">
        <v>64</v>
      </c>
      <c r="F20" s="1">
        <v>44259</v>
      </c>
      <c r="G20" t="s">
        <v>81</v>
      </c>
      <c r="H20" t="s">
        <v>82</v>
      </c>
      <c r="I20" t="s">
        <v>20</v>
      </c>
      <c r="J20">
        <v>18843</v>
      </c>
      <c r="K20">
        <v>260</v>
      </c>
      <c r="L20" t="s">
        <v>42</v>
      </c>
      <c r="M20" s="1">
        <v>44269</v>
      </c>
      <c r="N20" t="s">
        <v>37</v>
      </c>
      <c r="O20" t="s">
        <v>43</v>
      </c>
      <c r="P20" t="str">
        <f t="shared" si="4"/>
        <v>P0019</v>
      </c>
      <c r="Q20" t="str">
        <f t="shared" si="0"/>
        <v>Cardiology</v>
      </c>
      <c r="R20">
        <f t="shared" si="1"/>
        <v>10</v>
      </c>
      <c r="S20" t="str">
        <f t="shared" ca="1" si="5"/>
        <v>No</v>
      </c>
      <c r="T20" t="str">
        <f t="shared" ca="1" si="6"/>
        <v>Critical</v>
      </c>
      <c r="U20" t="str">
        <f t="shared" ca="1" si="7"/>
        <v>Emergency</v>
      </c>
      <c r="V20" t="str">
        <f t="shared" si="8"/>
        <v>BED0019</v>
      </c>
      <c r="W20" t="str">
        <f t="shared" ca="1" si="9"/>
        <v>Private</v>
      </c>
      <c r="X20" t="str">
        <f t="shared" si="10"/>
        <v>NUR019</v>
      </c>
      <c r="Y20" t="str">
        <f t="shared" ca="1" si="11"/>
        <v>Morning</v>
      </c>
      <c r="Z20" t="str">
        <f t="shared" ca="1" si="12"/>
        <v>X-Ray</v>
      </c>
      <c r="AA20" t="str">
        <f t="shared" ca="1" si="13"/>
        <v>Available</v>
      </c>
      <c r="AB20" t="str">
        <f t="shared" ca="1" si="14"/>
        <v>Pending</v>
      </c>
      <c r="AC20" t="str">
        <f t="shared" ca="1" si="15"/>
        <v>Credit Card</v>
      </c>
      <c r="AD20" t="str">
        <f t="shared" ca="1" si="16"/>
        <v>No</v>
      </c>
      <c r="AE20" t="str">
        <f t="shared" ca="1" si="17"/>
        <v>No</v>
      </c>
      <c r="AF20" t="str">
        <f t="shared" ca="1" si="18"/>
        <v>Under Observation</v>
      </c>
      <c r="AG20" t="str">
        <f t="shared" ca="1" si="19"/>
        <v>Southwest</v>
      </c>
      <c r="AH20" t="str">
        <f t="shared" si="2"/>
        <v>March</v>
      </c>
      <c r="AI20">
        <f t="shared" si="3"/>
        <v>2021</v>
      </c>
      <c r="AJ20" t="str">
        <f t="shared" ca="1" si="20"/>
        <v>Occupied</v>
      </c>
      <c r="AK20">
        <f t="shared" ca="1" si="21"/>
        <v>4</v>
      </c>
    </row>
    <row r="21" spans="1:37" x14ac:dyDescent="0.3">
      <c r="A21" t="s">
        <v>4468</v>
      </c>
      <c r="B21">
        <v>63</v>
      </c>
      <c r="C21" t="s">
        <v>15</v>
      </c>
      <c r="D21" t="s">
        <v>83</v>
      </c>
      <c r="E21" t="s">
        <v>48</v>
      </c>
      <c r="F21" s="1">
        <v>44880</v>
      </c>
      <c r="G21" t="s">
        <v>84</v>
      </c>
      <c r="H21" t="s">
        <v>85</v>
      </c>
      <c r="I21" t="s">
        <v>57</v>
      </c>
      <c r="J21">
        <v>23762</v>
      </c>
      <c r="K21">
        <v>465</v>
      </c>
      <c r="L21" t="s">
        <v>42</v>
      </c>
      <c r="M21" s="1">
        <v>44887</v>
      </c>
      <c r="N21" t="s">
        <v>47</v>
      </c>
      <c r="O21" t="s">
        <v>23</v>
      </c>
      <c r="P21" t="str">
        <f t="shared" si="4"/>
        <v>P0020</v>
      </c>
      <c r="Q21" t="str">
        <f t="shared" si="0"/>
        <v>Pulmonology</v>
      </c>
      <c r="R21">
        <f t="shared" si="1"/>
        <v>7</v>
      </c>
      <c r="S21" t="str">
        <f t="shared" ca="1" si="5"/>
        <v>Yes</v>
      </c>
      <c r="T21" t="str">
        <f t="shared" ca="1" si="6"/>
        <v>Mild</v>
      </c>
      <c r="U21" t="str">
        <f t="shared" ca="1" si="7"/>
        <v>Private Ward</v>
      </c>
      <c r="V21" t="str">
        <f t="shared" si="8"/>
        <v>BED0020</v>
      </c>
      <c r="W21" t="str">
        <f t="shared" ca="1" si="9"/>
        <v>Semi-Private</v>
      </c>
      <c r="X21" t="str">
        <f t="shared" si="10"/>
        <v>NUR020</v>
      </c>
      <c r="Y21" t="str">
        <f t="shared" ca="1" si="11"/>
        <v>Night</v>
      </c>
      <c r="Z21" t="str">
        <f t="shared" ca="1" si="12"/>
        <v>Ultrasound</v>
      </c>
      <c r="AA21" t="str">
        <f t="shared" ca="1" si="13"/>
        <v>Maintenance</v>
      </c>
      <c r="AB21" t="str">
        <f t="shared" ca="1" si="14"/>
        <v>Partially Paid</v>
      </c>
      <c r="AC21" t="str">
        <f t="shared" ca="1" si="15"/>
        <v>Bank Transfer</v>
      </c>
      <c r="AD21" t="str">
        <f t="shared" ca="1" si="16"/>
        <v>No</v>
      </c>
      <c r="AE21" t="str">
        <f t="shared" ca="1" si="17"/>
        <v>No</v>
      </c>
      <c r="AF21" t="str">
        <f t="shared" ca="1" si="18"/>
        <v>Under Observation</v>
      </c>
      <c r="AG21" t="str">
        <f t="shared" ca="1" si="19"/>
        <v>Midwest</v>
      </c>
      <c r="AH21" t="str">
        <f t="shared" si="2"/>
        <v>November</v>
      </c>
      <c r="AI21">
        <f t="shared" si="3"/>
        <v>2022</v>
      </c>
      <c r="AJ21" t="str">
        <f t="shared" ca="1" si="20"/>
        <v>Vacant</v>
      </c>
      <c r="AK21">
        <f t="shared" ca="1" si="21"/>
        <v>4</v>
      </c>
    </row>
    <row r="22" spans="1:37" x14ac:dyDescent="0.3">
      <c r="A22" t="s">
        <v>4469</v>
      </c>
      <c r="B22">
        <v>67</v>
      </c>
      <c r="C22" t="s">
        <v>32</v>
      </c>
      <c r="D22" t="s">
        <v>33</v>
      </c>
      <c r="E22" t="s">
        <v>48</v>
      </c>
      <c r="F22" s="1">
        <v>45105</v>
      </c>
      <c r="G22" t="s">
        <v>86</v>
      </c>
      <c r="H22" t="s">
        <v>87</v>
      </c>
      <c r="I22" t="s">
        <v>20</v>
      </c>
      <c r="J22">
        <v>430</v>
      </c>
      <c r="K22">
        <v>115</v>
      </c>
      <c r="L22" t="s">
        <v>42</v>
      </c>
      <c r="M22" s="1">
        <v>45109</v>
      </c>
      <c r="N22" t="s">
        <v>37</v>
      </c>
      <c r="O22" t="s">
        <v>23</v>
      </c>
      <c r="P22" t="str">
        <f t="shared" si="4"/>
        <v>P0021</v>
      </c>
      <c r="Q22" t="str">
        <f t="shared" si="0"/>
        <v>Pulmonology</v>
      </c>
      <c r="R22">
        <f t="shared" si="1"/>
        <v>4</v>
      </c>
      <c r="S22" t="str">
        <f t="shared" ca="1" si="5"/>
        <v>No</v>
      </c>
      <c r="T22" t="str">
        <f t="shared" ca="1" si="6"/>
        <v>Critical</v>
      </c>
      <c r="U22" t="str">
        <f t="shared" ca="1" si="7"/>
        <v>Emergency</v>
      </c>
      <c r="V22" t="str">
        <f t="shared" si="8"/>
        <v>BED0021</v>
      </c>
      <c r="W22" t="str">
        <f t="shared" ca="1" si="9"/>
        <v>Semi-Private</v>
      </c>
      <c r="X22" t="str">
        <f t="shared" si="10"/>
        <v>NUR021</v>
      </c>
      <c r="Y22" t="str">
        <f t="shared" ca="1" si="11"/>
        <v>Evening</v>
      </c>
      <c r="Z22" t="str">
        <f t="shared" ca="1" si="12"/>
        <v>X-Ray</v>
      </c>
      <c r="AA22" t="str">
        <f t="shared" ca="1" si="13"/>
        <v>Available</v>
      </c>
      <c r="AB22" t="str">
        <f t="shared" ca="1" si="14"/>
        <v>Partially Paid</v>
      </c>
      <c r="AC22" t="str">
        <f t="shared" ca="1" si="15"/>
        <v>Insurance</v>
      </c>
      <c r="AD22" t="str">
        <f t="shared" ca="1" si="16"/>
        <v>No</v>
      </c>
      <c r="AE22" t="str">
        <f t="shared" ca="1" si="17"/>
        <v>No</v>
      </c>
      <c r="AF22" t="str">
        <f t="shared" ca="1" si="18"/>
        <v>Transferred</v>
      </c>
      <c r="AG22" t="str">
        <f t="shared" ca="1" si="19"/>
        <v>Northeast</v>
      </c>
      <c r="AH22" t="str">
        <f t="shared" si="2"/>
        <v>June</v>
      </c>
      <c r="AI22">
        <f t="shared" si="3"/>
        <v>2023</v>
      </c>
      <c r="AJ22" t="str">
        <f t="shared" ca="1" si="20"/>
        <v>Occupied</v>
      </c>
      <c r="AK22">
        <f t="shared" ca="1" si="21"/>
        <v>4</v>
      </c>
    </row>
    <row r="23" spans="1:37" x14ac:dyDescent="0.3">
      <c r="A23" t="s">
        <v>4470</v>
      </c>
      <c r="B23">
        <v>48</v>
      </c>
      <c r="C23" t="s">
        <v>15</v>
      </c>
      <c r="D23" t="s">
        <v>83</v>
      </c>
      <c r="E23" t="s">
        <v>48</v>
      </c>
      <c r="F23" s="1">
        <v>43851</v>
      </c>
      <c r="G23" t="s">
        <v>88</v>
      </c>
      <c r="H23" t="s">
        <v>89</v>
      </c>
      <c r="I23" t="s">
        <v>36</v>
      </c>
      <c r="J23">
        <v>17696</v>
      </c>
      <c r="K23">
        <v>295</v>
      </c>
      <c r="L23" t="s">
        <v>21</v>
      </c>
      <c r="M23" s="1">
        <v>43870</v>
      </c>
      <c r="N23" t="s">
        <v>67</v>
      </c>
      <c r="O23" t="s">
        <v>23</v>
      </c>
      <c r="P23" t="str">
        <f t="shared" si="4"/>
        <v>P0022</v>
      </c>
      <c r="Q23" t="str">
        <f t="shared" si="0"/>
        <v>Pulmonology</v>
      </c>
      <c r="R23">
        <f t="shared" si="1"/>
        <v>19</v>
      </c>
      <c r="S23" t="str">
        <f t="shared" ca="1" si="5"/>
        <v>No</v>
      </c>
      <c r="T23" t="str">
        <f t="shared" ca="1" si="6"/>
        <v>Mild</v>
      </c>
      <c r="U23" t="str">
        <f t="shared" ca="1" si="7"/>
        <v>Semi-Private</v>
      </c>
      <c r="V23" t="str">
        <f t="shared" si="8"/>
        <v>BED0022</v>
      </c>
      <c r="W23" t="str">
        <f t="shared" ca="1" si="9"/>
        <v>Private</v>
      </c>
      <c r="X23" t="str">
        <f t="shared" si="10"/>
        <v>NUR022</v>
      </c>
      <c r="Y23" t="str">
        <f t="shared" ca="1" si="11"/>
        <v>Night</v>
      </c>
      <c r="Z23" t="str">
        <f t="shared" ca="1" si="12"/>
        <v>Ventilator</v>
      </c>
      <c r="AA23" t="str">
        <f t="shared" ca="1" si="13"/>
        <v>Maintenance</v>
      </c>
      <c r="AB23" t="str">
        <f t="shared" ca="1" si="14"/>
        <v>Partially Paid</v>
      </c>
      <c r="AC23" t="str">
        <f t="shared" ca="1" si="15"/>
        <v>Bank Transfer</v>
      </c>
      <c r="AD23" t="str">
        <f t="shared" ca="1" si="16"/>
        <v>No</v>
      </c>
      <c r="AE23" t="str">
        <f t="shared" ca="1" si="17"/>
        <v>No</v>
      </c>
      <c r="AF23" t="str">
        <f t="shared" ca="1" si="18"/>
        <v>Recovered</v>
      </c>
      <c r="AG23" t="str">
        <f t="shared" ca="1" si="19"/>
        <v>Northeast</v>
      </c>
      <c r="AH23" t="str">
        <f t="shared" si="2"/>
        <v>January</v>
      </c>
      <c r="AI23">
        <f t="shared" si="3"/>
        <v>2020</v>
      </c>
      <c r="AJ23" t="str">
        <f t="shared" ca="1" si="20"/>
        <v>Occupied</v>
      </c>
      <c r="AK23">
        <f t="shared" ca="1" si="21"/>
        <v>2</v>
      </c>
    </row>
    <row r="24" spans="1:37" x14ac:dyDescent="0.3">
      <c r="A24" t="s">
        <v>4471</v>
      </c>
      <c r="B24">
        <v>58</v>
      </c>
      <c r="C24" t="s">
        <v>32</v>
      </c>
      <c r="D24" t="s">
        <v>38</v>
      </c>
      <c r="E24" t="s">
        <v>76</v>
      </c>
      <c r="F24" s="1">
        <v>44693</v>
      </c>
      <c r="G24" t="s">
        <v>90</v>
      </c>
      <c r="H24" t="s">
        <v>91</v>
      </c>
      <c r="I24" t="s">
        <v>36</v>
      </c>
      <c r="J24">
        <v>5998</v>
      </c>
      <c r="K24">
        <v>327</v>
      </c>
      <c r="L24" t="s">
        <v>21</v>
      </c>
      <c r="M24" s="1">
        <v>44722</v>
      </c>
      <c r="N24" t="s">
        <v>67</v>
      </c>
      <c r="O24" t="s">
        <v>31</v>
      </c>
      <c r="P24" t="str">
        <f t="shared" si="4"/>
        <v>P0023</v>
      </c>
      <c r="Q24" t="str">
        <f t="shared" si="0"/>
        <v>Orthopedics</v>
      </c>
      <c r="R24">
        <f t="shared" si="1"/>
        <v>29</v>
      </c>
      <c r="S24" t="str">
        <f t="shared" ca="1" si="5"/>
        <v>No</v>
      </c>
      <c r="T24" t="str">
        <f t="shared" ca="1" si="6"/>
        <v>Mild</v>
      </c>
      <c r="U24" t="str">
        <f t="shared" ca="1" si="7"/>
        <v>Semi-Private</v>
      </c>
      <c r="V24" t="str">
        <f t="shared" si="8"/>
        <v>BED0023</v>
      </c>
      <c r="W24" t="str">
        <f t="shared" ca="1" si="9"/>
        <v>Private</v>
      </c>
      <c r="X24" t="str">
        <f t="shared" si="10"/>
        <v>NUR023</v>
      </c>
      <c r="Y24" t="str">
        <f t="shared" ca="1" si="11"/>
        <v>Evening</v>
      </c>
      <c r="Z24" t="str">
        <f t="shared" ca="1" si="12"/>
        <v>ECG Machine</v>
      </c>
      <c r="AA24" t="str">
        <f t="shared" ca="1" si="13"/>
        <v>Available</v>
      </c>
      <c r="AB24" t="str">
        <f t="shared" ca="1" si="14"/>
        <v>Pending</v>
      </c>
      <c r="AC24" t="str">
        <f t="shared" ca="1" si="15"/>
        <v>Bank Transfer</v>
      </c>
      <c r="AD24" t="str">
        <f t="shared" ca="1" si="16"/>
        <v>No</v>
      </c>
      <c r="AE24" t="str">
        <f t="shared" ca="1" si="17"/>
        <v>Yes</v>
      </c>
      <c r="AF24" t="str">
        <f t="shared" ca="1" si="18"/>
        <v>Recovered</v>
      </c>
      <c r="AG24" t="str">
        <f t="shared" ca="1" si="19"/>
        <v>Southeast</v>
      </c>
      <c r="AH24" t="str">
        <f t="shared" si="2"/>
        <v>May</v>
      </c>
      <c r="AI24">
        <f t="shared" si="3"/>
        <v>2022</v>
      </c>
      <c r="AJ24" t="str">
        <f t="shared" ca="1" si="20"/>
        <v>Occupied</v>
      </c>
      <c r="AK24">
        <f t="shared" ca="1" si="21"/>
        <v>1</v>
      </c>
    </row>
    <row r="25" spans="1:37" x14ac:dyDescent="0.3">
      <c r="A25" t="s">
        <v>4472</v>
      </c>
      <c r="B25">
        <v>59</v>
      </c>
      <c r="C25" t="s">
        <v>15</v>
      </c>
      <c r="D25" t="s">
        <v>24</v>
      </c>
      <c r="E25" t="s">
        <v>48</v>
      </c>
      <c r="F25" s="1">
        <v>44410</v>
      </c>
      <c r="G25" t="s">
        <v>92</v>
      </c>
      <c r="H25" t="s">
        <v>93</v>
      </c>
      <c r="I25" t="s">
        <v>36</v>
      </c>
      <c r="J25">
        <v>25250</v>
      </c>
      <c r="K25">
        <v>119</v>
      </c>
      <c r="L25" t="s">
        <v>21</v>
      </c>
      <c r="M25" s="1">
        <v>44420</v>
      </c>
      <c r="N25" t="s">
        <v>67</v>
      </c>
      <c r="O25" t="s">
        <v>31</v>
      </c>
      <c r="P25" t="str">
        <f t="shared" si="4"/>
        <v>P0024</v>
      </c>
      <c r="Q25" t="str">
        <f t="shared" si="0"/>
        <v>Pulmonology</v>
      </c>
      <c r="R25">
        <f t="shared" si="1"/>
        <v>10</v>
      </c>
      <c r="S25" t="str">
        <f t="shared" ca="1" si="5"/>
        <v>No</v>
      </c>
      <c r="T25" t="str">
        <f t="shared" ca="1" si="6"/>
        <v>Critical</v>
      </c>
      <c r="U25" t="str">
        <f t="shared" ca="1" si="7"/>
        <v>General Ward</v>
      </c>
      <c r="V25" t="str">
        <f t="shared" si="8"/>
        <v>BED0024</v>
      </c>
      <c r="W25" t="str">
        <f t="shared" ca="1" si="9"/>
        <v>General</v>
      </c>
      <c r="X25" t="str">
        <f t="shared" si="10"/>
        <v>NUR024</v>
      </c>
      <c r="Y25" t="str">
        <f t="shared" ca="1" si="11"/>
        <v>Morning</v>
      </c>
      <c r="Z25" t="str">
        <f t="shared" ca="1" si="12"/>
        <v>X-Ray</v>
      </c>
      <c r="AA25" t="str">
        <f t="shared" ca="1" si="13"/>
        <v>Maintenance</v>
      </c>
      <c r="AB25" t="str">
        <f t="shared" ca="1" si="14"/>
        <v>Partially Paid</v>
      </c>
      <c r="AC25" t="str">
        <f t="shared" ca="1" si="15"/>
        <v>Debit Card</v>
      </c>
      <c r="AD25" t="str">
        <f t="shared" ca="1" si="16"/>
        <v>No</v>
      </c>
      <c r="AE25" t="str">
        <f t="shared" ca="1" si="17"/>
        <v>No</v>
      </c>
      <c r="AF25" t="str">
        <f t="shared" ca="1" si="18"/>
        <v>Under Observation</v>
      </c>
      <c r="AG25" t="str">
        <f t="shared" ca="1" si="19"/>
        <v>Southwest</v>
      </c>
      <c r="AH25" t="str">
        <f t="shared" si="2"/>
        <v>August</v>
      </c>
      <c r="AI25">
        <f t="shared" si="3"/>
        <v>2021</v>
      </c>
      <c r="AJ25" t="str">
        <f t="shared" ca="1" si="20"/>
        <v>Vacant</v>
      </c>
      <c r="AK25">
        <f t="shared" ca="1" si="21"/>
        <v>1</v>
      </c>
    </row>
    <row r="26" spans="1:37" x14ac:dyDescent="0.3">
      <c r="A26" t="s">
        <v>4473</v>
      </c>
      <c r="B26">
        <v>72</v>
      </c>
      <c r="C26" t="s">
        <v>32</v>
      </c>
      <c r="D26" t="s">
        <v>44</v>
      </c>
      <c r="E26" t="s">
        <v>64</v>
      </c>
      <c r="F26" s="1">
        <v>43966</v>
      </c>
      <c r="G26" t="s">
        <v>94</v>
      </c>
      <c r="H26" t="s">
        <v>95</v>
      </c>
      <c r="I26" t="s">
        <v>28</v>
      </c>
      <c r="J26">
        <v>33211</v>
      </c>
      <c r="K26">
        <v>109</v>
      </c>
      <c r="L26" t="s">
        <v>29</v>
      </c>
      <c r="M26" s="1">
        <v>43990</v>
      </c>
      <c r="N26" t="s">
        <v>22</v>
      </c>
      <c r="O26" t="s">
        <v>31</v>
      </c>
      <c r="P26" t="str">
        <f t="shared" si="4"/>
        <v>P0025</v>
      </c>
      <c r="Q26" t="str">
        <f t="shared" si="0"/>
        <v>Cardiology</v>
      </c>
      <c r="R26">
        <f t="shared" si="1"/>
        <v>24</v>
      </c>
      <c r="S26" t="str">
        <f t="shared" ca="1" si="5"/>
        <v>No</v>
      </c>
      <c r="T26" t="str">
        <f t="shared" ca="1" si="6"/>
        <v>Severe</v>
      </c>
      <c r="U26" t="str">
        <f t="shared" ca="1" si="7"/>
        <v>Semi-Private</v>
      </c>
      <c r="V26" t="str">
        <f t="shared" si="8"/>
        <v>BED0025</v>
      </c>
      <c r="W26" t="str">
        <f t="shared" ca="1" si="9"/>
        <v>General</v>
      </c>
      <c r="X26" t="str">
        <f t="shared" si="10"/>
        <v>NUR025</v>
      </c>
      <c r="Y26" t="str">
        <f t="shared" ca="1" si="11"/>
        <v>Evening</v>
      </c>
      <c r="Z26" t="str">
        <f t="shared" ca="1" si="12"/>
        <v>Ultrasound</v>
      </c>
      <c r="AA26" t="str">
        <f t="shared" ca="1" si="13"/>
        <v>In Use</v>
      </c>
      <c r="AB26" t="str">
        <f t="shared" ca="1" si="14"/>
        <v>Partially Paid</v>
      </c>
      <c r="AC26" t="str">
        <f t="shared" ca="1" si="15"/>
        <v>Credit Card</v>
      </c>
      <c r="AD26" t="str">
        <f t="shared" ca="1" si="16"/>
        <v>No</v>
      </c>
      <c r="AE26" t="str">
        <f t="shared" ca="1" si="17"/>
        <v>No</v>
      </c>
      <c r="AF26" t="str">
        <f t="shared" ca="1" si="18"/>
        <v>Under Observation</v>
      </c>
      <c r="AG26" t="str">
        <f t="shared" ca="1" si="19"/>
        <v>Midwest</v>
      </c>
      <c r="AH26" t="str">
        <f t="shared" si="2"/>
        <v>May</v>
      </c>
      <c r="AI26">
        <f t="shared" si="3"/>
        <v>2020</v>
      </c>
      <c r="AJ26" t="str">
        <f t="shared" ca="1" si="20"/>
        <v>Occupied</v>
      </c>
      <c r="AK26">
        <f t="shared" ca="1" si="21"/>
        <v>2</v>
      </c>
    </row>
    <row r="27" spans="1:37" x14ac:dyDescent="0.3">
      <c r="A27" t="s">
        <v>4474</v>
      </c>
      <c r="B27">
        <v>73</v>
      </c>
      <c r="C27" t="s">
        <v>15</v>
      </c>
      <c r="D27" t="s">
        <v>44</v>
      </c>
      <c r="E27" t="s">
        <v>25</v>
      </c>
      <c r="F27" s="1">
        <v>43966</v>
      </c>
      <c r="G27" t="s">
        <v>96</v>
      </c>
      <c r="H27" t="s">
        <v>97</v>
      </c>
      <c r="I27" t="s">
        <v>28</v>
      </c>
      <c r="J27">
        <v>19747</v>
      </c>
      <c r="K27">
        <v>162</v>
      </c>
      <c r="L27" t="s">
        <v>21</v>
      </c>
      <c r="M27" s="1">
        <v>43971</v>
      </c>
      <c r="N27" t="s">
        <v>37</v>
      </c>
      <c r="O27" t="s">
        <v>43</v>
      </c>
      <c r="P27" t="str">
        <f t="shared" si="4"/>
        <v>P0026</v>
      </c>
      <c r="Q27" t="str">
        <f t="shared" si="0"/>
        <v>Nutrition</v>
      </c>
      <c r="R27">
        <f t="shared" si="1"/>
        <v>5</v>
      </c>
      <c r="S27" t="str">
        <f t="shared" ca="1" si="5"/>
        <v>No</v>
      </c>
      <c r="T27" t="str">
        <f t="shared" ca="1" si="6"/>
        <v>Critical</v>
      </c>
      <c r="U27" t="str">
        <f t="shared" ca="1" si="7"/>
        <v>ICU</v>
      </c>
      <c r="V27" t="str">
        <f t="shared" si="8"/>
        <v>BED0026</v>
      </c>
      <c r="W27" t="str">
        <f t="shared" ca="1" si="9"/>
        <v>ICU</v>
      </c>
      <c r="X27" t="str">
        <f t="shared" si="10"/>
        <v>NUR026</v>
      </c>
      <c r="Y27" t="str">
        <f t="shared" ca="1" si="11"/>
        <v>Evening</v>
      </c>
      <c r="Z27" t="str">
        <f t="shared" ca="1" si="12"/>
        <v>CT Scanner</v>
      </c>
      <c r="AA27" t="str">
        <f t="shared" ca="1" si="13"/>
        <v>Available</v>
      </c>
      <c r="AB27" t="str">
        <f t="shared" ca="1" si="14"/>
        <v>Paid</v>
      </c>
      <c r="AC27" t="str">
        <f t="shared" ca="1" si="15"/>
        <v>Bank Transfer</v>
      </c>
      <c r="AD27" t="str">
        <f t="shared" ca="1" si="16"/>
        <v>No</v>
      </c>
      <c r="AE27" t="str">
        <f t="shared" ca="1" si="17"/>
        <v>No</v>
      </c>
      <c r="AF27" t="str">
        <f t="shared" ca="1" si="18"/>
        <v>Transferred</v>
      </c>
      <c r="AG27" t="str">
        <f t="shared" ca="1" si="19"/>
        <v>Southeast</v>
      </c>
      <c r="AH27" t="str">
        <f t="shared" si="2"/>
        <v>May</v>
      </c>
      <c r="AI27">
        <f t="shared" si="3"/>
        <v>2020</v>
      </c>
      <c r="AJ27" t="str">
        <f t="shared" ca="1" si="20"/>
        <v>Occupied</v>
      </c>
      <c r="AK27">
        <f t="shared" ca="1" si="21"/>
        <v>1</v>
      </c>
    </row>
    <row r="28" spans="1:37" x14ac:dyDescent="0.3">
      <c r="A28" t="s">
        <v>4475</v>
      </c>
      <c r="B28">
        <v>51</v>
      </c>
      <c r="C28" t="s">
        <v>32</v>
      </c>
      <c r="D28" t="s">
        <v>98</v>
      </c>
      <c r="E28" t="s">
        <v>48</v>
      </c>
      <c r="F28" s="1">
        <v>45283</v>
      </c>
      <c r="G28" t="s">
        <v>99</v>
      </c>
      <c r="H28" t="s">
        <v>100</v>
      </c>
      <c r="I28" t="s">
        <v>20</v>
      </c>
      <c r="J28">
        <v>26787</v>
      </c>
      <c r="K28">
        <v>401</v>
      </c>
      <c r="L28" t="s">
        <v>42</v>
      </c>
      <c r="M28" s="1">
        <v>45310</v>
      </c>
      <c r="N28" t="s">
        <v>30</v>
      </c>
      <c r="O28" t="s">
        <v>23</v>
      </c>
      <c r="P28" t="str">
        <f t="shared" si="4"/>
        <v>P0027</v>
      </c>
      <c r="Q28" t="str">
        <f t="shared" si="0"/>
        <v>Pulmonology</v>
      </c>
      <c r="R28">
        <f t="shared" si="1"/>
        <v>27</v>
      </c>
      <c r="S28" t="str">
        <f t="shared" ca="1" si="5"/>
        <v>No</v>
      </c>
      <c r="T28" t="str">
        <f t="shared" ca="1" si="6"/>
        <v>Mild</v>
      </c>
      <c r="U28" t="str">
        <f t="shared" ca="1" si="7"/>
        <v>General Ward</v>
      </c>
      <c r="V28" t="str">
        <f t="shared" si="8"/>
        <v>BED0027</v>
      </c>
      <c r="W28" t="str">
        <f t="shared" ca="1" si="9"/>
        <v>ICU</v>
      </c>
      <c r="X28" t="str">
        <f t="shared" si="10"/>
        <v>NUR027</v>
      </c>
      <c r="Y28" t="str">
        <f t="shared" ca="1" si="11"/>
        <v>Night</v>
      </c>
      <c r="Z28" t="str">
        <f t="shared" ca="1" si="12"/>
        <v>CT Scanner</v>
      </c>
      <c r="AA28" t="str">
        <f t="shared" ca="1" si="13"/>
        <v>Available</v>
      </c>
      <c r="AB28" t="str">
        <f t="shared" ca="1" si="14"/>
        <v>Partially Paid</v>
      </c>
      <c r="AC28" t="str">
        <f t="shared" ca="1" si="15"/>
        <v>Cash</v>
      </c>
      <c r="AD28" t="str">
        <f t="shared" ca="1" si="16"/>
        <v>No</v>
      </c>
      <c r="AE28" t="str">
        <f t="shared" ca="1" si="17"/>
        <v>Yes</v>
      </c>
      <c r="AF28" t="str">
        <f t="shared" ca="1" si="18"/>
        <v>Recovered</v>
      </c>
      <c r="AG28" t="str">
        <f t="shared" ca="1" si="19"/>
        <v>Southwest</v>
      </c>
      <c r="AH28" t="str">
        <f t="shared" si="2"/>
        <v>December</v>
      </c>
      <c r="AI28">
        <f t="shared" si="3"/>
        <v>2023</v>
      </c>
      <c r="AJ28" t="str">
        <f t="shared" ca="1" si="20"/>
        <v>Occupied</v>
      </c>
      <c r="AK28">
        <f t="shared" ca="1" si="21"/>
        <v>4</v>
      </c>
    </row>
    <row r="29" spans="1:37" x14ac:dyDescent="0.3">
      <c r="A29" t="s">
        <v>4476</v>
      </c>
      <c r="B29">
        <v>34</v>
      </c>
      <c r="C29" t="s">
        <v>32</v>
      </c>
      <c r="D29" t="s">
        <v>24</v>
      </c>
      <c r="E29" t="s">
        <v>39</v>
      </c>
      <c r="F29" s="1">
        <v>44733</v>
      </c>
      <c r="G29" t="s">
        <v>101</v>
      </c>
      <c r="H29" t="s">
        <v>102</v>
      </c>
      <c r="I29" t="s">
        <v>51</v>
      </c>
      <c r="J29">
        <v>18835</v>
      </c>
      <c r="K29">
        <v>157</v>
      </c>
      <c r="L29" t="s">
        <v>29</v>
      </c>
      <c r="M29" s="1">
        <v>44742</v>
      </c>
      <c r="N29" t="s">
        <v>67</v>
      </c>
      <c r="O29" t="s">
        <v>43</v>
      </c>
      <c r="P29" t="str">
        <f t="shared" si="4"/>
        <v>P0028</v>
      </c>
      <c r="Q29" t="str">
        <f t="shared" si="0"/>
        <v>Endocrinology</v>
      </c>
      <c r="R29">
        <f t="shared" si="1"/>
        <v>9</v>
      </c>
      <c r="S29" t="str">
        <f t="shared" ca="1" si="5"/>
        <v>No</v>
      </c>
      <c r="T29" t="str">
        <f t="shared" ca="1" si="6"/>
        <v>Mild</v>
      </c>
      <c r="U29" t="str">
        <f t="shared" ca="1" si="7"/>
        <v>ICU</v>
      </c>
      <c r="V29" t="str">
        <f t="shared" si="8"/>
        <v>BED0028</v>
      </c>
      <c r="W29" t="str">
        <f t="shared" ca="1" si="9"/>
        <v>ICU</v>
      </c>
      <c r="X29" t="str">
        <f t="shared" si="10"/>
        <v>NUR028</v>
      </c>
      <c r="Y29" t="str">
        <f t="shared" ca="1" si="11"/>
        <v>Morning</v>
      </c>
      <c r="Z29" t="str">
        <f t="shared" ca="1" si="12"/>
        <v>X-Ray</v>
      </c>
      <c r="AA29" t="str">
        <f t="shared" ca="1" si="13"/>
        <v>In Use</v>
      </c>
      <c r="AB29" t="str">
        <f t="shared" ca="1" si="14"/>
        <v>Partially Paid</v>
      </c>
      <c r="AC29" t="str">
        <f t="shared" ca="1" si="15"/>
        <v>Bank Transfer</v>
      </c>
      <c r="AD29" t="str">
        <f t="shared" ca="1" si="16"/>
        <v>No</v>
      </c>
      <c r="AE29" t="str">
        <f t="shared" ca="1" si="17"/>
        <v>No</v>
      </c>
      <c r="AF29" t="str">
        <f t="shared" ca="1" si="18"/>
        <v>Recovered</v>
      </c>
      <c r="AG29" t="str">
        <f t="shared" ca="1" si="19"/>
        <v>Southeast</v>
      </c>
      <c r="AH29" t="str">
        <f t="shared" si="2"/>
        <v>June</v>
      </c>
      <c r="AI29">
        <f t="shared" si="3"/>
        <v>2022</v>
      </c>
      <c r="AJ29" t="str">
        <f t="shared" ca="1" si="20"/>
        <v>Occupied</v>
      </c>
      <c r="AK29">
        <f t="shared" ca="1" si="21"/>
        <v>1</v>
      </c>
    </row>
    <row r="30" spans="1:37" x14ac:dyDescent="0.3">
      <c r="A30" t="s">
        <v>4477</v>
      </c>
      <c r="B30">
        <v>38</v>
      </c>
      <c r="C30" t="s">
        <v>32</v>
      </c>
      <c r="D30" t="s">
        <v>98</v>
      </c>
      <c r="E30" t="s">
        <v>64</v>
      </c>
      <c r="F30" s="1">
        <v>44199</v>
      </c>
      <c r="G30" t="s">
        <v>103</v>
      </c>
      <c r="H30" t="s">
        <v>104</v>
      </c>
      <c r="I30" t="s">
        <v>57</v>
      </c>
      <c r="J30">
        <v>32643</v>
      </c>
      <c r="K30">
        <v>223</v>
      </c>
      <c r="L30" t="s">
        <v>29</v>
      </c>
      <c r="M30" s="1">
        <v>44212</v>
      </c>
      <c r="N30" t="s">
        <v>47</v>
      </c>
      <c r="O30" t="s">
        <v>23</v>
      </c>
      <c r="P30" t="str">
        <f t="shared" si="4"/>
        <v>P0029</v>
      </c>
      <c r="Q30" t="str">
        <f t="shared" si="0"/>
        <v>Cardiology</v>
      </c>
      <c r="R30">
        <f t="shared" si="1"/>
        <v>13</v>
      </c>
      <c r="S30" t="str">
        <f t="shared" ca="1" si="5"/>
        <v>No</v>
      </c>
      <c r="T30" t="str">
        <f t="shared" ca="1" si="6"/>
        <v>Severe</v>
      </c>
      <c r="U30" t="str">
        <f t="shared" ca="1" si="7"/>
        <v>Emergency</v>
      </c>
      <c r="V30" t="str">
        <f t="shared" si="8"/>
        <v>BED0029</v>
      </c>
      <c r="W30" t="str">
        <f t="shared" ca="1" si="9"/>
        <v>Private</v>
      </c>
      <c r="X30" t="str">
        <f t="shared" si="10"/>
        <v>NUR029</v>
      </c>
      <c r="Y30" t="str">
        <f t="shared" ca="1" si="11"/>
        <v>Morning</v>
      </c>
      <c r="Z30" t="str">
        <f t="shared" ca="1" si="12"/>
        <v>X-Ray</v>
      </c>
      <c r="AA30" t="str">
        <f t="shared" ca="1" si="13"/>
        <v>In Use</v>
      </c>
      <c r="AB30" t="str">
        <f t="shared" ca="1" si="14"/>
        <v>Pending</v>
      </c>
      <c r="AC30" t="str">
        <f t="shared" ca="1" si="15"/>
        <v>Bank Transfer</v>
      </c>
      <c r="AD30" t="str">
        <f t="shared" ca="1" si="16"/>
        <v>No</v>
      </c>
      <c r="AE30" t="str">
        <f t="shared" ca="1" si="17"/>
        <v>No</v>
      </c>
      <c r="AF30" t="str">
        <f t="shared" ca="1" si="18"/>
        <v>Recovered</v>
      </c>
      <c r="AG30" t="str">
        <f t="shared" ca="1" si="19"/>
        <v>Northeast</v>
      </c>
      <c r="AH30" t="str">
        <f t="shared" si="2"/>
        <v>January</v>
      </c>
      <c r="AI30">
        <f t="shared" si="3"/>
        <v>2021</v>
      </c>
      <c r="AJ30" t="str">
        <f t="shared" ca="1" si="20"/>
        <v>Occupied</v>
      </c>
      <c r="AK30">
        <f t="shared" ca="1" si="21"/>
        <v>2</v>
      </c>
    </row>
    <row r="31" spans="1:37" x14ac:dyDescent="0.3">
      <c r="A31" t="s">
        <v>4478</v>
      </c>
      <c r="B31">
        <v>63</v>
      </c>
      <c r="C31" t="s">
        <v>32</v>
      </c>
      <c r="D31" t="s">
        <v>83</v>
      </c>
      <c r="E31" t="s">
        <v>64</v>
      </c>
      <c r="F31" s="1">
        <v>45202</v>
      </c>
      <c r="G31" t="s">
        <v>105</v>
      </c>
      <c r="H31" t="s">
        <v>106</v>
      </c>
      <c r="I31" t="s">
        <v>36</v>
      </c>
      <c r="J31">
        <v>5767</v>
      </c>
      <c r="K31">
        <v>293</v>
      </c>
      <c r="L31" t="s">
        <v>42</v>
      </c>
      <c r="M31" s="1">
        <v>45211</v>
      </c>
      <c r="N31" t="s">
        <v>22</v>
      </c>
      <c r="O31" t="s">
        <v>43</v>
      </c>
      <c r="P31" t="str">
        <f t="shared" si="4"/>
        <v>P0030</v>
      </c>
      <c r="Q31" t="str">
        <f t="shared" si="0"/>
        <v>Cardiology</v>
      </c>
      <c r="R31">
        <f t="shared" si="1"/>
        <v>9</v>
      </c>
      <c r="S31" t="str">
        <f t="shared" ca="1" si="5"/>
        <v>No</v>
      </c>
      <c r="T31" t="str">
        <f t="shared" ca="1" si="6"/>
        <v>Moderate</v>
      </c>
      <c r="U31" t="str">
        <f t="shared" ca="1" si="7"/>
        <v>ICU</v>
      </c>
      <c r="V31" t="str">
        <f t="shared" si="8"/>
        <v>BED0030</v>
      </c>
      <c r="W31" t="str">
        <f t="shared" ca="1" si="9"/>
        <v>Private</v>
      </c>
      <c r="X31" t="str">
        <f t="shared" si="10"/>
        <v>NUR030</v>
      </c>
      <c r="Y31" t="str">
        <f t="shared" ca="1" si="11"/>
        <v>Morning</v>
      </c>
      <c r="Z31" t="str">
        <f t="shared" ca="1" si="12"/>
        <v>Ultrasound</v>
      </c>
      <c r="AA31" t="str">
        <f t="shared" ca="1" si="13"/>
        <v>Available</v>
      </c>
      <c r="AB31" t="str">
        <f t="shared" ca="1" si="14"/>
        <v>Partially Paid</v>
      </c>
      <c r="AC31" t="str">
        <f t="shared" ca="1" si="15"/>
        <v>Insurance</v>
      </c>
      <c r="AD31" t="str">
        <f t="shared" ca="1" si="16"/>
        <v>No</v>
      </c>
      <c r="AE31" t="str">
        <f t="shared" ca="1" si="17"/>
        <v>No</v>
      </c>
      <c r="AF31" t="str">
        <f t="shared" ca="1" si="18"/>
        <v>Transferred</v>
      </c>
      <c r="AG31" t="str">
        <f t="shared" ca="1" si="19"/>
        <v>West Coast</v>
      </c>
      <c r="AH31" t="str">
        <f t="shared" si="2"/>
        <v>October</v>
      </c>
      <c r="AI31">
        <f t="shared" si="3"/>
        <v>2023</v>
      </c>
      <c r="AJ31" t="str">
        <f t="shared" ca="1" si="20"/>
        <v>Occupied</v>
      </c>
      <c r="AK31">
        <f t="shared" ca="1" si="21"/>
        <v>4</v>
      </c>
    </row>
    <row r="32" spans="1:37" x14ac:dyDescent="0.3">
      <c r="A32" t="s">
        <v>4479</v>
      </c>
      <c r="B32">
        <v>34</v>
      </c>
      <c r="C32" t="s">
        <v>15</v>
      </c>
      <c r="D32" t="s">
        <v>16</v>
      </c>
      <c r="E32" t="s">
        <v>48</v>
      </c>
      <c r="F32" s="1">
        <v>43695</v>
      </c>
      <c r="G32" t="s">
        <v>107</v>
      </c>
      <c r="H32" t="s">
        <v>108</v>
      </c>
      <c r="I32" t="s">
        <v>57</v>
      </c>
      <c r="J32">
        <v>47909</v>
      </c>
      <c r="K32">
        <v>371</v>
      </c>
      <c r="L32" t="s">
        <v>21</v>
      </c>
      <c r="M32" s="1">
        <v>43709</v>
      </c>
      <c r="N32" t="s">
        <v>30</v>
      </c>
      <c r="O32" t="s">
        <v>31</v>
      </c>
      <c r="P32" t="str">
        <f t="shared" si="4"/>
        <v>P0031</v>
      </c>
      <c r="Q32" t="str">
        <f t="shared" si="0"/>
        <v>Pulmonology</v>
      </c>
      <c r="R32">
        <f t="shared" si="1"/>
        <v>14</v>
      </c>
      <c r="S32" t="str">
        <f t="shared" ca="1" si="5"/>
        <v>No</v>
      </c>
      <c r="T32" t="str">
        <f t="shared" ca="1" si="6"/>
        <v>Critical</v>
      </c>
      <c r="U32" t="str">
        <f t="shared" ca="1" si="7"/>
        <v>Private Ward</v>
      </c>
      <c r="V32" t="str">
        <f t="shared" si="8"/>
        <v>BED0031</v>
      </c>
      <c r="W32" t="str">
        <f t="shared" ca="1" si="9"/>
        <v>Semi-Private</v>
      </c>
      <c r="X32" t="str">
        <f t="shared" si="10"/>
        <v>NUR031</v>
      </c>
      <c r="Y32" t="str">
        <f t="shared" ca="1" si="11"/>
        <v>Evening</v>
      </c>
      <c r="Z32" t="str">
        <f t="shared" ca="1" si="12"/>
        <v>Ultrasound</v>
      </c>
      <c r="AA32" t="str">
        <f t="shared" ca="1" si="13"/>
        <v>Available</v>
      </c>
      <c r="AB32" t="str">
        <f t="shared" ca="1" si="14"/>
        <v>Pending</v>
      </c>
      <c r="AC32" t="str">
        <f t="shared" ca="1" si="15"/>
        <v>Debit Card</v>
      </c>
      <c r="AD32" t="str">
        <f t="shared" ca="1" si="16"/>
        <v>No</v>
      </c>
      <c r="AE32" t="str">
        <f t="shared" ca="1" si="17"/>
        <v>No</v>
      </c>
      <c r="AF32" t="str">
        <f t="shared" ca="1" si="18"/>
        <v>Under Observation</v>
      </c>
      <c r="AG32" t="str">
        <f t="shared" ca="1" si="19"/>
        <v>Southwest</v>
      </c>
      <c r="AH32" t="str">
        <f t="shared" si="2"/>
        <v>August</v>
      </c>
      <c r="AI32">
        <f t="shared" si="3"/>
        <v>2019</v>
      </c>
      <c r="AJ32" t="str">
        <f t="shared" ca="1" si="20"/>
        <v>Occupied</v>
      </c>
      <c r="AK32">
        <f t="shared" ca="1" si="21"/>
        <v>4</v>
      </c>
    </row>
    <row r="33" spans="1:37" x14ac:dyDescent="0.3">
      <c r="A33" t="s">
        <v>4480</v>
      </c>
      <c r="B33">
        <v>23</v>
      </c>
      <c r="C33" t="s">
        <v>32</v>
      </c>
      <c r="D33" t="s">
        <v>24</v>
      </c>
      <c r="E33" t="s">
        <v>76</v>
      </c>
      <c r="F33" s="1">
        <v>43772</v>
      </c>
      <c r="G33" t="s">
        <v>109</v>
      </c>
      <c r="H33" t="s">
        <v>110</v>
      </c>
      <c r="I33" t="s">
        <v>51</v>
      </c>
      <c r="J33">
        <v>25835</v>
      </c>
      <c r="K33">
        <v>108</v>
      </c>
      <c r="L33" t="s">
        <v>21</v>
      </c>
      <c r="M33" s="1">
        <v>43798</v>
      </c>
      <c r="N33" t="s">
        <v>47</v>
      </c>
      <c r="O33" t="s">
        <v>43</v>
      </c>
      <c r="P33" t="str">
        <f t="shared" si="4"/>
        <v>P0032</v>
      </c>
      <c r="Q33" t="str">
        <f t="shared" si="0"/>
        <v>Orthopedics</v>
      </c>
      <c r="R33">
        <f t="shared" si="1"/>
        <v>26</v>
      </c>
      <c r="S33" t="str">
        <f t="shared" ca="1" si="5"/>
        <v>Yes</v>
      </c>
      <c r="T33" t="str">
        <f t="shared" ca="1" si="6"/>
        <v>Mild</v>
      </c>
      <c r="U33" t="str">
        <f t="shared" ca="1" si="7"/>
        <v>Semi-Private</v>
      </c>
      <c r="V33" t="str">
        <f t="shared" si="8"/>
        <v>BED0032</v>
      </c>
      <c r="W33" t="str">
        <f t="shared" ca="1" si="9"/>
        <v>Private</v>
      </c>
      <c r="X33" t="str">
        <f t="shared" si="10"/>
        <v>NUR032</v>
      </c>
      <c r="Y33" t="str">
        <f t="shared" ca="1" si="11"/>
        <v>Morning</v>
      </c>
      <c r="Z33" t="str">
        <f t="shared" ca="1" si="12"/>
        <v>Ventilator</v>
      </c>
      <c r="AA33" t="str">
        <f t="shared" ca="1" si="13"/>
        <v>Maintenance</v>
      </c>
      <c r="AB33" t="str">
        <f t="shared" ca="1" si="14"/>
        <v>Partially Paid</v>
      </c>
      <c r="AC33" t="str">
        <f t="shared" ca="1" si="15"/>
        <v>Debit Card</v>
      </c>
      <c r="AD33" t="str">
        <f t="shared" ca="1" si="16"/>
        <v>No</v>
      </c>
      <c r="AE33" t="str">
        <f t="shared" ca="1" si="17"/>
        <v>Yes</v>
      </c>
      <c r="AF33" t="str">
        <f t="shared" ca="1" si="18"/>
        <v>Under Observation</v>
      </c>
      <c r="AG33" t="str">
        <f t="shared" ca="1" si="19"/>
        <v>Southeast</v>
      </c>
      <c r="AH33" t="str">
        <f t="shared" si="2"/>
        <v>November</v>
      </c>
      <c r="AI33">
        <f t="shared" si="3"/>
        <v>2019</v>
      </c>
      <c r="AJ33" t="str">
        <f t="shared" ca="1" si="20"/>
        <v>Vacant</v>
      </c>
      <c r="AK33">
        <f t="shared" ca="1" si="21"/>
        <v>2</v>
      </c>
    </row>
    <row r="34" spans="1:37" x14ac:dyDescent="0.3">
      <c r="A34" t="s">
        <v>4481</v>
      </c>
      <c r="B34">
        <v>78</v>
      </c>
      <c r="C34" t="s">
        <v>15</v>
      </c>
      <c r="D34" t="s">
        <v>52</v>
      </c>
      <c r="E34" t="s">
        <v>76</v>
      </c>
      <c r="F34" s="1">
        <v>45064</v>
      </c>
      <c r="G34" t="s">
        <v>111</v>
      </c>
      <c r="H34" t="s">
        <v>112</v>
      </c>
      <c r="I34" t="s">
        <v>28</v>
      </c>
      <c r="J34">
        <v>17993</v>
      </c>
      <c r="K34">
        <v>245</v>
      </c>
      <c r="L34" t="s">
        <v>42</v>
      </c>
      <c r="M34" s="1">
        <v>45092</v>
      </c>
      <c r="N34" t="s">
        <v>47</v>
      </c>
      <c r="O34" t="s">
        <v>23</v>
      </c>
      <c r="P34" t="str">
        <f t="shared" si="4"/>
        <v>P0033</v>
      </c>
      <c r="Q34" t="str">
        <f t="shared" si="0"/>
        <v>Orthopedics</v>
      </c>
      <c r="R34">
        <f t="shared" si="1"/>
        <v>28</v>
      </c>
      <c r="S34" t="str">
        <f t="shared" ca="1" si="5"/>
        <v>No</v>
      </c>
      <c r="T34" t="str">
        <f t="shared" ca="1" si="6"/>
        <v>Severe</v>
      </c>
      <c r="U34" t="str">
        <f t="shared" ca="1" si="7"/>
        <v>Semi-Private</v>
      </c>
      <c r="V34" t="str">
        <f t="shared" si="8"/>
        <v>BED0033</v>
      </c>
      <c r="W34" t="str">
        <f t="shared" ca="1" si="9"/>
        <v>Private</v>
      </c>
      <c r="X34" t="str">
        <f t="shared" si="10"/>
        <v>NUR033</v>
      </c>
      <c r="Y34" t="str">
        <f t="shared" ca="1" si="11"/>
        <v>Night</v>
      </c>
      <c r="Z34" t="str">
        <f t="shared" ca="1" si="12"/>
        <v>Ultrasound</v>
      </c>
      <c r="AA34" t="str">
        <f t="shared" ca="1" si="13"/>
        <v>Maintenance</v>
      </c>
      <c r="AB34" t="str">
        <f t="shared" ca="1" si="14"/>
        <v>Pending</v>
      </c>
      <c r="AC34" t="str">
        <f t="shared" ca="1" si="15"/>
        <v>Cash</v>
      </c>
      <c r="AD34" t="str">
        <f t="shared" ca="1" si="16"/>
        <v>No</v>
      </c>
      <c r="AE34" t="str">
        <f t="shared" ca="1" si="17"/>
        <v>Yes</v>
      </c>
      <c r="AF34" t="str">
        <f t="shared" ca="1" si="18"/>
        <v>Under Observation</v>
      </c>
      <c r="AG34" t="str">
        <f t="shared" ca="1" si="19"/>
        <v>Northeast</v>
      </c>
      <c r="AH34" t="str">
        <f t="shared" si="2"/>
        <v>May</v>
      </c>
      <c r="AI34">
        <f t="shared" si="3"/>
        <v>2023</v>
      </c>
      <c r="AJ34" t="str">
        <f t="shared" ca="1" si="20"/>
        <v>Occupied</v>
      </c>
      <c r="AK34">
        <f t="shared" ca="1" si="21"/>
        <v>4</v>
      </c>
    </row>
    <row r="35" spans="1:37" x14ac:dyDescent="0.3">
      <c r="A35" t="s">
        <v>4482</v>
      </c>
      <c r="B35">
        <v>43</v>
      </c>
      <c r="C35" t="s">
        <v>15</v>
      </c>
      <c r="D35" t="s">
        <v>52</v>
      </c>
      <c r="E35" t="s">
        <v>17</v>
      </c>
      <c r="F35" s="1">
        <v>45070</v>
      </c>
      <c r="G35" t="s">
        <v>113</v>
      </c>
      <c r="H35" t="s">
        <v>114</v>
      </c>
      <c r="I35" t="s">
        <v>28</v>
      </c>
      <c r="J35">
        <v>21186</v>
      </c>
      <c r="K35">
        <v>494</v>
      </c>
      <c r="L35" t="s">
        <v>42</v>
      </c>
      <c r="M35" s="1">
        <v>45080</v>
      </c>
      <c r="N35" t="s">
        <v>30</v>
      </c>
      <c r="O35" t="s">
        <v>23</v>
      </c>
      <c r="P35" t="str">
        <f t="shared" si="4"/>
        <v>P0034</v>
      </c>
      <c r="Q35" t="str">
        <f t="shared" si="0"/>
        <v>Oncology</v>
      </c>
      <c r="R35">
        <f t="shared" si="1"/>
        <v>10</v>
      </c>
      <c r="S35" t="str">
        <f t="shared" ca="1" si="5"/>
        <v>No</v>
      </c>
      <c r="T35" t="str">
        <f t="shared" ca="1" si="6"/>
        <v>Moderate</v>
      </c>
      <c r="U35" t="str">
        <f t="shared" ca="1" si="7"/>
        <v>Semi-Private</v>
      </c>
      <c r="V35" t="str">
        <f t="shared" si="8"/>
        <v>BED0034</v>
      </c>
      <c r="W35" t="str">
        <f t="shared" ca="1" si="9"/>
        <v>General</v>
      </c>
      <c r="X35" t="str">
        <f t="shared" si="10"/>
        <v>NUR034</v>
      </c>
      <c r="Y35" t="str">
        <f t="shared" ca="1" si="11"/>
        <v>Morning</v>
      </c>
      <c r="Z35" t="str">
        <f t="shared" ca="1" si="12"/>
        <v>Ventilator</v>
      </c>
      <c r="AA35" t="str">
        <f t="shared" ca="1" si="13"/>
        <v>Maintenance</v>
      </c>
      <c r="AB35" t="str">
        <f t="shared" ca="1" si="14"/>
        <v>Partially Paid</v>
      </c>
      <c r="AC35" t="str">
        <f t="shared" ca="1" si="15"/>
        <v>Debit Card</v>
      </c>
      <c r="AD35" t="str">
        <f t="shared" ca="1" si="16"/>
        <v>Yes</v>
      </c>
      <c r="AE35" t="str">
        <f t="shared" ca="1" si="17"/>
        <v>No</v>
      </c>
      <c r="AF35" t="str">
        <f t="shared" ca="1" si="18"/>
        <v>Recovered</v>
      </c>
      <c r="AG35" t="str">
        <f t="shared" ca="1" si="19"/>
        <v>Northeast</v>
      </c>
      <c r="AH35" t="str">
        <f t="shared" si="2"/>
        <v>May</v>
      </c>
      <c r="AI35">
        <f t="shared" si="3"/>
        <v>2023</v>
      </c>
      <c r="AJ35" t="str">
        <f t="shared" ca="1" si="20"/>
        <v>Occupied</v>
      </c>
      <c r="AK35">
        <f t="shared" ca="1" si="21"/>
        <v>4</v>
      </c>
    </row>
    <row r="36" spans="1:37" x14ac:dyDescent="0.3">
      <c r="A36" t="s">
        <v>4483</v>
      </c>
      <c r="B36">
        <v>30</v>
      </c>
      <c r="C36" t="s">
        <v>32</v>
      </c>
      <c r="D36" t="s">
        <v>44</v>
      </c>
      <c r="E36" t="s">
        <v>39</v>
      </c>
      <c r="F36" s="1">
        <v>43847</v>
      </c>
      <c r="G36" t="s">
        <v>115</v>
      </c>
      <c r="H36" t="s">
        <v>116</v>
      </c>
      <c r="I36" t="s">
        <v>20</v>
      </c>
      <c r="J36">
        <v>8409</v>
      </c>
      <c r="K36">
        <v>285</v>
      </c>
      <c r="L36" t="s">
        <v>29</v>
      </c>
      <c r="M36" s="1">
        <v>43871</v>
      </c>
      <c r="N36" t="s">
        <v>67</v>
      </c>
      <c r="O36" t="s">
        <v>23</v>
      </c>
      <c r="P36" t="str">
        <f t="shared" si="4"/>
        <v>P0035</v>
      </c>
      <c r="Q36" t="str">
        <f t="shared" si="0"/>
        <v>Endocrinology</v>
      </c>
      <c r="R36">
        <f t="shared" si="1"/>
        <v>24</v>
      </c>
      <c r="S36" t="str">
        <f t="shared" ca="1" si="5"/>
        <v>Yes</v>
      </c>
      <c r="T36" t="str">
        <f t="shared" ca="1" si="6"/>
        <v>Mild</v>
      </c>
      <c r="U36" t="str">
        <f t="shared" ca="1" si="7"/>
        <v>ICU</v>
      </c>
      <c r="V36" t="str">
        <f t="shared" si="8"/>
        <v>BED0035</v>
      </c>
      <c r="W36" t="str">
        <f t="shared" ca="1" si="9"/>
        <v>General</v>
      </c>
      <c r="X36" t="str">
        <f t="shared" si="10"/>
        <v>NUR035</v>
      </c>
      <c r="Y36" t="str">
        <f t="shared" ca="1" si="11"/>
        <v>Morning</v>
      </c>
      <c r="Z36" t="str">
        <f t="shared" ca="1" si="12"/>
        <v>MRI Scanner</v>
      </c>
      <c r="AA36" t="str">
        <f t="shared" ca="1" si="13"/>
        <v>Maintenance</v>
      </c>
      <c r="AB36" t="str">
        <f t="shared" ca="1" si="14"/>
        <v>Partially Paid</v>
      </c>
      <c r="AC36" t="str">
        <f t="shared" ca="1" si="15"/>
        <v>Cash</v>
      </c>
      <c r="AD36" t="str">
        <f t="shared" ca="1" si="16"/>
        <v>No</v>
      </c>
      <c r="AE36" t="str">
        <f t="shared" ca="1" si="17"/>
        <v>No</v>
      </c>
      <c r="AF36" t="str">
        <f t="shared" ca="1" si="18"/>
        <v>Transferred</v>
      </c>
      <c r="AG36" t="str">
        <f t="shared" ca="1" si="19"/>
        <v>West Coast</v>
      </c>
      <c r="AH36" t="str">
        <f t="shared" si="2"/>
        <v>January</v>
      </c>
      <c r="AI36">
        <f t="shared" si="3"/>
        <v>2020</v>
      </c>
      <c r="AJ36" t="str">
        <f t="shared" ca="1" si="20"/>
        <v>Occupied</v>
      </c>
      <c r="AK36">
        <f t="shared" ca="1" si="21"/>
        <v>2</v>
      </c>
    </row>
    <row r="37" spans="1:37" x14ac:dyDescent="0.3">
      <c r="A37" t="s">
        <v>4484</v>
      </c>
      <c r="B37">
        <v>25</v>
      </c>
      <c r="C37" t="s">
        <v>32</v>
      </c>
      <c r="D37" t="s">
        <v>44</v>
      </c>
      <c r="E37" t="s">
        <v>48</v>
      </c>
      <c r="F37" s="1">
        <v>44203</v>
      </c>
      <c r="G37" t="s">
        <v>117</v>
      </c>
      <c r="H37" t="s">
        <v>118</v>
      </c>
      <c r="I37" t="s">
        <v>28</v>
      </c>
      <c r="J37">
        <v>45453</v>
      </c>
      <c r="K37">
        <v>228</v>
      </c>
      <c r="L37" t="s">
        <v>42</v>
      </c>
      <c r="M37" s="1">
        <v>44222</v>
      </c>
      <c r="N37" t="s">
        <v>67</v>
      </c>
      <c r="O37" t="s">
        <v>43</v>
      </c>
      <c r="P37" t="str">
        <f t="shared" si="4"/>
        <v>P0036</v>
      </c>
      <c r="Q37" t="str">
        <f t="shared" si="0"/>
        <v>Pulmonology</v>
      </c>
      <c r="R37">
        <f t="shared" si="1"/>
        <v>19</v>
      </c>
      <c r="S37" t="str">
        <f t="shared" ca="1" si="5"/>
        <v>No</v>
      </c>
      <c r="T37" t="str">
        <f t="shared" ca="1" si="6"/>
        <v>Critical</v>
      </c>
      <c r="U37" t="str">
        <f t="shared" ca="1" si="7"/>
        <v>Semi-Private</v>
      </c>
      <c r="V37" t="str">
        <f t="shared" si="8"/>
        <v>BED0036</v>
      </c>
      <c r="W37" t="str">
        <f t="shared" ca="1" si="9"/>
        <v>Semi-Private</v>
      </c>
      <c r="X37" t="str">
        <f t="shared" si="10"/>
        <v>NUR036</v>
      </c>
      <c r="Y37" t="str">
        <f t="shared" ca="1" si="11"/>
        <v>Morning</v>
      </c>
      <c r="Z37" t="str">
        <f t="shared" ca="1" si="12"/>
        <v>ECG Machine</v>
      </c>
      <c r="AA37" t="str">
        <f t="shared" ca="1" si="13"/>
        <v>Maintenance</v>
      </c>
      <c r="AB37" t="str">
        <f t="shared" ca="1" si="14"/>
        <v>Paid</v>
      </c>
      <c r="AC37" t="str">
        <f t="shared" ca="1" si="15"/>
        <v>Cash</v>
      </c>
      <c r="AD37" t="str">
        <f t="shared" ca="1" si="16"/>
        <v>No</v>
      </c>
      <c r="AE37" t="str">
        <f t="shared" ca="1" si="17"/>
        <v>No</v>
      </c>
      <c r="AF37" t="str">
        <f t="shared" ca="1" si="18"/>
        <v>Under Observation</v>
      </c>
      <c r="AG37" t="str">
        <f t="shared" ca="1" si="19"/>
        <v>Midwest</v>
      </c>
      <c r="AH37" t="str">
        <f t="shared" si="2"/>
        <v>January</v>
      </c>
      <c r="AI37">
        <f t="shared" si="3"/>
        <v>2021</v>
      </c>
      <c r="AJ37" t="str">
        <f t="shared" ca="1" si="20"/>
        <v>Occupied</v>
      </c>
      <c r="AK37">
        <f t="shared" ca="1" si="21"/>
        <v>1</v>
      </c>
    </row>
    <row r="38" spans="1:37" x14ac:dyDescent="0.3">
      <c r="A38" t="s">
        <v>4485</v>
      </c>
      <c r="B38">
        <v>33</v>
      </c>
      <c r="C38" t="s">
        <v>15</v>
      </c>
      <c r="D38" t="s">
        <v>44</v>
      </c>
      <c r="E38" t="s">
        <v>39</v>
      </c>
      <c r="F38" s="1">
        <v>43752</v>
      </c>
      <c r="G38" t="s">
        <v>119</v>
      </c>
      <c r="H38" t="s">
        <v>120</v>
      </c>
      <c r="I38" t="s">
        <v>36</v>
      </c>
      <c r="J38">
        <v>4398</v>
      </c>
      <c r="K38">
        <v>481</v>
      </c>
      <c r="L38" t="s">
        <v>21</v>
      </c>
      <c r="M38" s="1">
        <v>43757</v>
      </c>
      <c r="N38" t="s">
        <v>22</v>
      </c>
      <c r="O38" t="s">
        <v>31</v>
      </c>
      <c r="P38" t="str">
        <f t="shared" si="4"/>
        <v>P0037</v>
      </c>
      <c r="Q38" t="str">
        <f t="shared" si="0"/>
        <v>Endocrinology</v>
      </c>
      <c r="R38">
        <f t="shared" si="1"/>
        <v>5</v>
      </c>
      <c r="S38" t="str">
        <f t="shared" ca="1" si="5"/>
        <v>No</v>
      </c>
      <c r="T38" t="str">
        <f t="shared" ca="1" si="6"/>
        <v>Severe</v>
      </c>
      <c r="U38" t="str">
        <f t="shared" ca="1" si="7"/>
        <v>Semi-Private</v>
      </c>
      <c r="V38" t="str">
        <f t="shared" si="8"/>
        <v>BED0037</v>
      </c>
      <c r="W38" t="str">
        <f t="shared" ca="1" si="9"/>
        <v>Private</v>
      </c>
      <c r="X38" t="str">
        <f t="shared" si="10"/>
        <v>NUR037</v>
      </c>
      <c r="Y38" t="str">
        <f t="shared" ca="1" si="11"/>
        <v>Morning</v>
      </c>
      <c r="Z38" t="str">
        <f t="shared" ca="1" si="12"/>
        <v>ECG Machine</v>
      </c>
      <c r="AA38" t="str">
        <f t="shared" ca="1" si="13"/>
        <v>Available</v>
      </c>
      <c r="AB38" t="str">
        <f t="shared" ca="1" si="14"/>
        <v>Pending</v>
      </c>
      <c r="AC38" t="str">
        <f t="shared" ca="1" si="15"/>
        <v>Insurance</v>
      </c>
      <c r="AD38" t="str">
        <f t="shared" ca="1" si="16"/>
        <v>No</v>
      </c>
      <c r="AE38" t="str">
        <f t="shared" ca="1" si="17"/>
        <v>No</v>
      </c>
      <c r="AF38" t="str">
        <f t="shared" ca="1" si="18"/>
        <v>Under Observation</v>
      </c>
      <c r="AG38" t="str">
        <f t="shared" ca="1" si="19"/>
        <v>Southwest</v>
      </c>
      <c r="AH38" t="str">
        <f t="shared" si="2"/>
        <v>October</v>
      </c>
      <c r="AI38">
        <f t="shared" si="3"/>
        <v>2019</v>
      </c>
      <c r="AJ38" t="str">
        <f t="shared" ca="1" si="20"/>
        <v>Occupied</v>
      </c>
      <c r="AK38">
        <f t="shared" ca="1" si="21"/>
        <v>4</v>
      </c>
    </row>
    <row r="39" spans="1:37" x14ac:dyDescent="0.3">
      <c r="A39" t="s">
        <v>4486</v>
      </c>
      <c r="B39">
        <v>26</v>
      </c>
      <c r="C39" t="s">
        <v>32</v>
      </c>
      <c r="D39" t="s">
        <v>16</v>
      </c>
      <c r="E39" t="s">
        <v>64</v>
      </c>
      <c r="F39" s="1">
        <v>44549</v>
      </c>
      <c r="G39" t="s">
        <v>121</v>
      </c>
      <c r="H39" t="s">
        <v>122</v>
      </c>
      <c r="I39" t="s">
        <v>36</v>
      </c>
      <c r="J39">
        <v>9380</v>
      </c>
      <c r="K39">
        <v>212</v>
      </c>
      <c r="L39" t="s">
        <v>21</v>
      </c>
      <c r="M39" s="1">
        <v>44577</v>
      </c>
      <c r="N39" t="s">
        <v>30</v>
      </c>
      <c r="O39" t="s">
        <v>23</v>
      </c>
      <c r="P39" t="str">
        <f t="shared" si="4"/>
        <v>P0038</v>
      </c>
      <c r="Q39" t="str">
        <f t="shared" si="0"/>
        <v>Cardiology</v>
      </c>
      <c r="R39">
        <f t="shared" si="1"/>
        <v>28</v>
      </c>
      <c r="S39" t="str">
        <f t="shared" ca="1" si="5"/>
        <v>No</v>
      </c>
      <c r="T39" t="str">
        <f t="shared" ca="1" si="6"/>
        <v>Critical</v>
      </c>
      <c r="U39" t="str">
        <f t="shared" ca="1" si="7"/>
        <v>Semi-Private</v>
      </c>
      <c r="V39" t="str">
        <f t="shared" si="8"/>
        <v>BED0038</v>
      </c>
      <c r="W39" t="str">
        <f t="shared" ca="1" si="9"/>
        <v>Semi-Private</v>
      </c>
      <c r="X39" t="str">
        <f t="shared" si="10"/>
        <v>NUR038</v>
      </c>
      <c r="Y39" t="str">
        <f t="shared" ca="1" si="11"/>
        <v>Evening</v>
      </c>
      <c r="Z39" t="str">
        <f t="shared" ca="1" si="12"/>
        <v>Ventilator</v>
      </c>
      <c r="AA39" t="str">
        <f t="shared" ca="1" si="13"/>
        <v>Available</v>
      </c>
      <c r="AB39" t="str">
        <f t="shared" ca="1" si="14"/>
        <v>Partially Paid</v>
      </c>
      <c r="AC39" t="str">
        <f t="shared" ca="1" si="15"/>
        <v>Debit Card</v>
      </c>
      <c r="AD39" t="str">
        <f t="shared" ca="1" si="16"/>
        <v>Yes</v>
      </c>
      <c r="AE39" t="str">
        <f t="shared" ca="1" si="17"/>
        <v>No</v>
      </c>
      <c r="AF39" t="str">
        <f t="shared" ca="1" si="18"/>
        <v>Under Observation</v>
      </c>
      <c r="AG39" t="str">
        <f t="shared" ca="1" si="19"/>
        <v>Midwest</v>
      </c>
      <c r="AH39" t="str">
        <f t="shared" si="2"/>
        <v>December</v>
      </c>
      <c r="AI39">
        <f t="shared" si="3"/>
        <v>2021</v>
      </c>
      <c r="AJ39" t="str">
        <f t="shared" ca="1" si="20"/>
        <v>Occupied</v>
      </c>
      <c r="AK39">
        <f t="shared" ca="1" si="21"/>
        <v>2</v>
      </c>
    </row>
    <row r="40" spans="1:37" x14ac:dyDescent="0.3">
      <c r="A40" t="s">
        <v>4487</v>
      </c>
      <c r="B40">
        <v>70</v>
      </c>
      <c r="C40" t="s">
        <v>32</v>
      </c>
      <c r="D40" t="s">
        <v>98</v>
      </c>
      <c r="E40" t="s">
        <v>39</v>
      </c>
      <c r="F40" s="1">
        <v>44632</v>
      </c>
      <c r="G40" t="s">
        <v>123</v>
      </c>
      <c r="H40" t="s">
        <v>124</v>
      </c>
      <c r="I40" t="s">
        <v>57</v>
      </c>
      <c r="J40">
        <v>48291</v>
      </c>
      <c r="K40">
        <v>113</v>
      </c>
      <c r="L40" t="s">
        <v>29</v>
      </c>
      <c r="M40" s="1">
        <v>44649</v>
      </c>
      <c r="N40" t="s">
        <v>67</v>
      </c>
      <c r="O40" t="s">
        <v>43</v>
      </c>
      <c r="P40" t="str">
        <f t="shared" si="4"/>
        <v>P0039</v>
      </c>
      <c r="Q40" t="str">
        <f t="shared" si="0"/>
        <v>Endocrinology</v>
      </c>
      <c r="R40">
        <f t="shared" si="1"/>
        <v>17</v>
      </c>
      <c r="S40" t="str">
        <f t="shared" ca="1" si="5"/>
        <v>No</v>
      </c>
      <c r="T40" t="str">
        <f t="shared" ca="1" si="6"/>
        <v>Critical</v>
      </c>
      <c r="U40" t="str">
        <f t="shared" ca="1" si="7"/>
        <v>Emergency</v>
      </c>
      <c r="V40" t="str">
        <f t="shared" si="8"/>
        <v>BED0039</v>
      </c>
      <c r="W40" t="str">
        <f t="shared" ca="1" si="9"/>
        <v>ICU</v>
      </c>
      <c r="X40" t="str">
        <f t="shared" si="10"/>
        <v>NUR039</v>
      </c>
      <c r="Y40" t="str">
        <f t="shared" ca="1" si="11"/>
        <v>Morning</v>
      </c>
      <c r="Z40" t="str">
        <f t="shared" ca="1" si="12"/>
        <v>CT Scanner</v>
      </c>
      <c r="AA40" t="str">
        <f t="shared" ca="1" si="13"/>
        <v>Maintenance</v>
      </c>
      <c r="AB40" t="str">
        <f t="shared" ca="1" si="14"/>
        <v>Partially Paid</v>
      </c>
      <c r="AC40" t="str">
        <f t="shared" ca="1" si="15"/>
        <v>Insurance</v>
      </c>
      <c r="AD40" t="str">
        <f t="shared" ca="1" si="16"/>
        <v>No</v>
      </c>
      <c r="AE40" t="str">
        <f t="shared" ca="1" si="17"/>
        <v>No</v>
      </c>
      <c r="AF40" t="str">
        <f t="shared" ca="1" si="18"/>
        <v>Transferred</v>
      </c>
      <c r="AG40" t="str">
        <f t="shared" ca="1" si="19"/>
        <v>West Coast</v>
      </c>
      <c r="AH40" t="str">
        <f t="shared" si="2"/>
        <v>March</v>
      </c>
      <c r="AI40">
        <f t="shared" si="3"/>
        <v>2022</v>
      </c>
      <c r="AJ40" t="str">
        <f t="shared" ca="1" si="20"/>
        <v>Occupied</v>
      </c>
      <c r="AK40">
        <f t="shared" ca="1" si="21"/>
        <v>4</v>
      </c>
    </row>
    <row r="41" spans="1:37" x14ac:dyDescent="0.3">
      <c r="A41" t="s">
        <v>4488</v>
      </c>
      <c r="B41">
        <v>57</v>
      </c>
      <c r="C41" t="s">
        <v>32</v>
      </c>
      <c r="D41" t="s">
        <v>16</v>
      </c>
      <c r="E41" t="s">
        <v>25</v>
      </c>
      <c r="F41" s="1">
        <v>44213</v>
      </c>
      <c r="G41" t="s">
        <v>125</v>
      </c>
      <c r="H41" t="s">
        <v>126</v>
      </c>
      <c r="I41" t="s">
        <v>28</v>
      </c>
      <c r="J41">
        <v>32974</v>
      </c>
      <c r="K41">
        <v>272</v>
      </c>
      <c r="L41" t="s">
        <v>21</v>
      </c>
      <c r="M41" s="1">
        <v>44225</v>
      </c>
      <c r="N41" t="s">
        <v>47</v>
      </c>
      <c r="O41" t="s">
        <v>43</v>
      </c>
      <c r="P41" t="str">
        <f t="shared" si="4"/>
        <v>P0040</v>
      </c>
      <c r="Q41" t="str">
        <f t="shared" si="0"/>
        <v>Nutrition</v>
      </c>
      <c r="R41">
        <f t="shared" si="1"/>
        <v>12</v>
      </c>
      <c r="S41" t="str">
        <f t="shared" ca="1" si="5"/>
        <v>No</v>
      </c>
      <c r="T41" t="str">
        <f t="shared" ca="1" si="6"/>
        <v>Mild</v>
      </c>
      <c r="U41" t="str">
        <f t="shared" ca="1" si="7"/>
        <v>Emergency</v>
      </c>
      <c r="V41" t="str">
        <f t="shared" si="8"/>
        <v>BED0040</v>
      </c>
      <c r="W41" t="str">
        <f t="shared" ca="1" si="9"/>
        <v>General</v>
      </c>
      <c r="X41" t="str">
        <f t="shared" si="10"/>
        <v>NUR040</v>
      </c>
      <c r="Y41" t="str">
        <f t="shared" ca="1" si="11"/>
        <v>Morning</v>
      </c>
      <c r="Z41" t="str">
        <f t="shared" ca="1" si="12"/>
        <v>Ultrasound</v>
      </c>
      <c r="AA41" t="str">
        <f t="shared" ca="1" si="13"/>
        <v>Available</v>
      </c>
      <c r="AB41" t="str">
        <f t="shared" ca="1" si="14"/>
        <v>Partially Paid</v>
      </c>
      <c r="AC41" t="str">
        <f t="shared" ca="1" si="15"/>
        <v>Cash</v>
      </c>
      <c r="AD41" t="str">
        <f t="shared" ca="1" si="16"/>
        <v>No</v>
      </c>
      <c r="AE41" t="str">
        <f t="shared" ca="1" si="17"/>
        <v>No</v>
      </c>
      <c r="AF41" t="str">
        <f t="shared" ca="1" si="18"/>
        <v>Recovered</v>
      </c>
      <c r="AG41" t="str">
        <f t="shared" ca="1" si="19"/>
        <v>West Coast</v>
      </c>
      <c r="AH41" t="str">
        <f t="shared" si="2"/>
        <v>January</v>
      </c>
      <c r="AI41">
        <f t="shared" si="3"/>
        <v>2021</v>
      </c>
      <c r="AJ41" t="str">
        <f t="shared" ca="1" si="20"/>
        <v>Occupied</v>
      </c>
      <c r="AK41">
        <f t="shared" ca="1" si="21"/>
        <v>2</v>
      </c>
    </row>
    <row r="42" spans="1:37" x14ac:dyDescent="0.3">
      <c r="A42" t="s">
        <v>4489</v>
      </c>
      <c r="B42">
        <v>74</v>
      </c>
      <c r="C42" t="s">
        <v>32</v>
      </c>
      <c r="D42" t="s">
        <v>16</v>
      </c>
      <c r="E42" t="s">
        <v>64</v>
      </c>
      <c r="F42" s="1">
        <v>44454</v>
      </c>
      <c r="G42" t="s">
        <v>127</v>
      </c>
      <c r="H42" t="s">
        <v>128</v>
      </c>
      <c r="I42" t="s">
        <v>57</v>
      </c>
      <c r="J42">
        <v>49943</v>
      </c>
      <c r="K42">
        <v>478</v>
      </c>
      <c r="L42" t="s">
        <v>29</v>
      </c>
      <c r="M42" s="1">
        <v>44474</v>
      </c>
      <c r="N42" t="s">
        <v>67</v>
      </c>
      <c r="O42" t="s">
        <v>23</v>
      </c>
      <c r="P42" t="str">
        <f t="shared" si="4"/>
        <v>P0041</v>
      </c>
      <c r="Q42" t="str">
        <f t="shared" si="0"/>
        <v>Cardiology</v>
      </c>
      <c r="R42">
        <f t="shared" si="1"/>
        <v>20</v>
      </c>
      <c r="S42" t="str">
        <f t="shared" ca="1" si="5"/>
        <v>No</v>
      </c>
      <c r="T42" t="str">
        <f t="shared" ca="1" si="6"/>
        <v>Critical</v>
      </c>
      <c r="U42" t="str">
        <f t="shared" ca="1" si="7"/>
        <v>Semi-Private</v>
      </c>
      <c r="V42" t="str">
        <f t="shared" si="8"/>
        <v>BED0041</v>
      </c>
      <c r="W42" t="str">
        <f t="shared" ca="1" si="9"/>
        <v>ICU</v>
      </c>
      <c r="X42" t="str">
        <f t="shared" si="10"/>
        <v>NUR041</v>
      </c>
      <c r="Y42" t="str">
        <f t="shared" ca="1" si="11"/>
        <v>Night</v>
      </c>
      <c r="Z42" t="str">
        <f t="shared" ca="1" si="12"/>
        <v>ECG Machine</v>
      </c>
      <c r="AA42" t="str">
        <f t="shared" ca="1" si="13"/>
        <v>In Use</v>
      </c>
      <c r="AB42" t="str">
        <f t="shared" ca="1" si="14"/>
        <v>Partially Paid</v>
      </c>
      <c r="AC42" t="str">
        <f t="shared" ca="1" si="15"/>
        <v>Insurance</v>
      </c>
      <c r="AD42" t="str">
        <f t="shared" ca="1" si="16"/>
        <v>No</v>
      </c>
      <c r="AE42" t="str">
        <f t="shared" ca="1" si="17"/>
        <v>No</v>
      </c>
      <c r="AF42" t="str">
        <f t="shared" ca="1" si="18"/>
        <v>Transferred</v>
      </c>
      <c r="AG42" t="str">
        <f t="shared" ca="1" si="19"/>
        <v>Northeast</v>
      </c>
      <c r="AH42" t="str">
        <f t="shared" si="2"/>
        <v>September</v>
      </c>
      <c r="AI42">
        <f t="shared" si="3"/>
        <v>2021</v>
      </c>
      <c r="AJ42" t="str">
        <f t="shared" ca="1" si="20"/>
        <v>Occupied</v>
      </c>
      <c r="AK42">
        <f t="shared" ca="1" si="21"/>
        <v>2</v>
      </c>
    </row>
    <row r="43" spans="1:37" x14ac:dyDescent="0.3">
      <c r="A43" t="s">
        <v>4490</v>
      </c>
      <c r="B43">
        <v>81</v>
      </c>
      <c r="C43" t="s">
        <v>15</v>
      </c>
      <c r="D43" t="s">
        <v>24</v>
      </c>
      <c r="E43" t="s">
        <v>64</v>
      </c>
      <c r="F43" s="1">
        <v>43857</v>
      </c>
      <c r="G43" t="s">
        <v>129</v>
      </c>
      <c r="H43" t="s">
        <v>130</v>
      </c>
      <c r="I43" t="s">
        <v>57</v>
      </c>
      <c r="J43">
        <v>35634</v>
      </c>
      <c r="K43">
        <v>196</v>
      </c>
      <c r="L43" t="s">
        <v>21</v>
      </c>
      <c r="M43" s="1">
        <v>43870</v>
      </c>
      <c r="N43" t="s">
        <v>37</v>
      </c>
      <c r="O43" t="s">
        <v>23</v>
      </c>
      <c r="P43" t="str">
        <f t="shared" si="4"/>
        <v>P0042</v>
      </c>
      <c r="Q43" t="str">
        <f t="shared" si="0"/>
        <v>Cardiology</v>
      </c>
      <c r="R43">
        <f t="shared" si="1"/>
        <v>13</v>
      </c>
      <c r="S43" t="str">
        <f t="shared" ca="1" si="5"/>
        <v>No</v>
      </c>
      <c r="T43" t="str">
        <f t="shared" ca="1" si="6"/>
        <v>Moderate</v>
      </c>
      <c r="U43" t="str">
        <f t="shared" ca="1" si="7"/>
        <v>ICU</v>
      </c>
      <c r="V43" t="str">
        <f t="shared" si="8"/>
        <v>BED0042</v>
      </c>
      <c r="W43" t="str">
        <f t="shared" ca="1" si="9"/>
        <v>Semi-Private</v>
      </c>
      <c r="X43" t="str">
        <f t="shared" si="10"/>
        <v>NUR042</v>
      </c>
      <c r="Y43" t="str">
        <f t="shared" ca="1" si="11"/>
        <v>Night</v>
      </c>
      <c r="Z43" t="str">
        <f t="shared" ca="1" si="12"/>
        <v>CT Scanner</v>
      </c>
      <c r="AA43" t="str">
        <f t="shared" ca="1" si="13"/>
        <v>Maintenance</v>
      </c>
      <c r="AB43" t="str">
        <f t="shared" ca="1" si="14"/>
        <v>Partially Paid</v>
      </c>
      <c r="AC43" t="str">
        <f t="shared" ca="1" si="15"/>
        <v>Bank Transfer</v>
      </c>
      <c r="AD43" t="str">
        <f t="shared" ca="1" si="16"/>
        <v>No</v>
      </c>
      <c r="AE43" t="str">
        <f t="shared" ca="1" si="17"/>
        <v>No</v>
      </c>
      <c r="AF43" t="str">
        <f t="shared" ca="1" si="18"/>
        <v>Recovered</v>
      </c>
      <c r="AG43" t="str">
        <f t="shared" ca="1" si="19"/>
        <v>West Coast</v>
      </c>
      <c r="AH43" t="str">
        <f t="shared" si="2"/>
        <v>January</v>
      </c>
      <c r="AI43">
        <f t="shared" si="3"/>
        <v>2020</v>
      </c>
      <c r="AJ43" t="str">
        <f t="shared" ca="1" si="20"/>
        <v>Occupied</v>
      </c>
      <c r="AK43">
        <f t="shared" ca="1" si="21"/>
        <v>2</v>
      </c>
    </row>
    <row r="44" spans="1:37" x14ac:dyDescent="0.3">
      <c r="A44" t="s">
        <v>4491</v>
      </c>
      <c r="B44">
        <v>49</v>
      </c>
      <c r="C44" t="s">
        <v>32</v>
      </c>
      <c r="D44" t="s">
        <v>33</v>
      </c>
      <c r="E44" t="s">
        <v>48</v>
      </c>
      <c r="F44" s="1">
        <v>44736</v>
      </c>
      <c r="G44" t="s">
        <v>131</v>
      </c>
      <c r="H44" t="s">
        <v>132</v>
      </c>
      <c r="I44" t="s">
        <v>57</v>
      </c>
      <c r="J44">
        <v>25966</v>
      </c>
      <c r="K44">
        <v>418</v>
      </c>
      <c r="L44" t="s">
        <v>42</v>
      </c>
      <c r="M44" s="1">
        <v>44760</v>
      </c>
      <c r="N44" t="s">
        <v>22</v>
      </c>
      <c r="O44" t="s">
        <v>23</v>
      </c>
      <c r="P44" t="str">
        <f t="shared" si="4"/>
        <v>P0043</v>
      </c>
      <c r="Q44" t="str">
        <f t="shared" si="0"/>
        <v>Pulmonology</v>
      </c>
      <c r="R44">
        <f t="shared" si="1"/>
        <v>24</v>
      </c>
      <c r="S44" t="str">
        <f t="shared" ca="1" si="5"/>
        <v>No</v>
      </c>
      <c r="T44" t="str">
        <f t="shared" ca="1" si="6"/>
        <v>Mild</v>
      </c>
      <c r="U44" t="str">
        <f t="shared" ca="1" si="7"/>
        <v>Semi-Private</v>
      </c>
      <c r="V44" t="str">
        <f t="shared" si="8"/>
        <v>BED0043</v>
      </c>
      <c r="W44" t="str">
        <f t="shared" ca="1" si="9"/>
        <v>Semi-Private</v>
      </c>
      <c r="X44" t="str">
        <f t="shared" si="10"/>
        <v>NUR043</v>
      </c>
      <c r="Y44" t="str">
        <f t="shared" ca="1" si="11"/>
        <v>Evening</v>
      </c>
      <c r="Z44" t="str">
        <f t="shared" ca="1" si="12"/>
        <v>MRI Scanner</v>
      </c>
      <c r="AA44" t="str">
        <f t="shared" ca="1" si="13"/>
        <v>Maintenance</v>
      </c>
      <c r="AB44" t="str">
        <f t="shared" ca="1" si="14"/>
        <v>Partially Paid</v>
      </c>
      <c r="AC44" t="str">
        <f t="shared" ca="1" si="15"/>
        <v>Insurance</v>
      </c>
      <c r="AD44" t="str">
        <f t="shared" ca="1" si="16"/>
        <v>No</v>
      </c>
      <c r="AE44" t="str">
        <f t="shared" ca="1" si="17"/>
        <v>No</v>
      </c>
      <c r="AF44" t="str">
        <f t="shared" ca="1" si="18"/>
        <v>Recovered</v>
      </c>
      <c r="AG44" t="str">
        <f t="shared" ca="1" si="19"/>
        <v>Southwest</v>
      </c>
      <c r="AH44" t="str">
        <f t="shared" si="2"/>
        <v>June</v>
      </c>
      <c r="AI44">
        <f t="shared" si="3"/>
        <v>2022</v>
      </c>
      <c r="AJ44" t="str">
        <f t="shared" ca="1" si="20"/>
        <v>Occupied</v>
      </c>
      <c r="AK44">
        <f t="shared" ca="1" si="21"/>
        <v>4</v>
      </c>
    </row>
    <row r="45" spans="1:37" x14ac:dyDescent="0.3">
      <c r="A45" t="s">
        <v>4492</v>
      </c>
      <c r="B45">
        <v>26</v>
      </c>
      <c r="C45" t="s">
        <v>32</v>
      </c>
      <c r="D45" t="s">
        <v>44</v>
      </c>
      <c r="E45" t="s">
        <v>25</v>
      </c>
      <c r="F45" s="1">
        <v>44356</v>
      </c>
      <c r="G45" t="s">
        <v>133</v>
      </c>
      <c r="H45" t="s">
        <v>134</v>
      </c>
      <c r="I45" t="s">
        <v>51</v>
      </c>
      <c r="J45">
        <v>21784</v>
      </c>
      <c r="K45">
        <v>410</v>
      </c>
      <c r="L45" t="s">
        <v>21</v>
      </c>
      <c r="M45" s="1">
        <v>44378</v>
      </c>
      <c r="N45" t="s">
        <v>22</v>
      </c>
      <c r="O45" t="s">
        <v>23</v>
      </c>
      <c r="P45" t="str">
        <f t="shared" si="4"/>
        <v>P0044</v>
      </c>
      <c r="Q45" t="str">
        <f t="shared" si="0"/>
        <v>Nutrition</v>
      </c>
      <c r="R45">
        <f t="shared" si="1"/>
        <v>22</v>
      </c>
      <c r="S45" t="str">
        <f t="shared" ca="1" si="5"/>
        <v>No</v>
      </c>
      <c r="T45" t="str">
        <f t="shared" ca="1" si="6"/>
        <v>Moderate</v>
      </c>
      <c r="U45" t="str">
        <f t="shared" ca="1" si="7"/>
        <v>Emergency</v>
      </c>
      <c r="V45" t="str">
        <f t="shared" si="8"/>
        <v>BED0044</v>
      </c>
      <c r="W45" t="str">
        <f t="shared" ca="1" si="9"/>
        <v>General</v>
      </c>
      <c r="X45" t="str">
        <f t="shared" si="10"/>
        <v>NUR044</v>
      </c>
      <c r="Y45" t="str">
        <f t="shared" ca="1" si="11"/>
        <v>Evening</v>
      </c>
      <c r="Z45" t="str">
        <f t="shared" ca="1" si="12"/>
        <v>X-Ray</v>
      </c>
      <c r="AA45" t="str">
        <f t="shared" ca="1" si="13"/>
        <v>Maintenance</v>
      </c>
      <c r="AB45" t="str">
        <f t="shared" ca="1" si="14"/>
        <v>Paid</v>
      </c>
      <c r="AC45" t="str">
        <f t="shared" ca="1" si="15"/>
        <v>Debit Card</v>
      </c>
      <c r="AD45" t="str">
        <f t="shared" ca="1" si="16"/>
        <v>No</v>
      </c>
      <c r="AE45" t="str">
        <f t="shared" ca="1" si="17"/>
        <v>No</v>
      </c>
      <c r="AF45" t="str">
        <f t="shared" ca="1" si="18"/>
        <v>Transferred</v>
      </c>
      <c r="AG45" t="str">
        <f t="shared" ca="1" si="19"/>
        <v>Southeast</v>
      </c>
      <c r="AH45" t="str">
        <f t="shared" si="2"/>
        <v>June</v>
      </c>
      <c r="AI45">
        <f t="shared" si="3"/>
        <v>2021</v>
      </c>
      <c r="AJ45" t="str">
        <f t="shared" ca="1" si="20"/>
        <v>Occupied</v>
      </c>
      <c r="AK45">
        <f t="shared" ca="1" si="21"/>
        <v>4</v>
      </c>
    </row>
    <row r="46" spans="1:37" x14ac:dyDescent="0.3">
      <c r="A46" t="s">
        <v>4493</v>
      </c>
      <c r="B46">
        <v>81</v>
      </c>
      <c r="C46" t="s">
        <v>32</v>
      </c>
      <c r="D46" t="s">
        <v>52</v>
      </c>
      <c r="E46" t="s">
        <v>17</v>
      </c>
      <c r="F46" s="1">
        <v>44066</v>
      </c>
      <c r="G46" t="s">
        <v>135</v>
      </c>
      <c r="H46" t="s">
        <v>136</v>
      </c>
      <c r="I46" t="s">
        <v>28</v>
      </c>
      <c r="J46">
        <v>42685</v>
      </c>
      <c r="K46">
        <v>328</v>
      </c>
      <c r="L46" t="s">
        <v>21</v>
      </c>
      <c r="M46" s="1">
        <v>44082</v>
      </c>
      <c r="N46" t="s">
        <v>47</v>
      </c>
      <c r="O46" t="s">
        <v>43</v>
      </c>
      <c r="P46" t="str">
        <f t="shared" si="4"/>
        <v>P0045</v>
      </c>
      <c r="Q46" t="str">
        <f t="shared" si="0"/>
        <v>Oncology</v>
      </c>
      <c r="R46">
        <f t="shared" si="1"/>
        <v>16</v>
      </c>
      <c r="S46" t="str">
        <f t="shared" ca="1" si="5"/>
        <v>No</v>
      </c>
      <c r="T46" t="str">
        <f t="shared" ca="1" si="6"/>
        <v>Moderate</v>
      </c>
      <c r="U46" t="str">
        <f t="shared" ca="1" si="7"/>
        <v>Private Ward</v>
      </c>
      <c r="V46" t="str">
        <f t="shared" si="8"/>
        <v>BED0045</v>
      </c>
      <c r="W46" t="str">
        <f t="shared" ca="1" si="9"/>
        <v>ICU</v>
      </c>
      <c r="X46" t="str">
        <f t="shared" si="10"/>
        <v>NUR045</v>
      </c>
      <c r="Y46" t="str">
        <f t="shared" ca="1" si="11"/>
        <v>Evening</v>
      </c>
      <c r="Z46" t="str">
        <f t="shared" ca="1" si="12"/>
        <v>Ventilator</v>
      </c>
      <c r="AA46" t="str">
        <f t="shared" ca="1" si="13"/>
        <v>Maintenance</v>
      </c>
      <c r="AB46" t="str">
        <f t="shared" ca="1" si="14"/>
        <v>Paid</v>
      </c>
      <c r="AC46" t="str">
        <f t="shared" ca="1" si="15"/>
        <v>Cash</v>
      </c>
      <c r="AD46" t="str">
        <f t="shared" ca="1" si="16"/>
        <v>No</v>
      </c>
      <c r="AE46" t="str">
        <f t="shared" ca="1" si="17"/>
        <v>Yes</v>
      </c>
      <c r="AF46" t="str">
        <f t="shared" ca="1" si="18"/>
        <v>Recovered</v>
      </c>
      <c r="AG46" t="str">
        <f t="shared" ca="1" si="19"/>
        <v>Midwest</v>
      </c>
      <c r="AH46" t="str">
        <f t="shared" si="2"/>
        <v>August</v>
      </c>
      <c r="AI46">
        <f t="shared" si="3"/>
        <v>2020</v>
      </c>
      <c r="AJ46" t="str">
        <f t="shared" ca="1" si="20"/>
        <v>Occupied</v>
      </c>
      <c r="AK46">
        <f t="shared" ca="1" si="21"/>
        <v>4</v>
      </c>
    </row>
    <row r="47" spans="1:37" x14ac:dyDescent="0.3">
      <c r="A47" t="s">
        <v>4494</v>
      </c>
      <c r="B47">
        <v>65</v>
      </c>
      <c r="C47" t="s">
        <v>15</v>
      </c>
      <c r="D47" t="s">
        <v>38</v>
      </c>
      <c r="E47" t="s">
        <v>17</v>
      </c>
      <c r="F47" s="1">
        <v>44846</v>
      </c>
      <c r="G47" t="s">
        <v>137</v>
      </c>
      <c r="H47" t="s">
        <v>138</v>
      </c>
      <c r="I47" t="s">
        <v>28</v>
      </c>
      <c r="J47">
        <v>45586</v>
      </c>
      <c r="K47">
        <v>300</v>
      </c>
      <c r="L47" t="s">
        <v>29</v>
      </c>
      <c r="M47" s="1">
        <v>44867</v>
      </c>
      <c r="N47" t="s">
        <v>47</v>
      </c>
      <c r="O47" t="s">
        <v>23</v>
      </c>
      <c r="P47" t="str">
        <f t="shared" si="4"/>
        <v>P0046</v>
      </c>
      <c r="Q47" t="str">
        <f t="shared" si="0"/>
        <v>Oncology</v>
      </c>
      <c r="R47">
        <f t="shared" si="1"/>
        <v>21</v>
      </c>
      <c r="S47" t="str">
        <f t="shared" ca="1" si="5"/>
        <v>No</v>
      </c>
      <c r="T47" t="str">
        <f t="shared" ca="1" si="6"/>
        <v>Mild</v>
      </c>
      <c r="U47" t="str">
        <f t="shared" ca="1" si="7"/>
        <v>ICU</v>
      </c>
      <c r="V47" t="str">
        <f t="shared" si="8"/>
        <v>BED0046</v>
      </c>
      <c r="W47" t="str">
        <f t="shared" ca="1" si="9"/>
        <v>Private</v>
      </c>
      <c r="X47" t="str">
        <f t="shared" si="10"/>
        <v>NUR046</v>
      </c>
      <c r="Y47" t="str">
        <f t="shared" ca="1" si="11"/>
        <v>Night</v>
      </c>
      <c r="Z47" t="str">
        <f t="shared" ca="1" si="12"/>
        <v>CT Scanner</v>
      </c>
      <c r="AA47" t="str">
        <f t="shared" ca="1" si="13"/>
        <v>Available</v>
      </c>
      <c r="AB47" t="str">
        <f t="shared" ca="1" si="14"/>
        <v>Pending</v>
      </c>
      <c r="AC47" t="str">
        <f t="shared" ca="1" si="15"/>
        <v>Insurance</v>
      </c>
      <c r="AD47" t="str">
        <f t="shared" ca="1" si="16"/>
        <v>No</v>
      </c>
      <c r="AE47" t="str">
        <f t="shared" ca="1" si="17"/>
        <v>No</v>
      </c>
      <c r="AF47" t="str">
        <f t="shared" ca="1" si="18"/>
        <v>Under Observation</v>
      </c>
      <c r="AG47" t="str">
        <f t="shared" ca="1" si="19"/>
        <v>Southeast</v>
      </c>
      <c r="AH47" t="str">
        <f t="shared" si="2"/>
        <v>October</v>
      </c>
      <c r="AI47">
        <f t="shared" si="3"/>
        <v>2022</v>
      </c>
      <c r="AJ47" t="str">
        <f t="shared" ca="1" si="20"/>
        <v>Occupied</v>
      </c>
      <c r="AK47">
        <f t="shared" ca="1" si="21"/>
        <v>1</v>
      </c>
    </row>
    <row r="48" spans="1:37" x14ac:dyDescent="0.3">
      <c r="A48" t="s">
        <v>4495</v>
      </c>
      <c r="B48">
        <v>31</v>
      </c>
      <c r="C48" t="s">
        <v>32</v>
      </c>
      <c r="D48" t="s">
        <v>38</v>
      </c>
      <c r="E48" t="s">
        <v>64</v>
      </c>
      <c r="F48" s="1">
        <v>44531</v>
      </c>
      <c r="G48" t="s">
        <v>139</v>
      </c>
      <c r="H48" t="s">
        <v>140</v>
      </c>
      <c r="I48" t="s">
        <v>57</v>
      </c>
      <c r="J48">
        <v>29615</v>
      </c>
      <c r="K48">
        <v>211</v>
      </c>
      <c r="L48" t="s">
        <v>42</v>
      </c>
      <c r="M48" s="1">
        <v>44539</v>
      </c>
      <c r="N48" t="s">
        <v>22</v>
      </c>
      <c r="O48" t="s">
        <v>23</v>
      </c>
      <c r="P48" t="str">
        <f t="shared" si="4"/>
        <v>P0047</v>
      </c>
      <c r="Q48" t="str">
        <f t="shared" si="0"/>
        <v>Cardiology</v>
      </c>
      <c r="R48">
        <f t="shared" si="1"/>
        <v>8</v>
      </c>
      <c r="S48" t="str">
        <f t="shared" ca="1" si="5"/>
        <v>Yes</v>
      </c>
      <c r="T48" t="str">
        <f t="shared" ca="1" si="6"/>
        <v>Moderate</v>
      </c>
      <c r="U48" t="str">
        <f t="shared" ca="1" si="7"/>
        <v>General Ward</v>
      </c>
      <c r="V48" t="str">
        <f t="shared" si="8"/>
        <v>BED0047</v>
      </c>
      <c r="W48" t="str">
        <f t="shared" ca="1" si="9"/>
        <v>Private</v>
      </c>
      <c r="X48" t="str">
        <f t="shared" si="10"/>
        <v>NUR047</v>
      </c>
      <c r="Y48" t="str">
        <f t="shared" ca="1" si="11"/>
        <v>Morning</v>
      </c>
      <c r="Z48" t="str">
        <f t="shared" ca="1" si="12"/>
        <v>MRI Scanner</v>
      </c>
      <c r="AA48" t="str">
        <f t="shared" ca="1" si="13"/>
        <v>Available</v>
      </c>
      <c r="AB48" t="str">
        <f t="shared" ca="1" si="14"/>
        <v>Pending</v>
      </c>
      <c r="AC48" t="str">
        <f t="shared" ca="1" si="15"/>
        <v>Debit Card</v>
      </c>
      <c r="AD48" t="str">
        <f t="shared" ca="1" si="16"/>
        <v>Yes</v>
      </c>
      <c r="AE48" t="str">
        <f t="shared" ca="1" si="17"/>
        <v>No</v>
      </c>
      <c r="AF48" t="str">
        <f t="shared" ca="1" si="18"/>
        <v>Transferred</v>
      </c>
      <c r="AG48" t="str">
        <f t="shared" ca="1" si="19"/>
        <v>Southwest</v>
      </c>
      <c r="AH48" t="str">
        <f t="shared" si="2"/>
        <v>December</v>
      </c>
      <c r="AI48">
        <f t="shared" si="3"/>
        <v>2021</v>
      </c>
      <c r="AJ48" t="str">
        <f t="shared" ca="1" si="20"/>
        <v>Occupied</v>
      </c>
      <c r="AK48">
        <f t="shared" ca="1" si="21"/>
        <v>2</v>
      </c>
    </row>
    <row r="49" spans="1:37" x14ac:dyDescent="0.3">
      <c r="A49" t="s">
        <v>4496</v>
      </c>
      <c r="B49">
        <v>58</v>
      </c>
      <c r="C49" t="s">
        <v>15</v>
      </c>
      <c r="D49" t="s">
        <v>33</v>
      </c>
      <c r="E49" t="s">
        <v>39</v>
      </c>
      <c r="F49" s="1">
        <v>43955</v>
      </c>
      <c r="G49" t="s">
        <v>141</v>
      </c>
      <c r="H49" t="s">
        <v>142</v>
      </c>
      <c r="I49" t="s">
        <v>57</v>
      </c>
      <c r="J49">
        <v>36992</v>
      </c>
      <c r="K49">
        <v>413</v>
      </c>
      <c r="L49" t="s">
        <v>21</v>
      </c>
      <c r="M49" s="1">
        <v>43964</v>
      </c>
      <c r="N49" t="s">
        <v>37</v>
      </c>
      <c r="O49" t="s">
        <v>23</v>
      </c>
      <c r="P49" t="str">
        <f t="shared" si="4"/>
        <v>P0048</v>
      </c>
      <c r="Q49" t="str">
        <f t="shared" si="0"/>
        <v>Endocrinology</v>
      </c>
      <c r="R49">
        <f t="shared" si="1"/>
        <v>9</v>
      </c>
      <c r="S49" t="str">
        <f t="shared" ca="1" si="5"/>
        <v>No</v>
      </c>
      <c r="T49" t="str">
        <f t="shared" ca="1" si="6"/>
        <v>Moderate</v>
      </c>
      <c r="U49" t="str">
        <f t="shared" ca="1" si="7"/>
        <v>General Ward</v>
      </c>
      <c r="V49" t="str">
        <f t="shared" si="8"/>
        <v>BED0048</v>
      </c>
      <c r="W49" t="str">
        <f t="shared" ca="1" si="9"/>
        <v>General</v>
      </c>
      <c r="X49" t="str">
        <f t="shared" si="10"/>
        <v>NUR048</v>
      </c>
      <c r="Y49" t="str">
        <f t="shared" ca="1" si="11"/>
        <v>Night</v>
      </c>
      <c r="Z49" t="str">
        <f t="shared" ca="1" si="12"/>
        <v>X-Ray</v>
      </c>
      <c r="AA49" t="str">
        <f t="shared" ca="1" si="13"/>
        <v>Available</v>
      </c>
      <c r="AB49" t="str">
        <f t="shared" ca="1" si="14"/>
        <v>Paid</v>
      </c>
      <c r="AC49" t="str">
        <f t="shared" ca="1" si="15"/>
        <v>Bank Transfer</v>
      </c>
      <c r="AD49" t="str">
        <f t="shared" ca="1" si="16"/>
        <v>No</v>
      </c>
      <c r="AE49" t="str">
        <f t="shared" ca="1" si="17"/>
        <v>Yes</v>
      </c>
      <c r="AF49" t="str">
        <f t="shared" ca="1" si="18"/>
        <v>Recovered</v>
      </c>
      <c r="AG49" t="str">
        <f t="shared" ca="1" si="19"/>
        <v>Northeast</v>
      </c>
      <c r="AH49" t="str">
        <f t="shared" si="2"/>
        <v>May</v>
      </c>
      <c r="AI49">
        <f t="shared" si="3"/>
        <v>2020</v>
      </c>
      <c r="AJ49" t="str">
        <f t="shared" ca="1" si="20"/>
        <v>Occupied</v>
      </c>
      <c r="AK49">
        <f t="shared" ca="1" si="21"/>
        <v>2</v>
      </c>
    </row>
    <row r="50" spans="1:37" x14ac:dyDescent="0.3">
      <c r="A50" t="s">
        <v>4497</v>
      </c>
      <c r="B50">
        <v>22</v>
      </c>
      <c r="C50" t="s">
        <v>15</v>
      </c>
      <c r="D50" t="s">
        <v>38</v>
      </c>
      <c r="E50" t="s">
        <v>64</v>
      </c>
      <c r="F50" s="1">
        <v>45178</v>
      </c>
      <c r="G50" t="s">
        <v>143</v>
      </c>
      <c r="H50" t="s">
        <v>144</v>
      </c>
      <c r="I50" t="s">
        <v>51</v>
      </c>
      <c r="J50">
        <v>28051</v>
      </c>
      <c r="K50">
        <v>157</v>
      </c>
      <c r="L50" t="s">
        <v>21</v>
      </c>
      <c r="M50" s="1">
        <v>45192</v>
      </c>
      <c r="N50" t="s">
        <v>30</v>
      </c>
      <c r="O50" t="s">
        <v>43</v>
      </c>
      <c r="P50" t="str">
        <f t="shared" si="4"/>
        <v>P0049</v>
      </c>
      <c r="Q50" t="str">
        <f t="shared" si="0"/>
        <v>Cardiology</v>
      </c>
      <c r="R50">
        <f t="shared" si="1"/>
        <v>14</v>
      </c>
      <c r="S50" t="str">
        <f t="shared" ca="1" si="5"/>
        <v>No</v>
      </c>
      <c r="T50" t="str">
        <f t="shared" ca="1" si="6"/>
        <v>Critical</v>
      </c>
      <c r="U50" t="str">
        <f t="shared" ca="1" si="7"/>
        <v>Emergency</v>
      </c>
      <c r="V50" t="str">
        <f t="shared" si="8"/>
        <v>BED0049</v>
      </c>
      <c r="W50" t="str">
        <f t="shared" ca="1" si="9"/>
        <v>ICU</v>
      </c>
      <c r="X50" t="str">
        <f t="shared" si="10"/>
        <v>NUR049</v>
      </c>
      <c r="Y50" t="str">
        <f t="shared" ca="1" si="11"/>
        <v>Morning</v>
      </c>
      <c r="Z50" t="str">
        <f t="shared" ca="1" si="12"/>
        <v>MRI Scanner</v>
      </c>
      <c r="AA50" t="str">
        <f t="shared" ca="1" si="13"/>
        <v>In Use</v>
      </c>
      <c r="AB50" t="str">
        <f t="shared" ca="1" si="14"/>
        <v>Partially Paid</v>
      </c>
      <c r="AC50" t="str">
        <f t="shared" ca="1" si="15"/>
        <v>Cash</v>
      </c>
      <c r="AD50" t="str">
        <f t="shared" ca="1" si="16"/>
        <v>Yes</v>
      </c>
      <c r="AE50" t="str">
        <f t="shared" ca="1" si="17"/>
        <v>Yes</v>
      </c>
      <c r="AF50" t="str">
        <f t="shared" ca="1" si="18"/>
        <v>Recovered</v>
      </c>
      <c r="AG50" t="str">
        <f t="shared" ca="1" si="19"/>
        <v>West Coast</v>
      </c>
      <c r="AH50" t="str">
        <f t="shared" si="2"/>
        <v>September</v>
      </c>
      <c r="AI50">
        <f t="shared" si="3"/>
        <v>2023</v>
      </c>
      <c r="AJ50" t="str">
        <f t="shared" ca="1" si="20"/>
        <v>Occupied</v>
      </c>
      <c r="AK50">
        <f t="shared" ca="1" si="21"/>
        <v>1</v>
      </c>
    </row>
    <row r="51" spans="1:37" x14ac:dyDescent="0.3">
      <c r="A51" t="s">
        <v>4498</v>
      </c>
      <c r="B51">
        <v>77</v>
      </c>
      <c r="C51" t="s">
        <v>32</v>
      </c>
      <c r="D51" t="s">
        <v>38</v>
      </c>
      <c r="E51" t="s">
        <v>48</v>
      </c>
      <c r="F51" s="1">
        <v>43665</v>
      </c>
      <c r="G51" t="s">
        <v>145</v>
      </c>
      <c r="H51" t="s">
        <v>146</v>
      </c>
      <c r="I51" t="s">
        <v>57</v>
      </c>
      <c r="J51">
        <v>16320</v>
      </c>
      <c r="K51">
        <v>138</v>
      </c>
      <c r="L51" t="s">
        <v>21</v>
      </c>
      <c r="M51" s="1">
        <v>43675</v>
      </c>
      <c r="N51" t="s">
        <v>30</v>
      </c>
      <c r="O51" t="s">
        <v>43</v>
      </c>
      <c r="P51" t="str">
        <f t="shared" si="4"/>
        <v>P0050</v>
      </c>
      <c r="Q51" t="str">
        <f t="shared" si="0"/>
        <v>Pulmonology</v>
      </c>
      <c r="R51">
        <f t="shared" si="1"/>
        <v>10</v>
      </c>
      <c r="S51" t="str">
        <f t="shared" ca="1" si="5"/>
        <v>No</v>
      </c>
      <c r="T51" t="str">
        <f t="shared" ca="1" si="6"/>
        <v>Severe</v>
      </c>
      <c r="U51" t="str">
        <f t="shared" ca="1" si="7"/>
        <v>Emergency</v>
      </c>
      <c r="V51" t="str">
        <f t="shared" si="8"/>
        <v>BED0050</v>
      </c>
      <c r="W51" t="str">
        <f t="shared" ca="1" si="9"/>
        <v>Semi-Private</v>
      </c>
      <c r="X51" t="str">
        <f t="shared" si="10"/>
        <v>NUR050</v>
      </c>
      <c r="Y51" t="str">
        <f t="shared" ca="1" si="11"/>
        <v>Morning</v>
      </c>
      <c r="Z51" t="str">
        <f t="shared" ca="1" si="12"/>
        <v>MRI Scanner</v>
      </c>
      <c r="AA51" t="str">
        <f t="shared" ca="1" si="13"/>
        <v>In Use</v>
      </c>
      <c r="AB51" t="str">
        <f t="shared" ca="1" si="14"/>
        <v>Pending</v>
      </c>
      <c r="AC51" t="str">
        <f t="shared" ca="1" si="15"/>
        <v>Credit Card</v>
      </c>
      <c r="AD51" t="str">
        <f t="shared" ca="1" si="16"/>
        <v>Yes</v>
      </c>
      <c r="AE51" t="str">
        <f t="shared" ca="1" si="17"/>
        <v>No</v>
      </c>
      <c r="AF51" t="str">
        <f t="shared" ca="1" si="18"/>
        <v>Recovered</v>
      </c>
      <c r="AG51" t="str">
        <f t="shared" ca="1" si="19"/>
        <v>Northeast</v>
      </c>
      <c r="AH51" t="str">
        <f t="shared" si="2"/>
        <v>July</v>
      </c>
      <c r="AI51">
        <f t="shared" si="3"/>
        <v>2019</v>
      </c>
      <c r="AJ51" t="str">
        <f t="shared" ca="1" si="20"/>
        <v>Occupied</v>
      </c>
      <c r="AK51">
        <f t="shared" ca="1" si="21"/>
        <v>2</v>
      </c>
    </row>
    <row r="52" spans="1:37" x14ac:dyDescent="0.3">
      <c r="A52" t="s">
        <v>4499</v>
      </c>
      <c r="B52">
        <v>30</v>
      </c>
      <c r="C52" t="s">
        <v>15</v>
      </c>
      <c r="D52" t="s">
        <v>52</v>
      </c>
      <c r="E52" t="s">
        <v>64</v>
      </c>
      <c r="F52" s="1">
        <v>45387</v>
      </c>
      <c r="G52" t="s">
        <v>147</v>
      </c>
      <c r="H52" t="s">
        <v>148</v>
      </c>
      <c r="I52" t="s">
        <v>28</v>
      </c>
      <c r="J52">
        <v>30591</v>
      </c>
      <c r="K52">
        <v>456</v>
      </c>
      <c r="L52" t="s">
        <v>29</v>
      </c>
      <c r="M52" s="1">
        <v>45404</v>
      </c>
      <c r="N52" t="s">
        <v>22</v>
      </c>
      <c r="O52" t="s">
        <v>31</v>
      </c>
      <c r="P52" t="str">
        <f t="shared" si="4"/>
        <v>P0051</v>
      </c>
      <c r="Q52" t="str">
        <f t="shared" si="0"/>
        <v>Cardiology</v>
      </c>
      <c r="R52">
        <f t="shared" si="1"/>
        <v>17</v>
      </c>
      <c r="S52" t="str">
        <f t="shared" ca="1" si="5"/>
        <v>No</v>
      </c>
      <c r="T52" t="str">
        <f t="shared" ca="1" si="6"/>
        <v>Severe</v>
      </c>
      <c r="U52" t="str">
        <f t="shared" ca="1" si="7"/>
        <v>Semi-Private</v>
      </c>
      <c r="V52" t="str">
        <f t="shared" si="8"/>
        <v>BED0051</v>
      </c>
      <c r="W52" t="str">
        <f t="shared" ca="1" si="9"/>
        <v>Private</v>
      </c>
      <c r="X52" t="str">
        <f t="shared" si="10"/>
        <v>NUR001</v>
      </c>
      <c r="Y52" t="str">
        <f t="shared" ca="1" si="11"/>
        <v>Night</v>
      </c>
      <c r="Z52" t="str">
        <f t="shared" ca="1" si="12"/>
        <v>CT Scanner</v>
      </c>
      <c r="AA52" t="str">
        <f t="shared" ca="1" si="13"/>
        <v>Maintenance</v>
      </c>
      <c r="AB52" t="str">
        <f t="shared" ca="1" si="14"/>
        <v>Partially Paid</v>
      </c>
      <c r="AC52" t="str">
        <f t="shared" ca="1" si="15"/>
        <v>Insurance</v>
      </c>
      <c r="AD52" t="str">
        <f t="shared" ca="1" si="16"/>
        <v>No</v>
      </c>
      <c r="AE52" t="str">
        <f t="shared" ca="1" si="17"/>
        <v>No</v>
      </c>
      <c r="AF52" t="str">
        <f t="shared" ca="1" si="18"/>
        <v>Under Observation</v>
      </c>
      <c r="AG52" t="str">
        <f t="shared" ca="1" si="19"/>
        <v>Northeast</v>
      </c>
      <c r="AH52" t="str">
        <f t="shared" si="2"/>
        <v>April</v>
      </c>
      <c r="AI52">
        <f t="shared" si="3"/>
        <v>2024</v>
      </c>
      <c r="AJ52" t="str">
        <f t="shared" ca="1" si="20"/>
        <v>Occupied</v>
      </c>
      <c r="AK52">
        <f t="shared" ca="1" si="21"/>
        <v>4</v>
      </c>
    </row>
    <row r="53" spans="1:37" x14ac:dyDescent="0.3">
      <c r="A53" t="s">
        <v>4500</v>
      </c>
      <c r="B53">
        <v>42</v>
      </c>
      <c r="C53" t="s">
        <v>32</v>
      </c>
      <c r="D53" t="s">
        <v>33</v>
      </c>
      <c r="E53" t="s">
        <v>17</v>
      </c>
      <c r="F53" s="1">
        <v>43631</v>
      </c>
      <c r="G53" t="s">
        <v>149</v>
      </c>
      <c r="H53" t="s">
        <v>150</v>
      </c>
      <c r="I53" t="s">
        <v>36</v>
      </c>
      <c r="J53">
        <v>14681</v>
      </c>
      <c r="K53">
        <v>234</v>
      </c>
      <c r="L53" t="s">
        <v>29</v>
      </c>
      <c r="M53" s="1">
        <v>43651</v>
      </c>
      <c r="N53" t="s">
        <v>30</v>
      </c>
      <c r="O53" t="s">
        <v>43</v>
      </c>
      <c r="P53" t="str">
        <f t="shared" si="4"/>
        <v>P0052</v>
      </c>
      <c r="Q53" t="str">
        <f t="shared" si="0"/>
        <v>Oncology</v>
      </c>
      <c r="R53">
        <f t="shared" si="1"/>
        <v>20</v>
      </c>
      <c r="S53" t="str">
        <f t="shared" ca="1" si="5"/>
        <v>No</v>
      </c>
      <c r="T53" t="str">
        <f t="shared" ca="1" si="6"/>
        <v>Moderate</v>
      </c>
      <c r="U53" t="str">
        <f t="shared" ca="1" si="7"/>
        <v>Private Ward</v>
      </c>
      <c r="V53" t="str">
        <f t="shared" si="8"/>
        <v>BED0052</v>
      </c>
      <c r="W53" t="str">
        <f t="shared" ca="1" si="9"/>
        <v>Private</v>
      </c>
      <c r="X53" t="str">
        <f t="shared" si="10"/>
        <v>NUR002</v>
      </c>
      <c r="Y53" t="str">
        <f t="shared" ca="1" si="11"/>
        <v>Morning</v>
      </c>
      <c r="Z53" t="str">
        <f t="shared" ca="1" si="12"/>
        <v>Ventilator</v>
      </c>
      <c r="AA53" t="str">
        <f t="shared" ca="1" si="13"/>
        <v>Available</v>
      </c>
      <c r="AB53" t="str">
        <f t="shared" ca="1" si="14"/>
        <v>Partially Paid</v>
      </c>
      <c r="AC53" t="str">
        <f t="shared" ca="1" si="15"/>
        <v>Credit Card</v>
      </c>
      <c r="AD53" t="str">
        <f t="shared" ca="1" si="16"/>
        <v>No</v>
      </c>
      <c r="AE53" t="str">
        <f t="shared" ca="1" si="17"/>
        <v>Yes</v>
      </c>
      <c r="AF53" t="str">
        <f t="shared" ca="1" si="18"/>
        <v>Transferred</v>
      </c>
      <c r="AG53" t="str">
        <f t="shared" ca="1" si="19"/>
        <v>Northeast</v>
      </c>
      <c r="AH53" t="str">
        <f t="shared" si="2"/>
        <v>June</v>
      </c>
      <c r="AI53">
        <f t="shared" si="3"/>
        <v>2019</v>
      </c>
      <c r="AJ53" t="str">
        <f t="shared" ca="1" si="20"/>
        <v>Vacant</v>
      </c>
      <c r="AK53">
        <f t="shared" ca="1" si="21"/>
        <v>2</v>
      </c>
    </row>
    <row r="54" spans="1:37" x14ac:dyDescent="0.3">
      <c r="A54" t="s">
        <v>4501</v>
      </c>
      <c r="B54">
        <v>67</v>
      </c>
      <c r="C54" t="s">
        <v>32</v>
      </c>
      <c r="D54" t="s">
        <v>44</v>
      </c>
      <c r="E54" t="s">
        <v>17</v>
      </c>
      <c r="F54" s="1">
        <v>44863</v>
      </c>
      <c r="G54" t="s">
        <v>151</v>
      </c>
      <c r="H54" t="s">
        <v>152</v>
      </c>
      <c r="I54" t="s">
        <v>36</v>
      </c>
      <c r="J54">
        <v>21880</v>
      </c>
      <c r="K54">
        <v>492</v>
      </c>
      <c r="L54" t="s">
        <v>21</v>
      </c>
      <c r="M54" s="1">
        <v>44885</v>
      </c>
      <c r="N54" t="s">
        <v>47</v>
      </c>
      <c r="O54" t="s">
        <v>31</v>
      </c>
      <c r="P54" t="str">
        <f t="shared" si="4"/>
        <v>P0053</v>
      </c>
      <c r="Q54" t="str">
        <f t="shared" si="0"/>
        <v>Oncology</v>
      </c>
      <c r="R54">
        <f t="shared" si="1"/>
        <v>22</v>
      </c>
      <c r="S54" t="str">
        <f t="shared" ca="1" si="5"/>
        <v>Yes</v>
      </c>
      <c r="T54" t="str">
        <f t="shared" ca="1" si="6"/>
        <v>Critical</v>
      </c>
      <c r="U54" t="str">
        <f t="shared" ca="1" si="7"/>
        <v>Private Ward</v>
      </c>
      <c r="V54" t="str">
        <f t="shared" si="8"/>
        <v>BED0053</v>
      </c>
      <c r="W54" t="str">
        <f t="shared" ca="1" si="9"/>
        <v>ICU</v>
      </c>
      <c r="X54" t="str">
        <f t="shared" si="10"/>
        <v>NUR003</v>
      </c>
      <c r="Y54" t="str">
        <f t="shared" ca="1" si="11"/>
        <v>Evening</v>
      </c>
      <c r="Z54" t="str">
        <f t="shared" ca="1" si="12"/>
        <v>Ultrasound</v>
      </c>
      <c r="AA54" t="str">
        <f t="shared" ca="1" si="13"/>
        <v>In Use</v>
      </c>
      <c r="AB54" t="str">
        <f t="shared" ca="1" si="14"/>
        <v>Paid</v>
      </c>
      <c r="AC54" t="str">
        <f t="shared" ca="1" si="15"/>
        <v>Cash</v>
      </c>
      <c r="AD54" t="str">
        <f t="shared" ca="1" si="16"/>
        <v>No</v>
      </c>
      <c r="AE54" t="str">
        <f t="shared" ca="1" si="17"/>
        <v>No</v>
      </c>
      <c r="AF54" t="str">
        <f t="shared" ca="1" si="18"/>
        <v>Under Observation</v>
      </c>
      <c r="AG54" t="str">
        <f t="shared" ca="1" si="19"/>
        <v>Northeast</v>
      </c>
      <c r="AH54" t="str">
        <f t="shared" si="2"/>
        <v>October</v>
      </c>
      <c r="AI54">
        <f t="shared" si="3"/>
        <v>2022</v>
      </c>
      <c r="AJ54" t="str">
        <f t="shared" ca="1" si="20"/>
        <v>Vacant</v>
      </c>
      <c r="AK54">
        <f t="shared" ca="1" si="21"/>
        <v>4</v>
      </c>
    </row>
    <row r="55" spans="1:37" x14ac:dyDescent="0.3">
      <c r="A55" t="s">
        <v>4502</v>
      </c>
      <c r="B55">
        <v>24</v>
      </c>
      <c r="C55" t="s">
        <v>32</v>
      </c>
      <c r="D55" t="s">
        <v>33</v>
      </c>
      <c r="E55" t="s">
        <v>25</v>
      </c>
      <c r="F55" s="1">
        <v>44659</v>
      </c>
      <c r="G55" t="s">
        <v>153</v>
      </c>
      <c r="H55" t="s">
        <v>154</v>
      </c>
      <c r="I55" t="s">
        <v>51</v>
      </c>
      <c r="J55">
        <v>6768</v>
      </c>
      <c r="K55">
        <v>180</v>
      </c>
      <c r="L55" t="s">
        <v>42</v>
      </c>
      <c r="M55" s="1">
        <v>44664</v>
      </c>
      <c r="N55" t="s">
        <v>67</v>
      </c>
      <c r="O55" t="s">
        <v>43</v>
      </c>
      <c r="P55" t="str">
        <f t="shared" si="4"/>
        <v>P0054</v>
      </c>
      <c r="Q55" t="str">
        <f t="shared" si="0"/>
        <v>Nutrition</v>
      </c>
      <c r="R55">
        <f t="shared" si="1"/>
        <v>5</v>
      </c>
      <c r="S55" t="str">
        <f t="shared" ca="1" si="5"/>
        <v>No</v>
      </c>
      <c r="T55" t="str">
        <f t="shared" ca="1" si="6"/>
        <v>Mild</v>
      </c>
      <c r="U55" t="str">
        <f t="shared" ca="1" si="7"/>
        <v>ICU</v>
      </c>
      <c r="V55" t="str">
        <f t="shared" si="8"/>
        <v>BED0054</v>
      </c>
      <c r="W55" t="str">
        <f t="shared" ca="1" si="9"/>
        <v>Private</v>
      </c>
      <c r="X55" t="str">
        <f t="shared" si="10"/>
        <v>NUR004</v>
      </c>
      <c r="Y55" t="str">
        <f t="shared" ca="1" si="11"/>
        <v>Morning</v>
      </c>
      <c r="Z55" t="str">
        <f t="shared" ca="1" si="12"/>
        <v>Ultrasound</v>
      </c>
      <c r="AA55" t="str">
        <f t="shared" ca="1" si="13"/>
        <v>In Use</v>
      </c>
      <c r="AB55" t="str">
        <f t="shared" ca="1" si="14"/>
        <v>Paid</v>
      </c>
      <c r="AC55" t="str">
        <f t="shared" ca="1" si="15"/>
        <v>Credit Card</v>
      </c>
      <c r="AD55" t="str">
        <f t="shared" ca="1" si="16"/>
        <v>No</v>
      </c>
      <c r="AE55" t="str">
        <f t="shared" ca="1" si="17"/>
        <v>No</v>
      </c>
      <c r="AF55" t="str">
        <f t="shared" ca="1" si="18"/>
        <v>Transferred</v>
      </c>
      <c r="AG55" t="str">
        <f t="shared" ca="1" si="19"/>
        <v>Southwest</v>
      </c>
      <c r="AH55" t="str">
        <f t="shared" si="2"/>
        <v>April</v>
      </c>
      <c r="AI55">
        <f t="shared" si="3"/>
        <v>2022</v>
      </c>
      <c r="AJ55" t="str">
        <f t="shared" ca="1" si="20"/>
        <v>Occupied</v>
      </c>
      <c r="AK55">
        <f t="shared" ca="1" si="21"/>
        <v>2</v>
      </c>
    </row>
    <row r="56" spans="1:37" x14ac:dyDescent="0.3">
      <c r="A56" t="s">
        <v>4503</v>
      </c>
      <c r="B56">
        <v>84</v>
      </c>
      <c r="C56" t="s">
        <v>32</v>
      </c>
      <c r="D56" t="s">
        <v>16</v>
      </c>
      <c r="E56" t="s">
        <v>48</v>
      </c>
      <c r="F56" s="1">
        <v>45155</v>
      </c>
      <c r="G56" t="s">
        <v>155</v>
      </c>
      <c r="H56" t="s">
        <v>156</v>
      </c>
      <c r="I56" t="s">
        <v>57</v>
      </c>
      <c r="J56">
        <v>19973</v>
      </c>
      <c r="K56">
        <v>250</v>
      </c>
      <c r="L56" t="s">
        <v>42</v>
      </c>
      <c r="M56" s="1">
        <v>45180</v>
      </c>
      <c r="N56" t="s">
        <v>30</v>
      </c>
      <c r="O56" t="s">
        <v>31</v>
      </c>
      <c r="P56" t="str">
        <f t="shared" si="4"/>
        <v>P0055</v>
      </c>
      <c r="Q56" t="str">
        <f t="shared" si="0"/>
        <v>Pulmonology</v>
      </c>
      <c r="R56">
        <f t="shared" si="1"/>
        <v>25</v>
      </c>
      <c r="S56" t="str">
        <f t="shared" ca="1" si="5"/>
        <v>No</v>
      </c>
      <c r="T56" t="str">
        <f t="shared" ca="1" si="6"/>
        <v>Moderate</v>
      </c>
      <c r="U56" t="str">
        <f t="shared" ca="1" si="7"/>
        <v>General Ward</v>
      </c>
      <c r="V56" t="str">
        <f t="shared" si="8"/>
        <v>BED0055</v>
      </c>
      <c r="W56" t="str">
        <f t="shared" ca="1" si="9"/>
        <v>General</v>
      </c>
      <c r="X56" t="str">
        <f t="shared" si="10"/>
        <v>NUR005</v>
      </c>
      <c r="Y56" t="str">
        <f t="shared" ca="1" si="11"/>
        <v>Night</v>
      </c>
      <c r="Z56" t="str">
        <f t="shared" ca="1" si="12"/>
        <v>Ultrasound</v>
      </c>
      <c r="AA56" t="str">
        <f t="shared" ca="1" si="13"/>
        <v>Maintenance</v>
      </c>
      <c r="AB56" t="str">
        <f t="shared" ca="1" si="14"/>
        <v>Partially Paid</v>
      </c>
      <c r="AC56" t="str">
        <f t="shared" ca="1" si="15"/>
        <v>Cash</v>
      </c>
      <c r="AD56" t="str">
        <f t="shared" ca="1" si="16"/>
        <v>Yes</v>
      </c>
      <c r="AE56" t="str">
        <f t="shared" ca="1" si="17"/>
        <v>No</v>
      </c>
      <c r="AF56" t="str">
        <f t="shared" ca="1" si="18"/>
        <v>Under Observation</v>
      </c>
      <c r="AG56" t="str">
        <f t="shared" ca="1" si="19"/>
        <v>West Coast</v>
      </c>
      <c r="AH56" t="str">
        <f t="shared" si="2"/>
        <v>August</v>
      </c>
      <c r="AI56">
        <f t="shared" si="3"/>
        <v>2023</v>
      </c>
      <c r="AJ56" t="str">
        <f t="shared" ca="1" si="20"/>
        <v>Occupied</v>
      </c>
      <c r="AK56">
        <f t="shared" ca="1" si="21"/>
        <v>2</v>
      </c>
    </row>
    <row r="57" spans="1:37" x14ac:dyDescent="0.3">
      <c r="A57" t="s">
        <v>4504</v>
      </c>
      <c r="B57">
        <v>73</v>
      </c>
      <c r="C57" t="s">
        <v>32</v>
      </c>
      <c r="D57" t="s">
        <v>33</v>
      </c>
      <c r="E57" t="s">
        <v>64</v>
      </c>
      <c r="F57" s="1">
        <v>45235</v>
      </c>
      <c r="G57" t="s">
        <v>157</v>
      </c>
      <c r="H57" t="s">
        <v>158</v>
      </c>
      <c r="I57" t="s">
        <v>51</v>
      </c>
      <c r="J57">
        <v>14362</v>
      </c>
      <c r="K57">
        <v>296</v>
      </c>
      <c r="L57" t="s">
        <v>29</v>
      </c>
      <c r="M57" s="1">
        <v>45237</v>
      </c>
      <c r="N57" t="s">
        <v>22</v>
      </c>
      <c r="O57" t="s">
        <v>31</v>
      </c>
      <c r="P57" t="str">
        <f t="shared" si="4"/>
        <v>P0056</v>
      </c>
      <c r="Q57" t="str">
        <f t="shared" si="0"/>
        <v>Cardiology</v>
      </c>
      <c r="R57">
        <f t="shared" si="1"/>
        <v>2</v>
      </c>
      <c r="S57" t="str">
        <f t="shared" ca="1" si="5"/>
        <v>No</v>
      </c>
      <c r="T57" t="str">
        <f t="shared" ca="1" si="6"/>
        <v>Mild</v>
      </c>
      <c r="U57" t="str">
        <f t="shared" ca="1" si="7"/>
        <v>Private Ward</v>
      </c>
      <c r="V57" t="str">
        <f t="shared" si="8"/>
        <v>BED0056</v>
      </c>
      <c r="W57" t="str">
        <f t="shared" ca="1" si="9"/>
        <v>General</v>
      </c>
      <c r="X57" t="str">
        <f t="shared" si="10"/>
        <v>NUR006</v>
      </c>
      <c r="Y57" t="str">
        <f t="shared" ca="1" si="11"/>
        <v>Night</v>
      </c>
      <c r="Z57" t="str">
        <f t="shared" ca="1" si="12"/>
        <v>ECG Machine</v>
      </c>
      <c r="AA57" t="str">
        <f t="shared" ca="1" si="13"/>
        <v>Maintenance</v>
      </c>
      <c r="AB57" t="str">
        <f t="shared" ca="1" si="14"/>
        <v>Paid</v>
      </c>
      <c r="AC57" t="str">
        <f t="shared" ca="1" si="15"/>
        <v>Debit Card</v>
      </c>
      <c r="AD57" t="str">
        <f t="shared" ca="1" si="16"/>
        <v>Yes</v>
      </c>
      <c r="AE57" t="str">
        <f t="shared" ca="1" si="17"/>
        <v>No</v>
      </c>
      <c r="AF57" t="str">
        <f t="shared" ca="1" si="18"/>
        <v>Transferred</v>
      </c>
      <c r="AG57" t="str">
        <f t="shared" ca="1" si="19"/>
        <v>Southeast</v>
      </c>
      <c r="AH57" t="str">
        <f t="shared" si="2"/>
        <v>November</v>
      </c>
      <c r="AI57">
        <f t="shared" si="3"/>
        <v>2023</v>
      </c>
      <c r="AJ57" t="str">
        <f t="shared" ca="1" si="20"/>
        <v>Occupied</v>
      </c>
      <c r="AK57">
        <f t="shared" ca="1" si="21"/>
        <v>4</v>
      </c>
    </row>
    <row r="58" spans="1:37" x14ac:dyDescent="0.3">
      <c r="A58" t="s">
        <v>4505</v>
      </c>
      <c r="B58">
        <v>55</v>
      </c>
      <c r="C58" t="s">
        <v>32</v>
      </c>
      <c r="D58" t="s">
        <v>24</v>
      </c>
      <c r="E58" t="s">
        <v>17</v>
      </c>
      <c r="F58" s="1">
        <v>45025</v>
      </c>
      <c r="G58" t="s">
        <v>159</v>
      </c>
      <c r="H58" t="s">
        <v>160</v>
      </c>
      <c r="I58" t="s">
        <v>57</v>
      </c>
      <c r="J58">
        <v>10301</v>
      </c>
      <c r="K58">
        <v>330</v>
      </c>
      <c r="L58" t="s">
        <v>29</v>
      </c>
      <c r="M58" s="1">
        <v>45037</v>
      </c>
      <c r="N58" t="s">
        <v>22</v>
      </c>
      <c r="O58" t="s">
        <v>23</v>
      </c>
      <c r="P58" t="str">
        <f t="shared" si="4"/>
        <v>P0057</v>
      </c>
      <c r="Q58" t="str">
        <f t="shared" si="0"/>
        <v>Oncology</v>
      </c>
      <c r="R58">
        <f t="shared" si="1"/>
        <v>12</v>
      </c>
      <c r="S58" t="str">
        <f t="shared" ca="1" si="5"/>
        <v>No</v>
      </c>
      <c r="T58" t="str">
        <f t="shared" ca="1" si="6"/>
        <v>Severe</v>
      </c>
      <c r="U58" t="str">
        <f t="shared" ca="1" si="7"/>
        <v>General Ward</v>
      </c>
      <c r="V58" t="str">
        <f t="shared" si="8"/>
        <v>BED0057</v>
      </c>
      <c r="W58" t="str">
        <f t="shared" ca="1" si="9"/>
        <v>ICU</v>
      </c>
      <c r="X58" t="str">
        <f t="shared" si="10"/>
        <v>NUR007</v>
      </c>
      <c r="Y58" t="str">
        <f t="shared" ca="1" si="11"/>
        <v>Evening</v>
      </c>
      <c r="Z58" t="str">
        <f t="shared" ca="1" si="12"/>
        <v>Ventilator</v>
      </c>
      <c r="AA58" t="str">
        <f t="shared" ca="1" si="13"/>
        <v>Maintenance</v>
      </c>
      <c r="AB58" t="str">
        <f t="shared" ca="1" si="14"/>
        <v>Partially Paid</v>
      </c>
      <c r="AC58" t="str">
        <f t="shared" ca="1" si="15"/>
        <v>Bank Transfer</v>
      </c>
      <c r="AD58" t="str">
        <f t="shared" ca="1" si="16"/>
        <v>No</v>
      </c>
      <c r="AE58" t="str">
        <f t="shared" ca="1" si="17"/>
        <v>No</v>
      </c>
      <c r="AF58" t="str">
        <f t="shared" ca="1" si="18"/>
        <v>Recovered</v>
      </c>
      <c r="AG58" t="str">
        <f t="shared" ca="1" si="19"/>
        <v>Southeast</v>
      </c>
      <c r="AH58" t="str">
        <f t="shared" si="2"/>
        <v>April</v>
      </c>
      <c r="AI58">
        <f t="shared" si="3"/>
        <v>2023</v>
      </c>
      <c r="AJ58" t="str">
        <f t="shared" ca="1" si="20"/>
        <v>Occupied</v>
      </c>
      <c r="AK58">
        <f t="shared" ca="1" si="21"/>
        <v>2</v>
      </c>
    </row>
    <row r="59" spans="1:37" x14ac:dyDescent="0.3">
      <c r="A59" t="s">
        <v>4506</v>
      </c>
      <c r="B59">
        <v>23</v>
      </c>
      <c r="C59" t="s">
        <v>15</v>
      </c>
      <c r="D59" t="s">
        <v>98</v>
      </c>
      <c r="E59" t="s">
        <v>64</v>
      </c>
      <c r="F59" s="1">
        <v>44825</v>
      </c>
      <c r="G59" t="s">
        <v>161</v>
      </c>
      <c r="H59" t="s">
        <v>162</v>
      </c>
      <c r="I59" t="s">
        <v>36</v>
      </c>
      <c r="J59">
        <v>37952</v>
      </c>
      <c r="K59">
        <v>405</v>
      </c>
      <c r="L59" t="s">
        <v>29</v>
      </c>
      <c r="M59" s="1">
        <v>44829</v>
      </c>
      <c r="N59" t="s">
        <v>30</v>
      </c>
      <c r="O59" t="s">
        <v>31</v>
      </c>
      <c r="P59" t="str">
        <f t="shared" si="4"/>
        <v>P0058</v>
      </c>
      <c r="Q59" t="str">
        <f t="shared" si="0"/>
        <v>Cardiology</v>
      </c>
      <c r="R59">
        <f t="shared" si="1"/>
        <v>4</v>
      </c>
      <c r="S59" t="str">
        <f t="shared" ca="1" si="5"/>
        <v>No</v>
      </c>
      <c r="T59" t="str">
        <f t="shared" ca="1" si="6"/>
        <v>Mild</v>
      </c>
      <c r="U59" t="str">
        <f t="shared" ca="1" si="7"/>
        <v>ICU</v>
      </c>
      <c r="V59" t="str">
        <f t="shared" si="8"/>
        <v>BED0058</v>
      </c>
      <c r="W59" t="str">
        <f t="shared" ca="1" si="9"/>
        <v>Semi-Private</v>
      </c>
      <c r="X59" t="str">
        <f t="shared" si="10"/>
        <v>NUR008</v>
      </c>
      <c r="Y59" t="str">
        <f t="shared" ca="1" si="11"/>
        <v>Morning</v>
      </c>
      <c r="Z59" t="str">
        <f t="shared" ca="1" si="12"/>
        <v>Ventilator</v>
      </c>
      <c r="AA59" t="str">
        <f t="shared" ca="1" si="13"/>
        <v>In Use</v>
      </c>
      <c r="AB59" t="str">
        <f t="shared" ca="1" si="14"/>
        <v>Paid</v>
      </c>
      <c r="AC59" t="str">
        <f t="shared" ca="1" si="15"/>
        <v>Debit Card</v>
      </c>
      <c r="AD59" t="str">
        <f t="shared" ca="1" si="16"/>
        <v>Yes</v>
      </c>
      <c r="AE59" t="str">
        <f t="shared" ca="1" si="17"/>
        <v>No</v>
      </c>
      <c r="AF59" t="str">
        <f t="shared" ca="1" si="18"/>
        <v>Under Observation</v>
      </c>
      <c r="AG59" t="str">
        <f t="shared" ca="1" si="19"/>
        <v>Southwest</v>
      </c>
      <c r="AH59" t="str">
        <f t="shared" si="2"/>
        <v>September</v>
      </c>
      <c r="AI59">
        <f t="shared" si="3"/>
        <v>2022</v>
      </c>
      <c r="AJ59" t="str">
        <f t="shared" ca="1" si="20"/>
        <v>Vacant</v>
      </c>
      <c r="AK59">
        <f t="shared" ca="1" si="21"/>
        <v>2</v>
      </c>
    </row>
    <row r="60" spans="1:37" x14ac:dyDescent="0.3">
      <c r="A60" t="s">
        <v>4507</v>
      </c>
      <c r="B60">
        <v>40</v>
      </c>
      <c r="C60" t="s">
        <v>32</v>
      </c>
      <c r="D60" t="s">
        <v>52</v>
      </c>
      <c r="E60" t="s">
        <v>17</v>
      </c>
      <c r="F60" s="1">
        <v>44217</v>
      </c>
      <c r="G60" t="s">
        <v>163</v>
      </c>
      <c r="H60" t="s">
        <v>164</v>
      </c>
      <c r="I60" t="s">
        <v>36</v>
      </c>
      <c r="J60">
        <v>6734</v>
      </c>
      <c r="K60">
        <v>300</v>
      </c>
      <c r="L60" t="s">
        <v>21</v>
      </c>
      <c r="M60" s="1">
        <v>44233</v>
      </c>
      <c r="N60" t="s">
        <v>30</v>
      </c>
      <c r="O60" t="s">
        <v>23</v>
      </c>
      <c r="P60" t="str">
        <f t="shared" si="4"/>
        <v>P0059</v>
      </c>
      <c r="Q60" t="str">
        <f t="shared" si="0"/>
        <v>Oncology</v>
      </c>
      <c r="R60">
        <f t="shared" si="1"/>
        <v>16</v>
      </c>
      <c r="S60" t="str">
        <f t="shared" ca="1" si="5"/>
        <v>Yes</v>
      </c>
      <c r="T60" t="str">
        <f t="shared" ca="1" si="6"/>
        <v>Moderate</v>
      </c>
      <c r="U60" t="str">
        <f t="shared" ca="1" si="7"/>
        <v>Emergency</v>
      </c>
      <c r="V60" t="str">
        <f t="shared" si="8"/>
        <v>BED0059</v>
      </c>
      <c r="W60" t="str">
        <f t="shared" ca="1" si="9"/>
        <v>ICU</v>
      </c>
      <c r="X60" t="str">
        <f t="shared" si="10"/>
        <v>NUR009</v>
      </c>
      <c r="Y60" t="str">
        <f t="shared" ca="1" si="11"/>
        <v>Morning</v>
      </c>
      <c r="Z60" t="str">
        <f t="shared" ca="1" si="12"/>
        <v>ECG Machine</v>
      </c>
      <c r="AA60" t="str">
        <f t="shared" ca="1" si="13"/>
        <v>Available</v>
      </c>
      <c r="AB60" t="str">
        <f t="shared" ca="1" si="14"/>
        <v>Partially Paid</v>
      </c>
      <c r="AC60" t="str">
        <f t="shared" ca="1" si="15"/>
        <v>Cash</v>
      </c>
      <c r="AD60" t="str">
        <f t="shared" ca="1" si="16"/>
        <v>No</v>
      </c>
      <c r="AE60" t="str">
        <f t="shared" ca="1" si="17"/>
        <v>No</v>
      </c>
      <c r="AF60" t="str">
        <f t="shared" ca="1" si="18"/>
        <v>Under Observation</v>
      </c>
      <c r="AG60" t="str">
        <f t="shared" ca="1" si="19"/>
        <v>Midwest</v>
      </c>
      <c r="AH60" t="str">
        <f t="shared" si="2"/>
        <v>January</v>
      </c>
      <c r="AI60">
        <f t="shared" si="3"/>
        <v>2021</v>
      </c>
      <c r="AJ60" t="str">
        <f t="shared" ca="1" si="20"/>
        <v>Occupied</v>
      </c>
      <c r="AK60">
        <f t="shared" ca="1" si="21"/>
        <v>4</v>
      </c>
    </row>
    <row r="61" spans="1:37" x14ac:dyDescent="0.3">
      <c r="A61" t="s">
        <v>4508</v>
      </c>
      <c r="B61">
        <v>51</v>
      </c>
      <c r="C61" t="s">
        <v>15</v>
      </c>
      <c r="D61" t="s">
        <v>38</v>
      </c>
      <c r="E61" t="s">
        <v>64</v>
      </c>
      <c r="F61" s="1">
        <v>44022</v>
      </c>
      <c r="G61" t="s">
        <v>165</v>
      </c>
      <c r="H61" t="s">
        <v>166</v>
      </c>
      <c r="I61" t="s">
        <v>36</v>
      </c>
      <c r="J61">
        <v>17840</v>
      </c>
      <c r="K61">
        <v>306</v>
      </c>
      <c r="L61" t="s">
        <v>42</v>
      </c>
      <c r="M61" s="1">
        <v>44032</v>
      </c>
      <c r="N61" t="s">
        <v>22</v>
      </c>
      <c r="O61" t="s">
        <v>43</v>
      </c>
      <c r="P61" t="str">
        <f t="shared" si="4"/>
        <v>P0060</v>
      </c>
      <c r="Q61" t="str">
        <f t="shared" si="0"/>
        <v>Cardiology</v>
      </c>
      <c r="R61">
        <f t="shared" si="1"/>
        <v>10</v>
      </c>
      <c r="S61" t="str">
        <f t="shared" ca="1" si="5"/>
        <v>No</v>
      </c>
      <c r="T61" t="str">
        <f t="shared" ca="1" si="6"/>
        <v>Mild</v>
      </c>
      <c r="U61" t="str">
        <f t="shared" ca="1" si="7"/>
        <v>Semi-Private</v>
      </c>
      <c r="V61" t="str">
        <f t="shared" si="8"/>
        <v>BED0060</v>
      </c>
      <c r="W61" t="str">
        <f t="shared" ca="1" si="9"/>
        <v>ICU</v>
      </c>
      <c r="X61" t="str">
        <f t="shared" si="10"/>
        <v>NUR010</v>
      </c>
      <c r="Y61" t="str">
        <f t="shared" ca="1" si="11"/>
        <v>Evening</v>
      </c>
      <c r="Z61" t="str">
        <f t="shared" ca="1" si="12"/>
        <v>Ultrasound</v>
      </c>
      <c r="AA61" t="str">
        <f t="shared" ca="1" si="13"/>
        <v>In Use</v>
      </c>
      <c r="AB61" t="str">
        <f t="shared" ca="1" si="14"/>
        <v>Partially Paid</v>
      </c>
      <c r="AC61" t="str">
        <f t="shared" ca="1" si="15"/>
        <v>Debit Card</v>
      </c>
      <c r="AD61" t="str">
        <f t="shared" ca="1" si="16"/>
        <v>No</v>
      </c>
      <c r="AE61" t="str">
        <f t="shared" ca="1" si="17"/>
        <v>No</v>
      </c>
      <c r="AF61" t="str">
        <f t="shared" ca="1" si="18"/>
        <v>Recovered</v>
      </c>
      <c r="AG61" t="str">
        <f t="shared" ca="1" si="19"/>
        <v>Southeast</v>
      </c>
      <c r="AH61" t="str">
        <f t="shared" si="2"/>
        <v>July</v>
      </c>
      <c r="AI61">
        <f t="shared" si="3"/>
        <v>2020</v>
      </c>
      <c r="AJ61" t="str">
        <f t="shared" ca="1" si="20"/>
        <v>Occupied</v>
      </c>
      <c r="AK61">
        <f t="shared" ca="1" si="21"/>
        <v>2</v>
      </c>
    </row>
    <row r="62" spans="1:37" x14ac:dyDescent="0.3">
      <c r="A62" t="s">
        <v>4509</v>
      </c>
      <c r="B62">
        <v>83</v>
      </c>
      <c r="C62" t="s">
        <v>15</v>
      </c>
      <c r="D62" t="s">
        <v>44</v>
      </c>
      <c r="E62" t="s">
        <v>25</v>
      </c>
      <c r="F62" s="1">
        <v>43775</v>
      </c>
      <c r="G62" t="s">
        <v>167</v>
      </c>
      <c r="H62" t="s">
        <v>168</v>
      </c>
      <c r="I62" t="s">
        <v>36</v>
      </c>
      <c r="J62">
        <v>24637</v>
      </c>
      <c r="K62">
        <v>333</v>
      </c>
      <c r="L62" t="s">
        <v>42</v>
      </c>
      <c r="M62" s="1">
        <v>43791</v>
      </c>
      <c r="N62" t="s">
        <v>22</v>
      </c>
      <c r="O62" t="s">
        <v>31</v>
      </c>
      <c r="P62" t="str">
        <f t="shared" si="4"/>
        <v>P0061</v>
      </c>
      <c r="Q62" t="str">
        <f t="shared" si="0"/>
        <v>Nutrition</v>
      </c>
      <c r="R62">
        <f t="shared" si="1"/>
        <v>16</v>
      </c>
      <c r="S62" t="str">
        <f t="shared" ca="1" si="5"/>
        <v>No</v>
      </c>
      <c r="T62" t="str">
        <f t="shared" ca="1" si="6"/>
        <v>Severe</v>
      </c>
      <c r="U62" t="str">
        <f t="shared" ca="1" si="7"/>
        <v>General Ward</v>
      </c>
      <c r="V62" t="str">
        <f t="shared" si="8"/>
        <v>BED0061</v>
      </c>
      <c r="W62" t="str">
        <f t="shared" ca="1" si="9"/>
        <v>Semi-Private</v>
      </c>
      <c r="X62" t="str">
        <f t="shared" si="10"/>
        <v>NUR011</v>
      </c>
      <c r="Y62" t="str">
        <f t="shared" ca="1" si="11"/>
        <v>Morning</v>
      </c>
      <c r="Z62" t="str">
        <f t="shared" ca="1" si="12"/>
        <v>Ultrasound</v>
      </c>
      <c r="AA62" t="str">
        <f t="shared" ca="1" si="13"/>
        <v>Maintenance</v>
      </c>
      <c r="AB62" t="str">
        <f t="shared" ca="1" si="14"/>
        <v>Paid</v>
      </c>
      <c r="AC62" t="str">
        <f t="shared" ca="1" si="15"/>
        <v>Bank Transfer</v>
      </c>
      <c r="AD62" t="str">
        <f t="shared" ca="1" si="16"/>
        <v>Yes</v>
      </c>
      <c r="AE62" t="str">
        <f t="shared" ca="1" si="17"/>
        <v>No</v>
      </c>
      <c r="AF62" t="str">
        <f t="shared" ca="1" si="18"/>
        <v>Transferred</v>
      </c>
      <c r="AG62" t="str">
        <f t="shared" ca="1" si="19"/>
        <v>Southeast</v>
      </c>
      <c r="AH62" t="str">
        <f t="shared" si="2"/>
        <v>November</v>
      </c>
      <c r="AI62">
        <f t="shared" si="3"/>
        <v>2019</v>
      </c>
      <c r="AJ62" t="str">
        <f t="shared" ca="1" si="20"/>
        <v>Occupied</v>
      </c>
      <c r="AK62">
        <f t="shared" ca="1" si="21"/>
        <v>2</v>
      </c>
    </row>
    <row r="63" spans="1:37" x14ac:dyDescent="0.3">
      <c r="A63" t="s">
        <v>4510</v>
      </c>
      <c r="B63">
        <v>63</v>
      </c>
      <c r="C63" t="s">
        <v>15</v>
      </c>
      <c r="D63" t="s">
        <v>33</v>
      </c>
      <c r="E63" t="s">
        <v>48</v>
      </c>
      <c r="F63" s="1">
        <v>45389</v>
      </c>
      <c r="G63" t="s">
        <v>169</v>
      </c>
      <c r="H63" t="s">
        <v>170</v>
      </c>
      <c r="I63" t="s">
        <v>51</v>
      </c>
      <c r="J63">
        <v>39723</v>
      </c>
      <c r="K63">
        <v>244</v>
      </c>
      <c r="L63" t="s">
        <v>29</v>
      </c>
      <c r="M63" s="1">
        <v>45416</v>
      </c>
      <c r="N63" t="s">
        <v>30</v>
      </c>
      <c r="O63" t="s">
        <v>31</v>
      </c>
      <c r="P63" t="str">
        <f t="shared" si="4"/>
        <v>P0062</v>
      </c>
      <c r="Q63" t="str">
        <f t="shared" si="0"/>
        <v>Pulmonology</v>
      </c>
      <c r="R63">
        <f t="shared" si="1"/>
        <v>27</v>
      </c>
      <c r="S63" t="str">
        <f t="shared" ca="1" si="5"/>
        <v>No</v>
      </c>
      <c r="T63" t="str">
        <f t="shared" ca="1" si="6"/>
        <v>Severe</v>
      </c>
      <c r="U63" t="str">
        <f t="shared" ca="1" si="7"/>
        <v>Semi-Private</v>
      </c>
      <c r="V63" t="str">
        <f t="shared" si="8"/>
        <v>BED0062</v>
      </c>
      <c r="W63" t="str">
        <f t="shared" ca="1" si="9"/>
        <v>Semi-Private</v>
      </c>
      <c r="X63" t="str">
        <f t="shared" si="10"/>
        <v>NUR012</v>
      </c>
      <c r="Y63" t="str">
        <f t="shared" ca="1" si="11"/>
        <v>Morning</v>
      </c>
      <c r="Z63" t="str">
        <f t="shared" ca="1" si="12"/>
        <v>Ventilator</v>
      </c>
      <c r="AA63" t="str">
        <f t="shared" ca="1" si="13"/>
        <v>Available</v>
      </c>
      <c r="AB63" t="str">
        <f t="shared" ca="1" si="14"/>
        <v>Partially Paid</v>
      </c>
      <c r="AC63" t="str">
        <f t="shared" ca="1" si="15"/>
        <v>Credit Card</v>
      </c>
      <c r="AD63" t="str">
        <f t="shared" ca="1" si="16"/>
        <v>No</v>
      </c>
      <c r="AE63" t="str">
        <f t="shared" ca="1" si="17"/>
        <v>No</v>
      </c>
      <c r="AF63" t="str">
        <f t="shared" ca="1" si="18"/>
        <v>Transferred</v>
      </c>
      <c r="AG63" t="str">
        <f t="shared" ca="1" si="19"/>
        <v>West Coast</v>
      </c>
      <c r="AH63" t="str">
        <f t="shared" si="2"/>
        <v>April</v>
      </c>
      <c r="AI63">
        <f t="shared" si="3"/>
        <v>2024</v>
      </c>
      <c r="AJ63" t="str">
        <f t="shared" ca="1" si="20"/>
        <v>Vacant</v>
      </c>
      <c r="AK63">
        <f t="shared" ca="1" si="21"/>
        <v>1</v>
      </c>
    </row>
    <row r="64" spans="1:37" x14ac:dyDescent="0.3">
      <c r="A64" t="s">
        <v>4511</v>
      </c>
      <c r="B64">
        <v>18</v>
      </c>
      <c r="C64" t="s">
        <v>15</v>
      </c>
      <c r="D64" t="s">
        <v>24</v>
      </c>
      <c r="E64" t="s">
        <v>17</v>
      </c>
      <c r="F64" s="1">
        <v>44748</v>
      </c>
      <c r="G64" t="s">
        <v>171</v>
      </c>
      <c r="H64" t="s">
        <v>172</v>
      </c>
      <c r="I64" t="s">
        <v>51</v>
      </c>
      <c r="J64">
        <v>48407</v>
      </c>
      <c r="K64">
        <v>325</v>
      </c>
      <c r="L64" t="s">
        <v>29</v>
      </c>
      <c r="M64" s="1">
        <v>44760</v>
      </c>
      <c r="N64" t="s">
        <v>37</v>
      </c>
      <c r="O64" t="s">
        <v>23</v>
      </c>
      <c r="P64" t="str">
        <f t="shared" si="4"/>
        <v>P0063</v>
      </c>
      <c r="Q64" t="str">
        <f t="shared" si="0"/>
        <v>Oncology</v>
      </c>
      <c r="R64">
        <f t="shared" si="1"/>
        <v>12</v>
      </c>
      <c r="S64" t="str">
        <f t="shared" ca="1" si="5"/>
        <v>No</v>
      </c>
      <c r="T64" t="str">
        <f t="shared" ca="1" si="6"/>
        <v>Severe</v>
      </c>
      <c r="U64" t="str">
        <f t="shared" ca="1" si="7"/>
        <v>General Ward</v>
      </c>
      <c r="V64" t="str">
        <f t="shared" si="8"/>
        <v>BED0063</v>
      </c>
      <c r="W64" t="str">
        <f t="shared" ca="1" si="9"/>
        <v>General</v>
      </c>
      <c r="X64" t="str">
        <f t="shared" si="10"/>
        <v>NUR013</v>
      </c>
      <c r="Y64" t="str">
        <f t="shared" ca="1" si="11"/>
        <v>Morning</v>
      </c>
      <c r="Z64" t="str">
        <f t="shared" ca="1" si="12"/>
        <v>Ultrasound</v>
      </c>
      <c r="AA64" t="str">
        <f t="shared" ca="1" si="13"/>
        <v>Maintenance</v>
      </c>
      <c r="AB64" t="str">
        <f t="shared" ca="1" si="14"/>
        <v>Partially Paid</v>
      </c>
      <c r="AC64" t="str">
        <f t="shared" ca="1" si="15"/>
        <v>Cash</v>
      </c>
      <c r="AD64" t="str">
        <f t="shared" ca="1" si="16"/>
        <v>No</v>
      </c>
      <c r="AE64" t="str">
        <f t="shared" ca="1" si="17"/>
        <v>No</v>
      </c>
      <c r="AF64" t="str">
        <f t="shared" ca="1" si="18"/>
        <v>Recovered</v>
      </c>
      <c r="AG64" t="str">
        <f t="shared" ca="1" si="19"/>
        <v>Southeast</v>
      </c>
      <c r="AH64" t="str">
        <f t="shared" si="2"/>
        <v>July</v>
      </c>
      <c r="AI64">
        <f t="shared" si="3"/>
        <v>2022</v>
      </c>
      <c r="AJ64" t="str">
        <f t="shared" ca="1" si="20"/>
        <v>Occupied</v>
      </c>
      <c r="AK64">
        <f t="shared" ca="1" si="21"/>
        <v>1</v>
      </c>
    </row>
    <row r="65" spans="1:37" x14ac:dyDescent="0.3">
      <c r="A65" t="s">
        <v>4512</v>
      </c>
      <c r="B65">
        <v>23</v>
      </c>
      <c r="C65" t="s">
        <v>32</v>
      </c>
      <c r="D65" t="s">
        <v>16</v>
      </c>
      <c r="E65" t="s">
        <v>64</v>
      </c>
      <c r="F65" s="1">
        <v>44776</v>
      </c>
      <c r="G65" t="s">
        <v>173</v>
      </c>
      <c r="H65" t="s">
        <v>174</v>
      </c>
      <c r="I65" t="s">
        <v>57</v>
      </c>
      <c r="J65">
        <v>5517</v>
      </c>
      <c r="K65">
        <v>113</v>
      </c>
      <c r="L65" t="s">
        <v>42</v>
      </c>
      <c r="M65" s="1">
        <v>44783</v>
      </c>
      <c r="N65" t="s">
        <v>37</v>
      </c>
      <c r="O65" t="s">
        <v>31</v>
      </c>
      <c r="P65" t="str">
        <f t="shared" si="4"/>
        <v>P0064</v>
      </c>
      <c r="Q65" t="str">
        <f t="shared" si="0"/>
        <v>Cardiology</v>
      </c>
      <c r="R65">
        <f t="shared" si="1"/>
        <v>7</v>
      </c>
      <c r="S65" t="str">
        <f t="shared" ca="1" si="5"/>
        <v>No</v>
      </c>
      <c r="T65" t="str">
        <f t="shared" ca="1" si="6"/>
        <v>Mild</v>
      </c>
      <c r="U65" t="str">
        <f t="shared" ca="1" si="7"/>
        <v>Semi-Private</v>
      </c>
      <c r="V65" t="str">
        <f t="shared" si="8"/>
        <v>BED0064</v>
      </c>
      <c r="W65" t="str">
        <f t="shared" ca="1" si="9"/>
        <v>Semi-Private</v>
      </c>
      <c r="X65" t="str">
        <f t="shared" si="10"/>
        <v>NUR014</v>
      </c>
      <c r="Y65" t="str">
        <f t="shared" ca="1" si="11"/>
        <v>Morning</v>
      </c>
      <c r="Z65" t="str">
        <f t="shared" ca="1" si="12"/>
        <v>Ultrasound</v>
      </c>
      <c r="AA65" t="str">
        <f t="shared" ca="1" si="13"/>
        <v>In Use</v>
      </c>
      <c r="AB65" t="str">
        <f t="shared" ca="1" si="14"/>
        <v>Paid</v>
      </c>
      <c r="AC65" t="str">
        <f t="shared" ca="1" si="15"/>
        <v>Cash</v>
      </c>
      <c r="AD65" t="str">
        <f t="shared" ca="1" si="16"/>
        <v>No</v>
      </c>
      <c r="AE65" t="str">
        <f t="shared" ca="1" si="17"/>
        <v>No</v>
      </c>
      <c r="AF65" t="str">
        <f t="shared" ca="1" si="18"/>
        <v>Transferred</v>
      </c>
      <c r="AG65" t="str">
        <f t="shared" ca="1" si="19"/>
        <v>Southwest</v>
      </c>
      <c r="AH65" t="str">
        <f t="shared" si="2"/>
        <v>August</v>
      </c>
      <c r="AI65">
        <f t="shared" si="3"/>
        <v>2022</v>
      </c>
      <c r="AJ65" t="str">
        <f t="shared" ca="1" si="20"/>
        <v>Occupied</v>
      </c>
      <c r="AK65">
        <f t="shared" ca="1" si="21"/>
        <v>2</v>
      </c>
    </row>
    <row r="66" spans="1:37" x14ac:dyDescent="0.3">
      <c r="A66" t="s">
        <v>4513</v>
      </c>
      <c r="B66">
        <v>58</v>
      </c>
      <c r="C66" t="s">
        <v>15</v>
      </c>
      <c r="D66" t="s">
        <v>33</v>
      </c>
      <c r="E66" t="s">
        <v>64</v>
      </c>
      <c r="F66" s="1">
        <v>43959</v>
      </c>
      <c r="G66" t="s">
        <v>175</v>
      </c>
      <c r="H66" t="s">
        <v>176</v>
      </c>
      <c r="I66" t="s">
        <v>28</v>
      </c>
      <c r="J66">
        <v>19183</v>
      </c>
      <c r="K66">
        <v>378</v>
      </c>
      <c r="L66" t="s">
        <v>29</v>
      </c>
      <c r="M66" s="1">
        <v>43983</v>
      </c>
      <c r="N66" t="s">
        <v>37</v>
      </c>
      <c r="O66" t="s">
        <v>43</v>
      </c>
      <c r="P66" t="str">
        <f t="shared" si="4"/>
        <v>P0065</v>
      </c>
      <c r="Q66" t="str">
        <f t="shared" ref="Q66:Q129" si="22">IF(E66="Cancer","Oncology",IF(E66="Obesity","Nutrition",IF(E66="Diabetes","Endocrinology",IF(E66="Asthma","Pulmonology",IF(E66="Arthritis","Orthopedics",IF(E66="Hypertension","Cardiology","General Medicine"))))))</f>
        <v>Cardiology</v>
      </c>
      <c r="R66">
        <f t="shared" ref="R66:R129" si="23">M66-F66</f>
        <v>24</v>
      </c>
      <c r="S66" t="str">
        <f t="shared" ca="1" si="5"/>
        <v>No</v>
      </c>
      <c r="T66" t="str">
        <f t="shared" ca="1" si="6"/>
        <v>Mild</v>
      </c>
      <c r="U66" t="str">
        <f t="shared" ca="1" si="7"/>
        <v>Private Ward</v>
      </c>
      <c r="V66" t="str">
        <f t="shared" si="8"/>
        <v>BED0065</v>
      </c>
      <c r="W66" t="str">
        <f t="shared" ca="1" si="9"/>
        <v>ICU</v>
      </c>
      <c r="X66" t="str">
        <f t="shared" si="10"/>
        <v>NUR015</v>
      </c>
      <c r="Y66" t="str">
        <f t="shared" ca="1" si="11"/>
        <v>Night</v>
      </c>
      <c r="Z66" t="str">
        <f t="shared" ca="1" si="12"/>
        <v>ECG Machine</v>
      </c>
      <c r="AA66" t="str">
        <f t="shared" ca="1" si="13"/>
        <v>In Use</v>
      </c>
      <c r="AB66" t="str">
        <f t="shared" ca="1" si="14"/>
        <v>Paid</v>
      </c>
      <c r="AC66" t="str">
        <f t="shared" ca="1" si="15"/>
        <v>Credit Card</v>
      </c>
      <c r="AD66" t="str">
        <f t="shared" ca="1" si="16"/>
        <v>Yes</v>
      </c>
      <c r="AE66" t="str">
        <f t="shared" ca="1" si="17"/>
        <v>Yes</v>
      </c>
      <c r="AF66" t="str">
        <f t="shared" ca="1" si="18"/>
        <v>Under Observation</v>
      </c>
      <c r="AG66" t="str">
        <f t="shared" ca="1" si="19"/>
        <v>Southwest</v>
      </c>
      <c r="AH66" t="str">
        <f t="shared" ref="AH66:AH129" si="24">TEXT(F66,"MMMM")</f>
        <v>May</v>
      </c>
      <c r="AI66">
        <f t="shared" ref="AI66:AI129" si="25">YEAR(F66)</f>
        <v>2020</v>
      </c>
      <c r="AJ66" t="str">
        <f t="shared" ca="1" si="20"/>
        <v>Occupied</v>
      </c>
      <c r="AK66">
        <f t="shared" ca="1" si="21"/>
        <v>2</v>
      </c>
    </row>
    <row r="67" spans="1:37" x14ac:dyDescent="0.3">
      <c r="A67" t="s">
        <v>4514</v>
      </c>
      <c r="B67">
        <v>27</v>
      </c>
      <c r="C67" t="s">
        <v>15</v>
      </c>
      <c r="D67" t="s">
        <v>52</v>
      </c>
      <c r="E67" t="s">
        <v>17</v>
      </c>
      <c r="F67" s="1">
        <v>43808</v>
      </c>
      <c r="G67" t="s">
        <v>177</v>
      </c>
      <c r="H67" t="s">
        <v>178</v>
      </c>
      <c r="I67" t="s">
        <v>28</v>
      </c>
      <c r="J67">
        <v>8321</v>
      </c>
      <c r="K67">
        <v>468</v>
      </c>
      <c r="L67" t="s">
        <v>21</v>
      </c>
      <c r="M67" s="1">
        <v>43820</v>
      </c>
      <c r="N67" t="s">
        <v>67</v>
      </c>
      <c r="O67" t="s">
        <v>43</v>
      </c>
      <c r="P67" t="str">
        <f t="shared" ref="P67:P130" si="26">"P"&amp;TEXT(ROW()-1,"0000")</f>
        <v>P0066</v>
      </c>
      <c r="Q67" t="str">
        <f t="shared" si="22"/>
        <v>Oncology</v>
      </c>
      <c r="R67">
        <f t="shared" si="23"/>
        <v>12</v>
      </c>
      <c r="S67" t="str">
        <f t="shared" ref="S67:S130" ca="1" si="27">IF(RAND()&lt;0.1,"Yes","No")</f>
        <v>No</v>
      </c>
      <c r="T67" t="str">
        <f t="shared" ref="T67:T130" ca="1" si="28">CHOOSE(RANDBETWEEN(1,4),"Mild","Moderate","Severe","Critical")</f>
        <v>Mild</v>
      </c>
      <c r="U67" t="str">
        <f t="shared" ref="U67:U130" ca="1" si="29">CHOOSE(RANDBETWEEN(1,5),"General Ward","ICU","Emergency","Private Ward","Semi-Private")</f>
        <v>General Ward</v>
      </c>
      <c r="V67" t="str">
        <f t="shared" ref="V67:V130" si="30">"BED"&amp;TEXT(ROW()-1,"0000")</f>
        <v>BED0066</v>
      </c>
      <c r="W67" t="str">
        <f t="shared" ref="W67:W130" ca="1" si="31">CHOOSE(RANDBETWEEN(1,4),"General","Private","Semi-Private","ICU")</f>
        <v>ICU</v>
      </c>
      <c r="X67" t="str">
        <f t="shared" ref="X67:X130" si="32">"NUR"&amp;TEXT(MOD(ROW()-2,50)+1,"000")</f>
        <v>NUR016</v>
      </c>
      <c r="Y67" t="str">
        <f t="shared" ref="Y67:Y130" ca="1" si="33">CHOOSE(RANDBETWEEN(1,3),"Morning","Evening","Night")</f>
        <v>Morning</v>
      </c>
      <c r="Z67" t="str">
        <f t="shared" ref="Z67:Z130" ca="1" si="34">CHOOSE(RANDBETWEEN(1,6),"MRI Scanner","CT Scanner","Ventilator","X-Ray","ECG Machine","Ultrasound")</f>
        <v>MRI Scanner</v>
      </c>
      <c r="AA67" t="str">
        <f t="shared" ref="AA67:AA130" ca="1" si="35">CHOOSE(RANDBETWEEN(1,3),"Available","In Use","Maintenance")</f>
        <v>In Use</v>
      </c>
      <c r="AB67" t="str">
        <f t="shared" ref="AB67:AB130" ca="1" si="36">CHOOSE(RANDBETWEEN(1,3),"Paid","Pending","Partially Paid")</f>
        <v>Partially Paid</v>
      </c>
      <c r="AC67" t="str">
        <f t="shared" ref="AC67:AC130" ca="1" si="37">CHOOSE(RANDBETWEEN(1,5),"Cash","Credit Card","Debit Card","Insurance","Bank Transfer")</f>
        <v>Credit Card</v>
      </c>
      <c r="AD67" t="str">
        <f t="shared" ref="AD67:AD130" ca="1" si="38">IF(RAND()&lt;0.2,"Yes","No")</f>
        <v>No</v>
      </c>
      <c r="AE67" t="str">
        <f t="shared" ref="AE67:AE130" ca="1" si="39">IF(RAND()&lt;0.15,"Yes","No")</f>
        <v>No</v>
      </c>
      <c r="AF67" t="str">
        <f t="shared" ref="AF67:AF130" ca="1" si="40">CHOOSE(RANDBETWEEN(1,3),"Recovered","Transferred","Under Observation")</f>
        <v>Transferred</v>
      </c>
      <c r="AG67" t="str">
        <f t="shared" ref="AG67:AG130" ca="1" si="41">CHOOSE(RANDBETWEEN(1,5),"Northeast","Southeast","Midwest","Southwest","West Coast")</f>
        <v>Southeast</v>
      </c>
      <c r="AH67" t="str">
        <f t="shared" si="24"/>
        <v>December</v>
      </c>
      <c r="AI67">
        <f t="shared" si="25"/>
        <v>2019</v>
      </c>
      <c r="AJ67" t="str">
        <f t="shared" ref="AJ67:AJ130" ca="1" si="42">IF(RANDBETWEEN(1,100)&lt;=80,"Occupied","Vacant")</f>
        <v>Occupied</v>
      </c>
      <c r="AK67">
        <f t="shared" ref="AK67:AK130" ca="1" si="43">CHOOSE(RANDBETWEEN(1,3),1,2,4)</f>
        <v>1</v>
      </c>
    </row>
    <row r="68" spans="1:37" x14ac:dyDescent="0.3">
      <c r="A68" t="s">
        <v>4515</v>
      </c>
      <c r="B68">
        <v>59</v>
      </c>
      <c r="C68" t="s">
        <v>15</v>
      </c>
      <c r="D68" t="s">
        <v>83</v>
      </c>
      <c r="E68" t="s">
        <v>39</v>
      </c>
      <c r="F68" s="1">
        <v>43790</v>
      </c>
      <c r="G68" t="s">
        <v>179</v>
      </c>
      <c r="H68" t="s">
        <v>180</v>
      </c>
      <c r="I68" t="s">
        <v>28</v>
      </c>
      <c r="J68">
        <v>10107</v>
      </c>
      <c r="K68">
        <v>368</v>
      </c>
      <c r="L68" t="s">
        <v>29</v>
      </c>
      <c r="M68" s="1">
        <v>43807</v>
      </c>
      <c r="N68" t="s">
        <v>47</v>
      </c>
      <c r="O68" t="s">
        <v>43</v>
      </c>
      <c r="P68" t="str">
        <f t="shared" si="26"/>
        <v>P0067</v>
      </c>
      <c r="Q68" t="str">
        <f t="shared" si="22"/>
        <v>Endocrinology</v>
      </c>
      <c r="R68">
        <f t="shared" si="23"/>
        <v>17</v>
      </c>
      <c r="S68" t="str">
        <f t="shared" ca="1" si="27"/>
        <v>No</v>
      </c>
      <c r="T68" t="str">
        <f t="shared" ca="1" si="28"/>
        <v>Critical</v>
      </c>
      <c r="U68" t="str">
        <f t="shared" ca="1" si="29"/>
        <v>Semi-Private</v>
      </c>
      <c r="V68" t="str">
        <f t="shared" si="30"/>
        <v>BED0067</v>
      </c>
      <c r="W68" t="str">
        <f t="shared" ca="1" si="31"/>
        <v>ICU</v>
      </c>
      <c r="X68" t="str">
        <f t="shared" si="32"/>
        <v>NUR017</v>
      </c>
      <c r="Y68" t="str">
        <f t="shared" ca="1" si="33"/>
        <v>Evening</v>
      </c>
      <c r="Z68" t="str">
        <f t="shared" ca="1" si="34"/>
        <v>CT Scanner</v>
      </c>
      <c r="AA68" t="str">
        <f t="shared" ca="1" si="35"/>
        <v>Maintenance</v>
      </c>
      <c r="AB68" t="str">
        <f t="shared" ca="1" si="36"/>
        <v>Paid</v>
      </c>
      <c r="AC68" t="str">
        <f t="shared" ca="1" si="37"/>
        <v>Insurance</v>
      </c>
      <c r="AD68" t="str">
        <f t="shared" ca="1" si="38"/>
        <v>Yes</v>
      </c>
      <c r="AE68" t="str">
        <f t="shared" ca="1" si="39"/>
        <v>Yes</v>
      </c>
      <c r="AF68" t="str">
        <f t="shared" ca="1" si="40"/>
        <v>Transferred</v>
      </c>
      <c r="AG68" t="str">
        <f t="shared" ca="1" si="41"/>
        <v>Northeast</v>
      </c>
      <c r="AH68" t="str">
        <f t="shared" si="24"/>
        <v>November</v>
      </c>
      <c r="AI68">
        <f t="shared" si="25"/>
        <v>2019</v>
      </c>
      <c r="AJ68" t="str">
        <f t="shared" ca="1" si="42"/>
        <v>Occupied</v>
      </c>
      <c r="AK68">
        <f t="shared" ca="1" si="43"/>
        <v>2</v>
      </c>
    </row>
    <row r="69" spans="1:37" x14ac:dyDescent="0.3">
      <c r="A69" t="s">
        <v>111</v>
      </c>
      <c r="B69">
        <v>27</v>
      </c>
      <c r="C69" t="s">
        <v>15</v>
      </c>
      <c r="D69" t="s">
        <v>16</v>
      </c>
      <c r="E69" t="s">
        <v>64</v>
      </c>
      <c r="F69" s="1">
        <v>44933</v>
      </c>
      <c r="G69" t="s">
        <v>181</v>
      </c>
      <c r="H69" t="s">
        <v>182</v>
      </c>
      <c r="I69" t="s">
        <v>57</v>
      </c>
      <c r="J69">
        <v>49402</v>
      </c>
      <c r="K69">
        <v>263</v>
      </c>
      <c r="L69" t="s">
        <v>42</v>
      </c>
      <c r="M69" s="1">
        <v>44953</v>
      </c>
      <c r="N69" t="s">
        <v>67</v>
      </c>
      <c r="O69" t="s">
        <v>31</v>
      </c>
      <c r="P69" t="str">
        <f t="shared" si="26"/>
        <v>P0068</v>
      </c>
      <c r="Q69" t="str">
        <f t="shared" si="22"/>
        <v>Cardiology</v>
      </c>
      <c r="R69">
        <f t="shared" si="23"/>
        <v>20</v>
      </c>
      <c r="S69" t="str">
        <f t="shared" ca="1" si="27"/>
        <v>No</v>
      </c>
      <c r="T69" t="str">
        <f t="shared" ca="1" si="28"/>
        <v>Mild</v>
      </c>
      <c r="U69" t="str">
        <f t="shared" ca="1" si="29"/>
        <v>General Ward</v>
      </c>
      <c r="V69" t="str">
        <f t="shared" si="30"/>
        <v>BED0068</v>
      </c>
      <c r="W69" t="str">
        <f t="shared" ca="1" si="31"/>
        <v>Private</v>
      </c>
      <c r="X69" t="str">
        <f t="shared" si="32"/>
        <v>NUR018</v>
      </c>
      <c r="Y69" t="str">
        <f t="shared" ca="1" si="33"/>
        <v>Evening</v>
      </c>
      <c r="Z69" t="str">
        <f t="shared" ca="1" si="34"/>
        <v>MRI Scanner</v>
      </c>
      <c r="AA69" t="str">
        <f t="shared" ca="1" si="35"/>
        <v>In Use</v>
      </c>
      <c r="AB69" t="str">
        <f t="shared" ca="1" si="36"/>
        <v>Pending</v>
      </c>
      <c r="AC69" t="str">
        <f t="shared" ca="1" si="37"/>
        <v>Bank Transfer</v>
      </c>
      <c r="AD69" t="str">
        <f t="shared" ca="1" si="38"/>
        <v>No</v>
      </c>
      <c r="AE69" t="str">
        <f t="shared" ca="1" si="39"/>
        <v>Yes</v>
      </c>
      <c r="AF69" t="str">
        <f t="shared" ca="1" si="40"/>
        <v>Recovered</v>
      </c>
      <c r="AG69" t="str">
        <f t="shared" ca="1" si="41"/>
        <v>Midwest</v>
      </c>
      <c r="AH69" t="str">
        <f t="shared" si="24"/>
        <v>January</v>
      </c>
      <c r="AI69">
        <f t="shared" si="25"/>
        <v>2023</v>
      </c>
      <c r="AJ69" t="str">
        <f t="shared" ca="1" si="42"/>
        <v>Vacant</v>
      </c>
      <c r="AK69">
        <f t="shared" ca="1" si="43"/>
        <v>2</v>
      </c>
    </row>
    <row r="70" spans="1:37" x14ac:dyDescent="0.3">
      <c r="A70" t="s">
        <v>894</v>
      </c>
      <c r="B70">
        <v>31</v>
      </c>
      <c r="C70" t="s">
        <v>15</v>
      </c>
      <c r="D70" t="s">
        <v>83</v>
      </c>
      <c r="E70" t="s">
        <v>39</v>
      </c>
      <c r="F70" s="1">
        <v>45328</v>
      </c>
      <c r="G70" t="s">
        <v>183</v>
      </c>
      <c r="H70" t="s">
        <v>184</v>
      </c>
      <c r="I70" t="s">
        <v>51</v>
      </c>
      <c r="J70">
        <v>35777</v>
      </c>
      <c r="K70">
        <v>489</v>
      </c>
      <c r="L70" t="s">
        <v>29</v>
      </c>
      <c r="M70" s="1">
        <v>45332</v>
      </c>
      <c r="N70" t="s">
        <v>47</v>
      </c>
      <c r="O70" t="s">
        <v>23</v>
      </c>
      <c r="P70" t="str">
        <f t="shared" si="26"/>
        <v>P0069</v>
      </c>
      <c r="Q70" t="str">
        <f t="shared" si="22"/>
        <v>Endocrinology</v>
      </c>
      <c r="R70">
        <f t="shared" si="23"/>
        <v>4</v>
      </c>
      <c r="S70" t="str">
        <f t="shared" ca="1" si="27"/>
        <v>No</v>
      </c>
      <c r="T70" t="str">
        <f t="shared" ca="1" si="28"/>
        <v>Moderate</v>
      </c>
      <c r="U70" t="str">
        <f t="shared" ca="1" si="29"/>
        <v>ICU</v>
      </c>
      <c r="V70" t="str">
        <f t="shared" si="30"/>
        <v>BED0069</v>
      </c>
      <c r="W70" t="str">
        <f t="shared" ca="1" si="31"/>
        <v>Semi-Private</v>
      </c>
      <c r="X70" t="str">
        <f t="shared" si="32"/>
        <v>NUR019</v>
      </c>
      <c r="Y70" t="str">
        <f t="shared" ca="1" si="33"/>
        <v>Evening</v>
      </c>
      <c r="Z70" t="str">
        <f t="shared" ca="1" si="34"/>
        <v>Ultrasound</v>
      </c>
      <c r="AA70" t="str">
        <f t="shared" ca="1" si="35"/>
        <v>In Use</v>
      </c>
      <c r="AB70" t="str">
        <f t="shared" ca="1" si="36"/>
        <v>Paid</v>
      </c>
      <c r="AC70" t="str">
        <f t="shared" ca="1" si="37"/>
        <v>Cash</v>
      </c>
      <c r="AD70" t="str">
        <f t="shared" ca="1" si="38"/>
        <v>No</v>
      </c>
      <c r="AE70" t="str">
        <f t="shared" ca="1" si="39"/>
        <v>Yes</v>
      </c>
      <c r="AF70" t="str">
        <f t="shared" ca="1" si="40"/>
        <v>Transferred</v>
      </c>
      <c r="AG70" t="str">
        <f t="shared" ca="1" si="41"/>
        <v>Northeast</v>
      </c>
      <c r="AH70" t="str">
        <f t="shared" si="24"/>
        <v>February</v>
      </c>
      <c r="AI70">
        <f t="shared" si="25"/>
        <v>2024</v>
      </c>
      <c r="AJ70" t="str">
        <f t="shared" ca="1" si="42"/>
        <v>Occupied</v>
      </c>
      <c r="AK70">
        <f t="shared" ca="1" si="43"/>
        <v>1</v>
      </c>
    </row>
    <row r="71" spans="1:37" x14ac:dyDescent="0.3">
      <c r="A71" t="s">
        <v>4516</v>
      </c>
      <c r="B71">
        <v>19</v>
      </c>
      <c r="C71" t="s">
        <v>32</v>
      </c>
      <c r="D71" t="s">
        <v>24</v>
      </c>
      <c r="E71" t="s">
        <v>76</v>
      </c>
      <c r="F71" s="1">
        <v>43860</v>
      </c>
      <c r="G71" t="s">
        <v>185</v>
      </c>
      <c r="H71" t="s">
        <v>186</v>
      </c>
      <c r="I71" t="s">
        <v>28</v>
      </c>
      <c r="J71">
        <v>20228</v>
      </c>
      <c r="K71">
        <v>241</v>
      </c>
      <c r="L71" t="s">
        <v>42</v>
      </c>
      <c r="M71" s="1">
        <v>43873</v>
      </c>
      <c r="N71" t="s">
        <v>47</v>
      </c>
      <c r="O71" t="s">
        <v>23</v>
      </c>
      <c r="P71" t="str">
        <f t="shared" si="26"/>
        <v>P0070</v>
      </c>
      <c r="Q71" t="str">
        <f t="shared" si="22"/>
        <v>Orthopedics</v>
      </c>
      <c r="R71">
        <f t="shared" si="23"/>
        <v>13</v>
      </c>
      <c r="S71" t="str">
        <f t="shared" ca="1" si="27"/>
        <v>No</v>
      </c>
      <c r="T71" t="str">
        <f t="shared" ca="1" si="28"/>
        <v>Mild</v>
      </c>
      <c r="U71" t="str">
        <f t="shared" ca="1" si="29"/>
        <v>Semi-Private</v>
      </c>
      <c r="V71" t="str">
        <f t="shared" si="30"/>
        <v>BED0070</v>
      </c>
      <c r="W71" t="str">
        <f t="shared" ca="1" si="31"/>
        <v>Private</v>
      </c>
      <c r="X71" t="str">
        <f t="shared" si="32"/>
        <v>NUR020</v>
      </c>
      <c r="Y71" t="str">
        <f t="shared" ca="1" si="33"/>
        <v>Evening</v>
      </c>
      <c r="Z71" t="str">
        <f t="shared" ca="1" si="34"/>
        <v>CT Scanner</v>
      </c>
      <c r="AA71" t="str">
        <f t="shared" ca="1" si="35"/>
        <v>In Use</v>
      </c>
      <c r="AB71" t="str">
        <f t="shared" ca="1" si="36"/>
        <v>Partially Paid</v>
      </c>
      <c r="AC71" t="str">
        <f t="shared" ca="1" si="37"/>
        <v>Cash</v>
      </c>
      <c r="AD71" t="str">
        <f t="shared" ca="1" si="38"/>
        <v>No</v>
      </c>
      <c r="AE71" t="str">
        <f t="shared" ca="1" si="39"/>
        <v>No</v>
      </c>
      <c r="AF71" t="str">
        <f t="shared" ca="1" si="40"/>
        <v>Recovered</v>
      </c>
      <c r="AG71" t="str">
        <f t="shared" ca="1" si="41"/>
        <v>West Coast</v>
      </c>
      <c r="AH71" t="str">
        <f t="shared" si="24"/>
        <v>January</v>
      </c>
      <c r="AI71">
        <f t="shared" si="25"/>
        <v>2020</v>
      </c>
      <c r="AJ71" t="str">
        <f t="shared" ca="1" si="42"/>
        <v>Occupied</v>
      </c>
      <c r="AK71">
        <f t="shared" ca="1" si="43"/>
        <v>1</v>
      </c>
    </row>
    <row r="72" spans="1:37" x14ac:dyDescent="0.3">
      <c r="A72" t="s">
        <v>4517</v>
      </c>
      <c r="B72">
        <v>29</v>
      </c>
      <c r="C72" t="s">
        <v>32</v>
      </c>
      <c r="D72" t="s">
        <v>38</v>
      </c>
      <c r="E72" t="s">
        <v>17</v>
      </c>
      <c r="F72" s="1">
        <v>44858</v>
      </c>
      <c r="G72" t="s">
        <v>187</v>
      </c>
      <c r="H72" t="s">
        <v>188</v>
      </c>
      <c r="I72" t="s">
        <v>20</v>
      </c>
      <c r="J72">
        <v>19328</v>
      </c>
      <c r="K72">
        <v>231</v>
      </c>
      <c r="L72" t="s">
        <v>21</v>
      </c>
      <c r="M72" s="1">
        <v>44872</v>
      </c>
      <c r="N72" t="s">
        <v>30</v>
      </c>
      <c r="O72" t="s">
        <v>23</v>
      </c>
      <c r="P72" t="str">
        <f t="shared" si="26"/>
        <v>P0071</v>
      </c>
      <c r="Q72" t="str">
        <f t="shared" si="22"/>
        <v>Oncology</v>
      </c>
      <c r="R72">
        <f t="shared" si="23"/>
        <v>14</v>
      </c>
      <c r="S72" t="str">
        <f t="shared" ca="1" si="27"/>
        <v>No</v>
      </c>
      <c r="T72" t="str">
        <f t="shared" ca="1" si="28"/>
        <v>Severe</v>
      </c>
      <c r="U72" t="str">
        <f t="shared" ca="1" si="29"/>
        <v>ICU</v>
      </c>
      <c r="V72" t="str">
        <f t="shared" si="30"/>
        <v>BED0071</v>
      </c>
      <c r="W72" t="str">
        <f t="shared" ca="1" si="31"/>
        <v>General</v>
      </c>
      <c r="X72" t="str">
        <f t="shared" si="32"/>
        <v>NUR021</v>
      </c>
      <c r="Y72" t="str">
        <f t="shared" ca="1" si="33"/>
        <v>Evening</v>
      </c>
      <c r="Z72" t="str">
        <f t="shared" ca="1" si="34"/>
        <v>ECG Machine</v>
      </c>
      <c r="AA72" t="str">
        <f t="shared" ca="1" si="35"/>
        <v>In Use</v>
      </c>
      <c r="AB72" t="str">
        <f t="shared" ca="1" si="36"/>
        <v>Pending</v>
      </c>
      <c r="AC72" t="str">
        <f t="shared" ca="1" si="37"/>
        <v>Cash</v>
      </c>
      <c r="AD72" t="str">
        <f t="shared" ca="1" si="38"/>
        <v>Yes</v>
      </c>
      <c r="AE72" t="str">
        <f t="shared" ca="1" si="39"/>
        <v>No</v>
      </c>
      <c r="AF72" t="str">
        <f t="shared" ca="1" si="40"/>
        <v>Under Observation</v>
      </c>
      <c r="AG72" t="str">
        <f t="shared" ca="1" si="41"/>
        <v>Southeast</v>
      </c>
      <c r="AH72" t="str">
        <f t="shared" si="24"/>
        <v>October</v>
      </c>
      <c r="AI72">
        <f t="shared" si="25"/>
        <v>2022</v>
      </c>
      <c r="AJ72" t="str">
        <f t="shared" ca="1" si="42"/>
        <v>Occupied</v>
      </c>
      <c r="AK72">
        <f t="shared" ca="1" si="43"/>
        <v>4</v>
      </c>
    </row>
    <row r="73" spans="1:37" x14ac:dyDescent="0.3">
      <c r="A73" t="s">
        <v>4518</v>
      </c>
      <c r="B73">
        <v>18</v>
      </c>
      <c r="C73" t="s">
        <v>15</v>
      </c>
      <c r="D73" t="s">
        <v>33</v>
      </c>
      <c r="E73" t="s">
        <v>25</v>
      </c>
      <c r="F73" s="1">
        <v>44570</v>
      </c>
      <c r="G73" t="s">
        <v>189</v>
      </c>
      <c r="H73" t="s">
        <v>190</v>
      </c>
      <c r="I73" t="s">
        <v>36</v>
      </c>
      <c r="J73">
        <v>46957</v>
      </c>
      <c r="K73">
        <v>377</v>
      </c>
      <c r="L73" t="s">
        <v>29</v>
      </c>
      <c r="M73" s="1">
        <v>44576</v>
      </c>
      <c r="N73" t="s">
        <v>37</v>
      </c>
      <c r="O73" t="s">
        <v>31</v>
      </c>
      <c r="P73" t="str">
        <f t="shared" si="26"/>
        <v>P0072</v>
      </c>
      <c r="Q73" t="str">
        <f t="shared" si="22"/>
        <v>Nutrition</v>
      </c>
      <c r="R73">
        <f t="shared" si="23"/>
        <v>6</v>
      </c>
      <c r="S73" t="str">
        <f t="shared" ca="1" si="27"/>
        <v>No</v>
      </c>
      <c r="T73" t="str">
        <f t="shared" ca="1" si="28"/>
        <v>Moderate</v>
      </c>
      <c r="U73" t="str">
        <f t="shared" ca="1" si="29"/>
        <v>General Ward</v>
      </c>
      <c r="V73" t="str">
        <f t="shared" si="30"/>
        <v>BED0072</v>
      </c>
      <c r="W73" t="str">
        <f t="shared" ca="1" si="31"/>
        <v>General</v>
      </c>
      <c r="X73" t="str">
        <f t="shared" si="32"/>
        <v>NUR022</v>
      </c>
      <c r="Y73" t="str">
        <f t="shared" ca="1" si="33"/>
        <v>Night</v>
      </c>
      <c r="Z73" t="str">
        <f t="shared" ca="1" si="34"/>
        <v>MRI Scanner</v>
      </c>
      <c r="AA73" t="str">
        <f t="shared" ca="1" si="35"/>
        <v>In Use</v>
      </c>
      <c r="AB73" t="str">
        <f t="shared" ca="1" si="36"/>
        <v>Pending</v>
      </c>
      <c r="AC73" t="str">
        <f t="shared" ca="1" si="37"/>
        <v>Insurance</v>
      </c>
      <c r="AD73" t="str">
        <f t="shared" ca="1" si="38"/>
        <v>No</v>
      </c>
      <c r="AE73" t="str">
        <f t="shared" ca="1" si="39"/>
        <v>No</v>
      </c>
      <c r="AF73" t="str">
        <f t="shared" ca="1" si="40"/>
        <v>Transferred</v>
      </c>
      <c r="AG73" t="str">
        <f t="shared" ca="1" si="41"/>
        <v>Southwest</v>
      </c>
      <c r="AH73" t="str">
        <f t="shared" si="24"/>
        <v>January</v>
      </c>
      <c r="AI73">
        <f t="shared" si="25"/>
        <v>2022</v>
      </c>
      <c r="AJ73" t="str">
        <f t="shared" ca="1" si="42"/>
        <v>Vacant</v>
      </c>
      <c r="AK73">
        <f t="shared" ca="1" si="43"/>
        <v>1</v>
      </c>
    </row>
    <row r="74" spans="1:37" x14ac:dyDescent="0.3">
      <c r="A74" t="s">
        <v>4519</v>
      </c>
      <c r="B74">
        <v>24</v>
      </c>
      <c r="C74" t="s">
        <v>15</v>
      </c>
      <c r="D74" t="s">
        <v>52</v>
      </c>
      <c r="E74" t="s">
        <v>17</v>
      </c>
      <c r="F74" s="1">
        <v>45288</v>
      </c>
      <c r="G74" t="s">
        <v>191</v>
      </c>
      <c r="H74" t="s">
        <v>192</v>
      </c>
      <c r="I74" t="s">
        <v>57</v>
      </c>
      <c r="J74">
        <v>10710</v>
      </c>
      <c r="K74">
        <v>407</v>
      </c>
      <c r="L74" t="s">
        <v>29</v>
      </c>
      <c r="M74" s="1">
        <v>45293</v>
      </c>
      <c r="N74" t="s">
        <v>22</v>
      </c>
      <c r="O74" t="s">
        <v>43</v>
      </c>
      <c r="P74" t="str">
        <f t="shared" si="26"/>
        <v>P0073</v>
      </c>
      <c r="Q74" t="str">
        <f t="shared" si="22"/>
        <v>Oncology</v>
      </c>
      <c r="R74">
        <f t="shared" si="23"/>
        <v>5</v>
      </c>
      <c r="S74" t="str">
        <f t="shared" ca="1" si="27"/>
        <v>Yes</v>
      </c>
      <c r="T74" t="str">
        <f t="shared" ca="1" si="28"/>
        <v>Severe</v>
      </c>
      <c r="U74" t="str">
        <f t="shared" ca="1" si="29"/>
        <v>General Ward</v>
      </c>
      <c r="V74" t="str">
        <f t="shared" si="30"/>
        <v>BED0073</v>
      </c>
      <c r="W74" t="str">
        <f t="shared" ca="1" si="31"/>
        <v>Semi-Private</v>
      </c>
      <c r="X74" t="str">
        <f t="shared" si="32"/>
        <v>NUR023</v>
      </c>
      <c r="Y74" t="str">
        <f t="shared" ca="1" si="33"/>
        <v>Morning</v>
      </c>
      <c r="Z74" t="str">
        <f t="shared" ca="1" si="34"/>
        <v>ECG Machine</v>
      </c>
      <c r="AA74" t="str">
        <f t="shared" ca="1" si="35"/>
        <v>In Use</v>
      </c>
      <c r="AB74" t="str">
        <f t="shared" ca="1" si="36"/>
        <v>Partially Paid</v>
      </c>
      <c r="AC74" t="str">
        <f t="shared" ca="1" si="37"/>
        <v>Insurance</v>
      </c>
      <c r="AD74" t="str">
        <f t="shared" ca="1" si="38"/>
        <v>No</v>
      </c>
      <c r="AE74" t="str">
        <f t="shared" ca="1" si="39"/>
        <v>No</v>
      </c>
      <c r="AF74" t="str">
        <f t="shared" ca="1" si="40"/>
        <v>Transferred</v>
      </c>
      <c r="AG74" t="str">
        <f t="shared" ca="1" si="41"/>
        <v>Northeast</v>
      </c>
      <c r="AH74" t="str">
        <f t="shared" si="24"/>
        <v>December</v>
      </c>
      <c r="AI74">
        <f t="shared" si="25"/>
        <v>2023</v>
      </c>
      <c r="AJ74" t="str">
        <f t="shared" ca="1" si="42"/>
        <v>Vacant</v>
      </c>
      <c r="AK74">
        <f t="shared" ca="1" si="43"/>
        <v>2</v>
      </c>
    </row>
    <row r="75" spans="1:37" x14ac:dyDescent="0.3">
      <c r="A75" t="s">
        <v>4520</v>
      </c>
      <c r="B75">
        <v>27</v>
      </c>
      <c r="C75" t="s">
        <v>15</v>
      </c>
      <c r="D75" t="s">
        <v>52</v>
      </c>
      <c r="E75" t="s">
        <v>39</v>
      </c>
      <c r="F75" s="1">
        <v>44455</v>
      </c>
      <c r="G75" t="s">
        <v>193</v>
      </c>
      <c r="H75" t="s">
        <v>194</v>
      </c>
      <c r="I75" t="s">
        <v>36</v>
      </c>
      <c r="J75">
        <v>45354</v>
      </c>
      <c r="K75">
        <v>263</v>
      </c>
      <c r="L75" t="s">
        <v>21</v>
      </c>
      <c r="M75" s="1">
        <v>44483</v>
      </c>
      <c r="N75" t="s">
        <v>47</v>
      </c>
      <c r="O75" t="s">
        <v>43</v>
      </c>
      <c r="P75" t="str">
        <f t="shared" si="26"/>
        <v>P0074</v>
      </c>
      <c r="Q75" t="str">
        <f t="shared" si="22"/>
        <v>Endocrinology</v>
      </c>
      <c r="R75">
        <f t="shared" si="23"/>
        <v>28</v>
      </c>
      <c r="S75" t="str">
        <f t="shared" ca="1" si="27"/>
        <v>No</v>
      </c>
      <c r="T75" t="str">
        <f t="shared" ca="1" si="28"/>
        <v>Severe</v>
      </c>
      <c r="U75" t="str">
        <f t="shared" ca="1" si="29"/>
        <v>Emergency</v>
      </c>
      <c r="V75" t="str">
        <f t="shared" si="30"/>
        <v>BED0074</v>
      </c>
      <c r="W75" t="str">
        <f t="shared" ca="1" si="31"/>
        <v>Private</v>
      </c>
      <c r="X75" t="str">
        <f t="shared" si="32"/>
        <v>NUR024</v>
      </c>
      <c r="Y75" t="str">
        <f t="shared" ca="1" si="33"/>
        <v>Morning</v>
      </c>
      <c r="Z75" t="str">
        <f t="shared" ca="1" si="34"/>
        <v>ECG Machine</v>
      </c>
      <c r="AA75" t="str">
        <f t="shared" ca="1" si="35"/>
        <v>Maintenance</v>
      </c>
      <c r="AB75" t="str">
        <f t="shared" ca="1" si="36"/>
        <v>Partially Paid</v>
      </c>
      <c r="AC75" t="str">
        <f t="shared" ca="1" si="37"/>
        <v>Debit Card</v>
      </c>
      <c r="AD75" t="str">
        <f t="shared" ca="1" si="38"/>
        <v>No</v>
      </c>
      <c r="AE75" t="str">
        <f t="shared" ca="1" si="39"/>
        <v>No</v>
      </c>
      <c r="AF75" t="str">
        <f t="shared" ca="1" si="40"/>
        <v>Transferred</v>
      </c>
      <c r="AG75" t="str">
        <f t="shared" ca="1" si="41"/>
        <v>Northeast</v>
      </c>
      <c r="AH75" t="str">
        <f t="shared" si="24"/>
        <v>September</v>
      </c>
      <c r="AI75">
        <f t="shared" si="25"/>
        <v>2021</v>
      </c>
      <c r="AJ75" t="str">
        <f t="shared" ca="1" si="42"/>
        <v>Vacant</v>
      </c>
      <c r="AK75">
        <f t="shared" ca="1" si="43"/>
        <v>4</v>
      </c>
    </row>
    <row r="76" spans="1:37" x14ac:dyDescent="0.3">
      <c r="A76" t="s">
        <v>4521</v>
      </c>
      <c r="B76">
        <v>57</v>
      </c>
      <c r="C76" t="s">
        <v>32</v>
      </c>
      <c r="D76" t="s">
        <v>52</v>
      </c>
      <c r="E76" t="s">
        <v>76</v>
      </c>
      <c r="F76" s="1">
        <v>45131</v>
      </c>
      <c r="G76" t="s">
        <v>195</v>
      </c>
      <c r="H76" t="s">
        <v>196</v>
      </c>
      <c r="I76" t="s">
        <v>36</v>
      </c>
      <c r="J76">
        <v>8451</v>
      </c>
      <c r="K76">
        <v>135</v>
      </c>
      <c r="L76" t="s">
        <v>42</v>
      </c>
      <c r="M76" s="1">
        <v>45149</v>
      </c>
      <c r="N76" t="s">
        <v>22</v>
      </c>
      <c r="O76" t="s">
        <v>43</v>
      </c>
      <c r="P76" t="str">
        <f t="shared" si="26"/>
        <v>P0075</v>
      </c>
      <c r="Q76" t="str">
        <f t="shared" si="22"/>
        <v>Orthopedics</v>
      </c>
      <c r="R76">
        <f t="shared" si="23"/>
        <v>18</v>
      </c>
      <c r="S76" t="str">
        <f t="shared" ca="1" si="27"/>
        <v>No</v>
      </c>
      <c r="T76" t="str">
        <f t="shared" ca="1" si="28"/>
        <v>Severe</v>
      </c>
      <c r="U76" t="str">
        <f t="shared" ca="1" si="29"/>
        <v>ICU</v>
      </c>
      <c r="V76" t="str">
        <f t="shared" si="30"/>
        <v>BED0075</v>
      </c>
      <c r="W76" t="str">
        <f t="shared" ca="1" si="31"/>
        <v>ICU</v>
      </c>
      <c r="X76" t="str">
        <f t="shared" si="32"/>
        <v>NUR025</v>
      </c>
      <c r="Y76" t="str">
        <f t="shared" ca="1" si="33"/>
        <v>Night</v>
      </c>
      <c r="Z76" t="str">
        <f t="shared" ca="1" si="34"/>
        <v>ECG Machine</v>
      </c>
      <c r="AA76" t="str">
        <f t="shared" ca="1" si="35"/>
        <v>Available</v>
      </c>
      <c r="AB76" t="str">
        <f t="shared" ca="1" si="36"/>
        <v>Partially Paid</v>
      </c>
      <c r="AC76" t="str">
        <f t="shared" ca="1" si="37"/>
        <v>Bank Transfer</v>
      </c>
      <c r="AD76" t="str">
        <f t="shared" ca="1" si="38"/>
        <v>No</v>
      </c>
      <c r="AE76" t="str">
        <f t="shared" ca="1" si="39"/>
        <v>No</v>
      </c>
      <c r="AF76" t="str">
        <f t="shared" ca="1" si="40"/>
        <v>Recovered</v>
      </c>
      <c r="AG76" t="str">
        <f t="shared" ca="1" si="41"/>
        <v>Midwest</v>
      </c>
      <c r="AH76" t="str">
        <f t="shared" si="24"/>
        <v>July</v>
      </c>
      <c r="AI76">
        <f t="shared" si="25"/>
        <v>2023</v>
      </c>
      <c r="AJ76" t="str">
        <f t="shared" ca="1" si="42"/>
        <v>Occupied</v>
      </c>
      <c r="AK76">
        <f t="shared" ca="1" si="43"/>
        <v>1</v>
      </c>
    </row>
    <row r="77" spans="1:37" x14ac:dyDescent="0.3">
      <c r="A77" t="s">
        <v>4522</v>
      </c>
      <c r="B77">
        <v>74</v>
      </c>
      <c r="C77" t="s">
        <v>32</v>
      </c>
      <c r="D77" t="s">
        <v>24</v>
      </c>
      <c r="E77" t="s">
        <v>76</v>
      </c>
      <c r="F77" s="1">
        <v>44513</v>
      </c>
      <c r="G77" t="s">
        <v>197</v>
      </c>
      <c r="H77" t="s">
        <v>198</v>
      </c>
      <c r="I77" t="s">
        <v>51</v>
      </c>
      <c r="J77">
        <v>29851</v>
      </c>
      <c r="K77">
        <v>131</v>
      </c>
      <c r="L77" t="s">
        <v>29</v>
      </c>
      <c r="M77" s="1">
        <v>44537</v>
      </c>
      <c r="N77" t="s">
        <v>22</v>
      </c>
      <c r="O77" t="s">
        <v>31</v>
      </c>
      <c r="P77" t="str">
        <f t="shared" si="26"/>
        <v>P0076</v>
      </c>
      <c r="Q77" t="str">
        <f t="shared" si="22"/>
        <v>Orthopedics</v>
      </c>
      <c r="R77">
        <f t="shared" si="23"/>
        <v>24</v>
      </c>
      <c r="S77" t="str">
        <f t="shared" ca="1" si="27"/>
        <v>No</v>
      </c>
      <c r="T77" t="str">
        <f t="shared" ca="1" si="28"/>
        <v>Mild</v>
      </c>
      <c r="U77" t="str">
        <f t="shared" ca="1" si="29"/>
        <v>Semi-Private</v>
      </c>
      <c r="V77" t="str">
        <f t="shared" si="30"/>
        <v>BED0076</v>
      </c>
      <c r="W77" t="str">
        <f t="shared" ca="1" si="31"/>
        <v>General</v>
      </c>
      <c r="X77" t="str">
        <f t="shared" si="32"/>
        <v>NUR026</v>
      </c>
      <c r="Y77" t="str">
        <f t="shared" ca="1" si="33"/>
        <v>Night</v>
      </c>
      <c r="Z77" t="str">
        <f t="shared" ca="1" si="34"/>
        <v>X-Ray</v>
      </c>
      <c r="AA77" t="str">
        <f t="shared" ca="1" si="35"/>
        <v>In Use</v>
      </c>
      <c r="AB77" t="str">
        <f t="shared" ca="1" si="36"/>
        <v>Partially Paid</v>
      </c>
      <c r="AC77" t="str">
        <f t="shared" ca="1" si="37"/>
        <v>Cash</v>
      </c>
      <c r="AD77" t="str">
        <f t="shared" ca="1" si="38"/>
        <v>No</v>
      </c>
      <c r="AE77" t="str">
        <f t="shared" ca="1" si="39"/>
        <v>Yes</v>
      </c>
      <c r="AF77" t="str">
        <f t="shared" ca="1" si="40"/>
        <v>Transferred</v>
      </c>
      <c r="AG77" t="str">
        <f t="shared" ca="1" si="41"/>
        <v>Northeast</v>
      </c>
      <c r="AH77" t="str">
        <f t="shared" si="24"/>
        <v>November</v>
      </c>
      <c r="AI77">
        <f t="shared" si="25"/>
        <v>2021</v>
      </c>
      <c r="AJ77" t="str">
        <f t="shared" ca="1" si="42"/>
        <v>Occupied</v>
      </c>
      <c r="AK77">
        <f t="shared" ca="1" si="43"/>
        <v>1</v>
      </c>
    </row>
    <row r="78" spans="1:37" x14ac:dyDescent="0.3">
      <c r="A78" t="s">
        <v>4523</v>
      </c>
      <c r="B78">
        <v>22</v>
      </c>
      <c r="C78" t="s">
        <v>32</v>
      </c>
      <c r="D78" t="s">
        <v>33</v>
      </c>
      <c r="E78" t="s">
        <v>76</v>
      </c>
      <c r="F78" s="1">
        <v>45210</v>
      </c>
      <c r="G78" t="s">
        <v>199</v>
      </c>
      <c r="H78" t="s">
        <v>200</v>
      </c>
      <c r="I78" t="s">
        <v>20</v>
      </c>
      <c r="J78">
        <v>42697</v>
      </c>
      <c r="K78">
        <v>102</v>
      </c>
      <c r="L78" t="s">
        <v>21</v>
      </c>
      <c r="M78" s="1">
        <v>45226</v>
      </c>
      <c r="N78" t="s">
        <v>47</v>
      </c>
      <c r="O78" t="s">
        <v>23</v>
      </c>
      <c r="P78" t="str">
        <f t="shared" si="26"/>
        <v>P0077</v>
      </c>
      <c r="Q78" t="str">
        <f t="shared" si="22"/>
        <v>Orthopedics</v>
      </c>
      <c r="R78">
        <f t="shared" si="23"/>
        <v>16</v>
      </c>
      <c r="S78" t="str">
        <f t="shared" ca="1" si="27"/>
        <v>No</v>
      </c>
      <c r="T78" t="str">
        <f t="shared" ca="1" si="28"/>
        <v>Mild</v>
      </c>
      <c r="U78" t="str">
        <f t="shared" ca="1" si="29"/>
        <v>Semi-Private</v>
      </c>
      <c r="V78" t="str">
        <f t="shared" si="30"/>
        <v>BED0077</v>
      </c>
      <c r="W78" t="str">
        <f t="shared" ca="1" si="31"/>
        <v>General</v>
      </c>
      <c r="X78" t="str">
        <f t="shared" si="32"/>
        <v>NUR027</v>
      </c>
      <c r="Y78" t="str">
        <f t="shared" ca="1" si="33"/>
        <v>Night</v>
      </c>
      <c r="Z78" t="str">
        <f t="shared" ca="1" si="34"/>
        <v>Ultrasound</v>
      </c>
      <c r="AA78" t="str">
        <f t="shared" ca="1" si="35"/>
        <v>Available</v>
      </c>
      <c r="AB78" t="str">
        <f t="shared" ca="1" si="36"/>
        <v>Paid</v>
      </c>
      <c r="AC78" t="str">
        <f t="shared" ca="1" si="37"/>
        <v>Bank Transfer</v>
      </c>
      <c r="AD78" t="str">
        <f t="shared" ca="1" si="38"/>
        <v>No</v>
      </c>
      <c r="AE78" t="str">
        <f t="shared" ca="1" si="39"/>
        <v>No</v>
      </c>
      <c r="AF78" t="str">
        <f t="shared" ca="1" si="40"/>
        <v>Recovered</v>
      </c>
      <c r="AG78" t="str">
        <f t="shared" ca="1" si="41"/>
        <v>Midwest</v>
      </c>
      <c r="AH78" t="str">
        <f t="shared" si="24"/>
        <v>October</v>
      </c>
      <c r="AI78">
        <f t="shared" si="25"/>
        <v>2023</v>
      </c>
      <c r="AJ78" t="str">
        <f t="shared" ca="1" si="42"/>
        <v>Occupied</v>
      </c>
      <c r="AK78">
        <f t="shared" ca="1" si="43"/>
        <v>4</v>
      </c>
    </row>
    <row r="79" spans="1:37" x14ac:dyDescent="0.3">
      <c r="A79" t="s">
        <v>4524</v>
      </c>
      <c r="B79">
        <v>33</v>
      </c>
      <c r="C79" t="s">
        <v>32</v>
      </c>
      <c r="D79" t="s">
        <v>16</v>
      </c>
      <c r="E79" t="s">
        <v>39</v>
      </c>
      <c r="F79" s="1">
        <v>44226</v>
      </c>
      <c r="G79" t="s">
        <v>201</v>
      </c>
      <c r="H79" t="s">
        <v>202</v>
      </c>
      <c r="I79" t="s">
        <v>57</v>
      </c>
      <c r="J79">
        <v>2305</v>
      </c>
      <c r="K79">
        <v>249</v>
      </c>
      <c r="L79" t="s">
        <v>29</v>
      </c>
      <c r="M79" s="1">
        <v>44231</v>
      </c>
      <c r="N79" t="s">
        <v>47</v>
      </c>
      <c r="O79" t="s">
        <v>31</v>
      </c>
      <c r="P79" t="str">
        <f t="shared" si="26"/>
        <v>P0078</v>
      </c>
      <c r="Q79" t="str">
        <f t="shared" si="22"/>
        <v>Endocrinology</v>
      </c>
      <c r="R79">
        <f t="shared" si="23"/>
        <v>5</v>
      </c>
      <c r="S79" t="str">
        <f t="shared" ca="1" si="27"/>
        <v>No</v>
      </c>
      <c r="T79" t="str">
        <f t="shared" ca="1" si="28"/>
        <v>Moderate</v>
      </c>
      <c r="U79" t="str">
        <f t="shared" ca="1" si="29"/>
        <v>ICU</v>
      </c>
      <c r="V79" t="str">
        <f t="shared" si="30"/>
        <v>BED0078</v>
      </c>
      <c r="W79" t="str">
        <f t="shared" ca="1" si="31"/>
        <v>General</v>
      </c>
      <c r="X79" t="str">
        <f t="shared" si="32"/>
        <v>NUR028</v>
      </c>
      <c r="Y79" t="str">
        <f t="shared" ca="1" si="33"/>
        <v>Night</v>
      </c>
      <c r="Z79" t="str">
        <f t="shared" ca="1" si="34"/>
        <v>Ventilator</v>
      </c>
      <c r="AA79" t="str">
        <f t="shared" ca="1" si="35"/>
        <v>Available</v>
      </c>
      <c r="AB79" t="str">
        <f t="shared" ca="1" si="36"/>
        <v>Pending</v>
      </c>
      <c r="AC79" t="str">
        <f t="shared" ca="1" si="37"/>
        <v>Bank Transfer</v>
      </c>
      <c r="AD79" t="str">
        <f t="shared" ca="1" si="38"/>
        <v>No</v>
      </c>
      <c r="AE79" t="str">
        <f t="shared" ca="1" si="39"/>
        <v>No</v>
      </c>
      <c r="AF79" t="str">
        <f t="shared" ca="1" si="40"/>
        <v>Under Observation</v>
      </c>
      <c r="AG79" t="str">
        <f t="shared" ca="1" si="41"/>
        <v>West Coast</v>
      </c>
      <c r="AH79" t="str">
        <f t="shared" si="24"/>
        <v>January</v>
      </c>
      <c r="AI79">
        <f t="shared" si="25"/>
        <v>2021</v>
      </c>
      <c r="AJ79" t="str">
        <f t="shared" ca="1" si="42"/>
        <v>Occupied</v>
      </c>
      <c r="AK79">
        <f t="shared" ca="1" si="43"/>
        <v>4</v>
      </c>
    </row>
    <row r="80" spans="1:37" x14ac:dyDescent="0.3">
      <c r="A80" t="s">
        <v>4525</v>
      </c>
      <c r="B80">
        <v>57</v>
      </c>
      <c r="C80" t="s">
        <v>15</v>
      </c>
      <c r="D80" t="s">
        <v>83</v>
      </c>
      <c r="E80" t="s">
        <v>76</v>
      </c>
      <c r="F80" s="1">
        <v>44521</v>
      </c>
      <c r="G80" t="s">
        <v>203</v>
      </c>
      <c r="H80" t="s">
        <v>204</v>
      </c>
      <c r="I80" t="s">
        <v>51</v>
      </c>
      <c r="J80">
        <v>44437</v>
      </c>
      <c r="K80">
        <v>255</v>
      </c>
      <c r="L80" t="s">
        <v>29</v>
      </c>
      <c r="M80" s="1">
        <v>44535</v>
      </c>
      <c r="N80" t="s">
        <v>47</v>
      </c>
      <c r="O80" t="s">
        <v>31</v>
      </c>
      <c r="P80" t="str">
        <f t="shared" si="26"/>
        <v>P0079</v>
      </c>
      <c r="Q80" t="str">
        <f t="shared" si="22"/>
        <v>Orthopedics</v>
      </c>
      <c r="R80">
        <f t="shared" si="23"/>
        <v>14</v>
      </c>
      <c r="S80" t="str">
        <f t="shared" ca="1" si="27"/>
        <v>No</v>
      </c>
      <c r="T80" t="str">
        <f t="shared" ca="1" si="28"/>
        <v>Mild</v>
      </c>
      <c r="U80" t="str">
        <f t="shared" ca="1" si="29"/>
        <v>Semi-Private</v>
      </c>
      <c r="V80" t="str">
        <f t="shared" si="30"/>
        <v>BED0079</v>
      </c>
      <c r="W80" t="str">
        <f t="shared" ca="1" si="31"/>
        <v>ICU</v>
      </c>
      <c r="X80" t="str">
        <f t="shared" si="32"/>
        <v>NUR029</v>
      </c>
      <c r="Y80" t="str">
        <f t="shared" ca="1" si="33"/>
        <v>Morning</v>
      </c>
      <c r="Z80" t="str">
        <f t="shared" ca="1" si="34"/>
        <v>ECG Machine</v>
      </c>
      <c r="AA80" t="str">
        <f t="shared" ca="1" si="35"/>
        <v>Available</v>
      </c>
      <c r="AB80" t="str">
        <f t="shared" ca="1" si="36"/>
        <v>Partially Paid</v>
      </c>
      <c r="AC80" t="str">
        <f t="shared" ca="1" si="37"/>
        <v>Cash</v>
      </c>
      <c r="AD80" t="str">
        <f t="shared" ca="1" si="38"/>
        <v>No</v>
      </c>
      <c r="AE80" t="str">
        <f t="shared" ca="1" si="39"/>
        <v>No</v>
      </c>
      <c r="AF80" t="str">
        <f t="shared" ca="1" si="40"/>
        <v>Under Observation</v>
      </c>
      <c r="AG80" t="str">
        <f t="shared" ca="1" si="41"/>
        <v>Southwest</v>
      </c>
      <c r="AH80" t="str">
        <f t="shared" si="24"/>
        <v>November</v>
      </c>
      <c r="AI80">
        <f t="shared" si="25"/>
        <v>2021</v>
      </c>
      <c r="AJ80" t="str">
        <f t="shared" ca="1" si="42"/>
        <v>Vacant</v>
      </c>
      <c r="AK80">
        <f t="shared" ca="1" si="43"/>
        <v>2</v>
      </c>
    </row>
    <row r="81" spans="1:37" x14ac:dyDescent="0.3">
      <c r="A81" t="s">
        <v>4526</v>
      </c>
      <c r="B81">
        <v>61</v>
      </c>
      <c r="C81" t="s">
        <v>15</v>
      </c>
      <c r="D81" t="s">
        <v>83</v>
      </c>
      <c r="E81" t="s">
        <v>17</v>
      </c>
      <c r="F81" s="1">
        <v>45353</v>
      </c>
      <c r="G81" t="s">
        <v>205</v>
      </c>
      <c r="H81" t="s">
        <v>206</v>
      </c>
      <c r="I81" t="s">
        <v>51</v>
      </c>
      <c r="J81">
        <v>29504</v>
      </c>
      <c r="K81">
        <v>422</v>
      </c>
      <c r="L81" t="s">
        <v>21</v>
      </c>
      <c r="M81" s="1">
        <v>45377</v>
      </c>
      <c r="N81" t="s">
        <v>30</v>
      </c>
      <c r="O81" t="s">
        <v>31</v>
      </c>
      <c r="P81" t="str">
        <f t="shared" si="26"/>
        <v>P0080</v>
      </c>
      <c r="Q81" t="str">
        <f t="shared" si="22"/>
        <v>Oncology</v>
      </c>
      <c r="R81">
        <f t="shared" si="23"/>
        <v>24</v>
      </c>
      <c r="S81" t="str">
        <f t="shared" ca="1" si="27"/>
        <v>No</v>
      </c>
      <c r="T81" t="str">
        <f t="shared" ca="1" si="28"/>
        <v>Critical</v>
      </c>
      <c r="U81" t="str">
        <f t="shared" ca="1" si="29"/>
        <v>Private Ward</v>
      </c>
      <c r="V81" t="str">
        <f t="shared" si="30"/>
        <v>BED0080</v>
      </c>
      <c r="W81" t="str">
        <f t="shared" ca="1" si="31"/>
        <v>Private</v>
      </c>
      <c r="X81" t="str">
        <f t="shared" si="32"/>
        <v>NUR030</v>
      </c>
      <c r="Y81" t="str">
        <f t="shared" ca="1" si="33"/>
        <v>Night</v>
      </c>
      <c r="Z81" t="str">
        <f t="shared" ca="1" si="34"/>
        <v>CT Scanner</v>
      </c>
      <c r="AA81" t="str">
        <f t="shared" ca="1" si="35"/>
        <v>Available</v>
      </c>
      <c r="AB81" t="str">
        <f t="shared" ca="1" si="36"/>
        <v>Partially Paid</v>
      </c>
      <c r="AC81" t="str">
        <f t="shared" ca="1" si="37"/>
        <v>Bank Transfer</v>
      </c>
      <c r="AD81" t="str">
        <f t="shared" ca="1" si="38"/>
        <v>No</v>
      </c>
      <c r="AE81" t="str">
        <f t="shared" ca="1" si="39"/>
        <v>No</v>
      </c>
      <c r="AF81" t="str">
        <f t="shared" ca="1" si="40"/>
        <v>Recovered</v>
      </c>
      <c r="AG81" t="str">
        <f t="shared" ca="1" si="41"/>
        <v>Southeast</v>
      </c>
      <c r="AH81" t="str">
        <f t="shared" si="24"/>
        <v>March</v>
      </c>
      <c r="AI81">
        <f t="shared" si="25"/>
        <v>2024</v>
      </c>
      <c r="AJ81" t="str">
        <f t="shared" ca="1" si="42"/>
        <v>Occupied</v>
      </c>
      <c r="AK81">
        <f t="shared" ca="1" si="43"/>
        <v>1</v>
      </c>
    </row>
    <row r="82" spans="1:37" x14ac:dyDescent="0.3">
      <c r="A82" t="s">
        <v>4527</v>
      </c>
      <c r="B82">
        <v>20</v>
      </c>
      <c r="C82" t="s">
        <v>15</v>
      </c>
      <c r="D82" t="s">
        <v>38</v>
      </c>
      <c r="E82" t="s">
        <v>76</v>
      </c>
      <c r="F82" s="1">
        <v>44169</v>
      </c>
      <c r="G82" t="s">
        <v>207</v>
      </c>
      <c r="H82" t="s">
        <v>208</v>
      </c>
      <c r="I82" t="s">
        <v>20</v>
      </c>
      <c r="J82">
        <v>34618</v>
      </c>
      <c r="K82">
        <v>320</v>
      </c>
      <c r="L82" t="s">
        <v>29</v>
      </c>
      <c r="M82" s="1">
        <v>44173</v>
      </c>
      <c r="N82" t="s">
        <v>30</v>
      </c>
      <c r="O82" t="s">
        <v>43</v>
      </c>
      <c r="P82" t="str">
        <f t="shared" si="26"/>
        <v>P0081</v>
      </c>
      <c r="Q82" t="str">
        <f t="shared" si="22"/>
        <v>Orthopedics</v>
      </c>
      <c r="R82">
        <f t="shared" si="23"/>
        <v>4</v>
      </c>
      <c r="S82" t="str">
        <f t="shared" ca="1" si="27"/>
        <v>No</v>
      </c>
      <c r="T82" t="str">
        <f t="shared" ca="1" si="28"/>
        <v>Moderate</v>
      </c>
      <c r="U82" t="str">
        <f t="shared" ca="1" si="29"/>
        <v>Private Ward</v>
      </c>
      <c r="V82" t="str">
        <f t="shared" si="30"/>
        <v>BED0081</v>
      </c>
      <c r="W82" t="str">
        <f t="shared" ca="1" si="31"/>
        <v>Semi-Private</v>
      </c>
      <c r="X82" t="str">
        <f t="shared" si="32"/>
        <v>NUR031</v>
      </c>
      <c r="Y82" t="str">
        <f t="shared" ca="1" si="33"/>
        <v>Evening</v>
      </c>
      <c r="Z82" t="str">
        <f t="shared" ca="1" si="34"/>
        <v>CT Scanner</v>
      </c>
      <c r="AA82" t="str">
        <f t="shared" ca="1" si="35"/>
        <v>Maintenance</v>
      </c>
      <c r="AB82" t="str">
        <f t="shared" ca="1" si="36"/>
        <v>Pending</v>
      </c>
      <c r="AC82" t="str">
        <f t="shared" ca="1" si="37"/>
        <v>Credit Card</v>
      </c>
      <c r="AD82" t="str">
        <f t="shared" ca="1" si="38"/>
        <v>No</v>
      </c>
      <c r="AE82" t="str">
        <f t="shared" ca="1" si="39"/>
        <v>No</v>
      </c>
      <c r="AF82" t="str">
        <f t="shared" ca="1" si="40"/>
        <v>Transferred</v>
      </c>
      <c r="AG82" t="str">
        <f t="shared" ca="1" si="41"/>
        <v>Midwest</v>
      </c>
      <c r="AH82" t="str">
        <f t="shared" si="24"/>
        <v>December</v>
      </c>
      <c r="AI82">
        <f t="shared" si="25"/>
        <v>2020</v>
      </c>
      <c r="AJ82" t="str">
        <f t="shared" ca="1" si="42"/>
        <v>Occupied</v>
      </c>
      <c r="AK82">
        <f t="shared" ca="1" si="43"/>
        <v>1</v>
      </c>
    </row>
    <row r="83" spans="1:37" x14ac:dyDescent="0.3">
      <c r="A83" t="s">
        <v>4528</v>
      </c>
      <c r="B83">
        <v>67</v>
      </c>
      <c r="C83" t="s">
        <v>15</v>
      </c>
      <c r="D83" t="s">
        <v>44</v>
      </c>
      <c r="E83" t="s">
        <v>64</v>
      </c>
      <c r="F83" s="1">
        <v>44069</v>
      </c>
      <c r="G83" t="s">
        <v>209</v>
      </c>
      <c r="H83" t="s">
        <v>210</v>
      </c>
      <c r="I83" t="s">
        <v>36</v>
      </c>
      <c r="J83">
        <v>46814</v>
      </c>
      <c r="K83">
        <v>134</v>
      </c>
      <c r="L83" t="s">
        <v>21</v>
      </c>
      <c r="M83" s="1">
        <v>44070</v>
      </c>
      <c r="N83" t="s">
        <v>47</v>
      </c>
      <c r="O83" t="s">
        <v>43</v>
      </c>
      <c r="P83" t="str">
        <f t="shared" si="26"/>
        <v>P0082</v>
      </c>
      <c r="Q83" t="str">
        <f t="shared" si="22"/>
        <v>Cardiology</v>
      </c>
      <c r="R83">
        <f t="shared" si="23"/>
        <v>1</v>
      </c>
      <c r="S83" t="str">
        <f t="shared" ca="1" si="27"/>
        <v>No</v>
      </c>
      <c r="T83" t="str">
        <f t="shared" ca="1" si="28"/>
        <v>Critical</v>
      </c>
      <c r="U83" t="str">
        <f t="shared" ca="1" si="29"/>
        <v>General Ward</v>
      </c>
      <c r="V83" t="str">
        <f t="shared" si="30"/>
        <v>BED0082</v>
      </c>
      <c r="W83" t="str">
        <f t="shared" ca="1" si="31"/>
        <v>Private</v>
      </c>
      <c r="X83" t="str">
        <f t="shared" si="32"/>
        <v>NUR032</v>
      </c>
      <c r="Y83" t="str">
        <f t="shared" ca="1" si="33"/>
        <v>Morning</v>
      </c>
      <c r="Z83" t="str">
        <f t="shared" ca="1" si="34"/>
        <v>Ultrasound</v>
      </c>
      <c r="AA83" t="str">
        <f t="shared" ca="1" si="35"/>
        <v>Available</v>
      </c>
      <c r="AB83" t="str">
        <f t="shared" ca="1" si="36"/>
        <v>Pending</v>
      </c>
      <c r="AC83" t="str">
        <f t="shared" ca="1" si="37"/>
        <v>Cash</v>
      </c>
      <c r="AD83" t="str">
        <f t="shared" ca="1" si="38"/>
        <v>No</v>
      </c>
      <c r="AE83" t="str">
        <f t="shared" ca="1" si="39"/>
        <v>No</v>
      </c>
      <c r="AF83" t="str">
        <f t="shared" ca="1" si="40"/>
        <v>Under Observation</v>
      </c>
      <c r="AG83" t="str">
        <f t="shared" ca="1" si="41"/>
        <v>Southwest</v>
      </c>
      <c r="AH83" t="str">
        <f t="shared" si="24"/>
        <v>August</v>
      </c>
      <c r="AI83">
        <f t="shared" si="25"/>
        <v>2020</v>
      </c>
      <c r="AJ83" t="str">
        <f t="shared" ca="1" si="42"/>
        <v>Occupied</v>
      </c>
      <c r="AK83">
        <f t="shared" ca="1" si="43"/>
        <v>1</v>
      </c>
    </row>
    <row r="84" spans="1:37" x14ac:dyDescent="0.3">
      <c r="A84" t="s">
        <v>4529</v>
      </c>
      <c r="B84">
        <v>80</v>
      </c>
      <c r="C84" t="s">
        <v>32</v>
      </c>
      <c r="D84" t="s">
        <v>52</v>
      </c>
      <c r="E84" t="s">
        <v>39</v>
      </c>
      <c r="F84" s="1">
        <v>45242</v>
      </c>
      <c r="G84" t="s">
        <v>211</v>
      </c>
      <c r="H84" t="s">
        <v>212</v>
      </c>
      <c r="I84" t="s">
        <v>20</v>
      </c>
      <c r="J84">
        <v>20258</v>
      </c>
      <c r="K84">
        <v>255</v>
      </c>
      <c r="L84" t="s">
        <v>42</v>
      </c>
      <c r="M84" s="1">
        <v>45272</v>
      </c>
      <c r="N84" t="s">
        <v>47</v>
      </c>
      <c r="O84" t="s">
        <v>43</v>
      </c>
      <c r="P84" t="str">
        <f t="shared" si="26"/>
        <v>P0083</v>
      </c>
      <c r="Q84" t="str">
        <f t="shared" si="22"/>
        <v>Endocrinology</v>
      </c>
      <c r="R84">
        <f t="shared" si="23"/>
        <v>30</v>
      </c>
      <c r="S84" t="str">
        <f t="shared" ca="1" si="27"/>
        <v>No</v>
      </c>
      <c r="T84" t="str">
        <f t="shared" ca="1" si="28"/>
        <v>Mild</v>
      </c>
      <c r="U84" t="str">
        <f t="shared" ca="1" si="29"/>
        <v>Semi-Private</v>
      </c>
      <c r="V84" t="str">
        <f t="shared" si="30"/>
        <v>BED0083</v>
      </c>
      <c r="W84" t="str">
        <f t="shared" ca="1" si="31"/>
        <v>General</v>
      </c>
      <c r="X84" t="str">
        <f t="shared" si="32"/>
        <v>NUR033</v>
      </c>
      <c r="Y84" t="str">
        <f t="shared" ca="1" si="33"/>
        <v>Night</v>
      </c>
      <c r="Z84" t="str">
        <f t="shared" ca="1" si="34"/>
        <v>X-Ray</v>
      </c>
      <c r="AA84" t="str">
        <f t="shared" ca="1" si="35"/>
        <v>Available</v>
      </c>
      <c r="AB84" t="str">
        <f t="shared" ca="1" si="36"/>
        <v>Pending</v>
      </c>
      <c r="AC84" t="str">
        <f t="shared" ca="1" si="37"/>
        <v>Cash</v>
      </c>
      <c r="AD84" t="str">
        <f t="shared" ca="1" si="38"/>
        <v>No</v>
      </c>
      <c r="AE84" t="str">
        <f t="shared" ca="1" si="39"/>
        <v>No</v>
      </c>
      <c r="AF84" t="str">
        <f t="shared" ca="1" si="40"/>
        <v>Under Observation</v>
      </c>
      <c r="AG84" t="str">
        <f t="shared" ca="1" si="41"/>
        <v>West Coast</v>
      </c>
      <c r="AH84" t="str">
        <f t="shared" si="24"/>
        <v>November</v>
      </c>
      <c r="AI84">
        <f t="shared" si="25"/>
        <v>2023</v>
      </c>
      <c r="AJ84" t="str">
        <f t="shared" ca="1" si="42"/>
        <v>Occupied</v>
      </c>
      <c r="AK84">
        <f t="shared" ca="1" si="43"/>
        <v>2</v>
      </c>
    </row>
    <row r="85" spans="1:37" x14ac:dyDescent="0.3">
      <c r="A85" t="s">
        <v>4530</v>
      </c>
      <c r="B85">
        <v>44</v>
      </c>
      <c r="C85" t="s">
        <v>15</v>
      </c>
      <c r="D85" t="s">
        <v>38</v>
      </c>
      <c r="E85" t="s">
        <v>25</v>
      </c>
      <c r="F85" s="1">
        <v>43981</v>
      </c>
      <c r="G85" t="s">
        <v>213</v>
      </c>
      <c r="H85" t="s">
        <v>214</v>
      </c>
      <c r="I85" t="s">
        <v>57</v>
      </c>
      <c r="J85">
        <v>22841</v>
      </c>
      <c r="K85">
        <v>410</v>
      </c>
      <c r="L85" t="s">
        <v>29</v>
      </c>
      <c r="M85" s="1">
        <v>43996</v>
      </c>
      <c r="N85" t="s">
        <v>37</v>
      </c>
      <c r="O85" t="s">
        <v>31</v>
      </c>
      <c r="P85" t="str">
        <f t="shared" si="26"/>
        <v>P0084</v>
      </c>
      <c r="Q85" t="str">
        <f t="shared" si="22"/>
        <v>Nutrition</v>
      </c>
      <c r="R85">
        <f t="shared" si="23"/>
        <v>15</v>
      </c>
      <c r="S85" t="str">
        <f t="shared" ca="1" si="27"/>
        <v>No</v>
      </c>
      <c r="T85" t="str">
        <f t="shared" ca="1" si="28"/>
        <v>Critical</v>
      </c>
      <c r="U85" t="str">
        <f t="shared" ca="1" si="29"/>
        <v>General Ward</v>
      </c>
      <c r="V85" t="str">
        <f t="shared" si="30"/>
        <v>BED0084</v>
      </c>
      <c r="W85" t="str">
        <f t="shared" ca="1" si="31"/>
        <v>Private</v>
      </c>
      <c r="X85" t="str">
        <f t="shared" si="32"/>
        <v>NUR034</v>
      </c>
      <c r="Y85" t="str">
        <f t="shared" ca="1" si="33"/>
        <v>Morning</v>
      </c>
      <c r="Z85" t="str">
        <f t="shared" ca="1" si="34"/>
        <v>X-Ray</v>
      </c>
      <c r="AA85" t="str">
        <f t="shared" ca="1" si="35"/>
        <v>Available</v>
      </c>
      <c r="AB85" t="str">
        <f t="shared" ca="1" si="36"/>
        <v>Pending</v>
      </c>
      <c r="AC85" t="str">
        <f t="shared" ca="1" si="37"/>
        <v>Insurance</v>
      </c>
      <c r="AD85" t="str">
        <f t="shared" ca="1" si="38"/>
        <v>No</v>
      </c>
      <c r="AE85" t="str">
        <f t="shared" ca="1" si="39"/>
        <v>No</v>
      </c>
      <c r="AF85" t="str">
        <f t="shared" ca="1" si="40"/>
        <v>Recovered</v>
      </c>
      <c r="AG85" t="str">
        <f t="shared" ca="1" si="41"/>
        <v>Southwest</v>
      </c>
      <c r="AH85" t="str">
        <f t="shared" si="24"/>
        <v>May</v>
      </c>
      <c r="AI85">
        <f t="shared" si="25"/>
        <v>2020</v>
      </c>
      <c r="AJ85" t="str">
        <f t="shared" ca="1" si="42"/>
        <v>Occupied</v>
      </c>
      <c r="AK85">
        <f t="shared" ca="1" si="43"/>
        <v>1</v>
      </c>
    </row>
    <row r="86" spans="1:37" x14ac:dyDescent="0.3">
      <c r="A86" t="s">
        <v>4531</v>
      </c>
      <c r="B86">
        <v>26</v>
      </c>
      <c r="C86" t="s">
        <v>32</v>
      </c>
      <c r="D86" t="s">
        <v>16</v>
      </c>
      <c r="E86" t="s">
        <v>48</v>
      </c>
      <c r="F86" s="1">
        <v>45058</v>
      </c>
      <c r="G86" t="s">
        <v>215</v>
      </c>
      <c r="H86" t="s">
        <v>216</v>
      </c>
      <c r="I86" t="s">
        <v>28</v>
      </c>
      <c r="J86">
        <v>10284</v>
      </c>
      <c r="K86">
        <v>273</v>
      </c>
      <c r="L86" t="s">
        <v>29</v>
      </c>
      <c r="M86" s="1">
        <v>45087</v>
      </c>
      <c r="N86" t="s">
        <v>30</v>
      </c>
      <c r="O86" t="s">
        <v>43</v>
      </c>
      <c r="P86" t="str">
        <f t="shared" si="26"/>
        <v>P0085</v>
      </c>
      <c r="Q86" t="str">
        <f t="shared" si="22"/>
        <v>Pulmonology</v>
      </c>
      <c r="R86">
        <f t="shared" si="23"/>
        <v>29</v>
      </c>
      <c r="S86" t="str">
        <f t="shared" ca="1" si="27"/>
        <v>No</v>
      </c>
      <c r="T86" t="str">
        <f t="shared" ca="1" si="28"/>
        <v>Critical</v>
      </c>
      <c r="U86" t="str">
        <f t="shared" ca="1" si="29"/>
        <v>Semi-Private</v>
      </c>
      <c r="V86" t="str">
        <f t="shared" si="30"/>
        <v>BED0085</v>
      </c>
      <c r="W86" t="str">
        <f t="shared" ca="1" si="31"/>
        <v>General</v>
      </c>
      <c r="X86" t="str">
        <f t="shared" si="32"/>
        <v>NUR035</v>
      </c>
      <c r="Y86" t="str">
        <f t="shared" ca="1" si="33"/>
        <v>Night</v>
      </c>
      <c r="Z86" t="str">
        <f t="shared" ca="1" si="34"/>
        <v>CT Scanner</v>
      </c>
      <c r="AA86" t="str">
        <f t="shared" ca="1" si="35"/>
        <v>Maintenance</v>
      </c>
      <c r="AB86" t="str">
        <f t="shared" ca="1" si="36"/>
        <v>Pending</v>
      </c>
      <c r="AC86" t="str">
        <f t="shared" ca="1" si="37"/>
        <v>Cash</v>
      </c>
      <c r="AD86" t="str">
        <f t="shared" ca="1" si="38"/>
        <v>No</v>
      </c>
      <c r="AE86" t="str">
        <f t="shared" ca="1" si="39"/>
        <v>No</v>
      </c>
      <c r="AF86" t="str">
        <f t="shared" ca="1" si="40"/>
        <v>Recovered</v>
      </c>
      <c r="AG86" t="str">
        <f t="shared" ca="1" si="41"/>
        <v>West Coast</v>
      </c>
      <c r="AH86" t="str">
        <f t="shared" si="24"/>
        <v>May</v>
      </c>
      <c r="AI86">
        <f t="shared" si="25"/>
        <v>2023</v>
      </c>
      <c r="AJ86" t="str">
        <f t="shared" ca="1" si="42"/>
        <v>Occupied</v>
      </c>
      <c r="AK86">
        <f t="shared" ca="1" si="43"/>
        <v>4</v>
      </c>
    </row>
    <row r="87" spans="1:37" x14ac:dyDescent="0.3">
      <c r="A87" t="s">
        <v>4532</v>
      </c>
      <c r="B87">
        <v>80</v>
      </c>
      <c r="C87" t="s">
        <v>15</v>
      </c>
      <c r="D87" t="s">
        <v>44</v>
      </c>
      <c r="E87" t="s">
        <v>17</v>
      </c>
      <c r="F87" s="1">
        <v>44749</v>
      </c>
      <c r="G87" t="s">
        <v>217</v>
      </c>
      <c r="H87" t="s">
        <v>218</v>
      </c>
      <c r="I87" t="s">
        <v>51</v>
      </c>
      <c r="J87">
        <v>1586</v>
      </c>
      <c r="K87">
        <v>395</v>
      </c>
      <c r="L87" t="s">
        <v>29</v>
      </c>
      <c r="M87" s="1">
        <v>44765</v>
      </c>
      <c r="N87" t="s">
        <v>30</v>
      </c>
      <c r="O87" t="s">
        <v>23</v>
      </c>
      <c r="P87" t="str">
        <f t="shared" si="26"/>
        <v>P0086</v>
      </c>
      <c r="Q87" t="str">
        <f t="shared" si="22"/>
        <v>Oncology</v>
      </c>
      <c r="R87">
        <f t="shared" si="23"/>
        <v>16</v>
      </c>
      <c r="S87" t="str">
        <f t="shared" ca="1" si="27"/>
        <v>No</v>
      </c>
      <c r="T87" t="str">
        <f t="shared" ca="1" si="28"/>
        <v>Moderate</v>
      </c>
      <c r="U87" t="str">
        <f t="shared" ca="1" si="29"/>
        <v>General Ward</v>
      </c>
      <c r="V87" t="str">
        <f t="shared" si="30"/>
        <v>BED0086</v>
      </c>
      <c r="W87" t="str">
        <f t="shared" ca="1" si="31"/>
        <v>Semi-Private</v>
      </c>
      <c r="X87" t="str">
        <f t="shared" si="32"/>
        <v>NUR036</v>
      </c>
      <c r="Y87" t="str">
        <f t="shared" ca="1" si="33"/>
        <v>Night</v>
      </c>
      <c r="Z87" t="str">
        <f t="shared" ca="1" si="34"/>
        <v>MRI Scanner</v>
      </c>
      <c r="AA87" t="str">
        <f t="shared" ca="1" si="35"/>
        <v>Maintenance</v>
      </c>
      <c r="AB87" t="str">
        <f t="shared" ca="1" si="36"/>
        <v>Pending</v>
      </c>
      <c r="AC87" t="str">
        <f t="shared" ca="1" si="37"/>
        <v>Credit Card</v>
      </c>
      <c r="AD87" t="str">
        <f t="shared" ca="1" si="38"/>
        <v>No</v>
      </c>
      <c r="AE87" t="str">
        <f t="shared" ca="1" si="39"/>
        <v>No</v>
      </c>
      <c r="AF87" t="str">
        <f t="shared" ca="1" si="40"/>
        <v>Under Observation</v>
      </c>
      <c r="AG87" t="str">
        <f t="shared" ca="1" si="41"/>
        <v>Southwest</v>
      </c>
      <c r="AH87" t="str">
        <f t="shared" si="24"/>
        <v>July</v>
      </c>
      <c r="AI87">
        <f t="shared" si="25"/>
        <v>2022</v>
      </c>
      <c r="AJ87" t="str">
        <f t="shared" ca="1" si="42"/>
        <v>Vacant</v>
      </c>
      <c r="AK87">
        <f t="shared" ca="1" si="43"/>
        <v>2</v>
      </c>
    </row>
    <row r="88" spans="1:37" x14ac:dyDescent="0.3">
      <c r="A88" t="s">
        <v>4533</v>
      </c>
      <c r="B88">
        <v>63</v>
      </c>
      <c r="C88" t="s">
        <v>15</v>
      </c>
      <c r="D88" t="s">
        <v>16</v>
      </c>
      <c r="E88" t="s">
        <v>48</v>
      </c>
      <c r="F88" s="1">
        <v>44098</v>
      </c>
      <c r="G88" t="s">
        <v>219</v>
      </c>
      <c r="H88" t="s">
        <v>220</v>
      </c>
      <c r="I88" t="s">
        <v>36</v>
      </c>
      <c r="J88">
        <v>34774</v>
      </c>
      <c r="K88">
        <v>152</v>
      </c>
      <c r="L88" t="s">
        <v>29</v>
      </c>
      <c r="M88" s="1">
        <v>44112</v>
      </c>
      <c r="N88" t="s">
        <v>47</v>
      </c>
      <c r="O88" t="s">
        <v>31</v>
      </c>
      <c r="P88" t="str">
        <f t="shared" si="26"/>
        <v>P0087</v>
      </c>
      <c r="Q88" t="str">
        <f t="shared" si="22"/>
        <v>Pulmonology</v>
      </c>
      <c r="R88">
        <f t="shared" si="23"/>
        <v>14</v>
      </c>
      <c r="S88" t="str">
        <f t="shared" ca="1" si="27"/>
        <v>No</v>
      </c>
      <c r="T88" t="str">
        <f t="shared" ca="1" si="28"/>
        <v>Severe</v>
      </c>
      <c r="U88" t="str">
        <f t="shared" ca="1" si="29"/>
        <v>Private Ward</v>
      </c>
      <c r="V88" t="str">
        <f t="shared" si="30"/>
        <v>BED0087</v>
      </c>
      <c r="W88" t="str">
        <f t="shared" ca="1" si="31"/>
        <v>General</v>
      </c>
      <c r="X88" t="str">
        <f t="shared" si="32"/>
        <v>NUR037</v>
      </c>
      <c r="Y88" t="str">
        <f t="shared" ca="1" si="33"/>
        <v>Morning</v>
      </c>
      <c r="Z88" t="str">
        <f t="shared" ca="1" si="34"/>
        <v>Ventilator</v>
      </c>
      <c r="AA88" t="str">
        <f t="shared" ca="1" si="35"/>
        <v>Maintenance</v>
      </c>
      <c r="AB88" t="str">
        <f t="shared" ca="1" si="36"/>
        <v>Partially Paid</v>
      </c>
      <c r="AC88" t="str">
        <f t="shared" ca="1" si="37"/>
        <v>Cash</v>
      </c>
      <c r="AD88" t="str">
        <f t="shared" ca="1" si="38"/>
        <v>No</v>
      </c>
      <c r="AE88" t="str">
        <f t="shared" ca="1" si="39"/>
        <v>Yes</v>
      </c>
      <c r="AF88" t="str">
        <f t="shared" ca="1" si="40"/>
        <v>Transferred</v>
      </c>
      <c r="AG88" t="str">
        <f t="shared" ca="1" si="41"/>
        <v>Northeast</v>
      </c>
      <c r="AH88" t="str">
        <f t="shared" si="24"/>
        <v>September</v>
      </c>
      <c r="AI88">
        <f t="shared" si="25"/>
        <v>2020</v>
      </c>
      <c r="AJ88" t="str">
        <f t="shared" ca="1" si="42"/>
        <v>Vacant</v>
      </c>
      <c r="AK88">
        <f t="shared" ca="1" si="43"/>
        <v>1</v>
      </c>
    </row>
    <row r="89" spans="1:37" x14ac:dyDescent="0.3">
      <c r="A89" t="s">
        <v>4534</v>
      </c>
      <c r="B89">
        <v>58</v>
      </c>
      <c r="C89" t="s">
        <v>32</v>
      </c>
      <c r="D89" t="s">
        <v>16</v>
      </c>
      <c r="E89" t="s">
        <v>76</v>
      </c>
      <c r="F89" s="1">
        <v>45157</v>
      </c>
      <c r="G89" t="s">
        <v>221</v>
      </c>
      <c r="H89" t="s">
        <v>222</v>
      </c>
      <c r="I89" t="s">
        <v>51</v>
      </c>
      <c r="J89">
        <v>24870</v>
      </c>
      <c r="K89">
        <v>321</v>
      </c>
      <c r="L89" t="s">
        <v>29</v>
      </c>
      <c r="M89" s="1">
        <v>45163</v>
      </c>
      <c r="N89" t="s">
        <v>30</v>
      </c>
      <c r="O89" t="s">
        <v>31</v>
      </c>
      <c r="P89" t="str">
        <f t="shared" si="26"/>
        <v>P0088</v>
      </c>
      <c r="Q89" t="str">
        <f t="shared" si="22"/>
        <v>Orthopedics</v>
      </c>
      <c r="R89">
        <f t="shared" si="23"/>
        <v>6</v>
      </c>
      <c r="S89" t="str">
        <f t="shared" ca="1" si="27"/>
        <v>No</v>
      </c>
      <c r="T89" t="str">
        <f t="shared" ca="1" si="28"/>
        <v>Critical</v>
      </c>
      <c r="U89" t="str">
        <f t="shared" ca="1" si="29"/>
        <v>Private Ward</v>
      </c>
      <c r="V89" t="str">
        <f t="shared" si="30"/>
        <v>BED0088</v>
      </c>
      <c r="W89" t="str">
        <f t="shared" ca="1" si="31"/>
        <v>General</v>
      </c>
      <c r="X89" t="str">
        <f t="shared" si="32"/>
        <v>NUR038</v>
      </c>
      <c r="Y89" t="str">
        <f t="shared" ca="1" si="33"/>
        <v>Night</v>
      </c>
      <c r="Z89" t="str">
        <f t="shared" ca="1" si="34"/>
        <v>CT Scanner</v>
      </c>
      <c r="AA89" t="str">
        <f t="shared" ca="1" si="35"/>
        <v>Maintenance</v>
      </c>
      <c r="AB89" t="str">
        <f t="shared" ca="1" si="36"/>
        <v>Partially Paid</v>
      </c>
      <c r="AC89" t="str">
        <f t="shared" ca="1" si="37"/>
        <v>Credit Card</v>
      </c>
      <c r="AD89" t="str">
        <f t="shared" ca="1" si="38"/>
        <v>Yes</v>
      </c>
      <c r="AE89" t="str">
        <f t="shared" ca="1" si="39"/>
        <v>No</v>
      </c>
      <c r="AF89" t="str">
        <f t="shared" ca="1" si="40"/>
        <v>Transferred</v>
      </c>
      <c r="AG89" t="str">
        <f t="shared" ca="1" si="41"/>
        <v>Southeast</v>
      </c>
      <c r="AH89" t="str">
        <f t="shared" si="24"/>
        <v>August</v>
      </c>
      <c r="AI89">
        <f t="shared" si="25"/>
        <v>2023</v>
      </c>
      <c r="AJ89" t="str">
        <f t="shared" ca="1" si="42"/>
        <v>Vacant</v>
      </c>
      <c r="AK89">
        <f t="shared" ca="1" si="43"/>
        <v>1</v>
      </c>
    </row>
    <row r="90" spans="1:37" x14ac:dyDescent="0.3">
      <c r="A90" t="s">
        <v>4535</v>
      </c>
      <c r="B90">
        <v>38</v>
      </c>
      <c r="C90" t="s">
        <v>32</v>
      </c>
      <c r="D90" t="s">
        <v>24</v>
      </c>
      <c r="E90" t="s">
        <v>17</v>
      </c>
      <c r="F90" s="1">
        <v>45062</v>
      </c>
      <c r="G90" t="s">
        <v>223</v>
      </c>
      <c r="H90" t="s">
        <v>224</v>
      </c>
      <c r="I90" t="s">
        <v>57</v>
      </c>
      <c r="J90">
        <v>39477</v>
      </c>
      <c r="K90">
        <v>428</v>
      </c>
      <c r="L90" t="s">
        <v>42</v>
      </c>
      <c r="M90" s="1">
        <v>45078</v>
      </c>
      <c r="N90" t="s">
        <v>37</v>
      </c>
      <c r="O90" t="s">
        <v>43</v>
      </c>
      <c r="P90" t="str">
        <f t="shared" si="26"/>
        <v>P0089</v>
      </c>
      <c r="Q90" t="str">
        <f t="shared" si="22"/>
        <v>Oncology</v>
      </c>
      <c r="R90">
        <f t="shared" si="23"/>
        <v>16</v>
      </c>
      <c r="S90" t="str">
        <f t="shared" ca="1" si="27"/>
        <v>No</v>
      </c>
      <c r="T90" t="str">
        <f t="shared" ca="1" si="28"/>
        <v>Mild</v>
      </c>
      <c r="U90" t="str">
        <f t="shared" ca="1" si="29"/>
        <v>General Ward</v>
      </c>
      <c r="V90" t="str">
        <f t="shared" si="30"/>
        <v>BED0089</v>
      </c>
      <c r="W90" t="str">
        <f t="shared" ca="1" si="31"/>
        <v>General</v>
      </c>
      <c r="X90" t="str">
        <f t="shared" si="32"/>
        <v>NUR039</v>
      </c>
      <c r="Y90" t="str">
        <f t="shared" ca="1" si="33"/>
        <v>Morning</v>
      </c>
      <c r="Z90" t="str">
        <f t="shared" ca="1" si="34"/>
        <v>MRI Scanner</v>
      </c>
      <c r="AA90" t="str">
        <f t="shared" ca="1" si="35"/>
        <v>In Use</v>
      </c>
      <c r="AB90" t="str">
        <f t="shared" ca="1" si="36"/>
        <v>Paid</v>
      </c>
      <c r="AC90" t="str">
        <f t="shared" ca="1" si="37"/>
        <v>Debit Card</v>
      </c>
      <c r="AD90" t="str">
        <f t="shared" ca="1" si="38"/>
        <v>No</v>
      </c>
      <c r="AE90" t="str">
        <f t="shared" ca="1" si="39"/>
        <v>Yes</v>
      </c>
      <c r="AF90" t="str">
        <f t="shared" ca="1" si="40"/>
        <v>Under Observation</v>
      </c>
      <c r="AG90" t="str">
        <f t="shared" ca="1" si="41"/>
        <v>Northeast</v>
      </c>
      <c r="AH90" t="str">
        <f t="shared" si="24"/>
        <v>May</v>
      </c>
      <c r="AI90">
        <f t="shared" si="25"/>
        <v>2023</v>
      </c>
      <c r="AJ90" t="str">
        <f t="shared" ca="1" si="42"/>
        <v>Occupied</v>
      </c>
      <c r="AK90">
        <f t="shared" ca="1" si="43"/>
        <v>2</v>
      </c>
    </row>
    <row r="91" spans="1:37" x14ac:dyDescent="0.3">
      <c r="A91" t="s">
        <v>4536</v>
      </c>
      <c r="B91">
        <v>60</v>
      </c>
      <c r="C91" t="s">
        <v>15</v>
      </c>
      <c r="D91" t="s">
        <v>83</v>
      </c>
      <c r="E91" t="s">
        <v>64</v>
      </c>
      <c r="F91" s="1">
        <v>44795</v>
      </c>
      <c r="G91" t="s">
        <v>225</v>
      </c>
      <c r="H91" t="s">
        <v>226</v>
      </c>
      <c r="I91" t="s">
        <v>20</v>
      </c>
      <c r="J91">
        <v>26062</v>
      </c>
      <c r="K91">
        <v>482</v>
      </c>
      <c r="L91" t="s">
        <v>42</v>
      </c>
      <c r="M91" s="1">
        <v>44811</v>
      </c>
      <c r="N91" t="s">
        <v>22</v>
      </c>
      <c r="O91" t="s">
        <v>31</v>
      </c>
      <c r="P91" t="str">
        <f t="shared" si="26"/>
        <v>P0090</v>
      </c>
      <c r="Q91" t="str">
        <f t="shared" si="22"/>
        <v>Cardiology</v>
      </c>
      <c r="R91">
        <f t="shared" si="23"/>
        <v>16</v>
      </c>
      <c r="S91" t="str">
        <f t="shared" ca="1" si="27"/>
        <v>No</v>
      </c>
      <c r="T91" t="str">
        <f t="shared" ca="1" si="28"/>
        <v>Critical</v>
      </c>
      <c r="U91" t="str">
        <f t="shared" ca="1" si="29"/>
        <v>General Ward</v>
      </c>
      <c r="V91" t="str">
        <f t="shared" si="30"/>
        <v>BED0090</v>
      </c>
      <c r="W91" t="str">
        <f t="shared" ca="1" si="31"/>
        <v>Semi-Private</v>
      </c>
      <c r="X91" t="str">
        <f t="shared" si="32"/>
        <v>NUR040</v>
      </c>
      <c r="Y91" t="str">
        <f t="shared" ca="1" si="33"/>
        <v>Morning</v>
      </c>
      <c r="Z91" t="str">
        <f t="shared" ca="1" si="34"/>
        <v>ECG Machine</v>
      </c>
      <c r="AA91" t="str">
        <f t="shared" ca="1" si="35"/>
        <v>Maintenance</v>
      </c>
      <c r="AB91" t="str">
        <f t="shared" ca="1" si="36"/>
        <v>Paid</v>
      </c>
      <c r="AC91" t="str">
        <f t="shared" ca="1" si="37"/>
        <v>Bank Transfer</v>
      </c>
      <c r="AD91" t="str">
        <f t="shared" ca="1" si="38"/>
        <v>Yes</v>
      </c>
      <c r="AE91" t="str">
        <f t="shared" ca="1" si="39"/>
        <v>No</v>
      </c>
      <c r="AF91" t="str">
        <f t="shared" ca="1" si="40"/>
        <v>Recovered</v>
      </c>
      <c r="AG91" t="str">
        <f t="shared" ca="1" si="41"/>
        <v>Southeast</v>
      </c>
      <c r="AH91" t="str">
        <f t="shared" si="24"/>
        <v>August</v>
      </c>
      <c r="AI91">
        <f t="shared" si="25"/>
        <v>2022</v>
      </c>
      <c r="AJ91" t="str">
        <f t="shared" ca="1" si="42"/>
        <v>Occupied</v>
      </c>
      <c r="AK91">
        <f t="shared" ca="1" si="43"/>
        <v>2</v>
      </c>
    </row>
    <row r="92" spans="1:37" x14ac:dyDescent="0.3">
      <c r="A92" t="s">
        <v>748</v>
      </c>
      <c r="B92">
        <v>49</v>
      </c>
      <c r="C92" t="s">
        <v>15</v>
      </c>
      <c r="D92" t="s">
        <v>83</v>
      </c>
      <c r="E92" t="s">
        <v>17</v>
      </c>
      <c r="F92" s="1">
        <v>44729</v>
      </c>
      <c r="G92" t="s">
        <v>227</v>
      </c>
      <c r="H92" t="s">
        <v>228</v>
      </c>
      <c r="I92" t="s">
        <v>28</v>
      </c>
      <c r="J92">
        <v>25302</v>
      </c>
      <c r="K92">
        <v>268</v>
      </c>
      <c r="L92" t="s">
        <v>42</v>
      </c>
      <c r="M92" s="1">
        <v>44740</v>
      </c>
      <c r="N92" t="s">
        <v>47</v>
      </c>
      <c r="O92" t="s">
        <v>43</v>
      </c>
      <c r="P92" t="str">
        <f t="shared" si="26"/>
        <v>P0091</v>
      </c>
      <c r="Q92" t="str">
        <f t="shared" si="22"/>
        <v>Oncology</v>
      </c>
      <c r="R92">
        <f t="shared" si="23"/>
        <v>11</v>
      </c>
      <c r="S92" t="str">
        <f t="shared" ca="1" si="27"/>
        <v>No</v>
      </c>
      <c r="T92" t="str">
        <f t="shared" ca="1" si="28"/>
        <v>Moderate</v>
      </c>
      <c r="U92" t="str">
        <f t="shared" ca="1" si="29"/>
        <v>General Ward</v>
      </c>
      <c r="V92" t="str">
        <f t="shared" si="30"/>
        <v>BED0091</v>
      </c>
      <c r="W92" t="str">
        <f t="shared" ca="1" si="31"/>
        <v>Private</v>
      </c>
      <c r="X92" t="str">
        <f t="shared" si="32"/>
        <v>NUR041</v>
      </c>
      <c r="Y92" t="str">
        <f t="shared" ca="1" si="33"/>
        <v>Morning</v>
      </c>
      <c r="Z92" t="str">
        <f t="shared" ca="1" si="34"/>
        <v>CT Scanner</v>
      </c>
      <c r="AA92" t="str">
        <f t="shared" ca="1" si="35"/>
        <v>Available</v>
      </c>
      <c r="AB92" t="str">
        <f t="shared" ca="1" si="36"/>
        <v>Partially Paid</v>
      </c>
      <c r="AC92" t="str">
        <f t="shared" ca="1" si="37"/>
        <v>Cash</v>
      </c>
      <c r="AD92" t="str">
        <f t="shared" ca="1" si="38"/>
        <v>No</v>
      </c>
      <c r="AE92" t="str">
        <f t="shared" ca="1" si="39"/>
        <v>No</v>
      </c>
      <c r="AF92" t="str">
        <f t="shared" ca="1" si="40"/>
        <v>Under Observation</v>
      </c>
      <c r="AG92" t="str">
        <f t="shared" ca="1" si="41"/>
        <v>Midwest</v>
      </c>
      <c r="AH92" t="str">
        <f t="shared" si="24"/>
        <v>June</v>
      </c>
      <c r="AI92">
        <f t="shared" si="25"/>
        <v>2022</v>
      </c>
      <c r="AJ92" t="str">
        <f t="shared" ca="1" si="42"/>
        <v>Vacant</v>
      </c>
      <c r="AK92">
        <f t="shared" ca="1" si="43"/>
        <v>4</v>
      </c>
    </row>
    <row r="93" spans="1:37" x14ac:dyDescent="0.3">
      <c r="A93" t="s">
        <v>4537</v>
      </c>
      <c r="B93">
        <v>80</v>
      </c>
      <c r="C93" t="s">
        <v>15</v>
      </c>
      <c r="D93" t="s">
        <v>24</v>
      </c>
      <c r="E93" t="s">
        <v>39</v>
      </c>
      <c r="F93" s="1">
        <v>44870</v>
      </c>
      <c r="G93" t="s">
        <v>229</v>
      </c>
      <c r="H93" t="s">
        <v>230</v>
      </c>
      <c r="I93" t="s">
        <v>51</v>
      </c>
      <c r="J93">
        <v>10662</v>
      </c>
      <c r="K93">
        <v>120</v>
      </c>
      <c r="L93" t="s">
        <v>29</v>
      </c>
      <c r="M93" s="1">
        <v>44890</v>
      </c>
      <c r="N93" t="s">
        <v>67</v>
      </c>
      <c r="O93" t="s">
        <v>43</v>
      </c>
      <c r="P93" t="str">
        <f t="shared" si="26"/>
        <v>P0092</v>
      </c>
      <c r="Q93" t="str">
        <f t="shared" si="22"/>
        <v>Endocrinology</v>
      </c>
      <c r="R93">
        <f t="shared" si="23"/>
        <v>20</v>
      </c>
      <c r="S93" t="str">
        <f t="shared" ca="1" si="27"/>
        <v>No</v>
      </c>
      <c r="T93" t="str">
        <f t="shared" ca="1" si="28"/>
        <v>Severe</v>
      </c>
      <c r="U93" t="str">
        <f t="shared" ca="1" si="29"/>
        <v>Semi-Private</v>
      </c>
      <c r="V93" t="str">
        <f t="shared" si="30"/>
        <v>BED0092</v>
      </c>
      <c r="W93" t="str">
        <f t="shared" ca="1" si="31"/>
        <v>Semi-Private</v>
      </c>
      <c r="X93" t="str">
        <f t="shared" si="32"/>
        <v>NUR042</v>
      </c>
      <c r="Y93" t="str">
        <f t="shared" ca="1" si="33"/>
        <v>Morning</v>
      </c>
      <c r="Z93" t="str">
        <f t="shared" ca="1" si="34"/>
        <v>CT Scanner</v>
      </c>
      <c r="AA93" t="str">
        <f t="shared" ca="1" si="35"/>
        <v>In Use</v>
      </c>
      <c r="AB93" t="str">
        <f t="shared" ca="1" si="36"/>
        <v>Pending</v>
      </c>
      <c r="AC93" t="str">
        <f t="shared" ca="1" si="37"/>
        <v>Cash</v>
      </c>
      <c r="AD93" t="str">
        <f t="shared" ca="1" si="38"/>
        <v>No</v>
      </c>
      <c r="AE93" t="str">
        <f t="shared" ca="1" si="39"/>
        <v>No</v>
      </c>
      <c r="AF93" t="str">
        <f t="shared" ca="1" si="40"/>
        <v>Recovered</v>
      </c>
      <c r="AG93" t="str">
        <f t="shared" ca="1" si="41"/>
        <v>Southwest</v>
      </c>
      <c r="AH93" t="str">
        <f t="shared" si="24"/>
        <v>November</v>
      </c>
      <c r="AI93">
        <f t="shared" si="25"/>
        <v>2022</v>
      </c>
      <c r="AJ93" t="str">
        <f t="shared" ca="1" si="42"/>
        <v>Occupied</v>
      </c>
      <c r="AK93">
        <f t="shared" ca="1" si="43"/>
        <v>1</v>
      </c>
    </row>
    <row r="94" spans="1:37" x14ac:dyDescent="0.3">
      <c r="A94" t="s">
        <v>4538</v>
      </c>
      <c r="B94">
        <v>35</v>
      </c>
      <c r="C94" t="s">
        <v>32</v>
      </c>
      <c r="D94" t="s">
        <v>83</v>
      </c>
      <c r="E94" t="s">
        <v>39</v>
      </c>
      <c r="F94" s="1">
        <v>44449</v>
      </c>
      <c r="G94" t="s">
        <v>231</v>
      </c>
      <c r="H94" t="s">
        <v>232</v>
      </c>
      <c r="I94" t="s">
        <v>20</v>
      </c>
      <c r="J94">
        <v>30358</v>
      </c>
      <c r="K94">
        <v>318</v>
      </c>
      <c r="L94" t="s">
        <v>42</v>
      </c>
      <c r="M94" s="1">
        <v>44457</v>
      </c>
      <c r="N94" t="s">
        <v>30</v>
      </c>
      <c r="O94" t="s">
        <v>31</v>
      </c>
      <c r="P94" t="str">
        <f t="shared" si="26"/>
        <v>P0093</v>
      </c>
      <c r="Q94" t="str">
        <f t="shared" si="22"/>
        <v>Endocrinology</v>
      </c>
      <c r="R94">
        <f t="shared" si="23"/>
        <v>8</v>
      </c>
      <c r="S94" t="str">
        <f t="shared" ca="1" si="27"/>
        <v>No</v>
      </c>
      <c r="T94" t="str">
        <f t="shared" ca="1" si="28"/>
        <v>Severe</v>
      </c>
      <c r="U94" t="str">
        <f t="shared" ca="1" si="29"/>
        <v>Private Ward</v>
      </c>
      <c r="V94" t="str">
        <f t="shared" si="30"/>
        <v>BED0093</v>
      </c>
      <c r="W94" t="str">
        <f t="shared" ca="1" si="31"/>
        <v>General</v>
      </c>
      <c r="X94" t="str">
        <f t="shared" si="32"/>
        <v>NUR043</v>
      </c>
      <c r="Y94" t="str">
        <f t="shared" ca="1" si="33"/>
        <v>Evening</v>
      </c>
      <c r="Z94" t="str">
        <f t="shared" ca="1" si="34"/>
        <v>MRI Scanner</v>
      </c>
      <c r="AA94" t="str">
        <f t="shared" ca="1" si="35"/>
        <v>Available</v>
      </c>
      <c r="AB94" t="str">
        <f t="shared" ca="1" si="36"/>
        <v>Pending</v>
      </c>
      <c r="AC94" t="str">
        <f t="shared" ca="1" si="37"/>
        <v>Cash</v>
      </c>
      <c r="AD94" t="str">
        <f t="shared" ca="1" si="38"/>
        <v>No</v>
      </c>
      <c r="AE94" t="str">
        <f t="shared" ca="1" si="39"/>
        <v>No</v>
      </c>
      <c r="AF94" t="str">
        <f t="shared" ca="1" si="40"/>
        <v>Transferred</v>
      </c>
      <c r="AG94" t="str">
        <f t="shared" ca="1" si="41"/>
        <v>Southeast</v>
      </c>
      <c r="AH94" t="str">
        <f t="shared" si="24"/>
        <v>September</v>
      </c>
      <c r="AI94">
        <f t="shared" si="25"/>
        <v>2021</v>
      </c>
      <c r="AJ94" t="str">
        <f t="shared" ca="1" si="42"/>
        <v>Occupied</v>
      </c>
      <c r="AK94">
        <f t="shared" ca="1" si="43"/>
        <v>4</v>
      </c>
    </row>
    <row r="95" spans="1:37" x14ac:dyDescent="0.3">
      <c r="A95" t="s">
        <v>4539</v>
      </c>
      <c r="B95">
        <v>84</v>
      </c>
      <c r="C95" t="s">
        <v>15</v>
      </c>
      <c r="D95" t="s">
        <v>24</v>
      </c>
      <c r="E95" t="s">
        <v>48</v>
      </c>
      <c r="F95" s="1">
        <v>44810</v>
      </c>
      <c r="G95" t="s">
        <v>233</v>
      </c>
      <c r="H95" t="s">
        <v>234</v>
      </c>
      <c r="I95" t="s">
        <v>57</v>
      </c>
      <c r="J95">
        <v>23685</v>
      </c>
      <c r="K95">
        <v>162</v>
      </c>
      <c r="L95" t="s">
        <v>21</v>
      </c>
      <c r="M95" s="1">
        <v>44831</v>
      </c>
      <c r="N95" t="s">
        <v>30</v>
      </c>
      <c r="O95" t="s">
        <v>31</v>
      </c>
      <c r="P95" t="str">
        <f t="shared" si="26"/>
        <v>P0094</v>
      </c>
      <c r="Q95" t="str">
        <f t="shared" si="22"/>
        <v>Pulmonology</v>
      </c>
      <c r="R95">
        <f t="shared" si="23"/>
        <v>21</v>
      </c>
      <c r="S95" t="str">
        <f t="shared" ca="1" si="27"/>
        <v>No</v>
      </c>
      <c r="T95" t="str">
        <f t="shared" ca="1" si="28"/>
        <v>Critical</v>
      </c>
      <c r="U95" t="str">
        <f t="shared" ca="1" si="29"/>
        <v>Semi-Private</v>
      </c>
      <c r="V95" t="str">
        <f t="shared" si="30"/>
        <v>BED0094</v>
      </c>
      <c r="W95" t="str">
        <f t="shared" ca="1" si="31"/>
        <v>ICU</v>
      </c>
      <c r="X95" t="str">
        <f t="shared" si="32"/>
        <v>NUR044</v>
      </c>
      <c r="Y95" t="str">
        <f t="shared" ca="1" si="33"/>
        <v>Evening</v>
      </c>
      <c r="Z95" t="str">
        <f t="shared" ca="1" si="34"/>
        <v>Ventilator</v>
      </c>
      <c r="AA95" t="str">
        <f t="shared" ca="1" si="35"/>
        <v>Available</v>
      </c>
      <c r="AB95" t="str">
        <f t="shared" ca="1" si="36"/>
        <v>Pending</v>
      </c>
      <c r="AC95" t="str">
        <f t="shared" ca="1" si="37"/>
        <v>Debit Card</v>
      </c>
      <c r="AD95" t="str">
        <f t="shared" ca="1" si="38"/>
        <v>No</v>
      </c>
      <c r="AE95" t="str">
        <f t="shared" ca="1" si="39"/>
        <v>No</v>
      </c>
      <c r="AF95" t="str">
        <f t="shared" ca="1" si="40"/>
        <v>Under Observation</v>
      </c>
      <c r="AG95" t="str">
        <f t="shared" ca="1" si="41"/>
        <v>Southwest</v>
      </c>
      <c r="AH95" t="str">
        <f t="shared" si="24"/>
        <v>September</v>
      </c>
      <c r="AI95">
        <f t="shared" si="25"/>
        <v>2022</v>
      </c>
      <c r="AJ95" t="str">
        <f t="shared" ca="1" si="42"/>
        <v>Vacant</v>
      </c>
      <c r="AK95">
        <f t="shared" ca="1" si="43"/>
        <v>4</v>
      </c>
    </row>
    <row r="96" spans="1:37" x14ac:dyDescent="0.3">
      <c r="A96" t="s">
        <v>491</v>
      </c>
      <c r="B96">
        <v>76</v>
      </c>
      <c r="C96" t="s">
        <v>15</v>
      </c>
      <c r="D96" t="s">
        <v>24</v>
      </c>
      <c r="E96" t="s">
        <v>39</v>
      </c>
      <c r="F96" s="1">
        <v>44303</v>
      </c>
      <c r="G96" t="s">
        <v>235</v>
      </c>
      <c r="H96" t="s">
        <v>236</v>
      </c>
      <c r="I96" t="s">
        <v>36</v>
      </c>
      <c r="J96">
        <v>3909</v>
      </c>
      <c r="K96">
        <v>428</v>
      </c>
      <c r="L96" t="s">
        <v>42</v>
      </c>
      <c r="M96" s="1">
        <v>44326</v>
      </c>
      <c r="N96" t="s">
        <v>67</v>
      </c>
      <c r="O96" t="s">
        <v>31</v>
      </c>
      <c r="P96" t="str">
        <f t="shared" si="26"/>
        <v>P0095</v>
      </c>
      <c r="Q96" t="str">
        <f t="shared" si="22"/>
        <v>Endocrinology</v>
      </c>
      <c r="R96">
        <f t="shared" si="23"/>
        <v>23</v>
      </c>
      <c r="S96" t="str">
        <f t="shared" ca="1" si="27"/>
        <v>No</v>
      </c>
      <c r="T96" t="str">
        <f t="shared" ca="1" si="28"/>
        <v>Critical</v>
      </c>
      <c r="U96" t="str">
        <f t="shared" ca="1" si="29"/>
        <v>ICU</v>
      </c>
      <c r="V96" t="str">
        <f t="shared" si="30"/>
        <v>BED0095</v>
      </c>
      <c r="W96" t="str">
        <f t="shared" ca="1" si="31"/>
        <v>General</v>
      </c>
      <c r="X96" t="str">
        <f t="shared" si="32"/>
        <v>NUR045</v>
      </c>
      <c r="Y96" t="str">
        <f t="shared" ca="1" si="33"/>
        <v>Evening</v>
      </c>
      <c r="Z96" t="str">
        <f t="shared" ca="1" si="34"/>
        <v>ECG Machine</v>
      </c>
      <c r="AA96" t="str">
        <f t="shared" ca="1" si="35"/>
        <v>Maintenance</v>
      </c>
      <c r="AB96" t="str">
        <f t="shared" ca="1" si="36"/>
        <v>Pending</v>
      </c>
      <c r="AC96" t="str">
        <f t="shared" ca="1" si="37"/>
        <v>Insurance</v>
      </c>
      <c r="AD96" t="str">
        <f t="shared" ca="1" si="38"/>
        <v>No</v>
      </c>
      <c r="AE96" t="str">
        <f t="shared" ca="1" si="39"/>
        <v>No</v>
      </c>
      <c r="AF96" t="str">
        <f t="shared" ca="1" si="40"/>
        <v>Under Observation</v>
      </c>
      <c r="AG96" t="str">
        <f t="shared" ca="1" si="41"/>
        <v>West Coast</v>
      </c>
      <c r="AH96" t="str">
        <f t="shared" si="24"/>
        <v>April</v>
      </c>
      <c r="AI96">
        <f t="shared" si="25"/>
        <v>2021</v>
      </c>
      <c r="AJ96" t="str">
        <f t="shared" ca="1" si="42"/>
        <v>Occupied</v>
      </c>
      <c r="AK96">
        <f t="shared" ca="1" si="43"/>
        <v>2</v>
      </c>
    </row>
    <row r="97" spans="1:37" x14ac:dyDescent="0.3">
      <c r="A97" t="s">
        <v>4540</v>
      </c>
      <c r="B97">
        <v>79</v>
      </c>
      <c r="C97" t="s">
        <v>32</v>
      </c>
      <c r="D97" t="s">
        <v>33</v>
      </c>
      <c r="E97" t="s">
        <v>64</v>
      </c>
      <c r="F97" s="1">
        <v>43696</v>
      </c>
      <c r="G97" t="s">
        <v>237</v>
      </c>
      <c r="H97" t="s">
        <v>238</v>
      </c>
      <c r="I97" t="s">
        <v>28</v>
      </c>
      <c r="J97">
        <v>25504</v>
      </c>
      <c r="K97">
        <v>144</v>
      </c>
      <c r="L97" t="s">
        <v>42</v>
      </c>
      <c r="M97" s="1">
        <v>43703</v>
      </c>
      <c r="N97" t="s">
        <v>67</v>
      </c>
      <c r="O97" t="s">
        <v>43</v>
      </c>
      <c r="P97" t="str">
        <f t="shared" si="26"/>
        <v>P0096</v>
      </c>
      <c r="Q97" t="str">
        <f t="shared" si="22"/>
        <v>Cardiology</v>
      </c>
      <c r="R97">
        <f t="shared" si="23"/>
        <v>7</v>
      </c>
      <c r="S97" t="str">
        <f t="shared" ca="1" si="27"/>
        <v>No</v>
      </c>
      <c r="T97" t="str">
        <f t="shared" ca="1" si="28"/>
        <v>Severe</v>
      </c>
      <c r="U97" t="str">
        <f t="shared" ca="1" si="29"/>
        <v>Semi-Private</v>
      </c>
      <c r="V97" t="str">
        <f t="shared" si="30"/>
        <v>BED0096</v>
      </c>
      <c r="W97" t="str">
        <f t="shared" ca="1" si="31"/>
        <v>General</v>
      </c>
      <c r="X97" t="str">
        <f t="shared" si="32"/>
        <v>NUR046</v>
      </c>
      <c r="Y97" t="str">
        <f t="shared" ca="1" si="33"/>
        <v>Night</v>
      </c>
      <c r="Z97" t="str">
        <f t="shared" ca="1" si="34"/>
        <v>Ultrasound</v>
      </c>
      <c r="AA97" t="str">
        <f t="shared" ca="1" si="35"/>
        <v>In Use</v>
      </c>
      <c r="AB97" t="str">
        <f t="shared" ca="1" si="36"/>
        <v>Paid</v>
      </c>
      <c r="AC97" t="str">
        <f t="shared" ca="1" si="37"/>
        <v>Bank Transfer</v>
      </c>
      <c r="AD97" t="str">
        <f t="shared" ca="1" si="38"/>
        <v>No</v>
      </c>
      <c r="AE97" t="str">
        <f t="shared" ca="1" si="39"/>
        <v>No</v>
      </c>
      <c r="AF97" t="str">
        <f t="shared" ca="1" si="40"/>
        <v>Under Observation</v>
      </c>
      <c r="AG97" t="str">
        <f t="shared" ca="1" si="41"/>
        <v>Southwest</v>
      </c>
      <c r="AH97" t="str">
        <f t="shared" si="24"/>
        <v>August</v>
      </c>
      <c r="AI97">
        <f t="shared" si="25"/>
        <v>2019</v>
      </c>
      <c r="AJ97" t="str">
        <f t="shared" ca="1" si="42"/>
        <v>Vacant</v>
      </c>
      <c r="AK97">
        <f t="shared" ca="1" si="43"/>
        <v>4</v>
      </c>
    </row>
    <row r="98" spans="1:37" x14ac:dyDescent="0.3">
      <c r="A98" t="s">
        <v>4541</v>
      </c>
      <c r="B98">
        <v>76</v>
      </c>
      <c r="C98" t="s">
        <v>32</v>
      </c>
      <c r="D98" t="s">
        <v>38</v>
      </c>
      <c r="E98" t="s">
        <v>39</v>
      </c>
      <c r="F98" s="1">
        <v>45375</v>
      </c>
      <c r="G98" t="s">
        <v>239</v>
      </c>
      <c r="H98" t="s">
        <v>240</v>
      </c>
      <c r="I98" t="s">
        <v>36</v>
      </c>
      <c r="J98">
        <v>6313</v>
      </c>
      <c r="K98">
        <v>226</v>
      </c>
      <c r="L98" t="s">
        <v>42</v>
      </c>
      <c r="M98" s="1">
        <v>45396</v>
      </c>
      <c r="N98" t="s">
        <v>37</v>
      </c>
      <c r="O98" t="s">
        <v>43</v>
      </c>
      <c r="P98" t="str">
        <f t="shared" si="26"/>
        <v>P0097</v>
      </c>
      <c r="Q98" t="str">
        <f t="shared" si="22"/>
        <v>Endocrinology</v>
      </c>
      <c r="R98">
        <f t="shared" si="23"/>
        <v>21</v>
      </c>
      <c r="S98" t="str">
        <f t="shared" ca="1" si="27"/>
        <v>No</v>
      </c>
      <c r="T98" t="str">
        <f t="shared" ca="1" si="28"/>
        <v>Critical</v>
      </c>
      <c r="U98" t="str">
        <f t="shared" ca="1" si="29"/>
        <v>Private Ward</v>
      </c>
      <c r="V98" t="str">
        <f t="shared" si="30"/>
        <v>BED0097</v>
      </c>
      <c r="W98" t="str">
        <f t="shared" ca="1" si="31"/>
        <v>Semi-Private</v>
      </c>
      <c r="X98" t="str">
        <f t="shared" si="32"/>
        <v>NUR047</v>
      </c>
      <c r="Y98" t="str">
        <f t="shared" ca="1" si="33"/>
        <v>Morning</v>
      </c>
      <c r="Z98" t="str">
        <f t="shared" ca="1" si="34"/>
        <v>MRI Scanner</v>
      </c>
      <c r="AA98" t="str">
        <f t="shared" ca="1" si="35"/>
        <v>Available</v>
      </c>
      <c r="AB98" t="str">
        <f t="shared" ca="1" si="36"/>
        <v>Paid</v>
      </c>
      <c r="AC98" t="str">
        <f t="shared" ca="1" si="37"/>
        <v>Credit Card</v>
      </c>
      <c r="AD98" t="str">
        <f t="shared" ca="1" si="38"/>
        <v>No</v>
      </c>
      <c r="AE98" t="str">
        <f t="shared" ca="1" si="39"/>
        <v>No</v>
      </c>
      <c r="AF98" t="str">
        <f t="shared" ca="1" si="40"/>
        <v>Under Observation</v>
      </c>
      <c r="AG98" t="str">
        <f t="shared" ca="1" si="41"/>
        <v>Midwest</v>
      </c>
      <c r="AH98" t="str">
        <f t="shared" si="24"/>
        <v>March</v>
      </c>
      <c r="AI98">
        <f t="shared" si="25"/>
        <v>2024</v>
      </c>
      <c r="AJ98" t="str">
        <f t="shared" ca="1" si="42"/>
        <v>Occupied</v>
      </c>
      <c r="AK98">
        <f t="shared" ca="1" si="43"/>
        <v>2</v>
      </c>
    </row>
    <row r="99" spans="1:37" x14ac:dyDescent="0.3">
      <c r="A99" t="s">
        <v>4542</v>
      </c>
      <c r="B99">
        <v>55</v>
      </c>
      <c r="C99" t="s">
        <v>32</v>
      </c>
      <c r="D99" t="s">
        <v>24</v>
      </c>
      <c r="E99" t="s">
        <v>39</v>
      </c>
      <c r="F99" s="1">
        <v>44905</v>
      </c>
      <c r="G99" t="s">
        <v>241</v>
      </c>
      <c r="H99" t="s">
        <v>242</v>
      </c>
      <c r="I99" t="s">
        <v>51</v>
      </c>
      <c r="J99">
        <v>21772</v>
      </c>
      <c r="K99">
        <v>459</v>
      </c>
      <c r="L99" t="s">
        <v>42</v>
      </c>
      <c r="M99" s="1">
        <v>44926</v>
      </c>
      <c r="N99" t="s">
        <v>30</v>
      </c>
      <c r="O99" t="s">
        <v>23</v>
      </c>
      <c r="P99" t="str">
        <f t="shared" si="26"/>
        <v>P0098</v>
      </c>
      <c r="Q99" t="str">
        <f t="shared" si="22"/>
        <v>Endocrinology</v>
      </c>
      <c r="R99">
        <f t="shared" si="23"/>
        <v>21</v>
      </c>
      <c r="S99" t="str">
        <f t="shared" ca="1" si="27"/>
        <v>No</v>
      </c>
      <c r="T99" t="str">
        <f t="shared" ca="1" si="28"/>
        <v>Mild</v>
      </c>
      <c r="U99" t="str">
        <f t="shared" ca="1" si="29"/>
        <v>General Ward</v>
      </c>
      <c r="V99" t="str">
        <f t="shared" si="30"/>
        <v>BED0098</v>
      </c>
      <c r="W99" t="str">
        <f t="shared" ca="1" si="31"/>
        <v>General</v>
      </c>
      <c r="X99" t="str">
        <f t="shared" si="32"/>
        <v>NUR048</v>
      </c>
      <c r="Y99" t="str">
        <f t="shared" ca="1" si="33"/>
        <v>Evening</v>
      </c>
      <c r="Z99" t="str">
        <f t="shared" ca="1" si="34"/>
        <v>Ultrasound</v>
      </c>
      <c r="AA99" t="str">
        <f t="shared" ca="1" si="35"/>
        <v>In Use</v>
      </c>
      <c r="AB99" t="str">
        <f t="shared" ca="1" si="36"/>
        <v>Partially Paid</v>
      </c>
      <c r="AC99" t="str">
        <f t="shared" ca="1" si="37"/>
        <v>Insurance</v>
      </c>
      <c r="AD99" t="str">
        <f t="shared" ca="1" si="38"/>
        <v>No</v>
      </c>
      <c r="AE99" t="str">
        <f t="shared" ca="1" si="39"/>
        <v>No</v>
      </c>
      <c r="AF99" t="str">
        <f t="shared" ca="1" si="40"/>
        <v>Under Observation</v>
      </c>
      <c r="AG99" t="str">
        <f t="shared" ca="1" si="41"/>
        <v>West Coast</v>
      </c>
      <c r="AH99" t="str">
        <f t="shared" si="24"/>
        <v>December</v>
      </c>
      <c r="AI99">
        <f t="shared" si="25"/>
        <v>2022</v>
      </c>
      <c r="AJ99" t="str">
        <f t="shared" ca="1" si="42"/>
        <v>Vacant</v>
      </c>
      <c r="AK99">
        <f t="shared" ca="1" si="43"/>
        <v>2</v>
      </c>
    </row>
    <row r="100" spans="1:37" x14ac:dyDescent="0.3">
      <c r="A100" t="s">
        <v>4543</v>
      </c>
      <c r="B100">
        <v>53</v>
      </c>
      <c r="C100" t="s">
        <v>15</v>
      </c>
      <c r="D100" t="s">
        <v>16</v>
      </c>
      <c r="E100" t="s">
        <v>17</v>
      </c>
      <c r="F100" s="1">
        <v>44818</v>
      </c>
      <c r="G100" t="s">
        <v>243</v>
      </c>
      <c r="H100" t="s">
        <v>244</v>
      </c>
      <c r="I100" t="s">
        <v>20</v>
      </c>
      <c r="J100">
        <v>30437</v>
      </c>
      <c r="K100">
        <v>208</v>
      </c>
      <c r="L100" t="s">
        <v>42</v>
      </c>
      <c r="M100" s="1">
        <v>44822</v>
      </c>
      <c r="N100" t="s">
        <v>37</v>
      </c>
      <c r="O100" t="s">
        <v>23</v>
      </c>
      <c r="P100" t="str">
        <f t="shared" si="26"/>
        <v>P0099</v>
      </c>
      <c r="Q100" t="str">
        <f t="shared" si="22"/>
        <v>Oncology</v>
      </c>
      <c r="R100">
        <f t="shared" si="23"/>
        <v>4</v>
      </c>
      <c r="S100" t="str">
        <f t="shared" ca="1" si="27"/>
        <v>No</v>
      </c>
      <c r="T100" t="str">
        <f t="shared" ca="1" si="28"/>
        <v>Moderate</v>
      </c>
      <c r="U100" t="str">
        <f t="shared" ca="1" si="29"/>
        <v>General Ward</v>
      </c>
      <c r="V100" t="str">
        <f t="shared" si="30"/>
        <v>BED0099</v>
      </c>
      <c r="W100" t="str">
        <f t="shared" ca="1" si="31"/>
        <v>Semi-Private</v>
      </c>
      <c r="X100" t="str">
        <f t="shared" si="32"/>
        <v>NUR049</v>
      </c>
      <c r="Y100" t="str">
        <f t="shared" ca="1" si="33"/>
        <v>Night</v>
      </c>
      <c r="Z100" t="str">
        <f t="shared" ca="1" si="34"/>
        <v>MRI Scanner</v>
      </c>
      <c r="AA100" t="str">
        <f t="shared" ca="1" si="35"/>
        <v>Maintenance</v>
      </c>
      <c r="AB100" t="str">
        <f t="shared" ca="1" si="36"/>
        <v>Partially Paid</v>
      </c>
      <c r="AC100" t="str">
        <f t="shared" ca="1" si="37"/>
        <v>Bank Transfer</v>
      </c>
      <c r="AD100" t="str">
        <f t="shared" ca="1" si="38"/>
        <v>No</v>
      </c>
      <c r="AE100" t="str">
        <f t="shared" ca="1" si="39"/>
        <v>No</v>
      </c>
      <c r="AF100" t="str">
        <f t="shared" ca="1" si="40"/>
        <v>Under Observation</v>
      </c>
      <c r="AG100" t="str">
        <f t="shared" ca="1" si="41"/>
        <v>Northeast</v>
      </c>
      <c r="AH100" t="str">
        <f t="shared" si="24"/>
        <v>September</v>
      </c>
      <c r="AI100">
        <f t="shared" si="25"/>
        <v>2022</v>
      </c>
      <c r="AJ100" t="str">
        <f t="shared" ca="1" si="42"/>
        <v>Occupied</v>
      </c>
      <c r="AK100">
        <f t="shared" ca="1" si="43"/>
        <v>4</v>
      </c>
    </row>
    <row r="101" spans="1:37" x14ac:dyDescent="0.3">
      <c r="A101" t="s">
        <v>4544</v>
      </c>
      <c r="B101">
        <v>18</v>
      </c>
      <c r="C101" t="s">
        <v>15</v>
      </c>
      <c r="D101" t="s">
        <v>83</v>
      </c>
      <c r="E101" t="s">
        <v>48</v>
      </c>
      <c r="F101" s="1">
        <v>44852</v>
      </c>
      <c r="G101" t="s">
        <v>245</v>
      </c>
      <c r="H101" t="s">
        <v>246</v>
      </c>
      <c r="I101" t="s">
        <v>51</v>
      </c>
      <c r="J101">
        <v>28838</v>
      </c>
      <c r="K101">
        <v>227</v>
      </c>
      <c r="L101" t="s">
        <v>42</v>
      </c>
      <c r="M101" s="1">
        <v>44876</v>
      </c>
      <c r="N101" t="s">
        <v>37</v>
      </c>
      <c r="O101" t="s">
        <v>43</v>
      </c>
      <c r="P101" t="str">
        <f t="shared" si="26"/>
        <v>P0100</v>
      </c>
      <c r="Q101" t="str">
        <f t="shared" si="22"/>
        <v>Pulmonology</v>
      </c>
      <c r="R101">
        <f t="shared" si="23"/>
        <v>24</v>
      </c>
      <c r="S101" t="str">
        <f t="shared" ca="1" si="27"/>
        <v>No</v>
      </c>
      <c r="T101" t="str">
        <f t="shared" ca="1" si="28"/>
        <v>Severe</v>
      </c>
      <c r="U101" t="str">
        <f t="shared" ca="1" si="29"/>
        <v>Semi-Private</v>
      </c>
      <c r="V101" t="str">
        <f t="shared" si="30"/>
        <v>BED0100</v>
      </c>
      <c r="W101" t="str">
        <f t="shared" ca="1" si="31"/>
        <v>ICU</v>
      </c>
      <c r="X101" t="str">
        <f t="shared" si="32"/>
        <v>NUR050</v>
      </c>
      <c r="Y101" t="str">
        <f t="shared" ca="1" si="33"/>
        <v>Night</v>
      </c>
      <c r="Z101" t="str">
        <f t="shared" ca="1" si="34"/>
        <v>ECG Machine</v>
      </c>
      <c r="AA101" t="str">
        <f t="shared" ca="1" si="35"/>
        <v>In Use</v>
      </c>
      <c r="AB101" t="str">
        <f t="shared" ca="1" si="36"/>
        <v>Partially Paid</v>
      </c>
      <c r="AC101" t="str">
        <f t="shared" ca="1" si="37"/>
        <v>Cash</v>
      </c>
      <c r="AD101" t="str">
        <f t="shared" ca="1" si="38"/>
        <v>No</v>
      </c>
      <c r="AE101" t="str">
        <f t="shared" ca="1" si="39"/>
        <v>No</v>
      </c>
      <c r="AF101" t="str">
        <f t="shared" ca="1" si="40"/>
        <v>Recovered</v>
      </c>
      <c r="AG101" t="str">
        <f t="shared" ca="1" si="41"/>
        <v>Northeast</v>
      </c>
      <c r="AH101" t="str">
        <f t="shared" si="24"/>
        <v>October</v>
      </c>
      <c r="AI101">
        <f t="shared" si="25"/>
        <v>2022</v>
      </c>
      <c r="AJ101" t="str">
        <f t="shared" ca="1" si="42"/>
        <v>Occupied</v>
      </c>
      <c r="AK101">
        <f t="shared" ca="1" si="43"/>
        <v>2</v>
      </c>
    </row>
    <row r="102" spans="1:37" x14ac:dyDescent="0.3">
      <c r="A102" t="s">
        <v>4545</v>
      </c>
      <c r="B102">
        <v>69</v>
      </c>
      <c r="C102" t="s">
        <v>15</v>
      </c>
      <c r="D102" t="s">
        <v>38</v>
      </c>
      <c r="E102" t="s">
        <v>76</v>
      </c>
      <c r="F102" s="1">
        <v>44513</v>
      </c>
      <c r="G102" t="s">
        <v>247</v>
      </c>
      <c r="H102" t="s">
        <v>248</v>
      </c>
      <c r="I102" t="s">
        <v>57</v>
      </c>
      <c r="J102">
        <v>25426</v>
      </c>
      <c r="K102">
        <v>115</v>
      </c>
      <c r="L102" t="s">
        <v>42</v>
      </c>
      <c r="M102" s="1">
        <v>44521</v>
      </c>
      <c r="N102" t="s">
        <v>37</v>
      </c>
      <c r="O102" t="s">
        <v>23</v>
      </c>
      <c r="P102" t="str">
        <f t="shared" si="26"/>
        <v>P0101</v>
      </c>
      <c r="Q102" t="str">
        <f t="shared" si="22"/>
        <v>Orthopedics</v>
      </c>
      <c r="R102">
        <f t="shared" si="23"/>
        <v>8</v>
      </c>
      <c r="S102" t="str">
        <f t="shared" ca="1" si="27"/>
        <v>No</v>
      </c>
      <c r="T102" t="str">
        <f t="shared" ca="1" si="28"/>
        <v>Moderate</v>
      </c>
      <c r="U102" t="str">
        <f t="shared" ca="1" si="29"/>
        <v>Emergency</v>
      </c>
      <c r="V102" t="str">
        <f t="shared" si="30"/>
        <v>BED0101</v>
      </c>
      <c r="W102" t="str">
        <f t="shared" ca="1" si="31"/>
        <v>General</v>
      </c>
      <c r="X102" t="str">
        <f t="shared" si="32"/>
        <v>NUR001</v>
      </c>
      <c r="Y102" t="str">
        <f t="shared" ca="1" si="33"/>
        <v>Morning</v>
      </c>
      <c r="Z102" t="str">
        <f t="shared" ca="1" si="34"/>
        <v>X-Ray</v>
      </c>
      <c r="AA102" t="str">
        <f t="shared" ca="1" si="35"/>
        <v>Available</v>
      </c>
      <c r="AB102" t="str">
        <f t="shared" ca="1" si="36"/>
        <v>Partially Paid</v>
      </c>
      <c r="AC102" t="str">
        <f t="shared" ca="1" si="37"/>
        <v>Debit Card</v>
      </c>
      <c r="AD102" t="str">
        <f t="shared" ca="1" si="38"/>
        <v>No</v>
      </c>
      <c r="AE102" t="str">
        <f t="shared" ca="1" si="39"/>
        <v>No</v>
      </c>
      <c r="AF102" t="str">
        <f t="shared" ca="1" si="40"/>
        <v>Under Observation</v>
      </c>
      <c r="AG102" t="str">
        <f t="shared" ca="1" si="41"/>
        <v>Southwest</v>
      </c>
      <c r="AH102" t="str">
        <f t="shared" si="24"/>
        <v>November</v>
      </c>
      <c r="AI102">
        <f t="shared" si="25"/>
        <v>2021</v>
      </c>
      <c r="AJ102" t="str">
        <f t="shared" ca="1" si="42"/>
        <v>Occupied</v>
      </c>
      <c r="AK102">
        <f t="shared" ca="1" si="43"/>
        <v>4</v>
      </c>
    </row>
    <row r="103" spans="1:37" x14ac:dyDescent="0.3">
      <c r="A103" t="s">
        <v>4546</v>
      </c>
      <c r="B103">
        <v>70</v>
      </c>
      <c r="C103" t="s">
        <v>15</v>
      </c>
      <c r="D103" t="s">
        <v>83</v>
      </c>
      <c r="E103" t="s">
        <v>39</v>
      </c>
      <c r="F103" s="1">
        <v>44750</v>
      </c>
      <c r="G103" t="s">
        <v>249</v>
      </c>
      <c r="H103" t="s">
        <v>250</v>
      </c>
      <c r="I103" t="s">
        <v>36</v>
      </c>
      <c r="J103">
        <v>7187</v>
      </c>
      <c r="K103">
        <v>402</v>
      </c>
      <c r="L103" t="s">
        <v>29</v>
      </c>
      <c r="M103" s="1">
        <v>44767</v>
      </c>
      <c r="N103" t="s">
        <v>37</v>
      </c>
      <c r="O103" t="s">
        <v>23</v>
      </c>
      <c r="P103" t="str">
        <f t="shared" si="26"/>
        <v>P0102</v>
      </c>
      <c r="Q103" t="str">
        <f t="shared" si="22"/>
        <v>Endocrinology</v>
      </c>
      <c r="R103">
        <f t="shared" si="23"/>
        <v>17</v>
      </c>
      <c r="S103" t="str">
        <f t="shared" ca="1" si="27"/>
        <v>No</v>
      </c>
      <c r="T103" t="str">
        <f t="shared" ca="1" si="28"/>
        <v>Moderate</v>
      </c>
      <c r="U103" t="str">
        <f t="shared" ca="1" si="29"/>
        <v>Emergency</v>
      </c>
      <c r="V103" t="str">
        <f t="shared" si="30"/>
        <v>BED0102</v>
      </c>
      <c r="W103" t="str">
        <f t="shared" ca="1" si="31"/>
        <v>Private</v>
      </c>
      <c r="X103" t="str">
        <f t="shared" si="32"/>
        <v>NUR002</v>
      </c>
      <c r="Y103" t="str">
        <f t="shared" ca="1" si="33"/>
        <v>Night</v>
      </c>
      <c r="Z103" t="str">
        <f t="shared" ca="1" si="34"/>
        <v>MRI Scanner</v>
      </c>
      <c r="AA103" t="str">
        <f t="shared" ca="1" si="35"/>
        <v>Maintenance</v>
      </c>
      <c r="AB103" t="str">
        <f t="shared" ca="1" si="36"/>
        <v>Pending</v>
      </c>
      <c r="AC103" t="str">
        <f t="shared" ca="1" si="37"/>
        <v>Insurance</v>
      </c>
      <c r="AD103" t="str">
        <f t="shared" ca="1" si="38"/>
        <v>No</v>
      </c>
      <c r="AE103" t="str">
        <f t="shared" ca="1" si="39"/>
        <v>No</v>
      </c>
      <c r="AF103" t="str">
        <f t="shared" ca="1" si="40"/>
        <v>Under Observation</v>
      </c>
      <c r="AG103" t="str">
        <f t="shared" ca="1" si="41"/>
        <v>West Coast</v>
      </c>
      <c r="AH103" t="str">
        <f t="shared" si="24"/>
        <v>July</v>
      </c>
      <c r="AI103">
        <f t="shared" si="25"/>
        <v>2022</v>
      </c>
      <c r="AJ103" t="str">
        <f t="shared" ca="1" si="42"/>
        <v>Occupied</v>
      </c>
      <c r="AK103">
        <f t="shared" ca="1" si="43"/>
        <v>2</v>
      </c>
    </row>
    <row r="104" spans="1:37" x14ac:dyDescent="0.3">
      <c r="A104" t="s">
        <v>4547</v>
      </c>
      <c r="B104">
        <v>21</v>
      </c>
      <c r="C104" t="s">
        <v>15</v>
      </c>
      <c r="D104" t="s">
        <v>24</v>
      </c>
      <c r="E104" t="s">
        <v>39</v>
      </c>
      <c r="F104" s="1">
        <v>45102</v>
      </c>
      <c r="G104" t="s">
        <v>251</v>
      </c>
      <c r="H104" t="s">
        <v>252</v>
      </c>
      <c r="I104" t="s">
        <v>51</v>
      </c>
      <c r="J104">
        <v>3126</v>
      </c>
      <c r="K104">
        <v>442</v>
      </c>
      <c r="L104" t="s">
        <v>21</v>
      </c>
      <c r="M104" s="1">
        <v>45118</v>
      </c>
      <c r="N104" t="s">
        <v>30</v>
      </c>
      <c r="O104" t="s">
        <v>23</v>
      </c>
      <c r="P104" t="str">
        <f t="shared" si="26"/>
        <v>P0103</v>
      </c>
      <c r="Q104" t="str">
        <f t="shared" si="22"/>
        <v>Endocrinology</v>
      </c>
      <c r="R104">
        <f t="shared" si="23"/>
        <v>16</v>
      </c>
      <c r="S104" t="str">
        <f t="shared" ca="1" si="27"/>
        <v>No</v>
      </c>
      <c r="T104" t="str">
        <f t="shared" ca="1" si="28"/>
        <v>Severe</v>
      </c>
      <c r="U104" t="str">
        <f t="shared" ca="1" si="29"/>
        <v>Emergency</v>
      </c>
      <c r="V104" t="str">
        <f t="shared" si="30"/>
        <v>BED0103</v>
      </c>
      <c r="W104" t="str">
        <f t="shared" ca="1" si="31"/>
        <v>Semi-Private</v>
      </c>
      <c r="X104" t="str">
        <f t="shared" si="32"/>
        <v>NUR003</v>
      </c>
      <c r="Y104" t="str">
        <f t="shared" ca="1" si="33"/>
        <v>Night</v>
      </c>
      <c r="Z104" t="str">
        <f t="shared" ca="1" si="34"/>
        <v>MRI Scanner</v>
      </c>
      <c r="AA104" t="str">
        <f t="shared" ca="1" si="35"/>
        <v>Maintenance</v>
      </c>
      <c r="AB104" t="str">
        <f t="shared" ca="1" si="36"/>
        <v>Paid</v>
      </c>
      <c r="AC104" t="str">
        <f t="shared" ca="1" si="37"/>
        <v>Insurance</v>
      </c>
      <c r="AD104" t="str">
        <f t="shared" ca="1" si="38"/>
        <v>No</v>
      </c>
      <c r="AE104" t="str">
        <f t="shared" ca="1" si="39"/>
        <v>No</v>
      </c>
      <c r="AF104" t="str">
        <f t="shared" ca="1" si="40"/>
        <v>Under Observation</v>
      </c>
      <c r="AG104" t="str">
        <f t="shared" ca="1" si="41"/>
        <v>Midwest</v>
      </c>
      <c r="AH104" t="str">
        <f t="shared" si="24"/>
        <v>June</v>
      </c>
      <c r="AI104">
        <f t="shared" si="25"/>
        <v>2023</v>
      </c>
      <c r="AJ104" t="str">
        <f t="shared" ca="1" si="42"/>
        <v>Vacant</v>
      </c>
      <c r="AK104">
        <f t="shared" ca="1" si="43"/>
        <v>4</v>
      </c>
    </row>
    <row r="105" spans="1:37" x14ac:dyDescent="0.3">
      <c r="A105" t="s">
        <v>3953</v>
      </c>
      <c r="B105">
        <v>47</v>
      </c>
      <c r="C105" t="s">
        <v>15</v>
      </c>
      <c r="D105" t="s">
        <v>33</v>
      </c>
      <c r="E105" t="s">
        <v>39</v>
      </c>
      <c r="F105" s="1">
        <v>43655</v>
      </c>
      <c r="G105" t="s">
        <v>253</v>
      </c>
      <c r="H105" t="s">
        <v>254</v>
      </c>
      <c r="I105" t="s">
        <v>28</v>
      </c>
      <c r="J105">
        <v>31516</v>
      </c>
      <c r="K105">
        <v>418</v>
      </c>
      <c r="L105" t="s">
        <v>42</v>
      </c>
      <c r="M105" s="1">
        <v>43682</v>
      </c>
      <c r="N105" t="s">
        <v>47</v>
      </c>
      <c r="O105" t="s">
        <v>31</v>
      </c>
      <c r="P105" t="str">
        <f t="shared" si="26"/>
        <v>P0104</v>
      </c>
      <c r="Q105" t="str">
        <f t="shared" si="22"/>
        <v>Endocrinology</v>
      </c>
      <c r="R105">
        <f t="shared" si="23"/>
        <v>27</v>
      </c>
      <c r="S105" t="str">
        <f t="shared" ca="1" si="27"/>
        <v>No</v>
      </c>
      <c r="T105" t="str">
        <f t="shared" ca="1" si="28"/>
        <v>Severe</v>
      </c>
      <c r="U105" t="str">
        <f t="shared" ca="1" si="29"/>
        <v>Private Ward</v>
      </c>
      <c r="V105" t="str">
        <f t="shared" si="30"/>
        <v>BED0104</v>
      </c>
      <c r="W105" t="str">
        <f t="shared" ca="1" si="31"/>
        <v>General</v>
      </c>
      <c r="X105" t="str">
        <f t="shared" si="32"/>
        <v>NUR004</v>
      </c>
      <c r="Y105" t="str">
        <f t="shared" ca="1" si="33"/>
        <v>Evening</v>
      </c>
      <c r="Z105" t="str">
        <f t="shared" ca="1" si="34"/>
        <v>MRI Scanner</v>
      </c>
      <c r="AA105" t="str">
        <f t="shared" ca="1" si="35"/>
        <v>In Use</v>
      </c>
      <c r="AB105" t="str">
        <f t="shared" ca="1" si="36"/>
        <v>Partially Paid</v>
      </c>
      <c r="AC105" t="str">
        <f t="shared" ca="1" si="37"/>
        <v>Bank Transfer</v>
      </c>
      <c r="AD105" t="str">
        <f t="shared" ca="1" si="38"/>
        <v>No</v>
      </c>
      <c r="AE105" t="str">
        <f t="shared" ca="1" si="39"/>
        <v>No</v>
      </c>
      <c r="AF105" t="str">
        <f t="shared" ca="1" si="40"/>
        <v>Recovered</v>
      </c>
      <c r="AG105" t="str">
        <f t="shared" ca="1" si="41"/>
        <v>Northeast</v>
      </c>
      <c r="AH105" t="str">
        <f t="shared" si="24"/>
        <v>July</v>
      </c>
      <c r="AI105">
        <f t="shared" si="25"/>
        <v>2019</v>
      </c>
      <c r="AJ105" t="str">
        <f t="shared" ca="1" si="42"/>
        <v>Vacant</v>
      </c>
      <c r="AK105">
        <f t="shared" ca="1" si="43"/>
        <v>4</v>
      </c>
    </row>
    <row r="106" spans="1:37" x14ac:dyDescent="0.3">
      <c r="A106" t="s">
        <v>4548</v>
      </c>
      <c r="B106">
        <v>85</v>
      </c>
      <c r="C106" t="s">
        <v>15</v>
      </c>
      <c r="D106" t="s">
        <v>33</v>
      </c>
      <c r="E106" t="s">
        <v>76</v>
      </c>
      <c r="F106" s="1">
        <v>44330</v>
      </c>
      <c r="G106" t="s">
        <v>255</v>
      </c>
      <c r="H106" t="s">
        <v>256</v>
      </c>
      <c r="I106" t="s">
        <v>51</v>
      </c>
      <c r="J106">
        <v>40015</v>
      </c>
      <c r="K106">
        <v>425</v>
      </c>
      <c r="L106" t="s">
        <v>29</v>
      </c>
      <c r="M106" s="1">
        <v>44350</v>
      </c>
      <c r="N106" t="s">
        <v>37</v>
      </c>
      <c r="O106" t="s">
        <v>43</v>
      </c>
      <c r="P106" t="str">
        <f t="shared" si="26"/>
        <v>P0105</v>
      </c>
      <c r="Q106" t="str">
        <f t="shared" si="22"/>
        <v>Orthopedics</v>
      </c>
      <c r="R106">
        <f t="shared" si="23"/>
        <v>20</v>
      </c>
      <c r="S106" t="str">
        <f t="shared" ca="1" si="27"/>
        <v>No</v>
      </c>
      <c r="T106" t="str">
        <f t="shared" ca="1" si="28"/>
        <v>Critical</v>
      </c>
      <c r="U106" t="str">
        <f t="shared" ca="1" si="29"/>
        <v>ICU</v>
      </c>
      <c r="V106" t="str">
        <f t="shared" si="30"/>
        <v>BED0105</v>
      </c>
      <c r="W106" t="str">
        <f t="shared" ca="1" si="31"/>
        <v>ICU</v>
      </c>
      <c r="X106" t="str">
        <f t="shared" si="32"/>
        <v>NUR005</v>
      </c>
      <c r="Y106" t="str">
        <f t="shared" ca="1" si="33"/>
        <v>Night</v>
      </c>
      <c r="Z106" t="str">
        <f t="shared" ca="1" si="34"/>
        <v>Ventilator</v>
      </c>
      <c r="AA106" t="str">
        <f t="shared" ca="1" si="35"/>
        <v>In Use</v>
      </c>
      <c r="AB106" t="str">
        <f t="shared" ca="1" si="36"/>
        <v>Partially Paid</v>
      </c>
      <c r="AC106" t="str">
        <f t="shared" ca="1" si="37"/>
        <v>Bank Transfer</v>
      </c>
      <c r="AD106" t="str">
        <f t="shared" ca="1" si="38"/>
        <v>Yes</v>
      </c>
      <c r="AE106" t="str">
        <f t="shared" ca="1" si="39"/>
        <v>No</v>
      </c>
      <c r="AF106" t="str">
        <f t="shared" ca="1" si="40"/>
        <v>Transferred</v>
      </c>
      <c r="AG106" t="str">
        <f t="shared" ca="1" si="41"/>
        <v>Midwest</v>
      </c>
      <c r="AH106" t="str">
        <f t="shared" si="24"/>
        <v>May</v>
      </c>
      <c r="AI106">
        <f t="shared" si="25"/>
        <v>2021</v>
      </c>
      <c r="AJ106" t="str">
        <f t="shared" ca="1" si="42"/>
        <v>Vacant</v>
      </c>
      <c r="AK106">
        <f t="shared" ca="1" si="43"/>
        <v>1</v>
      </c>
    </row>
    <row r="107" spans="1:37" x14ac:dyDescent="0.3">
      <c r="A107" t="s">
        <v>4549</v>
      </c>
      <c r="B107">
        <v>28</v>
      </c>
      <c r="C107" t="s">
        <v>15</v>
      </c>
      <c r="D107" t="s">
        <v>38</v>
      </c>
      <c r="E107" t="s">
        <v>17</v>
      </c>
      <c r="F107" s="1">
        <v>45306</v>
      </c>
      <c r="G107" t="s">
        <v>257</v>
      </c>
      <c r="H107" t="s">
        <v>258</v>
      </c>
      <c r="I107" t="s">
        <v>28</v>
      </c>
      <c r="J107">
        <v>40783</v>
      </c>
      <c r="K107">
        <v>373</v>
      </c>
      <c r="L107" t="s">
        <v>42</v>
      </c>
      <c r="M107" s="1">
        <v>45329</v>
      </c>
      <c r="N107" t="s">
        <v>30</v>
      </c>
      <c r="O107" t="s">
        <v>43</v>
      </c>
      <c r="P107" t="str">
        <f t="shared" si="26"/>
        <v>P0106</v>
      </c>
      <c r="Q107" t="str">
        <f t="shared" si="22"/>
        <v>Oncology</v>
      </c>
      <c r="R107">
        <f t="shared" si="23"/>
        <v>23</v>
      </c>
      <c r="S107" t="str">
        <f t="shared" ca="1" si="27"/>
        <v>No</v>
      </c>
      <c r="T107" t="str">
        <f t="shared" ca="1" si="28"/>
        <v>Severe</v>
      </c>
      <c r="U107" t="str">
        <f t="shared" ca="1" si="29"/>
        <v>Private Ward</v>
      </c>
      <c r="V107" t="str">
        <f t="shared" si="30"/>
        <v>BED0106</v>
      </c>
      <c r="W107" t="str">
        <f t="shared" ca="1" si="31"/>
        <v>ICU</v>
      </c>
      <c r="X107" t="str">
        <f t="shared" si="32"/>
        <v>NUR006</v>
      </c>
      <c r="Y107" t="str">
        <f t="shared" ca="1" si="33"/>
        <v>Morning</v>
      </c>
      <c r="Z107" t="str">
        <f t="shared" ca="1" si="34"/>
        <v>ECG Machine</v>
      </c>
      <c r="AA107" t="str">
        <f t="shared" ca="1" si="35"/>
        <v>Maintenance</v>
      </c>
      <c r="AB107" t="str">
        <f t="shared" ca="1" si="36"/>
        <v>Partially Paid</v>
      </c>
      <c r="AC107" t="str">
        <f t="shared" ca="1" si="37"/>
        <v>Insurance</v>
      </c>
      <c r="AD107" t="str">
        <f t="shared" ca="1" si="38"/>
        <v>No</v>
      </c>
      <c r="AE107" t="str">
        <f t="shared" ca="1" si="39"/>
        <v>No</v>
      </c>
      <c r="AF107" t="str">
        <f t="shared" ca="1" si="40"/>
        <v>Recovered</v>
      </c>
      <c r="AG107" t="str">
        <f t="shared" ca="1" si="41"/>
        <v>Northeast</v>
      </c>
      <c r="AH107" t="str">
        <f t="shared" si="24"/>
        <v>January</v>
      </c>
      <c r="AI107">
        <f t="shared" si="25"/>
        <v>2024</v>
      </c>
      <c r="AJ107" t="str">
        <f t="shared" ca="1" si="42"/>
        <v>Occupied</v>
      </c>
      <c r="AK107">
        <f t="shared" ca="1" si="43"/>
        <v>1</v>
      </c>
    </row>
    <row r="108" spans="1:37" x14ac:dyDescent="0.3">
      <c r="A108" t="s">
        <v>4550</v>
      </c>
      <c r="B108">
        <v>62</v>
      </c>
      <c r="C108" t="s">
        <v>15</v>
      </c>
      <c r="D108" t="s">
        <v>33</v>
      </c>
      <c r="E108" t="s">
        <v>25</v>
      </c>
      <c r="F108" s="1">
        <v>43738</v>
      </c>
      <c r="G108" t="s">
        <v>259</v>
      </c>
      <c r="H108" t="s">
        <v>260</v>
      </c>
      <c r="I108" t="s">
        <v>57</v>
      </c>
      <c r="J108">
        <v>3879</v>
      </c>
      <c r="K108">
        <v>290</v>
      </c>
      <c r="L108" t="s">
        <v>42</v>
      </c>
      <c r="M108" s="1">
        <v>43753</v>
      </c>
      <c r="N108" t="s">
        <v>37</v>
      </c>
      <c r="O108" t="s">
        <v>31</v>
      </c>
      <c r="P108" t="str">
        <f t="shared" si="26"/>
        <v>P0107</v>
      </c>
      <c r="Q108" t="str">
        <f t="shared" si="22"/>
        <v>Nutrition</v>
      </c>
      <c r="R108">
        <f t="shared" si="23"/>
        <v>15</v>
      </c>
      <c r="S108" t="str">
        <f t="shared" ca="1" si="27"/>
        <v>No</v>
      </c>
      <c r="T108" t="str">
        <f t="shared" ca="1" si="28"/>
        <v>Moderate</v>
      </c>
      <c r="U108" t="str">
        <f t="shared" ca="1" si="29"/>
        <v>General Ward</v>
      </c>
      <c r="V108" t="str">
        <f t="shared" si="30"/>
        <v>BED0107</v>
      </c>
      <c r="W108" t="str">
        <f t="shared" ca="1" si="31"/>
        <v>General</v>
      </c>
      <c r="X108" t="str">
        <f t="shared" si="32"/>
        <v>NUR007</v>
      </c>
      <c r="Y108" t="str">
        <f t="shared" ca="1" si="33"/>
        <v>Evening</v>
      </c>
      <c r="Z108" t="str">
        <f t="shared" ca="1" si="34"/>
        <v>Ultrasound</v>
      </c>
      <c r="AA108" t="str">
        <f t="shared" ca="1" si="35"/>
        <v>Maintenance</v>
      </c>
      <c r="AB108" t="str">
        <f t="shared" ca="1" si="36"/>
        <v>Paid</v>
      </c>
      <c r="AC108" t="str">
        <f t="shared" ca="1" si="37"/>
        <v>Insurance</v>
      </c>
      <c r="AD108" t="str">
        <f t="shared" ca="1" si="38"/>
        <v>No</v>
      </c>
      <c r="AE108" t="str">
        <f t="shared" ca="1" si="39"/>
        <v>No</v>
      </c>
      <c r="AF108" t="str">
        <f t="shared" ca="1" si="40"/>
        <v>Transferred</v>
      </c>
      <c r="AG108" t="str">
        <f t="shared" ca="1" si="41"/>
        <v>Northeast</v>
      </c>
      <c r="AH108" t="str">
        <f t="shared" si="24"/>
        <v>September</v>
      </c>
      <c r="AI108">
        <f t="shared" si="25"/>
        <v>2019</v>
      </c>
      <c r="AJ108" t="str">
        <f t="shared" ca="1" si="42"/>
        <v>Occupied</v>
      </c>
      <c r="AK108">
        <f t="shared" ca="1" si="43"/>
        <v>1</v>
      </c>
    </row>
    <row r="109" spans="1:37" x14ac:dyDescent="0.3">
      <c r="A109" t="s">
        <v>4551</v>
      </c>
      <c r="B109">
        <v>49</v>
      </c>
      <c r="C109" t="s">
        <v>32</v>
      </c>
      <c r="D109" t="s">
        <v>16</v>
      </c>
      <c r="E109" t="s">
        <v>76</v>
      </c>
      <c r="F109" s="1">
        <v>44260</v>
      </c>
      <c r="G109" t="s">
        <v>261</v>
      </c>
      <c r="H109" t="s">
        <v>262</v>
      </c>
      <c r="I109" t="s">
        <v>28</v>
      </c>
      <c r="J109">
        <v>24948</v>
      </c>
      <c r="K109">
        <v>361</v>
      </c>
      <c r="L109" t="s">
        <v>29</v>
      </c>
      <c r="M109" s="1">
        <v>44275</v>
      </c>
      <c r="N109" t="s">
        <v>47</v>
      </c>
      <c r="O109" t="s">
        <v>43</v>
      </c>
      <c r="P109" t="str">
        <f t="shared" si="26"/>
        <v>P0108</v>
      </c>
      <c r="Q109" t="str">
        <f t="shared" si="22"/>
        <v>Orthopedics</v>
      </c>
      <c r="R109">
        <f t="shared" si="23"/>
        <v>15</v>
      </c>
      <c r="S109" t="str">
        <f t="shared" ca="1" si="27"/>
        <v>No</v>
      </c>
      <c r="T109" t="str">
        <f t="shared" ca="1" si="28"/>
        <v>Mild</v>
      </c>
      <c r="U109" t="str">
        <f t="shared" ca="1" si="29"/>
        <v>Semi-Private</v>
      </c>
      <c r="V109" t="str">
        <f t="shared" si="30"/>
        <v>BED0108</v>
      </c>
      <c r="W109" t="str">
        <f t="shared" ca="1" si="31"/>
        <v>ICU</v>
      </c>
      <c r="X109" t="str">
        <f t="shared" si="32"/>
        <v>NUR008</v>
      </c>
      <c r="Y109" t="str">
        <f t="shared" ca="1" si="33"/>
        <v>Morning</v>
      </c>
      <c r="Z109" t="str">
        <f t="shared" ca="1" si="34"/>
        <v>MRI Scanner</v>
      </c>
      <c r="AA109" t="str">
        <f t="shared" ca="1" si="35"/>
        <v>In Use</v>
      </c>
      <c r="AB109" t="str">
        <f t="shared" ca="1" si="36"/>
        <v>Paid</v>
      </c>
      <c r="AC109" t="str">
        <f t="shared" ca="1" si="37"/>
        <v>Insurance</v>
      </c>
      <c r="AD109" t="str">
        <f t="shared" ca="1" si="38"/>
        <v>Yes</v>
      </c>
      <c r="AE109" t="str">
        <f t="shared" ca="1" si="39"/>
        <v>No</v>
      </c>
      <c r="AF109" t="str">
        <f t="shared" ca="1" si="40"/>
        <v>Under Observation</v>
      </c>
      <c r="AG109" t="str">
        <f t="shared" ca="1" si="41"/>
        <v>Southeast</v>
      </c>
      <c r="AH109" t="str">
        <f t="shared" si="24"/>
        <v>March</v>
      </c>
      <c r="AI109">
        <f t="shared" si="25"/>
        <v>2021</v>
      </c>
      <c r="AJ109" t="str">
        <f t="shared" ca="1" si="42"/>
        <v>Occupied</v>
      </c>
      <c r="AK109">
        <f t="shared" ca="1" si="43"/>
        <v>2</v>
      </c>
    </row>
    <row r="110" spans="1:37" x14ac:dyDescent="0.3">
      <c r="A110" t="s">
        <v>4552</v>
      </c>
      <c r="B110">
        <v>52</v>
      </c>
      <c r="C110" t="s">
        <v>15</v>
      </c>
      <c r="D110" t="s">
        <v>52</v>
      </c>
      <c r="E110" t="s">
        <v>64</v>
      </c>
      <c r="F110" s="1">
        <v>44330</v>
      </c>
      <c r="G110" t="s">
        <v>263</v>
      </c>
      <c r="H110" t="s">
        <v>264</v>
      </c>
      <c r="I110" t="s">
        <v>57</v>
      </c>
      <c r="J110">
        <v>37735</v>
      </c>
      <c r="K110">
        <v>251</v>
      </c>
      <c r="L110" t="s">
        <v>42</v>
      </c>
      <c r="M110" s="1">
        <v>44353</v>
      </c>
      <c r="N110" t="s">
        <v>47</v>
      </c>
      <c r="O110" t="s">
        <v>43</v>
      </c>
      <c r="P110" t="str">
        <f t="shared" si="26"/>
        <v>P0109</v>
      </c>
      <c r="Q110" t="str">
        <f t="shared" si="22"/>
        <v>Cardiology</v>
      </c>
      <c r="R110">
        <f t="shared" si="23"/>
        <v>23</v>
      </c>
      <c r="S110" t="str">
        <f t="shared" ca="1" si="27"/>
        <v>No</v>
      </c>
      <c r="T110" t="str">
        <f t="shared" ca="1" si="28"/>
        <v>Severe</v>
      </c>
      <c r="U110" t="str">
        <f t="shared" ca="1" si="29"/>
        <v>Private Ward</v>
      </c>
      <c r="V110" t="str">
        <f t="shared" si="30"/>
        <v>BED0109</v>
      </c>
      <c r="W110" t="str">
        <f t="shared" ca="1" si="31"/>
        <v>General</v>
      </c>
      <c r="X110" t="str">
        <f t="shared" si="32"/>
        <v>NUR009</v>
      </c>
      <c r="Y110" t="str">
        <f t="shared" ca="1" si="33"/>
        <v>Night</v>
      </c>
      <c r="Z110" t="str">
        <f t="shared" ca="1" si="34"/>
        <v>X-Ray</v>
      </c>
      <c r="AA110" t="str">
        <f t="shared" ca="1" si="35"/>
        <v>Maintenance</v>
      </c>
      <c r="AB110" t="str">
        <f t="shared" ca="1" si="36"/>
        <v>Paid</v>
      </c>
      <c r="AC110" t="str">
        <f t="shared" ca="1" si="37"/>
        <v>Cash</v>
      </c>
      <c r="AD110" t="str">
        <f t="shared" ca="1" si="38"/>
        <v>Yes</v>
      </c>
      <c r="AE110" t="str">
        <f t="shared" ca="1" si="39"/>
        <v>No</v>
      </c>
      <c r="AF110" t="str">
        <f t="shared" ca="1" si="40"/>
        <v>Recovered</v>
      </c>
      <c r="AG110" t="str">
        <f t="shared" ca="1" si="41"/>
        <v>West Coast</v>
      </c>
      <c r="AH110" t="str">
        <f t="shared" si="24"/>
        <v>May</v>
      </c>
      <c r="AI110">
        <f t="shared" si="25"/>
        <v>2021</v>
      </c>
      <c r="AJ110" t="str">
        <f t="shared" ca="1" si="42"/>
        <v>Occupied</v>
      </c>
      <c r="AK110">
        <f t="shared" ca="1" si="43"/>
        <v>4</v>
      </c>
    </row>
    <row r="111" spans="1:37" x14ac:dyDescent="0.3">
      <c r="A111" t="s">
        <v>4553</v>
      </c>
      <c r="B111">
        <v>53</v>
      </c>
      <c r="C111" t="s">
        <v>15</v>
      </c>
      <c r="D111" t="s">
        <v>83</v>
      </c>
      <c r="E111" t="s">
        <v>17</v>
      </c>
      <c r="F111" s="1">
        <v>45085</v>
      </c>
      <c r="G111" t="s">
        <v>265</v>
      </c>
      <c r="H111" t="s">
        <v>266</v>
      </c>
      <c r="I111" t="s">
        <v>51</v>
      </c>
      <c r="J111">
        <v>27360</v>
      </c>
      <c r="K111">
        <v>231</v>
      </c>
      <c r="L111" t="s">
        <v>42</v>
      </c>
      <c r="M111" s="1">
        <v>45112</v>
      </c>
      <c r="N111" t="s">
        <v>30</v>
      </c>
      <c r="O111" t="s">
        <v>43</v>
      </c>
      <c r="P111" t="str">
        <f t="shared" si="26"/>
        <v>P0110</v>
      </c>
      <c r="Q111" t="str">
        <f t="shared" si="22"/>
        <v>Oncology</v>
      </c>
      <c r="R111">
        <f t="shared" si="23"/>
        <v>27</v>
      </c>
      <c r="S111" t="str">
        <f t="shared" ca="1" si="27"/>
        <v>No</v>
      </c>
      <c r="T111" t="str">
        <f t="shared" ca="1" si="28"/>
        <v>Severe</v>
      </c>
      <c r="U111" t="str">
        <f t="shared" ca="1" si="29"/>
        <v>Private Ward</v>
      </c>
      <c r="V111" t="str">
        <f t="shared" si="30"/>
        <v>BED0110</v>
      </c>
      <c r="W111" t="str">
        <f t="shared" ca="1" si="31"/>
        <v>Private</v>
      </c>
      <c r="X111" t="str">
        <f t="shared" si="32"/>
        <v>NUR010</v>
      </c>
      <c r="Y111" t="str">
        <f t="shared" ca="1" si="33"/>
        <v>Night</v>
      </c>
      <c r="Z111" t="str">
        <f t="shared" ca="1" si="34"/>
        <v>Ventilator</v>
      </c>
      <c r="AA111" t="str">
        <f t="shared" ca="1" si="35"/>
        <v>In Use</v>
      </c>
      <c r="AB111" t="str">
        <f t="shared" ca="1" si="36"/>
        <v>Partially Paid</v>
      </c>
      <c r="AC111" t="str">
        <f t="shared" ca="1" si="37"/>
        <v>Credit Card</v>
      </c>
      <c r="AD111" t="str">
        <f t="shared" ca="1" si="38"/>
        <v>No</v>
      </c>
      <c r="AE111" t="str">
        <f t="shared" ca="1" si="39"/>
        <v>No</v>
      </c>
      <c r="AF111" t="str">
        <f t="shared" ca="1" si="40"/>
        <v>Under Observation</v>
      </c>
      <c r="AG111" t="str">
        <f t="shared" ca="1" si="41"/>
        <v>Southwest</v>
      </c>
      <c r="AH111" t="str">
        <f t="shared" si="24"/>
        <v>June</v>
      </c>
      <c r="AI111">
        <f t="shared" si="25"/>
        <v>2023</v>
      </c>
      <c r="AJ111" t="str">
        <f t="shared" ca="1" si="42"/>
        <v>Occupied</v>
      </c>
      <c r="AK111">
        <f t="shared" ca="1" si="43"/>
        <v>4</v>
      </c>
    </row>
    <row r="112" spans="1:37" x14ac:dyDescent="0.3">
      <c r="A112" t="s">
        <v>4554</v>
      </c>
      <c r="B112">
        <v>55</v>
      </c>
      <c r="C112" t="s">
        <v>15</v>
      </c>
      <c r="D112" t="s">
        <v>52</v>
      </c>
      <c r="E112" t="s">
        <v>48</v>
      </c>
      <c r="F112" s="1">
        <v>44694</v>
      </c>
      <c r="G112" t="s">
        <v>267</v>
      </c>
      <c r="H112" t="s">
        <v>268</v>
      </c>
      <c r="I112" t="s">
        <v>36</v>
      </c>
      <c r="J112">
        <v>37406</v>
      </c>
      <c r="K112">
        <v>212</v>
      </c>
      <c r="L112" t="s">
        <v>42</v>
      </c>
      <c r="M112" s="1">
        <v>44701</v>
      </c>
      <c r="N112" t="s">
        <v>22</v>
      </c>
      <c r="O112" t="s">
        <v>23</v>
      </c>
      <c r="P112" t="str">
        <f t="shared" si="26"/>
        <v>P0111</v>
      </c>
      <c r="Q112" t="str">
        <f t="shared" si="22"/>
        <v>Pulmonology</v>
      </c>
      <c r="R112">
        <f t="shared" si="23"/>
        <v>7</v>
      </c>
      <c r="S112" t="str">
        <f t="shared" ca="1" si="27"/>
        <v>No</v>
      </c>
      <c r="T112" t="str">
        <f t="shared" ca="1" si="28"/>
        <v>Critical</v>
      </c>
      <c r="U112" t="str">
        <f t="shared" ca="1" si="29"/>
        <v>Private Ward</v>
      </c>
      <c r="V112" t="str">
        <f t="shared" si="30"/>
        <v>BED0111</v>
      </c>
      <c r="W112" t="str">
        <f t="shared" ca="1" si="31"/>
        <v>ICU</v>
      </c>
      <c r="X112" t="str">
        <f t="shared" si="32"/>
        <v>NUR011</v>
      </c>
      <c r="Y112" t="str">
        <f t="shared" ca="1" si="33"/>
        <v>Night</v>
      </c>
      <c r="Z112" t="str">
        <f t="shared" ca="1" si="34"/>
        <v>ECG Machine</v>
      </c>
      <c r="AA112" t="str">
        <f t="shared" ca="1" si="35"/>
        <v>Maintenance</v>
      </c>
      <c r="AB112" t="str">
        <f t="shared" ca="1" si="36"/>
        <v>Partially Paid</v>
      </c>
      <c r="AC112" t="str">
        <f t="shared" ca="1" si="37"/>
        <v>Bank Transfer</v>
      </c>
      <c r="AD112" t="str">
        <f t="shared" ca="1" si="38"/>
        <v>No</v>
      </c>
      <c r="AE112" t="str">
        <f t="shared" ca="1" si="39"/>
        <v>No</v>
      </c>
      <c r="AF112" t="str">
        <f t="shared" ca="1" si="40"/>
        <v>Recovered</v>
      </c>
      <c r="AG112" t="str">
        <f t="shared" ca="1" si="41"/>
        <v>Northeast</v>
      </c>
      <c r="AH112" t="str">
        <f t="shared" si="24"/>
        <v>May</v>
      </c>
      <c r="AI112">
        <f t="shared" si="25"/>
        <v>2022</v>
      </c>
      <c r="AJ112" t="str">
        <f t="shared" ca="1" si="42"/>
        <v>Occupied</v>
      </c>
      <c r="AK112">
        <f t="shared" ca="1" si="43"/>
        <v>4</v>
      </c>
    </row>
    <row r="113" spans="1:37" x14ac:dyDescent="0.3">
      <c r="A113" t="s">
        <v>4555</v>
      </c>
      <c r="B113">
        <v>18</v>
      </c>
      <c r="C113" t="s">
        <v>15</v>
      </c>
      <c r="D113" t="s">
        <v>16</v>
      </c>
      <c r="E113" t="s">
        <v>76</v>
      </c>
      <c r="F113" s="1">
        <v>44826</v>
      </c>
      <c r="G113" t="s">
        <v>269</v>
      </c>
      <c r="H113" t="s">
        <v>270</v>
      </c>
      <c r="I113" t="s">
        <v>28</v>
      </c>
      <c r="J113">
        <v>31486</v>
      </c>
      <c r="K113">
        <v>440</v>
      </c>
      <c r="L113" t="s">
        <v>29</v>
      </c>
      <c r="M113" s="1">
        <v>44848</v>
      </c>
      <c r="N113" t="s">
        <v>30</v>
      </c>
      <c r="O113" t="s">
        <v>23</v>
      </c>
      <c r="P113" t="str">
        <f t="shared" si="26"/>
        <v>P0112</v>
      </c>
      <c r="Q113" t="str">
        <f t="shared" si="22"/>
        <v>Orthopedics</v>
      </c>
      <c r="R113">
        <f t="shared" si="23"/>
        <v>22</v>
      </c>
      <c r="S113" t="str">
        <f t="shared" ca="1" si="27"/>
        <v>No</v>
      </c>
      <c r="T113" t="str">
        <f t="shared" ca="1" si="28"/>
        <v>Critical</v>
      </c>
      <c r="U113" t="str">
        <f t="shared" ca="1" si="29"/>
        <v>General Ward</v>
      </c>
      <c r="V113" t="str">
        <f t="shared" si="30"/>
        <v>BED0112</v>
      </c>
      <c r="W113" t="str">
        <f t="shared" ca="1" si="31"/>
        <v>Semi-Private</v>
      </c>
      <c r="X113" t="str">
        <f t="shared" si="32"/>
        <v>NUR012</v>
      </c>
      <c r="Y113" t="str">
        <f t="shared" ca="1" si="33"/>
        <v>Evening</v>
      </c>
      <c r="Z113" t="str">
        <f t="shared" ca="1" si="34"/>
        <v>MRI Scanner</v>
      </c>
      <c r="AA113" t="str">
        <f t="shared" ca="1" si="35"/>
        <v>In Use</v>
      </c>
      <c r="AB113" t="str">
        <f t="shared" ca="1" si="36"/>
        <v>Partially Paid</v>
      </c>
      <c r="AC113" t="str">
        <f t="shared" ca="1" si="37"/>
        <v>Credit Card</v>
      </c>
      <c r="AD113" t="str">
        <f t="shared" ca="1" si="38"/>
        <v>No</v>
      </c>
      <c r="AE113" t="str">
        <f t="shared" ca="1" si="39"/>
        <v>No</v>
      </c>
      <c r="AF113" t="str">
        <f t="shared" ca="1" si="40"/>
        <v>Under Observation</v>
      </c>
      <c r="AG113" t="str">
        <f t="shared" ca="1" si="41"/>
        <v>Northeast</v>
      </c>
      <c r="AH113" t="str">
        <f t="shared" si="24"/>
        <v>September</v>
      </c>
      <c r="AI113">
        <f t="shared" si="25"/>
        <v>2022</v>
      </c>
      <c r="AJ113" t="str">
        <f t="shared" ca="1" si="42"/>
        <v>Occupied</v>
      </c>
      <c r="AK113">
        <f t="shared" ca="1" si="43"/>
        <v>2</v>
      </c>
    </row>
    <row r="114" spans="1:37" x14ac:dyDescent="0.3">
      <c r="A114" t="s">
        <v>4556</v>
      </c>
      <c r="B114">
        <v>52</v>
      </c>
      <c r="C114" t="s">
        <v>15</v>
      </c>
      <c r="D114" t="s">
        <v>52</v>
      </c>
      <c r="E114" t="s">
        <v>64</v>
      </c>
      <c r="F114" s="1">
        <v>45163</v>
      </c>
      <c r="G114" t="s">
        <v>271</v>
      </c>
      <c r="H114" t="s">
        <v>272</v>
      </c>
      <c r="I114" t="s">
        <v>28</v>
      </c>
      <c r="J114">
        <v>23737</v>
      </c>
      <c r="K114">
        <v>414</v>
      </c>
      <c r="L114" t="s">
        <v>21</v>
      </c>
      <c r="M114" s="1">
        <v>45187</v>
      </c>
      <c r="N114" t="s">
        <v>67</v>
      </c>
      <c r="O114" t="s">
        <v>23</v>
      </c>
      <c r="P114" t="str">
        <f t="shared" si="26"/>
        <v>P0113</v>
      </c>
      <c r="Q114" t="str">
        <f t="shared" si="22"/>
        <v>Cardiology</v>
      </c>
      <c r="R114">
        <f t="shared" si="23"/>
        <v>24</v>
      </c>
      <c r="S114" t="str">
        <f t="shared" ca="1" si="27"/>
        <v>No</v>
      </c>
      <c r="T114" t="str">
        <f t="shared" ca="1" si="28"/>
        <v>Mild</v>
      </c>
      <c r="U114" t="str">
        <f t="shared" ca="1" si="29"/>
        <v>Semi-Private</v>
      </c>
      <c r="V114" t="str">
        <f t="shared" si="30"/>
        <v>BED0113</v>
      </c>
      <c r="W114" t="str">
        <f t="shared" ca="1" si="31"/>
        <v>ICU</v>
      </c>
      <c r="X114" t="str">
        <f t="shared" si="32"/>
        <v>NUR013</v>
      </c>
      <c r="Y114" t="str">
        <f t="shared" ca="1" si="33"/>
        <v>Evening</v>
      </c>
      <c r="Z114" t="str">
        <f t="shared" ca="1" si="34"/>
        <v>CT Scanner</v>
      </c>
      <c r="AA114" t="str">
        <f t="shared" ca="1" si="35"/>
        <v>Maintenance</v>
      </c>
      <c r="AB114" t="str">
        <f t="shared" ca="1" si="36"/>
        <v>Partially Paid</v>
      </c>
      <c r="AC114" t="str">
        <f t="shared" ca="1" si="37"/>
        <v>Bank Transfer</v>
      </c>
      <c r="AD114" t="str">
        <f t="shared" ca="1" si="38"/>
        <v>No</v>
      </c>
      <c r="AE114" t="str">
        <f t="shared" ca="1" si="39"/>
        <v>No</v>
      </c>
      <c r="AF114" t="str">
        <f t="shared" ca="1" si="40"/>
        <v>Transferred</v>
      </c>
      <c r="AG114" t="str">
        <f t="shared" ca="1" si="41"/>
        <v>Southwest</v>
      </c>
      <c r="AH114" t="str">
        <f t="shared" si="24"/>
        <v>August</v>
      </c>
      <c r="AI114">
        <f t="shared" si="25"/>
        <v>2023</v>
      </c>
      <c r="AJ114" t="str">
        <f t="shared" ca="1" si="42"/>
        <v>Occupied</v>
      </c>
      <c r="AK114">
        <f t="shared" ca="1" si="43"/>
        <v>2</v>
      </c>
    </row>
    <row r="115" spans="1:37" x14ac:dyDescent="0.3">
      <c r="A115" t="s">
        <v>4557</v>
      </c>
      <c r="B115">
        <v>67</v>
      </c>
      <c r="C115" t="s">
        <v>15</v>
      </c>
      <c r="D115" t="s">
        <v>52</v>
      </c>
      <c r="E115" t="s">
        <v>25</v>
      </c>
      <c r="F115" s="1">
        <v>43618</v>
      </c>
      <c r="G115" t="s">
        <v>273</v>
      </c>
      <c r="H115" t="s">
        <v>274</v>
      </c>
      <c r="I115" t="s">
        <v>36</v>
      </c>
      <c r="J115">
        <v>3326</v>
      </c>
      <c r="K115">
        <v>424</v>
      </c>
      <c r="L115" t="s">
        <v>29</v>
      </c>
      <c r="M115" s="1">
        <v>43620</v>
      </c>
      <c r="N115" t="s">
        <v>67</v>
      </c>
      <c r="O115" t="s">
        <v>31</v>
      </c>
      <c r="P115" t="str">
        <f t="shared" si="26"/>
        <v>P0114</v>
      </c>
      <c r="Q115" t="str">
        <f t="shared" si="22"/>
        <v>Nutrition</v>
      </c>
      <c r="R115">
        <f t="shared" si="23"/>
        <v>2</v>
      </c>
      <c r="S115" t="str">
        <f t="shared" ca="1" si="27"/>
        <v>No</v>
      </c>
      <c r="T115" t="str">
        <f t="shared" ca="1" si="28"/>
        <v>Mild</v>
      </c>
      <c r="U115" t="str">
        <f t="shared" ca="1" si="29"/>
        <v>Emergency</v>
      </c>
      <c r="V115" t="str">
        <f t="shared" si="30"/>
        <v>BED0114</v>
      </c>
      <c r="W115" t="str">
        <f t="shared" ca="1" si="31"/>
        <v>ICU</v>
      </c>
      <c r="X115" t="str">
        <f t="shared" si="32"/>
        <v>NUR014</v>
      </c>
      <c r="Y115" t="str">
        <f t="shared" ca="1" si="33"/>
        <v>Morning</v>
      </c>
      <c r="Z115" t="str">
        <f t="shared" ca="1" si="34"/>
        <v>CT Scanner</v>
      </c>
      <c r="AA115" t="str">
        <f t="shared" ca="1" si="35"/>
        <v>Available</v>
      </c>
      <c r="AB115" t="str">
        <f t="shared" ca="1" si="36"/>
        <v>Paid</v>
      </c>
      <c r="AC115" t="str">
        <f t="shared" ca="1" si="37"/>
        <v>Bank Transfer</v>
      </c>
      <c r="AD115" t="str">
        <f t="shared" ca="1" si="38"/>
        <v>Yes</v>
      </c>
      <c r="AE115" t="str">
        <f t="shared" ca="1" si="39"/>
        <v>No</v>
      </c>
      <c r="AF115" t="str">
        <f t="shared" ca="1" si="40"/>
        <v>Under Observation</v>
      </c>
      <c r="AG115" t="str">
        <f t="shared" ca="1" si="41"/>
        <v>Southeast</v>
      </c>
      <c r="AH115" t="str">
        <f t="shared" si="24"/>
        <v>June</v>
      </c>
      <c r="AI115">
        <f t="shared" si="25"/>
        <v>2019</v>
      </c>
      <c r="AJ115" t="str">
        <f t="shared" ca="1" si="42"/>
        <v>Occupied</v>
      </c>
      <c r="AK115">
        <f t="shared" ca="1" si="43"/>
        <v>2</v>
      </c>
    </row>
    <row r="116" spans="1:37" x14ac:dyDescent="0.3">
      <c r="A116" t="s">
        <v>4558</v>
      </c>
      <c r="B116">
        <v>82</v>
      </c>
      <c r="C116" t="s">
        <v>32</v>
      </c>
      <c r="D116" t="s">
        <v>24</v>
      </c>
      <c r="E116" t="s">
        <v>64</v>
      </c>
      <c r="F116" s="1">
        <v>44519</v>
      </c>
      <c r="G116" t="s">
        <v>275</v>
      </c>
      <c r="H116" t="s">
        <v>276</v>
      </c>
      <c r="I116" t="s">
        <v>28</v>
      </c>
      <c r="J116">
        <v>23068</v>
      </c>
      <c r="K116">
        <v>307</v>
      </c>
      <c r="L116" t="s">
        <v>42</v>
      </c>
      <c r="M116" s="1">
        <v>44542</v>
      </c>
      <c r="N116" t="s">
        <v>30</v>
      </c>
      <c r="O116" t="s">
        <v>23</v>
      </c>
      <c r="P116" t="str">
        <f t="shared" si="26"/>
        <v>P0115</v>
      </c>
      <c r="Q116" t="str">
        <f t="shared" si="22"/>
        <v>Cardiology</v>
      </c>
      <c r="R116">
        <f t="shared" si="23"/>
        <v>23</v>
      </c>
      <c r="S116" t="str">
        <f t="shared" ca="1" si="27"/>
        <v>No</v>
      </c>
      <c r="T116" t="str">
        <f t="shared" ca="1" si="28"/>
        <v>Moderate</v>
      </c>
      <c r="U116" t="str">
        <f t="shared" ca="1" si="29"/>
        <v>General Ward</v>
      </c>
      <c r="V116" t="str">
        <f t="shared" si="30"/>
        <v>BED0115</v>
      </c>
      <c r="W116" t="str">
        <f t="shared" ca="1" si="31"/>
        <v>General</v>
      </c>
      <c r="X116" t="str">
        <f t="shared" si="32"/>
        <v>NUR015</v>
      </c>
      <c r="Y116" t="str">
        <f t="shared" ca="1" si="33"/>
        <v>Night</v>
      </c>
      <c r="Z116" t="str">
        <f t="shared" ca="1" si="34"/>
        <v>CT Scanner</v>
      </c>
      <c r="AA116" t="str">
        <f t="shared" ca="1" si="35"/>
        <v>In Use</v>
      </c>
      <c r="AB116" t="str">
        <f t="shared" ca="1" si="36"/>
        <v>Paid</v>
      </c>
      <c r="AC116" t="str">
        <f t="shared" ca="1" si="37"/>
        <v>Insurance</v>
      </c>
      <c r="AD116" t="str">
        <f t="shared" ca="1" si="38"/>
        <v>No</v>
      </c>
      <c r="AE116" t="str">
        <f t="shared" ca="1" si="39"/>
        <v>No</v>
      </c>
      <c r="AF116" t="str">
        <f t="shared" ca="1" si="40"/>
        <v>Transferred</v>
      </c>
      <c r="AG116" t="str">
        <f t="shared" ca="1" si="41"/>
        <v>Southeast</v>
      </c>
      <c r="AH116" t="str">
        <f t="shared" si="24"/>
        <v>November</v>
      </c>
      <c r="AI116">
        <f t="shared" si="25"/>
        <v>2021</v>
      </c>
      <c r="AJ116" t="str">
        <f t="shared" ca="1" si="42"/>
        <v>Vacant</v>
      </c>
      <c r="AK116">
        <f t="shared" ca="1" si="43"/>
        <v>1</v>
      </c>
    </row>
    <row r="117" spans="1:37" x14ac:dyDescent="0.3">
      <c r="A117" t="s">
        <v>4559</v>
      </c>
      <c r="B117">
        <v>37</v>
      </c>
      <c r="C117" t="s">
        <v>32</v>
      </c>
      <c r="D117" t="s">
        <v>38</v>
      </c>
      <c r="E117" t="s">
        <v>48</v>
      </c>
      <c r="F117" s="1">
        <v>43801</v>
      </c>
      <c r="G117" t="s">
        <v>277</v>
      </c>
      <c r="H117" t="s">
        <v>278</v>
      </c>
      <c r="I117" t="s">
        <v>36</v>
      </c>
      <c r="J117">
        <v>8521</v>
      </c>
      <c r="K117">
        <v>476</v>
      </c>
      <c r="L117" t="s">
        <v>42</v>
      </c>
      <c r="M117" s="1">
        <v>43812</v>
      </c>
      <c r="N117" t="s">
        <v>47</v>
      </c>
      <c r="O117" t="s">
        <v>43</v>
      </c>
      <c r="P117" t="str">
        <f t="shared" si="26"/>
        <v>P0116</v>
      </c>
      <c r="Q117" t="str">
        <f t="shared" si="22"/>
        <v>Pulmonology</v>
      </c>
      <c r="R117">
        <f t="shared" si="23"/>
        <v>11</v>
      </c>
      <c r="S117" t="str">
        <f t="shared" ca="1" si="27"/>
        <v>Yes</v>
      </c>
      <c r="T117" t="str">
        <f t="shared" ca="1" si="28"/>
        <v>Severe</v>
      </c>
      <c r="U117" t="str">
        <f t="shared" ca="1" si="29"/>
        <v>Private Ward</v>
      </c>
      <c r="V117" t="str">
        <f t="shared" si="30"/>
        <v>BED0116</v>
      </c>
      <c r="W117" t="str">
        <f t="shared" ca="1" si="31"/>
        <v>Semi-Private</v>
      </c>
      <c r="X117" t="str">
        <f t="shared" si="32"/>
        <v>NUR016</v>
      </c>
      <c r="Y117" t="str">
        <f t="shared" ca="1" si="33"/>
        <v>Evening</v>
      </c>
      <c r="Z117" t="str">
        <f t="shared" ca="1" si="34"/>
        <v>X-Ray</v>
      </c>
      <c r="AA117" t="str">
        <f t="shared" ca="1" si="35"/>
        <v>Available</v>
      </c>
      <c r="AB117" t="str">
        <f t="shared" ca="1" si="36"/>
        <v>Paid</v>
      </c>
      <c r="AC117" t="str">
        <f t="shared" ca="1" si="37"/>
        <v>Credit Card</v>
      </c>
      <c r="AD117" t="str">
        <f t="shared" ca="1" si="38"/>
        <v>No</v>
      </c>
      <c r="AE117" t="str">
        <f t="shared" ca="1" si="39"/>
        <v>No</v>
      </c>
      <c r="AF117" t="str">
        <f t="shared" ca="1" si="40"/>
        <v>Transferred</v>
      </c>
      <c r="AG117" t="str">
        <f t="shared" ca="1" si="41"/>
        <v>Southeast</v>
      </c>
      <c r="AH117" t="str">
        <f t="shared" si="24"/>
        <v>December</v>
      </c>
      <c r="AI117">
        <f t="shared" si="25"/>
        <v>2019</v>
      </c>
      <c r="AJ117" t="str">
        <f t="shared" ca="1" si="42"/>
        <v>Occupied</v>
      </c>
      <c r="AK117">
        <f t="shared" ca="1" si="43"/>
        <v>1</v>
      </c>
    </row>
    <row r="118" spans="1:37" x14ac:dyDescent="0.3">
      <c r="A118" t="s">
        <v>4560</v>
      </c>
      <c r="B118">
        <v>52</v>
      </c>
      <c r="C118" t="s">
        <v>32</v>
      </c>
      <c r="D118" t="s">
        <v>52</v>
      </c>
      <c r="E118" t="s">
        <v>17</v>
      </c>
      <c r="F118" s="1">
        <v>44064</v>
      </c>
      <c r="G118" t="s">
        <v>279</v>
      </c>
      <c r="H118" t="s">
        <v>280</v>
      </c>
      <c r="I118" t="s">
        <v>57</v>
      </c>
      <c r="J118">
        <v>47985</v>
      </c>
      <c r="K118">
        <v>388</v>
      </c>
      <c r="L118" t="s">
        <v>42</v>
      </c>
      <c r="M118" s="1">
        <v>44080</v>
      </c>
      <c r="N118" t="s">
        <v>47</v>
      </c>
      <c r="O118" t="s">
        <v>31</v>
      </c>
      <c r="P118" t="str">
        <f t="shared" si="26"/>
        <v>P0117</v>
      </c>
      <c r="Q118" t="str">
        <f t="shared" si="22"/>
        <v>Oncology</v>
      </c>
      <c r="R118">
        <f t="shared" si="23"/>
        <v>16</v>
      </c>
      <c r="S118" t="str">
        <f t="shared" ca="1" si="27"/>
        <v>No</v>
      </c>
      <c r="T118" t="str">
        <f t="shared" ca="1" si="28"/>
        <v>Severe</v>
      </c>
      <c r="U118" t="str">
        <f t="shared" ca="1" si="29"/>
        <v>Semi-Private</v>
      </c>
      <c r="V118" t="str">
        <f t="shared" si="30"/>
        <v>BED0117</v>
      </c>
      <c r="W118" t="str">
        <f t="shared" ca="1" si="31"/>
        <v>Private</v>
      </c>
      <c r="X118" t="str">
        <f t="shared" si="32"/>
        <v>NUR017</v>
      </c>
      <c r="Y118" t="str">
        <f t="shared" ca="1" si="33"/>
        <v>Night</v>
      </c>
      <c r="Z118" t="str">
        <f t="shared" ca="1" si="34"/>
        <v>ECG Machine</v>
      </c>
      <c r="AA118" t="str">
        <f t="shared" ca="1" si="35"/>
        <v>Maintenance</v>
      </c>
      <c r="AB118" t="str">
        <f t="shared" ca="1" si="36"/>
        <v>Pending</v>
      </c>
      <c r="AC118" t="str">
        <f t="shared" ca="1" si="37"/>
        <v>Insurance</v>
      </c>
      <c r="AD118" t="str">
        <f t="shared" ca="1" si="38"/>
        <v>No</v>
      </c>
      <c r="AE118" t="str">
        <f t="shared" ca="1" si="39"/>
        <v>Yes</v>
      </c>
      <c r="AF118" t="str">
        <f t="shared" ca="1" si="40"/>
        <v>Recovered</v>
      </c>
      <c r="AG118" t="str">
        <f t="shared" ca="1" si="41"/>
        <v>West Coast</v>
      </c>
      <c r="AH118" t="str">
        <f t="shared" si="24"/>
        <v>August</v>
      </c>
      <c r="AI118">
        <f t="shared" si="25"/>
        <v>2020</v>
      </c>
      <c r="AJ118" t="str">
        <f t="shared" ca="1" si="42"/>
        <v>Occupied</v>
      </c>
      <c r="AK118">
        <f t="shared" ca="1" si="43"/>
        <v>2</v>
      </c>
    </row>
    <row r="119" spans="1:37" x14ac:dyDescent="0.3">
      <c r="A119" t="s">
        <v>4561</v>
      </c>
      <c r="B119">
        <v>37</v>
      </c>
      <c r="C119" t="s">
        <v>32</v>
      </c>
      <c r="D119" t="s">
        <v>83</v>
      </c>
      <c r="E119" t="s">
        <v>48</v>
      </c>
      <c r="F119" s="1">
        <v>44239</v>
      </c>
      <c r="G119" t="s">
        <v>281</v>
      </c>
      <c r="H119" t="s">
        <v>282</v>
      </c>
      <c r="I119" t="s">
        <v>51</v>
      </c>
      <c r="J119">
        <v>25230</v>
      </c>
      <c r="K119">
        <v>326</v>
      </c>
      <c r="L119" t="s">
        <v>42</v>
      </c>
      <c r="M119" s="1">
        <v>44266</v>
      </c>
      <c r="N119" t="s">
        <v>30</v>
      </c>
      <c r="O119" t="s">
        <v>31</v>
      </c>
      <c r="P119" t="str">
        <f t="shared" si="26"/>
        <v>P0118</v>
      </c>
      <c r="Q119" t="str">
        <f t="shared" si="22"/>
        <v>Pulmonology</v>
      </c>
      <c r="R119">
        <f t="shared" si="23"/>
        <v>27</v>
      </c>
      <c r="S119" t="str">
        <f t="shared" ca="1" si="27"/>
        <v>No</v>
      </c>
      <c r="T119" t="str">
        <f t="shared" ca="1" si="28"/>
        <v>Moderate</v>
      </c>
      <c r="U119" t="str">
        <f t="shared" ca="1" si="29"/>
        <v>Private Ward</v>
      </c>
      <c r="V119" t="str">
        <f t="shared" si="30"/>
        <v>BED0118</v>
      </c>
      <c r="W119" t="str">
        <f t="shared" ca="1" si="31"/>
        <v>General</v>
      </c>
      <c r="X119" t="str">
        <f t="shared" si="32"/>
        <v>NUR018</v>
      </c>
      <c r="Y119" t="str">
        <f t="shared" ca="1" si="33"/>
        <v>Evening</v>
      </c>
      <c r="Z119" t="str">
        <f t="shared" ca="1" si="34"/>
        <v>Ventilator</v>
      </c>
      <c r="AA119" t="str">
        <f t="shared" ca="1" si="35"/>
        <v>In Use</v>
      </c>
      <c r="AB119" t="str">
        <f t="shared" ca="1" si="36"/>
        <v>Partially Paid</v>
      </c>
      <c r="AC119" t="str">
        <f t="shared" ca="1" si="37"/>
        <v>Debit Card</v>
      </c>
      <c r="AD119" t="str">
        <f t="shared" ca="1" si="38"/>
        <v>Yes</v>
      </c>
      <c r="AE119" t="str">
        <f t="shared" ca="1" si="39"/>
        <v>No</v>
      </c>
      <c r="AF119" t="str">
        <f t="shared" ca="1" si="40"/>
        <v>Recovered</v>
      </c>
      <c r="AG119" t="str">
        <f t="shared" ca="1" si="41"/>
        <v>Southeast</v>
      </c>
      <c r="AH119" t="str">
        <f t="shared" si="24"/>
        <v>February</v>
      </c>
      <c r="AI119">
        <f t="shared" si="25"/>
        <v>2021</v>
      </c>
      <c r="AJ119" t="str">
        <f t="shared" ca="1" si="42"/>
        <v>Occupied</v>
      </c>
      <c r="AK119">
        <f t="shared" ca="1" si="43"/>
        <v>2</v>
      </c>
    </row>
    <row r="120" spans="1:37" x14ac:dyDescent="0.3">
      <c r="A120" t="s">
        <v>4562</v>
      </c>
      <c r="B120">
        <v>83</v>
      </c>
      <c r="C120" t="s">
        <v>32</v>
      </c>
      <c r="D120" t="s">
        <v>24</v>
      </c>
      <c r="E120" t="s">
        <v>39</v>
      </c>
      <c r="F120" s="1">
        <v>45304</v>
      </c>
      <c r="G120" t="s">
        <v>283</v>
      </c>
      <c r="H120" t="s">
        <v>284</v>
      </c>
      <c r="I120" t="s">
        <v>20</v>
      </c>
      <c r="J120">
        <v>10352</v>
      </c>
      <c r="K120">
        <v>394</v>
      </c>
      <c r="L120" t="s">
        <v>21</v>
      </c>
      <c r="M120" s="1">
        <v>45313</v>
      </c>
      <c r="N120" t="s">
        <v>37</v>
      </c>
      <c r="O120" t="s">
        <v>43</v>
      </c>
      <c r="P120" t="str">
        <f t="shared" si="26"/>
        <v>P0119</v>
      </c>
      <c r="Q120" t="str">
        <f t="shared" si="22"/>
        <v>Endocrinology</v>
      </c>
      <c r="R120">
        <f t="shared" si="23"/>
        <v>9</v>
      </c>
      <c r="S120" t="str">
        <f t="shared" ca="1" si="27"/>
        <v>No</v>
      </c>
      <c r="T120" t="str">
        <f t="shared" ca="1" si="28"/>
        <v>Critical</v>
      </c>
      <c r="U120" t="str">
        <f t="shared" ca="1" si="29"/>
        <v>Emergency</v>
      </c>
      <c r="V120" t="str">
        <f t="shared" si="30"/>
        <v>BED0119</v>
      </c>
      <c r="W120" t="str">
        <f t="shared" ca="1" si="31"/>
        <v>Semi-Private</v>
      </c>
      <c r="X120" t="str">
        <f t="shared" si="32"/>
        <v>NUR019</v>
      </c>
      <c r="Y120" t="str">
        <f t="shared" ca="1" si="33"/>
        <v>Morning</v>
      </c>
      <c r="Z120" t="str">
        <f t="shared" ca="1" si="34"/>
        <v>ECG Machine</v>
      </c>
      <c r="AA120" t="str">
        <f t="shared" ca="1" si="35"/>
        <v>Available</v>
      </c>
      <c r="AB120" t="str">
        <f t="shared" ca="1" si="36"/>
        <v>Pending</v>
      </c>
      <c r="AC120" t="str">
        <f t="shared" ca="1" si="37"/>
        <v>Cash</v>
      </c>
      <c r="AD120" t="str">
        <f t="shared" ca="1" si="38"/>
        <v>No</v>
      </c>
      <c r="AE120" t="str">
        <f t="shared" ca="1" si="39"/>
        <v>No</v>
      </c>
      <c r="AF120" t="str">
        <f t="shared" ca="1" si="40"/>
        <v>Recovered</v>
      </c>
      <c r="AG120" t="str">
        <f t="shared" ca="1" si="41"/>
        <v>Northeast</v>
      </c>
      <c r="AH120" t="str">
        <f t="shared" si="24"/>
        <v>January</v>
      </c>
      <c r="AI120">
        <f t="shared" si="25"/>
        <v>2024</v>
      </c>
      <c r="AJ120" t="str">
        <f t="shared" ca="1" si="42"/>
        <v>Occupied</v>
      </c>
      <c r="AK120">
        <f t="shared" ca="1" si="43"/>
        <v>2</v>
      </c>
    </row>
    <row r="121" spans="1:37" x14ac:dyDescent="0.3">
      <c r="A121" t="s">
        <v>4563</v>
      </c>
      <c r="B121">
        <v>33</v>
      </c>
      <c r="C121" t="s">
        <v>15</v>
      </c>
      <c r="D121" t="s">
        <v>98</v>
      </c>
      <c r="E121" t="s">
        <v>76</v>
      </c>
      <c r="F121" s="1">
        <v>44556</v>
      </c>
      <c r="G121" t="s">
        <v>285</v>
      </c>
      <c r="H121" t="s">
        <v>286</v>
      </c>
      <c r="I121" t="s">
        <v>28</v>
      </c>
      <c r="J121">
        <v>6176</v>
      </c>
      <c r="K121">
        <v>138</v>
      </c>
      <c r="L121" t="s">
        <v>21</v>
      </c>
      <c r="M121" s="1">
        <v>44573</v>
      </c>
      <c r="N121" t="s">
        <v>37</v>
      </c>
      <c r="O121" t="s">
        <v>43</v>
      </c>
      <c r="P121" t="str">
        <f t="shared" si="26"/>
        <v>P0120</v>
      </c>
      <c r="Q121" t="str">
        <f t="shared" si="22"/>
        <v>Orthopedics</v>
      </c>
      <c r="R121">
        <f t="shared" si="23"/>
        <v>17</v>
      </c>
      <c r="S121" t="str">
        <f t="shared" ca="1" si="27"/>
        <v>No</v>
      </c>
      <c r="T121" t="str">
        <f t="shared" ca="1" si="28"/>
        <v>Severe</v>
      </c>
      <c r="U121" t="str">
        <f t="shared" ca="1" si="29"/>
        <v>ICU</v>
      </c>
      <c r="V121" t="str">
        <f t="shared" si="30"/>
        <v>BED0120</v>
      </c>
      <c r="W121" t="str">
        <f t="shared" ca="1" si="31"/>
        <v>General</v>
      </c>
      <c r="X121" t="str">
        <f t="shared" si="32"/>
        <v>NUR020</v>
      </c>
      <c r="Y121" t="str">
        <f t="shared" ca="1" si="33"/>
        <v>Night</v>
      </c>
      <c r="Z121" t="str">
        <f t="shared" ca="1" si="34"/>
        <v>MRI Scanner</v>
      </c>
      <c r="AA121" t="str">
        <f t="shared" ca="1" si="35"/>
        <v>Available</v>
      </c>
      <c r="AB121" t="str">
        <f t="shared" ca="1" si="36"/>
        <v>Partially Paid</v>
      </c>
      <c r="AC121" t="str">
        <f t="shared" ca="1" si="37"/>
        <v>Bank Transfer</v>
      </c>
      <c r="AD121" t="str">
        <f t="shared" ca="1" si="38"/>
        <v>Yes</v>
      </c>
      <c r="AE121" t="str">
        <f t="shared" ca="1" si="39"/>
        <v>No</v>
      </c>
      <c r="AF121" t="str">
        <f t="shared" ca="1" si="40"/>
        <v>Transferred</v>
      </c>
      <c r="AG121" t="str">
        <f t="shared" ca="1" si="41"/>
        <v>Southeast</v>
      </c>
      <c r="AH121" t="str">
        <f t="shared" si="24"/>
        <v>December</v>
      </c>
      <c r="AI121">
        <f t="shared" si="25"/>
        <v>2021</v>
      </c>
      <c r="AJ121" t="str">
        <f t="shared" ca="1" si="42"/>
        <v>Occupied</v>
      </c>
      <c r="AK121">
        <f t="shared" ca="1" si="43"/>
        <v>1</v>
      </c>
    </row>
    <row r="122" spans="1:37" x14ac:dyDescent="0.3">
      <c r="A122" t="s">
        <v>4564</v>
      </c>
      <c r="B122">
        <v>22</v>
      </c>
      <c r="C122" t="s">
        <v>32</v>
      </c>
      <c r="D122" t="s">
        <v>33</v>
      </c>
      <c r="E122" t="s">
        <v>25</v>
      </c>
      <c r="F122" s="1">
        <v>44795</v>
      </c>
      <c r="G122" t="s">
        <v>287</v>
      </c>
      <c r="H122" t="s">
        <v>288</v>
      </c>
      <c r="I122" t="s">
        <v>20</v>
      </c>
      <c r="J122">
        <v>23500</v>
      </c>
      <c r="K122">
        <v>178</v>
      </c>
      <c r="L122" t="s">
        <v>21</v>
      </c>
      <c r="M122" s="1">
        <v>44811</v>
      </c>
      <c r="N122" t="s">
        <v>47</v>
      </c>
      <c r="O122" t="s">
        <v>23</v>
      </c>
      <c r="P122" t="str">
        <f t="shared" si="26"/>
        <v>P0121</v>
      </c>
      <c r="Q122" t="str">
        <f t="shared" si="22"/>
        <v>Nutrition</v>
      </c>
      <c r="R122">
        <f t="shared" si="23"/>
        <v>16</v>
      </c>
      <c r="S122" t="str">
        <f t="shared" ca="1" si="27"/>
        <v>No</v>
      </c>
      <c r="T122" t="str">
        <f t="shared" ca="1" si="28"/>
        <v>Critical</v>
      </c>
      <c r="U122" t="str">
        <f t="shared" ca="1" si="29"/>
        <v>Emergency</v>
      </c>
      <c r="V122" t="str">
        <f t="shared" si="30"/>
        <v>BED0121</v>
      </c>
      <c r="W122" t="str">
        <f t="shared" ca="1" si="31"/>
        <v>General</v>
      </c>
      <c r="X122" t="str">
        <f t="shared" si="32"/>
        <v>NUR021</v>
      </c>
      <c r="Y122" t="str">
        <f t="shared" ca="1" si="33"/>
        <v>Morning</v>
      </c>
      <c r="Z122" t="str">
        <f t="shared" ca="1" si="34"/>
        <v>CT Scanner</v>
      </c>
      <c r="AA122" t="str">
        <f t="shared" ca="1" si="35"/>
        <v>Maintenance</v>
      </c>
      <c r="AB122" t="str">
        <f t="shared" ca="1" si="36"/>
        <v>Pending</v>
      </c>
      <c r="AC122" t="str">
        <f t="shared" ca="1" si="37"/>
        <v>Cash</v>
      </c>
      <c r="AD122" t="str">
        <f t="shared" ca="1" si="38"/>
        <v>Yes</v>
      </c>
      <c r="AE122" t="str">
        <f t="shared" ca="1" si="39"/>
        <v>No</v>
      </c>
      <c r="AF122" t="str">
        <f t="shared" ca="1" si="40"/>
        <v>Recovered</v>
      </c>
      <c r="AG122" t="str">
        <f t="shared" ca="1" si="41"/>
        <v>Southeast</v>
      </c>
      <c r="AH122" t="str">
        <f t="shared" si="24"/>
        <v>August</v>
      </c>
      <c r="AI122">
        <f t="shared" si="25"/>
        <v>2022</v>
      </c>
      <c r="AJ122" t="str">
        <f t="shared" ca="1" si="42"/>
        <v>Occupied</v>
      </c>
      <c r="AK122">
        <f t="shared" ca="1" si="43"/>
        <v>1</v>
      </c>
    </row>
    <row r="123" spans="1:37" x14ac:dyDescent="0.3">
      <c r="A123" t="s">
        <v>4565</v>
      </c>
      <c r="B123">
        <v>19</v>
      </c>
      <c r="C123" t="s">
        <v>32</v>
      </c>
      <c r="D123" t="s">
        <v>83</v>
      </c>
      <c r="E123" t="s">
        <v>17</v>
      </c>
      <c r="F123" s="1">
        <v>44380</v>
      </c>
      <c r="G123" t="s">
        <v>289</v>
      </c>
      <c r="H123" t="s">
        <v>290</v>
      </c>
      <c r="I123" t="s">
        <v>28</v>
      </c>
      <c r="J123">
        <v>33682</v>
      </c>
      <c r="K123">
        <v>177</v>
      </c>
      <c r="L123" t="s">
        <v>42</v>
      </c>
      <c r="M123" s="1">
        <v>44408</v>
      </c>
      <c r="N123" t="s">
        <v>30</v>
      </c>
      <c r="O123" t="s">
        <v>43</v>
      </c>
      <c r="P123" t="str">
        <f t="shared" si="26"/>
        <v>P0122</v>
      </c>
      <c r="Q123" t="str">
        <f t="shared" si="22"/>
        <v>Oncology</v>
      </c>
      <c r="R123">
        <f t="shared" si="23"/>
        <v>28</v>
      </c>
      <c r="S123" t="str">
        <f t="shared" ca="1" si="27"/>
        <v>Yes</v>
      </c>
      <c r="T123" t="str">
        <f t="shared" ca="1" si="28"/>
        <v>Severe</v>
      </c>
      <c r="U123" t="str">
        <f t="shared" ca="1" si="29"/>
        <v>Semi-Private</v>
      </c>
      <c r="V123" t="str">
        <f t="shared" si="30"/>
        <v>BED0122</v>
      </c>
      <c r="W123" t="str">
        <f t="shared" ca="1" si="31"/>
        <v>General</v>
      </c>
      <c r="X123" t="str">
        <f t="shared" si="32"/>
        <v>NUR022</v>
      </c>
      <c r="Y123" t="str">
        <f t="shared" ca="1" si="33"/>
        <v>Night</v>
      </c>
      <c r="Z123" t="str">
        <f t="shared" ca="1" si="34"/>
        <v>ECG Machine</v>
      </c>
      <c r="AA123" t="str">
        <f t="shared" ca="1" si="35"/>
        <v>Available</v>
      </c>
      <c r="AB123" t="str">
        <f t="shared" ca="1" si="36"/>
        <v>Partially Paid</v>
      </c>
      <c r="AC123" t="str">
        <f t="shared" ca="1" si="37"/>
        <v>Debit Card</v>
      </c>
      <c r="AD123" t="str">
        <f t="shared" ca="1" si="38"/>
        <v>Yes</v>
      </c>
      <c r="AE123" t="str">
        <f t="shared" ca="1" si="39"/>
        <v>No</v>
      </c>
      <c r="AF123" t="str">
        <f t="shared" ca="1" si="40"/>
        <v>Recovered</v>
      </c>
      <c r="AG123" t="str">
        <f t="shared" ca="1" si="41"/>
        <v>Northeast</v>
      </c>
      <c r="AH123" t="str">
        <f t="shared" si="24"/>
        <v>July</v>
      </c>
      <c r="AI123">
        <f t="shared" si="25"/>
        <v>2021</v>
      </c>
      <c r="AJ123" t="str">
        <f t="shared" ca="1" si="42"/>
        <v>Occupied</v>
      </c>
      <c r="AK123">
        <f t="shared" ca="1" si="43"/>
        <v>2</v>
      </c>
    </row>
    <row r="124" spans="1:37" x14ac:dyDescent="0.3">
      <c r="A124" t="s">
        <v>4566</v>
      </c>
      <c r="B124">
        <v>85</v>
      </c>
      <c r="C124" t="s">
        <v>32</v>
      </c>
      <c r="D124" t="s">
        <v>38</v>
      </c>
      <c r="E124" t="s">
        <v>25</v>
      </c>
      <c r="F124" s="1">
        <v>43982</v>
      </c>
      <c r="G124" t="s">
        <v>291</v>
      </c>
      <c r="H124" t="s">
        <v>292</v>
      </c>
      <c r="I124" t="s">
        <v>36</v>
      </c>
      <c r="J124">
        <v>39958</v>
      </c>
      <c r="K124">
        <v>211</v>
      </c>
      <c r="L124" t="s">
        <v>21</v>
      </c>
      <c r="M124" s="1">
        <v>43983</v>
      </c>
      <c r="N124" t="s">
        <v>30</v>
      </c>
      <c r="O124" t="s">
        <v>23</v>
      </c>
      <c r="P124" t="str">
        <f t="shared" si="26"/>
        <v>P0123</v>
      </c>
      <c r="Q124" t="str">
        <f t="shared" si="22"/>
        <v>Nutrition</v>
      </c>
      <c r="R124">
        <f t="shared" si="23"/>
        <v>1</v>
      </c>
      <c r="S124" t="str">
        <f t="shared" ca="1" si="27"/>
        <v>No</v>
      </c>
      <c r="T124" t="str">
        <f t="shared" ca="1" si="28"/>
        <v>Mild</v>
      </c>
      <c r="U124" t="str">
        <f t="shared" ca="1" si="29"/>
        <v>Emergency</v>
      </c>
      <c r="V124" t="str">
        <f t="shared" si="30"/>
        <v>BED0123</v>
      </c>
      <c r="W124" t="str">
        <f t="shared" ca="1" si="31"/>
        <v>Semi-Private</v>
      </c>
      <c r="X124" t="str">
        <f t="shared" si="32"/>
        <v>NUR023</v>
      </c>
      <c r="Y124" t="str">
        <f t="shared" ca="1" si="33"/>
        <v>Morning</v>
      </c>
      <c r="Z124" t="str">
        <f t="shared" ca="1" si="34"/>
        <v>X-Ray</v>
      </c>
      <c r="AA124" t="str">
        <f t="shared" ca="1" si="35"/>
        <v>In Use</v>
      </c>
      <c r="AB124" t="str">
        <f t="shared" ca="1" si="36"/>
        <v>Paid</v>
      </c>
      <c r="AC124" t="str">
        <f t="shared" ca="1" si="37"/>
        <v>Insurance</v>
      </c>
      <c r="AD124" t="str">
        <f t="shared" ca="1" si="38"/>
        <v>No</v>
      </c>
      <c r="AE124" t="str">
        <f t="shared" ca="1" si="39"/>
        <v>No</v>
      </c>
      <c r="AF124" t="str">
        <f t="shared" ca="1" si="40"/>
        <v>Under Observation</v>
      </c>
      <c r="AG124" t="str">
        <f t="shared" ca="1" si="41"/>
        <v>Northeast</v>
      </c>
      <c r="AH124" t="str">
        <f t="shared" si="24"/>
        <v>May</v>
      </c>
      <c r="AI124">
        <f t="shared" si="25"/>
        <v>2020</v>
      </c>
      <c r="AJ124" t="str">
        <f t="shared" ca="1" si="42"/>
        <v>Occupied</v>
      </c>
      <c r="AK124">
        <f t="shared" ca="1" si="43"/>
        <v>1</v>
      </c>
    </row>
    <row r="125" spans="1:37" x14ac:dyDescent="0.3">
      <c r="A125" t="s">
        <v>4567</v>
      </c>
      <c r="B125">
        <v>19</v>
      </c>
      <c r="C125" t="s">
        <v>15</v>
      </c>
      <c r="D125" t="s">
        <v>83</v>
      </c>
      <c r="E125" t="s">
        <v>17</v>
      </c>
      <c r="F125" s="1">
        <v>44130</v>
      </c>
      <c r="G125" t="s">
        <v>293</v>
      </c>
      <c r="H125" t="s">
        <v>294</v>
      </c>
      <c r="I125" t="s">
        <v>51</v>
      </c>
      <c r="J125">
        <v>49834</v>
      </c>
      <c r="K125">
        <v>302</v>
      </c>
      <c r="L125" t="s">
        <v>42</v>
      </c>
      <c r="M125" s="1">
        <v>44152</v>
      </c>
      <c r="N125" t="s">
        <v>67</v>
      </c>
      <c r="O125" t="s">
        <v>31</v>
      </c>
      <c r="P125" t="str">
        <f t="shared" si="26"/>
        <v>P0124</v>
      </c>
      <c r="Q125" t="str">
        <f t="shared" si="22"/>
        <v>Oncology</v>
      </c>
      <c r="R125">
        <f t="shared" si="23"/>
        <v>22</v>
      </c>
      <c r="S125" t="str">
        <f t="shared" ca="1" si="27"/>
        <v>No</v>
      </c>
      <c r="T125" t="str">
        <f t="shared" ca="1" si="28"/>
        <v>Moderate</v>
      </c>
      <c r="U125" t="str">
        <f t="shared" ca="1" si="29"/>
        <v>ICU</v>
      </c>
      <c r="V125" t="str">
        <f t="shared" si="30"/>
        <v>BED0124</v>
      </c>
      <c r="W125" t="str">
        <f t="shared" ca="1" si="31"/>
        <v>ICU</v>
      </c>
      <c r="X125" t="str">
        <f t="shared" si="32"/>
        <v>NUR024</v>
      </c>
      <c r="Y125" t="str">
        <f t="shared" ca="1" si="33"/>
        <v>Evening</v>
      </c>
      <c r="Z125" t="str">
        <f t="shared" ca="1" si="34"/>
        <v>CT Scanner</v>
      </c>
      <c r="AA125" t="str">
        <f t="shared" ca="1" si="35"/>
        <v>Available</v>
      </c>
      <c r="AB125" t="str">
        <f t="shared" ca="1" si="36"/>
        <v>Partially Paid</v>
      </c>
      <c r="AC125" t="str">
        <f t="shared" ca="1" si="37"/>
        <v>Cash</v>
      </c>
      <c r="AD125" t="str">
        <f t="shared" ca="1" si="38"/>
        <v>Yes</v>
      </c>
      <c r="AE125" t="str">
        <f t="shared" ca="1" si="39"/>
        <v>Yes</v>
      </c>
      <c r="AF125" t="str">
        <f t="shared" ca="1" si="40"/>
        <v>Transferred</v>
      </c>
      <c r="AG125" t="str">
        <f t="shared" ca="1" si="41"/>
        <v>Midwest</v>
      </c>
      <c r="AH125" t="str">
        <f t="shared" si="24"/>
        <v>October</v>
      </c>
      <c r="AI125">
        <f t="shared" si="25"/>
        <v>2020</v>
      </c>
      <c r="AJ125" t="str">
        <f t="shared" ca="1" si="42"/>
        <v>Vacant</v>
      </c>
      <c r="AK125">
        <f t="shared" ca="1" si="43"/>
        <v>2</v>
      </c>
    </row>
    <row r="126" spans="1:37" x14ac:dyDescent="0.3">
      <c r="A126" t="s">
        <v>4568</v>
      </c>
      <c r="B126">
        <v>50</v>
      </c>
      <c r="C126" t="s">
        <v>32</v>
      </c>
      <c r="D126" t="s">
        <v>16</v>
      </c>
      <c r="E126" t="s">
        <v>48</v>
      </c>
      <c r="F126" s="1">
        <v>44350</v>
      </c>
      <c r="G126" t="s">
        <v>295</v>
      </c>
      <c r="H126" t="s">
        <v>296</v>
      </c>
      <c r="I126" t="s">
        <v>36</v>
      </c>
      <c r="J126">
        <v>48175</v>
      </c>
      <c r="K126">
        <v>368</v>
      </c>
      <c r="L126" t="s">
        <v>21</v>
      </c>
      <c r="M126" s="1">
        <v>44378</v>
      </c>
      <c r="N126" t="s">
        <v>22</v>
      </c>
      <c r="O126" t="s">
        <v>31</v>
      </c>
      <c r="P126" t="str">
        <f t="shared" si="26"/>
        <v>P0125</v>
      </c>
      <c r="Q126" t="str">
        <f t="shared" si="22"/>
        <v>Pulmonology</v>
      </c>
      <c r="R126">
        <f t="shared" si="23"/>
        <v>28</v>
      </c>
      <c r="S126" t="str">
        <f t="shared" ca="1" si="27"/>
        <v>No</v>
      </c>
      <c r="T126" t="str">
        <f t="shared" ca="1" si="28"/>
        <v>Moderate</v>
      </c>
      <c r="U126" t="str">
        <f t="shared" ca="1" si="29"/>
        <v>ICU</v>
      </c>
      <c r="V126" t="str">
        <f t="shared" si="30"/>
        <v>BED0125</v>
      </c>
      <c r="W126" t="str">
        <f t="shared" ca="1" si="31"/>
        <v>ICU</v>
      </c>
      <c r="X126" t="str">
        <f t="shared" si="32"/>
        <v>NUR025</v>
      </c>
      <c r="Y126" t="str">
        <f t="shared" ca="1" si="33"/>
        <v>Evening</v>
      </c>
      <c r="Z126" t="str">
        <f t="shared" ca="1" si="34"/>
        <v>Ultrasound</v>
      </c>
      <c r="AA126" t="str">
        <f t="shared" ca="1" si="35"/>
        <v>In Use</v>
      </c>
      <c r="AB126" t="str">
        <f t="shared" ca="1" si="36"/>
        <v>Paid</v>
      </c>
      <c r="AC126" t="str">
        <f t="shared" ca="1" si="37"/>
        <v>Cash</v>
      </c>
      <c r="AD126" t="str">
        <f t="shared" ca="1" si="38"/>
        <v>No</v>
      </c>
      <c r="AE126" t="str">
        <f t="shared" ca="1" si="39"/>
        <v>No</v>
      </c>
      <c r="AF126" t="str">
        <f t="shared" ca="1" si="40"/>
        <v>Recovered</v>
      </c>
      <c r="AG126" t="str">
        <f t="shared" ca="1" si="41"/>
        <v>Southeast</v>
      </c>
      <c r="AH126" t="str">
        <f t="shared" si="24"/>
        <v>June</v>
      </c>
      <c r="AI126">
        <f t="shared" si="25"/>
        <v>2021</v>
      </c>
      <c r="AJ126" t="str">
        <f t="shared" ca="1" si="42"/>
        <v>Occupied</v>
      </c>
      <c r="AK126">
        <f t="shared" ca="1" si="43"/>
        <v>2</v>
      </c>
    </row>
    <row r="127" spans="1:37" x14ac:dyDescent="0.3">
      <c r="A127" t="s">
        <v>4569</v>
      </c>
      <c r="B127">
        <v>50</v>
      </c>
      <c r="C127" t="s">
        <v>32</v>
      </c>
      <c r="D127" t="s">
        <v>98</v>
      </c>
      <c r="E127" t="s">
        <v>25</v>
      </c>
      <c r="F127" s="1">
        <v>44128</v>
      </c>
      <c r="G127" t="s">
        <v>297</v>
      </c>
      <c r="H127" t="s">
        <v>298</v>
      </c>
      <c r="I127" t="s">
        <v>51</v>
      </c>
      <c r="J127">
        <v>40134</v>
      </c>
      <c r="K127">
        <v>130</v>
      </c>
      <c r="L127" t="s">
        <v>21</v>
      </c>
      <c r="M127" s="1">
        <v>44148</v>
      </c>
      <c r="N127" t="s">
        <v>30</v>
      </c>
      <c r="O127" t="s">
        <v>23</v>
      </c>
      <c r="P127" t="str">
        <f t="shared" si="26"/>
        <v>P0126</v>
      </c>
      <c r="Q127" t="str">
        <f t="shared" si="22"/>
        <v>Nutrition</v>
      </c>
      <c r="R127">
        <f t="shared" si="23"/>
        <v>20</v>
      </c>
      <c r="S127" t="str">
        <f t="shared" ca="1" si="27"/>
        <v>No</v>
      </c>
      <c r="T127" t="str">
        <f t="shared" ca="1" si="28"/>
        <v>Critical</v>
      </c>
      <c r="U127" t="str">
        <f t="shared" ca="1" si="29"/>
        <v>Emergency</v>
      </c>
      <c r="V127" t="str">
        <f t="shared" si="30"/>
        <v>BED0126</v>
      </c>
      <c r="W127" t="str">
        <f t="shared" ca="1" si="31"/>
        <v>Semi-Private</v>
      </c>
      <c r="X127" t="str">
        <f t="shared" si="32"/>
        <v>NUR026</v>
      </c>
      <c r="Y127" t="str">
        <f t="shared" ca="1" si="33"/>
        <v>Evening</v>
      </c>
      <c r="Z127" t="str">
        <f t="shared" ca="1" si="34"/>
        <v>Ventilator</v>
      </c>
      <c r="AA127" t="str">
        <f t="shared" ca="1" si="35"/>
        <v>In Use</v>
      </c>
      <c r="AB127" t="str">
        <f t="shared" ca="1" si="36"/>
        <v>Pending</v>
      </c>
      <c r="AC127" t="str">
        <f t="shared" ca="1" si="37"/>
        <v>Cash</v>
      </c>
      <c r="AD127" t="str">
        <f t="shared" ca="1" si="38"/>
        <v>No</v>
      </c>
      <c r="AE127" t="str">
        <f t="shared" ca="1" si="39"/>
        <v>No</v>
      </c>
      <c r="AF127" t="str">
        <f t="shared" ca="1" si="40"/>
        <v>Transferred</v>
      </c>
      <c r="AG127" t="str">
        <f t="shared" ca="1" si="41"/>
        <v>Southwest</v>
      </c>
      <c r="AH127" t="str">
        <f t="shared" si="24"/>
        <v>October</v>
      </c>
      <c r="AI127">
        <f t="shared" si="25"/>
        <v>2020</v>
      </c>
      <c r="AJ127" t="str">
        <f t="shared" ca="1" si="42"/>
        <v>Occupied</v>
      </c>
      <c r="AK127">
        <f t="shared" ca="1" si="43"/>
        <v>4</v>
      </c>
    </row>
    <row r="128" spans="1:37" x14ac:dyDescent="0.3">
      <c r="A128" t="s">
        <v>4570</v>
      </c>
      <c r="B128">
        <v>40</v>
      </c>
      <c r="C128" t="s">
        <v>15</v>
      </c>
      <c r="D128" t="s">
        <v>38</v>
      </c>
      <c r="E128" t="s">
        <v>25</v>
      </c>
      <c r="F128" s="1">
        <v>43704</v>
      </c>
      <c r="G128" t="s">
        <v>299</v>
      </c>
      <c r="H128" t="s">
        <v>300</v>
      </c>
      <c r="I128" t="s">
        <v>36</v>
      </c>
      <c r="J128">
        <v>9586</v>
      </c>
      <c r="K128">
        <v>424</v>
      </c>
      <c r="L128" t="s">
        <v>21</v>
      </c>
      <c r="M128" s="1">
        <v>43714</v>
      </c>
      <c r="N128" t="s">
        <v>67</v>
      </c>
      <c r="O128" t="s">
        <v>31</v>
      </c>
      <c r="P128" t="str">
        <f t="shared" si="26"/>
        <v>P0127</v>
      </c>
      <c r="Q128" t="str">
        <f t="shared" si="22"/>
        <v>Nutrition</v>
      </c>
      <c r="R128">
        <f t="shared" si="23"/>
        <v>10</v>
      </c>
      <c r="S128" t="str">
        <f t="shared" ca="1" si="27"/>
        <v>No</v>
      </c>
      <c r="T128" t="str">
        <f t="shared" ca="1" si="28"/>
        <v>Mild</v>
      </c>
      <c r="U128" t="str">
        <f t="shared" ca="1" si="29"/>
        <v>Emergency</v>
      </c>
      <c r="V128" t="str">
        <f t="shared" si="30"/>
        <v>BED0127</v>
      </c>
      <c r="W128" t="str">
        <f t="shared" ca="1" si="31"/>
        <v>Semi-Private</v>
      </c>
      <c r="X128" t="str">
        <f t="shared" si="32"/>
        <v>NUR027</v>
      </c>
      <c r="Y128" t="str">
        <f t="shared" ca="1" si="33"/>
        <v>Night</v>
      </c>
      <c r="Z128" t="str">
        <f t="shared" ca="1" si="34"/>
        <v>Ventilator</v>
      </c>
      <c r="AA128" t="str">
        <f t="shared" ca="1" si="35"/>
        <v>Maintenance</v>
      </c>
      <c r="AB128" t="str">
        <f t="shared" ca="1" si="36"/>
        <v>Paid</v>
      </c>
      <c r="AC128" t="str">
        <f t="shared" ca="1" si="37"/>
        <v>Insurance</v>
      </c>
      <c r="AD128" t="str">
        <f t="shared" ca="1" si="38"/>
        <v>No</v>
      </c>
      <c r="AE128" t="str">
        <f t="shared" ca="1" si="39"/>
        <v>No</v>
      </c>
      <c r="AF128" t="str">
        <f t="shared" ca="1" si="40"/>
        <v>Recovered</v>
      </c>
      <c r="AG128" t="str">
        <f t="shared" ca="1" si="41"/>
        <v>Midwest</v>
      </c>
      <c r="AH128" t="str">
        <f t="shared" si="24"/>
        <v>August</v>
      </c>
      <c r="AI128">
        <f t="shared" si="25"/>
        <v>2019</v>
      </c>
      <c r="AJ128" t="str">
        <f t="shared" ca="1" si="42"/>
        <v>Vacant</v>
      </c>
      <c r="AK128">
        <f t="shared" ca="1" si="43"/>
        <v>4</v>
      </c>
    </row>
    <row r="129" spans="1:37" x14ac:dyDescent="0.3">
      <c r="A129" t="s">
        <v>4571</v>
      </c>
      <c r="B129">
        <v>57</v>
      </c>
      <c r="C129" t="s">
        <v>15</v>
      </c>
      <c r="D129" t="s">
        <v>52</v>
      </c>
      <c r="E129" t="s">
        <v>25</v>
      </c>
      <c r="F129" s="1">
        <v>44530</v>
      </c>
      <c r="G129" t="s">
        <v>301</v>
      </c>
      <c r="H129" t="s">
        <v>302</v>
      </c>
      <c r="I129" t="s">
        <v>28</v>
      </c>
      <c r="J129">
        <v>40693</v>
      </c>
      <c r="K129">
        <v>430</v>
      </c>
      <c r="L129" t="s">
        <v>29</v>
      </c>
      <c r="M129" s="1">
        <v>44539</v>
      </c>
      <c r="N129" t="s">
        <v>37</v>
      </c>
      <c r="O129" t="s">
        <v>43</v>
      </c>
      <c r="P129" t="str">
        <f t="shared" si="26"/>
        <v>P0128</v>
      </c>
      <c r="Q129" t="str">
        <f t="shared" si="22"/>
        <v>Nutrition</v>
      </c>
      <c r="R129">
        <f t="shared" si="23"/>
        <v>9</v>
      </c>
      <c r="S129" t="str">
        <f t="shared" ca="1" si="27"/>
        <v>No</v>
      </c>
      <c r="T129" t="str">
        <f t="shared" ca="1" si="28"/>
        <v>Critical</v>
      </c>
      <c r="U129" t="str">
        <f t="shared" ca="1" si="29"/>
        <v>Emergency</v>
      </c>
      <c r="V129" t="str">
        <f t="shared" si="30"/>
        <v>BED0128</v>
      </c>
      <c r="W129" t="str">
        <f t="shared" ca="1" si="31"/>
        <v>ICU</v>
      </c>
      <c r="X129" t="str">
        <f t="shared" si="32"/>
        <v>NUR028</v>
      </c>
      <c r="Y129" t="str">
        <f t="shared" ca="1" si="33"/>
        <v>Night</v>
      </c>
      <c r="Z129" t="str">
        <f t="shared" ca="1" si="34"/>
        <v>MRI Scanner</v>
      </c>
      <c r="AA129" t="str">
        <f t="shared" ca="1" si="35"/>
        <v>Available</v>
      </c>
      <c r="AB129" t="str">
        <f t="shared" ca="1" si="36"/>
        <v>Paid</v>
      </c>
      <c r="AC129" t="str">
        <f t="shared" ca="1" si="37"/>
        <v>Bank Transfer</v>
      </c>
      <c r="AD129" t="str">
        <f t="shared" ca="1" si="38"/>
        <v>No</v>
      </c>
      <c r="AE129" t="str">
        <f t="shared" ca="1" si="39"/>
        <v>No</v>
      </c>
      <c r="AF129" t="str">
        <f t="shared" ca="1" si="40"/>
        <v>Recovered</v>
      </c>
      <c r="AG129" t="str">
        <f t="shared" ca="1" si="41"/>
        <v>Northeast</v>
      </c>
      <c r="AH129" t="str">
        <f t="shared" si="24"/>
        <v>November</v>
      </c>
      <c r="AI129">
        <f t="shared" si="25"/>
        <v>2021</v>
      </c>
      <c r="AJ129" t="str">
        <f t="shared" ca="1" si="42"/>
        <v>Occupied</v>
      </c>
      <c r="AK129">
        <f t="shared" ca="1" si="43"/>
        <v>2</v>
      </c>
    </row>
    <row r="130" spans="1:37" x14ac:dyDescent="0.3">
      <c r="A130" t="s">
        <v>4572</v>
      </c>
      <c r="B130">
        <v>82</v>
      </c>
      <c r="C130" t="s">
        <v>15</v>
      </c>
      <c r="D130" t="s">
        <v>44</v>
      </c>
      <c r="E130" t="s">
        <v>25</v>
      </c>
      <c r="F130" s="1">
        <v>45214</v>
      </c>
      <c r="G130" t="s">
        <v>303</v>
      </c>
      <c r="H130" t="s">
        <v>304</v>
      </c>
      <c r="I130" t="s">
        <v>51</v>
      </c>
      <c r="J130">
        <v>16399</v>
      </c>
      <c r="K130">
        <v>133</v>
      </c>
      <c r="L130" t="s">
        <v>29</v>
      </c>
      <c r="M130" s="1">
        <v>45238</v>
      </c>
      <c r="N130" t="s">
        <v>47</v>
      </c>
      <c r="O130" t="s">
        <v>43</v>
      </c>
      <c r="P130" t="str">
        <f t="shared" si="26"/>
        <v>P0129</v>
      </c>
      <c r="Q130" t="str">
        <f t="shared" ref="Q130:Q193" si="44">IF(E130="Cancer","Oncology",IF(E130="Obesity","Nutrition",IF(E130="Diabetes","Endocrinology",IF(E130="Asthma","Pulmonology",IF(E130="Arthritis","Orthopedics",IF(E130="Hypertension","Cardiology","General Medicine"))))))</f>
        <v>Nutrition</v>
      </c>
      <c r="R130">
        <f t="shared" ref="R130:R193" si="45">M130-F130</f>
        <v>24</v>
      </c>
      <c r="S130" t="str">
        <f t="shared" ca="1" si="27"/>
        <v>No</v>
      </c>
      <c r="T130" t="str">
        <f t="shared" ca="1" si="28"/>
        <v>Severe</v>
      </c>
      <c r="U130" t="str">
        <f t="shared" ca="1" si="29"/>
        <v>General Ward</v>
      </c>
      <c r="V130" t="str">
        <f t="shared" si="30"/>
        <v>BED0129</v>
      </c>
      <c r="W130" t="str">
        <f t="shared" ca="1" si="31"/>
        <v>ICU</v>
      </c>
      <c r="X130" t="str">
        <f t="shared" si="32"/>
        <v>NUR029</v>
      </c>
      <c r="Y130" t="str">
        <f t="shared" ca="1" si="33"/>
        <v>Evening</v>
      </c>
      <c r="Z130" t="str">
        <f t="shared" ca="1" si="34"/>
        <v>CT Scanner</v>
      </c>
      <c r="AA130" t="str">
        <f t="shared" ca="1" si="35"/>
        <v>In Use</v>
      </c>
      <c r="AB130" t="str">
        <f t="shared" ca="1" si="36"/>
        <v>Partially Paid</v>
      </c>
      <c r="AC130" t="str">
        <f t="shared" ca="1" si="37"/>
        <v>Credit Card</v>
      </c>
      <c r="AD130" t="str">
        <f t="shared" ca="1" si="38"/>
        <v>No</v>
      </c>
      <c r="AE130" t="str">
        <f t="shared" ca="1" si="39"/>
        <v>No</v>
      </c>
      <c r="AF130" t="str">
        <f t="shared" ca="1" si="40"/>
        <v>Under Observation</v>
      </c>
      <c r="AG130" t="str">
        <f t="shared" ca="1" si="41"/>
        <v>West Coast</v>
      </c>
      <c r="AH130" t="str">
        <f t="shared" ref="AH130:AH193" si="46">TEXT(F130,"MMMM")</f>
        <v>October</v>
      </c>
      <c r="AI130">
        <f t="shared" ref="AI130:AI193" si="47">YEAR(F130)</f>
        <v>2023</v>
      </c>
      <c r="AJ130" t="str">
        <f t="shared" ca="1" si="42"/>
        <v>Occupied</v>
      </c>
      <c r="AK130">
        <f t="shared" ca="1" si="43"/>
        <v>1</v>
      </c>
    </row>
    <row r="131" spans="1:37" x14ac:dyDescent="0.3">
      <c r="A131" t="s">
        <v>4573</v>
      </c>
      <c r="B131">
        <v>20</v>
      </c>
      <c r="C131" t="s">
        <v>15</v>
      </c>
      <c r="D131" t="s">
        <v>44</v>
      </c>
      <c r="E131" t="s">
        <v>39</v>
      </c>
      <c r="F131" s="1">
        <v>45368</v>
      </c>
      <c r="G131" t="s">
        <v>305</v>
      </c>
      <c r="H131" t="s">
        <v>306</v>
      </c>
      <c r="I131" t="s">
        <v>20</v>
      </c>
      <c r="J131">
        <v>44940</v>
      </c>
      <c r="K131">
        <v>430</v>
      </c>
      <c r="L131" t="s">
        <v>29</v>
      </c>
      <c r="M131" s="1">
        <v>45379</v>
      </c>
      <c r="N131" t="s">
        <v>30</v>
      </c>
      <c r="O131" t="s">
        <v>31</v>
      </c>
      <c r="P131" t="str">
        <f t="shared" ref="P131:P194" si="48">"P"&amp;TEXT(ROW()-1,"0000")</f>
        <v>P0130</v>
      </c>
      <c r="Q131" t="str">
        <f t="shared" si="44"/>
        <v>Endocrinology</v>
      </c>
      <c r="R131">
        <f t="shared" si="45"/>
        <v>11</v>
      </c>
      <c r="S131" t="str">
        <f t="shared" ref="S131:S194" ca="1" si="49">IF(RAND()&lt;0.1,"Yes","No")</f>
        <v>No</v>
      </c>
      <c r="T131" t="str">
        <f t="shared" ref="T131:T194" ca="1" si="50">CHOOSE(RANDBETWEEN(1,4),"Mild","Moderate","Severe","Critical")</f>
        <v>Moderate</v>
      </c>
      <c r="U131" t="str">
        <f t="shared" ref="U131:U194" ca="1" si="51">CHOOSE(RANDBETWEEN(1,5),"General Ward","ICU","Emergency","Private Ward","Semi-Private")</f>
        <v>Emergency</v>
      </c>
      <c r="V131" t="str">
        <f t="shared" ref="V131:V194" si="52">"BED"&amp;TEXT(ROW()-1,"0000")</f>
        <v>BED0130</v>
      </c>
      <c r="W131" t="str">
        <f t="shared" ref="W131:W194" ca="1" si="53">CHOOSE(RANDBETWEEN(1,4),"General","Private","Semi-Private","ICU")</f>
        <v>Private</v>
      </c>
      <c r="X131" t="str">
        <f t="shared" ref="X131:X194" si="54">"NUR"&amp;TEXT(MOD(ROW()-2,50)+1,"000")</f>
        <v>NUR030</v>
      </c>
      <c r="Y131" t="str">
        <f t="shared" ref="Y131:Y194" ca="1" si="55">CHOOSE(RANDBETWEEN(1,3),"Morning","Evening","Night")</f>
        <v>Evening</v>
      </c>
      <c r="Z131" t="str">
        <f t="shared" ref="Z131:Z194" ca="1" si="56">CHOOSE(RANDBETWEEN(1,6),"MRI Scanner","CT Scanner","Ventilator","X-Ray","ECG Machine","Ultrasound")</f>
        <v>ECG Machine</v>
      </c>
      <c r="AA131" t="str">
        <f t="shared" ref="AA131:AA194" ca="1" si="57">CHOOSE(RANDBETWEEN(1,3),"Available","In Use","Maintenance")</f>
        <v>Maintenance</v>
      </c>
      <c r="AB131" t="str">
        <f t="shared" ref="AB131:AB194" ca="1" si="58">CHOOSE(RANDBETWEEN(1,3),"Paid","Pending","Partially Paid")</f>
        <v>Paid</v>
      </c>
      <c r="AC131" t="str">
        <f t="shared" ref="AC131:AC194" ca="1" si="59">CHOOSE(RANDBETWEEN(1,5),"Cash","Credit Card","Debit Card","Insurance","Bank Transfer")</f>
        <v>Bank Transfer</v>
      </c>
      <c r="AD131" t="str">
        <f t="shared" ref="AD131:AD194" ca="1" si="60">IF(RAND()&lt;0.2,"Yes","No")</f>
        <v>No</v>
      </c>
      <c r="AE131" t="str">
        <f t="shared" ref="AE131:AE194" ca="1" si="61">IF(RAND()&lt;0.15,"Yes","No")</f>
        <v>No</v>
      </c>
      <c r="AF131" t="str">
        <f t="shared" ref="AF131:AF194" ca="1" si="62">CHOOSE(RANDBETWEEN(1,3),"Recovered","Transferred","Under Observation")</f>
        <v>Recovered</v>
      </c>
      <c r="AG131" t="str">
        <f t="shared" ref="AG131:AG194" ca="1" si="63">CHOOSE(RANDBETWEEN(1,5),"Northeast","Southeast","Midwest","Southwest","West Coast")</f>
        <v>Northeast</v>
      </c>
      <c r="AH131" t="str">
        <f t="shared" si="46"/>
        <v>March</v>
      </c>
      <c r="AI131">
        <f t="shared" si="47"/>
        <v>2024</v>
      </c>
      <c r="AJ131" t="str">
        <f t="shared" ref="AJ131:AJ194" ca="1" si="64">IF(RANDBETWEEN(1,100)&lt;=80,"Occupied","Vacant")</f>
        <v>Occupied</v>
      </c>
      <c r="AK131">
        <f t="shared" ref="AK131:AK194" ca="1" si="65">CHOOSE(RANDBETWEEN(1,3),1,2,4)</f>
        <v>4</v>
      </c>
    </row>
    <row r="132" spans="1:37" x14ac:dyDescent="0.3">
      <c r="A132" t="s">
        <v>4574</v>
      </c>
      <c r="B132">
        <v>20</v>
      </c>
      <c r="C132" t="s">
        <v>15</v>
      </c>
      <c r="D132" t="s">
        <v>83</v>
      </c>
      <c r="E132" t="s">
        <v>64</v>
      </c>
      <c r="F132" s="1">
        <v>43751</v>
      </c>
      <c r="G132" t="s">
        <v>307</v>
      </c>
      <c r="H132" t="s">
        <v>308</v>
      </c>
      <c r="I132" t="s">
        <v>20</v>
      </c>
      <c r="J132">
        <v>10664</v>
      </c>
      <c r="K132">
        <v>104</v>
      </c>
      <c r="L132" t="s">
        <v>29</v>
      </c>
      <c r="M132" s="1">
        <v>43754</v>
      </c>
      <c r="N132" t="s">
        <v>37</v>
      </c>
      <c r="O132" t="s">
        <v>23</v>
      </c>
      <c r="P132" t="str">
        <f t="shared" si="48"/>
        <v>P0131</v>
      </c>
      <c r="Q132" t="str">
        <f t="shared" si="44"/>
        <v>Cardiology</v>
      </c>
      <c r="R132">
        <f t="shared" si="45"/>
        <v>3</v>
      </c>
      <c r="S132" t="str">
        <f t="shared" ca="1" si="49"/>
        <v>No</v>
      </c>
      <c r="T132" t="str">
        <f t="shared" ca="1" si="50"/>
        <v>Severe</v>
      </c>
      <c r="U132" t="str">
        <f t="shared" ca="1" si="51"/>
        <v>Emergency</v>
      </c>
      <c r="V132" t="str">
        <f t="shared" si="52"/>
        <v>BED0131</v>
      </c>
      <c r="W132" t="str">
        <f t="shared" ca="1" si="53"/>
        <v>ICU</v>
      </c>
      <c r="X132" t="str">
        <f t="shared" si="54"/>
        <v>NUR031</v>
      </c>
      <c r="Y132" t="str">
        <f t="shared" ca="1" si="55"/>
        <v>Morning</v>
      </c>
      <c r="Z132" t="str">
        <f t="shared" ca="1" si="56"/>
        <v>Ultrasound</v>
      </c>
      <c r="AA132" t="str">
        <f t="shared" ca="1" si="57"/>
        <v>Maintenance</v>
      </c>
      <c r="AB132" t="str">
        <f t="shared" ca="1" si="58"/>
        <v>Paid</v>
      </c>
      <c r="AC132" t="str">
        <f t="shared" ca="1" si="59"/>
        <v>Bank Transfer</v>
      </c>
      <c r="AD132" t="str">
        <f t="shared" ca="1" si="60"/>
        <v>No</v>
      </c>
      <c r="AE132" t="str">
        <f t="shared" ca="1" si="61"/>
        <v>No</v>
      </c>
      <c r="AF132" t="str">
        <f t="shared" ca="1" si="62"/>
        <v>Recovered</v>
      </c>
      <c r="AG132" t="str">
        <f t="shared" ca="1" si="63"/>
        <v>Midwest</v>
      </c>
      <c r="AH132" t="str">
        <f t="shared" si="46"/>
        <v>October</v>
      </c>
      <c r="AI132">
        <f t="shared" si="47"/>
        <v>2019</v>
      </c>
      <c r="AJ132" t="str">
        <f t="shared" ca="1" si="64"/>
        <v>Occupied</v>
      </c>
      <c r="AK132">
        <f t="shared" ca="1" si="65"/>
        <v>2</v>
      </c>
    </row>
    <row r="133" spans="1:37" x14ac:dyDescent="0.3">
      <c r="A133" t="s">
        <v>4575</v>
      </c>
      <c r="B133">
        <v>19</v>
      </c>
      <c r="C133" t="s">
        <v>32</v>
      </c>
      <c r="D133" t="s">
        <v>33</v>
      </c>
      <c r="E133" t="s">
        <v>64</v>
      </c>
      <c r="F133" s="1">
        <v>43892</v>
      </c>
      <c r="G133" t="s">
        <v>309</v>
      </c>
      <c r="H133" t="s">
        <v>310</v>
      </c>
      <c r="I133" t="s">
        <v>57</v>
      </c>
      <c r="J133">
        <v>22565</v>
      </c>
      <c r="K133">
        <v>408</v>
      </c>
      <c r="L133" t="s">
        <v>42</v>
      </c>
      <c r="M133" s="1">
        <v>43897</v>
      </c>
      <c r="N133" t="s">
        <v>22</v>
      </c>
      <c r="O133" t="s">
        <v>23</v>
      </c>
      <c r="P133" t="str">
        <f t="shared" si="48"/>
        <v>P0132</v>
      </c>
      <c r="Q133" t="str">
        <f t="shared" si="44"/>
        <v>Cardiology</v>
      </c>
      <c r="R133">
        <f t="shared" si="45"/>
        <v>5</v>
      </c>
      <c r="S133" t="str">
        <f t="shared" ca="1" si="49"/>
        <v>No</v>
      </c>
      <c r="T133" t="str">
        <f t="shared" ca="1" si="50"/>
        <v>Critical</v>
      </c>
      <c r="U133" t="str">
        <f t="shared" ca="1" si="51"/>
        <v>ICU</v>
      </c>
      <c r="V133" t="str">
        <f t="shared" si="52"/>
        <v>BED0132</v>
      </c>
      <c r="W133" t="str">
        <f t="shared" ca="1" si="53"/>
        <v>Semi-Private</v>
      </c>
      <c r="X133" t="str">
        <f t="shared" si="54"/>
        <v>NUR032</v>
      </c>
      <c r="Y133" t="str">
        <f t="shared" ca="1" si="55"/>
        <v>Morning</v>
      </c>
      <c r="Z133" t="str">
        <f t="shared" ca="1" si="56"/>
        <v>Ventilator</v>
      </c>
      <c r="AA133" t="str">
        <f t="shared" ca="1" si="57"/>
        <v>Available</v>
      </c>
      <c r="AB133" t="str">
        <f t="shared" ca="1" si="58"/>
        <v>Partially Paid</v>
      </c>
      <c r="AC133" t="str">
        <f t="shared" ca="1" si="59"/>
        <v>Cash</v>
      </c>
      <c r="AD133" t="str">
        <f t="shared" ca="1" si="60"/>
        <v>No</v>
      </c>
      <c r="AE133" t="str">
        <f t="shared" ca="1" si="61"/>
        <v>No</v>
      </c>
      <c r="AF133" t="str">
        <f t="shared" ca="1" si="62"/>
        <v>Under Observation</v>
      </c>
      <c r="AG133" t="str">
        <f t="shared" ca="1" si="63"/>
        <v>West Coast</v>
      </c>
      <c r="AH133" t="str">
        <f t="shared" si="46"/>
        <v>March</v>
      </c>
      <c r="AI133">
        <f t="shared" si="47"/>
        <v>2020</v>
      </c>
      <c r="AJ133" t="str">
        <f t="shared" ca="1" si="64"/>
        <v>Occupied</v>
      </c>
      <c r="AK133">
        <f t="shared" ca="1" si="65"/>
        <v>4</v>
      </c>
    </row>
    <row r="134" spans="1:37" x14ac:dyDescent="0.3">
      <c r="A134" t="s">
        <v>4576</v>
      </c>
      <c r="B134">
        <v>32</v>
      </c>
      <c r="C134" t="s">
        <v>32</v>
      </c>
      <c r="D134" t="s">
        <v>52</v>
      </c>
      <c r="E134" t="s">
        <v>17</v>
      </c>
      <c r="F134" s="1">
        <v>43774</v>
      </c>
      <c r="G134" t="s">
        <v>311</v>
      </c>
      <c r="H134" t="s">
        <v>312</v>
      </c>
      <c r="I134" t="s">
        <v>36</v>
      </c>
      <c r="J134">
        <v>503</v>
      </c>
      <c r="K134">
        <v>376</v>
      </c>
      <c r="L134" t="s">
        <v>21</v>
      </c>
      <c r="M134" s="1">
        <v>43792</v>
      </c>
      <c r="N134" t="s">
        <v>47</v>
      </c>
      <c r="O134" t="s">
        <v>23</v>
      </c>
      <c r="P134" t="str">
        <f t="shared" si="48"/>
        <v>P0133</v>
      </c>
      <c r="Q134" t="str">
        <f t="shared" si="44"/>
        <v>Oncology</v>
      </c>
      <c r="R134">
        <f t="shared" si="45"/>
        <v>18</v>
      </c>
      <c r="S134" t="str">
        <f t="shared" ca="1" si="49"/>
        <v>No</v>
      </c>
      <c r="T134" t="str">
        <f t="shared" ca="1" si="50"/>
        <v>Moderate</v>
      </c>
      <c r="U134" t="str">
        <f t="shared" ca="1" si="51"/>
        <v>Semi-Private</v>
      </c>
      <c r="V134" t="str">
        <f t="shared" si="52"/>
        <v>BED0133</v>
      </c>
      <c r="W134" t="str">
        <f t="shared" ca="1" si="53"/>
        <v>General</v>
      </c>
      <c r="X134" t="str">
        <f t="shared" si="54"/>
        <v>NUR033</v>
      </c>
      <c r="Y134" t="str">
        <f t="shared" ca="1" si="55"/>
        <v>Night</v>
      </c>
      <c r="Z134" t="str">
        <f t="shared" ca="1" si="56"/>
        <v>CT Scanner</v>
      </c>
      <c r="AA134" t="str">
        <f t="shared" ca="1" si="57"/>
        <v>Available</v>
      </c>
      <c r="AB134" t="str">
        <f t="shared" ca="1" si="58"/>
        <v>Partially Paid</v>
      </c>
      <c r="AC134" t="str">
        <f t="shared" ca="1" si="59"/>
        <v>Cash</v>
      </c>
      <c r="AD134" t="str">
        <f t="shared" ca="1" si="60"/>
        <v>Yes</v>
      </c>
      <c r="AE134" t="str">
        <f t="shared" ca="1" si="61"/>
        <v>No</v>
      </c>
      <c r="AF134" t="str">
        <f t="shared" ca="1" si="62"/>
        <v>Under Observation</v>
      </c>
      <c r="AG134" t="str">
        <f t="shared" ca="1" si="63"/>
        <v>Midwest</v>
      </c>
      <c r="AH134" t="str">
        <f t="shared" si="46"/>
        <v>November</v>
      </c>
      <c r="AI134">
        <f t="shared" si="47"/>
        <v>2019</v>
      </c>
      <c r="AJ134" t="str">
        <f t="shared" ca="1" si="64"/>
        <v>Occupied</v>
      </c>
      <c r="AK134">
        <f t="shared" ca="1" si="65"/>
        <v>2</v>
      </c>
    </row>
    <row r="135" spans="1:37" x14ac:dyDescent="0.3">
      <c r="A135" t="s">
        <v>4577</v>
      </c>
      <c r="B135">
        <v>55</v>
      </c>
      <c r="C135" t="s">
        <v>15</v>
      </c>
      <c r="D135" t="s">
        <v>16</v>
      </c>
      <c r="E135" t="s">
        <v>39</v>
      </c>
      <c r="F135" s="1">
        <v>44234</v>
      </c>
      <c r="G135" t="s">
        <v>313</v>
      </c>
      <c r="H135" t="s">
        <v>314</v>
      </c>
      <c r="I135" t="s">
        <v>57</v>
      </c>
      <c r="J135">
        <v>34758</v>
      </c>
      <c r="K135">
        <v>331</v>
      </c>
      <c r="L135" t="s">
        <v>29</v>
      </c>
      <c r="M135" s="1">
        <v>44260</v>
      </c>
      <c r="N135" t="s">
        <v>37</v>
      </c>
      <c r="O135" t="s">
        <v>23</v>
      </c>
      <c r="P135" t="str">
        <f t="shared" si="48"/>
        <v>P0134</v>
      </c>
      <c r="Q135" t="str">
        <f t="shared" si="44"/>
        <v>Endocrinology</v>
      </c>
      <c r="R135">
        <f t="shared" si="45"/>
        <v>26</v>
      </c>
      <c r="S135" t="str">
        <f t="shared" ca="1" si="49"/>
        <v>No</v>
      </c>
      <c r="T135" t="str">
        <f t="shared" ca="1" si="50"/>
        <v>Moderate</v>
      </c>
      <c r="U135" t="str">
        <f t="shared" ca="1" si="51"/>
        <v>Private Ward</v>
      </c>
      <c r="V135" t="str">
        <f t="shared" si="52"/>
        <v>BED0134</v>
      </c>
      <c r="W135" t="str">
        <f t="shared" ca="1" si="53"/>
        <v>Semi-Private</v>
      </c>
      <c r="X135" t="str">
        <f t="shared" si="54"/>
        <v>NUR034</v>
      </c>
      <c r="Y135" t="str">
        <f t="shared" ca="1" si="55"/>
        <v>Morning</v>
      </c>
      <c r="Z135" t="str">
        <f t="shared" ca="1" si="56"/>
        <v>CT Scanner</v>
      </c>
      <c r="AA135" t="str">
        <f t="shared" ca="1" si="57"/>
        <v>In Use</v>
      </c>
      <c r="AB135" t="str">
        <f t="shared" ca="1" si="58"/>
        <v>Partially Paid</v>
      </c>
      <c r="AC135" t="str">
        <f t="shared" ca="1" si="59"/>
        <v>Debit Card</v>
      </c>
      <c r="AD135" t="str">
        <f t="shared" ca="1" si="60"/>
        <v>No</v>
      </c>
      <c r="AE135" t="str">
        <f t="shared" ca="1" si="61"/>
        <v>No</v>
      </c>
      <c r="AF135" t="str">
        <f t="shared" ca="1" si="62"/>
        <v>Transferred</v>
      </c>
      <c r="AG135" t="str">
        <f t="shared" ca="1" si="63"/>
        <v>West Coast</v>
      </c>
      <c r="AH135" t="str">
        <f t="shared" si="46"/>
        <v>February</v>
      </c>
      <c r="AI135">
        <f t="shared" si="47"/>
        <v>2021</v>
      </c>
      <c r="AJ135" t="str">
        <f t="shared" ca="1" si="64"/>
        <v>Occupied</v>
      </c>
      <c r="AK135">
        <f t="shared" ca="1" si="65"/>
        <v>4</v>
      </c>
    </row>
    <row r="136" spans="1:37" x14ac:dyDescent="0.3">
      <c r="A136" t="s">
        <v>4578</v>
      </c>
      <c r="B136">
        <v>81</v>
      </c>
      <c r="C136" t="s">
        <v>15</v>
      </c>
      <c r="D136" t="s">
        <v>83</v>
      </c>
      <c r="E136" t="s">
        <v>64</v>
      </c>
      <c r="F136" s="1">
        <v>44494</v>
      </c>
      <c r="G136" t="s">
        <v>315</v>
      </c>
      <c r="H136" t="s">
        <v>316</v>
      </c>
      <c r="I136" t="s">
        <v>51</v>
      </c>
      <c r="J136">
        <v>46378</v>
      </c>
      <c r="K136">
        <v>275</v>
      </c>
      <c r="L136" t="s">
        <v>21</v>
      </c>
      <c r="M136" s="1">
        <v>44522</v>
      </c>
      <c r="N136" t="s">
        <v>67</v>
      </c>
      <c r="O136" t="s">
        <v>23</v>
      </c>
      <c r="P136" t="str">
        <f t="shared" si="48"/>
        <v>P0135</v>
      </c>
      <c r="Q136" t="str">
        <f t="shared" si="44"/>
        <v>Cardiology</v>
      </c>
      <c r="R136">
        <f t="shared" si="45"/>
        <v>28</v>
      </c>
      <c r="S136" t="str">
        <f t="shared" ca="1" si="49"/>
        <v>No</v>
      </c>
      <c r="T136" t="str">
        <f t="shared" ca="1" si="50"/>
        <v>Moderate</v>
      </c>
      <c r="U136" t="str">
        <f t="shared" ca="1" si="51"/>
        <v>Emergency</v>
      </c>
      <c r="V136" t="str">
        <f t="shared" si="52"/>
        <v>BED0135</v>
      </c>
      <c r="W136" t="str">
        <f t="shared" ca="1" si="53"/>
        <v>General</v>
      </c>
      <c r="X136" t="str">
        <f t="shared" si="54"/>
        <v>NUR035</v>
      </c>
      <c r="Y136" t="str">
        <f t="shared" ca="1" si="55"/>
        <v>Morning</v>
      </c>
      <c r="Z136" t="str">
        <f t="shared" ca="1" si="56"/>
        <v>Ultrasound</v>
      </c>
      <c r="AA136" t="str">
        <f t="shared" ca="1" si="57"/>
        <v>Maintenance</v>
      </c>
      <c r="AB136" t="str">
        <f t="shared" ca="1" si="58"/>
        <v>Partially Paid</v>
      </c>
      <c r="AC136" t="str">
        <f t="shared" ca="1" si="59"/>
        <v>Debit Card</v>
      </c>
      <c r="AD136" t="str">
        <f t="shared" ca="1" si="60"/>
        <v>No</v>
      </c>
      <c r="AE136" t="str">
        <f t="shared" ca="1" si="61"/>
        <v>No</v>
      </c>
      <c r="AF136" t="str">
        <f t="shared" ca="1" si="62"/>
        <v>Under Observation</v>
      </c>
      <c r="AG136" t="str">
        <f t="shared" ca="1" si="63"/>
        <v>West Coast</v>
      </c>
      <c r="AH136" t="str">
        <f t="shared" si="46"/>
        <v>October</v>
      </c>
      <c r="AI136">
        <f t="shared" si="47"/>
        <v>2021</v>
      </c>
      <c r="AJ136" t="str">
        <f t="shared" ca="1" si="64"/>
        <v>Vacant</v>
      </c>
      <c r="AK136">
        <f t="shared" ca="1" si="65"/>
        <v>4</v>
      </c>
    </row>
    <row r="137" spans="1:37" x14ac:dyDescent="0.3">
      <c r="A137" t="s">
        <v>4579</v>
      </c>
      <c r="B137">
        <v>26</v>
      </c>
      <c r="C137" t="s">
        <v>15</v>
      </c>
      <c r="D137" t="s">
        <v>98</v>
      </c>
      <c r="E137" t="s">
        <v>64</v>
      </c>
      <c r="F137" s="1">
        <v>44766</v>
      </c>
      <c r="G137" t="s">
        <v>317</v>
      </c>
      <c r="H137" t="s">
        <v>318</v>
      </c>
      <c r="I137" t="s">
        <v>20</v>
      </c>
      <c r="J137">
        <v>7556</v>
      </c>
      <c r="K137">
        <v>425</v>
      </c>
      <c r="L137" t="s">
        <v>42</v>
      </c>
      <c r="M137" s="1">
        <v>44773</v>
      </c>
      <c r="N137" t="s">
        <v>22</v>
      </c>
      <c r="O137" t="s">
        <v>43</v>
      </c>
      <c r="P137" t="str">
        <f t="shared" si="48"/>
        <v>P0136</v>
      </c>
      <c r="Q137" t="str">
        <f t="shared" si="44"/>
        <v>Cardiology</v>
      </c>
      <c r="R137">
        <f t="shared" si="45"/>
        <v>7</v>
      </c>
      <c r="S137" t="str">
        <f t="shared" ca="1" si="49"/>
        <v>No</v>
      </c>
      <c r="T137" t="str">
        <f t="shared" ca="1" si="50"/>
        <v>Moderate</v>
      </c>
      <c r="U137" t="str">
        <f t="shared" ca="1" si="51"/>
        <v>Semi-Private</v>
      </c>
      <c r="V137" t="str">
        <f t="shared" si="52"/>
        <v>BED0136</v>
      </c>
      <c r="W137" t="str">
        <f t="shared" ca="1" si="53"/>
        <v>ICU</v>
      </c>
      <c r="X137" t="str">
        <f t="shared" si="54"/>
        <v>NUR036</v>
      </c>
      <c r="Y137" t="str">
        <f t="shared" ca="1" si="55"/>
        <v>Evening</v>
      </c>
      <c r="Z137" t="str">
        <f t="shared" ca="1" si="56"/>
        <v>X-Ray</v>
      </c>
      <c r="AA137" t="str">
        <f t="shared" ca="1" si="57"/>
        <v>Maintenance</v>
      </c>
      <c r="AB137" t="str">
        <f t="shared" ca="1" si="58"/>
        <v>Pending</v>
      </c>
      <c r="AC137" t="str">
        <f t="shared" ca="1" si="59"/>
        <v>Insurance</v>
      </c>
      <c r="AD137" t="str">
        <f t="shared" ca="1" si="60"/>
        <v>No</v>
      </c>
      <c r="AE137" t="str">
        <f t="shared" ca="1" si="61"/>
        <v>No</v>
      </c>
      <c r="AF137" t="str">
        <f t="shared" ca="1" si="62"/>
        <v>Recovered</v>
      </c>
      <c r="AG137" t="str">
        <f t="shared" ca="1" si="63"/>
        <v>Northeast</v>
      </c>
      <c r="AH137" t="str">
        <f t="shared" si="46"/>
        <v>July</v>
      </c>
      <c r="AI137">
        <f t="shared" si="47"/>
        <v>2022</v>
      </c>
      <c r="AJ137" t="str">
        <f t="shared" ca="1" si="64"/>
        <v>Occupied</v>
      </c>
      <c r="AK137">
        <f t="shared" ca="1" si="65"/>
        <v>1</v>
      </c>
    </row>
    <row r="138" spans="1:37" x14ac:dyDescent="0.3">
      <c r="A138" t="s">
        <v>4580</v>
      </c>
      <c r="B138">
        <v>54</v>
      </c>
      <c r="C138" t="s">
        <v>32</v>
      </c>
      <c r="D138" t="s">
        <v>44</v>
      </c>
      <c r="E138" t="s">
        <v>17</v>
      </c>
      <c r="F138" s="1">
        <v>43894</v>
      </c>
      <c r="G138" t="s">
        <v>319</v>
      </c>
      <c r="H138" t="s">
        <v>320</v>
      </c>
      <c r="I138" t="s">
        <v>51</v>
      </c>
      <c r="J138">
        <v>14300</v>
      </c>
      <c r="K138">
        <v>480</v>
      </c>
      <c r="L138" t="s">
        <v>29</v>
      </c>
      <c r="M138" s="1">
        <v>43895</v>
      </c>
      <c r="N138" t="s">
        <v>67</v>
      </c>
      <c r="O138" t="s">
        <v>43</v>
      </c>
      <c r="P138" t="str">
        <f t="shared" si="48"/>
        <v>P0137</v>
      </c>
      <c r="Q138" t="str">
        <f t="shared" si="44"/>
        <v>Oncology</v>
      </c>
      <c r="R138">
        <f t="shared" si="45"/>
        <v>1</v>
      </c>
      <c r="S138" t="str">
        <f t="shared" ca="1" si="49"/>
        <v>No</v>
      </c>
      <c r="T138" t="str">
        <f t="shared" ca="1" si="50"/>
        <v>Mild</v>
      </c>
      <c r="U138" t="str">
        <f t="shared" ca="1" si="51"/>
        <v>General Ward</v>
      </c>
      <c r="V138" t="str">
        <f t="shared" si="52"/>
        <v>BED0137</v>
      </c>
      <c r="W138" t="str">
        <f t="shared" ca="1" si="53"/>
        <v>Private</v>
      </c>
      <c r="X138" t="str">
        <f t="shared" si="54"/>
        <v>NUR037</v>
      </c>
      <c r="Y138" t="str">
        <f t="shared" ca="1" si="55"/>
        <v>Morning</v>
      </c>
      <c r="Z138" t="str">
        <f t="shared" ca="1" si="56"/>
        <v>CT Scanner</v>
      </c>
      <c r="AA138" t="str">
        <f t="shared" ca="1" si="57"/>
        <v>Maintenance</v>
      </c>
      <c r="AB138" t="str">
        <f t="shared" ca="1" si="58"/>
        <v>Partially Paid</v>
      </c>
      <c r="AC138" t="str">
        <f t="shared" ca="1" si="59"/>
        <v>Credit Card</v>
      </c>
      <c r="AD138" t="str">
        <f t="shared" ca="1" si="60"/>
        <v>No</v>
      </c>
      <c r="AE138" t="str">
        <f t="shared" ca="1" si="61"/>
        <v>No</v>
      </c>
      <c r="AF138" t="str">
        <f t="shared" ca="1" si="62"/>
        <v>Transferred</v>
      </c>
      <c r="AG138" t="str">
        <f t="shared" ca="1" si="63"/>
        <v>Northeast</v>
      </c>
      <c r="AH138" t="str">
        <f t="shared" si="46"/>
        <v>March</v>
      </c>
      <c r="AI138">
        <f t="shared" si="47"/>
        <v>2020</v>
      </c>
      <c r="AJ138" t="str">
        <f t="shared" ca="1" si="64"/>
        <v>Occupied</v>
      </c>
      <c r="AK138">
        <f t="shared" ca="1" si="65"/>
        <v>1</v>
      </c>
    </row>
    <row r="139" spans="1:37" x14ac:dyDescent="0.3">
      <c r="A139" t="s">
        <v>4581</v>
      </c>
      <c r="B139">
        <v>57</v>
      </c>
      <c r="C139" t="s">
        <v>15</v>
      </c>
      <c r="D139" t="s">
        <v>16</v>
      </c>
      <c r="E139" t="s">
        <v>76</v>
      </c>
      <c r="F139" s="1">
        <v>44409</v>
      </c>
      <c r="G139" t="s">
        <v>321</v>
      </c>
      <c r="H139" t="s">
        <v>322</v>
      </c>
      <c r="I139" t="s">
        <v>57</v>
      </c>
      <c r="J139">
        <v>46430</v>
      </c>
      <c r="K139">
        <v>233</v>
      </c>
      <c r="L139" t="s">
        <v>42</v>
      </c>
      <c r="M139" s="1">
        <v>44427</v>
      </c>
      <c r="N139" t="s">
        <v>22</v>
      </c>
      <c r="O139" t="s">
        <v>31</v>
      </c>
      <c r="P139" t="str">
        <f t="shared" si="48"/>
        <v>P0138</v>
      </c>
      <c r="Q139" t="str">
        <f t="shared" si="44"/>
        <v>Orthopedics</v>
      </c>
      <c r="R139">
        <f t="shared" si="45"/>
        <v>18</v>
      </c>
      <c r="S139" t="str">
        <f t="shared" ca="1" si="49"/>
        <v>No</v>
      </c>
      <c r="T139" t="str">
        <f t="shared" ca="1" si="50"/>
        <v>Critical</v>
      </c>
      <c r="U139" t="str">
        <f t="shared" ca="1" si="51"/>
        <v>ICU</v>
      </c>
      <c r="V139" t="str">
        <f t="shared" si="52"/>
        <v>BED0138</v>
      </c>
      <c r="W139" t="str">
        <f t="shared" ca="1" si="53"/>
        <v>Semi-Private</v>
      </c>
      <c r="X139" t="str">
        <f t="shared" si="54"/>
        <v>NUR038</v>
      </c>
      <c r="Y139" t="str">
        <f t="shared" ca="1" si="55"/>
        <v>Evening</v>
      </c>
      <c r="Z139" t="str">
        <f t="shared" ca="1" si="56"/>
        <v>Ventilator</v>
      </c>
      <c r="AA139" t="str">
        <f t="shared" ca="1" si="57"/>
        <v>Available</v>
      </c>
      <c r="AB139" t="str">
        <f t="shared" ca="1" si="58"/>
        <v>Partially Paid</v>
      </c>
      <c r="AC139" t="str">
        <f t="shared" ca="1" si="59"/>
        <v>Bank Transfer</v>
      </c>
      <c r="AD139" t="str">
        <f t="shared" ca="1" si="60"/>
        <v>Yes</v>
      </c>
      <c r="AE139" t="str">
        <f t="shared" ca="1" si="61"/>
        <v>Yes</v>
      </c>
      <c r="AF139" t="str">
        <f t="shared" ca="1" si="62"/>
        <v>Under Observation</v>
      </c>
      <c r="AG139" t="str">
        <f t="shared" ca="1" si="63"/>
        <v>Southeast</v>
      </c>
      <c r="AH139" t="str">
        <f t="shared" si="46"/>
        <v>August</v>
      </c>
      <c r="AI139">
        <f t="shared" si="47"/>
        <v>2021</v>
      </c>
      <c r="AJ139" t="str">
        <f t="shared" ca="1" si="64"/>
        <v>Occupied</v>
      </c>
      <c r="AK139">
        <f t="shared" ca="1" si="65"/>
        <v>2</v>
      </c>
    </row>
    <row r="140" spans="1:37" x14ac:dyDescent="0.3">
      <c r="A140" t="s">
        <v>4582</v>
      </c>
      <c r="B140">
        <v>38</v>
      </c>
      <c r="C140" t="s">
        <v>32</v>
      </c>
      <c r="D140" t="s">
        <v>44</v>
      </c>
      <c r="E140" t="s">
        <v>48</v>
      </c>
      <c r="F140" s="1">
        <v>43854</v>
      </c>
      <c r="G140" t="s">
        <v>323</v>
      </c>
      <c r="H140" t="s">
        <v>324</v>
      </c>
      <c r="I140" t="s">
        <v>28</v>
      </c>
      <c r="J140">
        <v>17979</v>
      </c>
      <c r="K140">
        <v>384</v>
      </c>
      <c r="L140" t="s">
        <v>42</v>
      </c>
      <c r="M140" s="1">
        <v>43873</v>
      </c>
      <c r="N140" t="s">
        <v>30</v>
      </c>
      <c r="O140" t="s">
        <v>43</v>
      </c>
      <c r="P140" t="str">
        <f t="shared" si="48"/>
        <v>P0139</v>
      </c>
      <c r="Q140" t="str">
        <f t="shared" si="44"/>
        <v>Pulmonology</v>
      </c>
      <c r="R140">
        <f t="shared" si="45"/>
        <v>19</v>
      </c>
      <c r="S140" t="str">
        <f t="shared" ca="1" si="49"/>
        <v>No</v>
      </c>
      <c r="T140" t="str">
        <f t="shared" ca="1" si="50"/>
        <v>Severe</v>
      </c>
      <c r="U140" t="str">
        <f t="shared" ca="1" si="51"/>
        <v>Private Ward</v>
      </c>
      <c r="V140" t="str">
        <f t="shared" si="52"/>
        <v>BED0139</v>
      </c>
      <c r="W140" t="str">
        <f t="shared" ca="1" si="53"/>
        <v>Private</v>
      </c>
      <c r="X140" t="str">
        <f t="shared" si="54"/>
        <v>NUR039</v>
      </c>
      <c r="Y140" t="str">
        <f t="shared" ca="1" si="55"/>
        <v>Night</v>
      </c>
      <c r="Z140" t="str">
        <f t="shared" ca="1" si="56"/>
        <v>ECG Machine</v>
      </c>
      <c r="AA140" t="str">
        <f t="shared" ca="1" si="57"/>
        <v>Maintenance</v>
      </c>
      <c r="AB140" t="str">
        <f t="shared" ca="1" si="58"/>
        <v>Partially Paid</v>
      </c>
      <c r="AC140" t="str">
        <f t="shared" ca="1" si="59"/>
        <v>Cash</v>
      </c>
      <c r="AD140" t="str">
        <f t="shared" ca="1" si="60"/>
        <v>Yes</v>
      </c>
      <c r="AE140" t="str">
        <f t="shared" ca="1" si="61"/>
        <v>No</v>
      </c>
      <c r="AF140" t="str">
        <f t="shared" ca="1" si="62"/>
        <v>Recovered</v>
      </c>
      <c r="AG140" t="str">
        <f t="shared" ca="1" si="63"/>
        <v>West Coast</v>
      </c>
      <c r="AH140" t="str">
        <f t="shared" si="46"/>
        <v>January</v>
      </c>
      <c r="AI140">
        <f t="shared" si="47"/>
        <v>2020</v>
      </c>
      <c r="AJ140" t="str">
        <f t="shared" ca="1" si="64"/>
        <v>Occupied</v>
      </c>
      <c r="AK140">
        <f t="shared" ca="1" si="65"/>
        <v>4</v>
      </c>
    </row>
    <row r="141" spans="1:37" x14ac:dyDescent="0.3">
      <c r="A141" t="s">
        <v>4583</v>
      </c>
      <c r="B141">
        <v>54</v>
      </c>
      <c r="C141" t="s">
        <v>15</v>
      </c>
      <c r="D141" t="s">
        <v>38</v>
      </c>
      <c r="E141" t="s">
        <v>25</v>
      </c>
      <c r="F141" s="1">
        <v>44407</v>
      </c>
      <c r="G141" t="s">
        <v>325</v>
      </c>
      <c r="H141" t="s">
        <v>326</v>
      </c>
      <c r="I141" t="s">
        <v>28</v>
      </c>
      <c r="J141">
        <v>32629</v>
      </c>
      <c r="K141">
        <v>380</v>
      </c>
      <c r="L141" t="s">
        <v>42</v>
      </c>
      <c r="M141" s="1">
        <v>44421</v>
      </c>
      <c r="N141" t="s">
        <v>22</v>
      </c>
      <c r="O141" t="s">
        <v>23</v>
      </c>
      <c r="P141" t="str">
        <f t="shared" si="48"/>
        <v>P0140</v>
      </c>
      <c r="Q141" t="str">
        <f t="shared" si="44"/>
        <v>Nutrition</v>
      </c>
      <c r="R141">
        <f t="shared" si="45"/>
        <v>14</v>
      </c>
      <c r="S141" t="str">
        <f t="shared" ca="1" si="49"/>
        <v>No</v>
      </c>
      <c r="T141" t="str">
        <f t="shared" ca="1" si="50"/>
        <v>Mild</v>
      </c>
      <c r="U141" t="str">
        <f t="shared" ca="1" si="51"/>
        <v>Emergency</v>
      </c>
      <c r="V141" t="str">
        <f t="shared" si="52"/>
        <v>BED0140</v>
      </c>
      <c r="W141" t="str">
        <f t="shared" ca="1" si="53"/>
        <v>General</v>
      </c>
      <c r="X141" t="str">
        <f t="shared" si="54"/>
        <v>NUR040</v>
      </c>
      <c r="Y141" t="str">
        <f t="shared" ca="1" si="55"/>
        <v>Morning</v>
      </c>
      <c r="Z141" t="str">
        <f t="shared" ca="1" si="56"/>
        <v>ECG Machine</v>
      </c>
      <c r="AA141" t="str">
        <f t="shared" ca="1" si="57"/>
        <v>In Use</v>
      </c>
      <c r="AB141" t="str">
        <f t="shared" ca="1" si="58"/>
        <v>Partially Paid</v>
      </c>
      <c r="AC141" t="str">
        <f t="shared" ca="1" si="59"/>
        <v>Debit Card</v>
      </c>
      <c r="AD141" t="str">
        <f t="shared" ca="1" si="60"/>
        <v>No</v>
      </c>
      <c r="AE141" t="str">
        <f t="shared" ca="1" si="61"/>
        <v>No</v>
      </c>
      <c r="AF141" t="str">
        <f t="shared" ca="1" si="62"/>
        <v>Recovered</v>
      </c>
      <c r="AG141" t="str">
        <f t="shared" ca="1" si="63"/>
        <v>Southwest</v>
      </c>
      <c r="AH141" t="str">
        <f t="shared" si="46"/>
        <v>July</v>
      </c>
      <c r="AI141">
        <f t="shared" si="47"/>
        <v>2021</v>
      </c>
      <c r="AJ141" t="str">
        <f t="shared" ca="1" si="64"/>
        <v>Occupied</v>
      </c>
      <c r="AK141">
        <f t="shared" ca="1" si="65"/>
        <v>2</v>
      </c>
    </row>
    <row r="142" spans="1:37" x14ac:dyDescent="0.3">
      <c r="A142" t="s">
        <v>4584</v>
      </c>
      <c r="B142">
        <v>42</v>
      </c>
      <c r="C142" t="s">
        <v>15</v>
      </c>
      <c r="D142" t="s">
        <v>24</v>
      </c>
      <c r="E142" t="s">
        <v>39</v>
      </c>
      <c r="F142" s="1">
        <v>45295</v>
      </c>
      <c r="G142" t="s">
        <v>327</v>
      </c>
      <c r="H142" t="s">
        <v>328</v>
      </c>
      <c r="I142" t="s">
        <v>28</v>
      </c>
      <c r="J142">
        <v>22356</v>
      </c>
      <c r="K142">
        <v>310</v>
      </c>
      <c r="L142" t="s">
        <v>21</v>
      </c>
      <c r="M142" s="1">
        <v>45325</v>
      </c>
      <c r="N142" t="s">
        <v>37</v>
      </c>
      <c r="O142" t="s">
        <v>31</v>
      </c>
      <c r="P142" t="str">
        <f t="shared" si="48"/>
        <v>P0141</v>
      </c>
      <c r="Q142" t="str">
        <f t="shared" si="44"/>
        <v>Endocrinology</v>
      </c>
      <c r="R142">
        <f t="shared" si="45"/>
        <v>30</v>
      </c>
      <c r="S142" t="str">
        <f t="shared" ca="1" si="49"/>
        <v>No</v>
      </c>
      <c r="T142" t="str">
        <f t="shared" ca="1" si="50"/>
        <v>Critical</v>
      </c>
      <c r="U142" t="str">
        <f t="shared" ca="1" si="51"/>
        <v>ICU</v>
      </c>
      <c r="V142" t="str">
        <f t="shared" si="52"/>
        <v>BED0141</v>
      </c>
      <c r="W142" t="str">
        <f t="shared" ca="1" si="53"/>
        <v>General</v>
      </c>
      <c r="X142" t="str">
        <f t="shared" si="54"/>
        <v>NUR041</v>
      </c>
      <c r="Y142" t="str">
        <f t="shared" ca="1" si="55"/>
        <v>Night</v>
      </c>
      <c r="Z142" t="str">
        <f t="shared" ca="1" si="56"/>
        <v>Ultrasound</v>
      </c>
      <c r="AA142" t="str">
        <f t="shared" ca="1" si="57"/>
        <v>Maintenance</v>
      </c>
      <c r="AB142" t="str">
        <f t="shared" ca="1" si="58"/>
        <v>Paid</v>
      </c>
      <c r="AC142" t="str">
        <f t="shared" ca="1" si="59"/>
        <v>Insurance</v>
      </c>
      <c r="AD142" t="str">
        <f t="shared" ca="1" si="60"/>
        <v>No</v>
      </c>
      <c r="AE142" t="str">
        <f t="shared" ca="1" si="61"/>
        <v>No</v>
      </c>
      <c r="AF142" t="str">
        <f t="shared" ca="1" si="62"/>
        <v>Under Observation</v>
      </c>
      <c r="AG142" t="str">
        <f t="shared" ca="1" si="63"/>
        <v>Southwest</v>
      </c>
      <c r="AH142" t="str">
        <f t="shared" si="46"/>
        <v>January</v>
      </c>
      <c r="AI142">
        <f t="shared" si="47"/>
        <v>2024</v>
      </c>
      <c r="AJ142" t="str">
        <f t="shared" ca="1" si="64"/>
        <v>Occupied</v>
      </c>
      <c r="AK142">
        <f t="shared" ca="1" si="65"/>
        <v>4</v>
      </c>
    </row>
    <row r="143" spans="1:37" x14ac:dyDescent="0.3">
      <c r="A143" t="s">
        <v>4585</v>
      </c>
      <c r="B143">
        <v>20</v>
      </c>
      <c r="C143" t="s">
        <v>15</v>
      </c>
      <c r="D143" t="s">
        <v>98</v>
      </c>
      <c r="E143" t="s">
        <v>39</v>
      </c>
      <c r="F143" s="1">
        <v>45296</v>
      </c>
      <c r="G143" t="s">
        <v>329</v>
      </c>
      <c r="H143" t="s">
        <v>330</v>
      </c>
      <c r="I143" t="s">
        <v>28</v>
      </c>
      <c r="J143">
        <v>48996</v>
      </c>
      <c r="K143">
        <v>406</v>
      </c>
      <c r="L143" t="s">
        <v>42</v>
      </c>
      <c r="M143" s="1">
        <v>45326</v>
      </c>
      <c r="N143" t="s">
        <v>67</v>
      </c>
      <c r="O143" t="s">
        <v>23</v>
      </c>
      <c r="P143" t="str">
        <f t="shared" si="48"/>
        <v>P0142</v>
      </c>
      <c r="Q143" t="str">
        <f t="shared" si="44"/>
        <v>Endocrinology</v>
      </c>
      <c r="R143">
        <f t="shared" si="45"/>
        <v>30</v>
      </c>
      <c r="S143" t="str">
        <f t="shared" ca="1" si="49"/>
        <v>No</v>
      </c>
      <c r="T143" t="str">
        <f t="shared" ca="1" si="50"/>
        <v>Critical</v>
      </c>
      <c r="U143" t="str">
        <f t="shared" ca="1" si="51"/>
        <v>ICU</v>
      </c>
      <c r="V143" t="str">
        <f t="shared" si="52"/>
        <v>BED0142</v>
      </c>
      <c r="W143" t="str">
        <f t="shared" ca="1" si="53"/>
        <v>ICU</v>
      </c>
      <c r="X143" t="str">
        <f t="shared" si="54"/>
        <v>NUR042</v>
      </c>
      <c r="Y143" t="str">
        <f t="shared" ca="1" si="55"/>
        <v>Night</v>
      </c>
      <c r="Z143" t="str">
        <f t="shared" ca="1" si="56"/>
        <v>MRI Scanner</v>
      </c>
      <c r="AA143" t="str">
        <f t="shared" ca="1" si="57"/>
        <v>Available</v>
      </c>
      <c r="AB143" t="str">
        <f t="shared" ca="1" si="58"/>
        <v>Partially Paid</v>
      </c>
      <c r="AC143" t="str">
        <f t="shared" ca="1" si="59"/>
        <v>Bank Transfer</v>
      </c>
      <c r="AD143" t="str">
        <f t="shared" ca="1" si="60"/>
        <v>Yes</v>
      </c>
      <c r="AE143" t="str">
        <f t="shared" ca="1" si="61"/>
        <v>No</v>
      </c>
      <c r="AF143" t="str">
        <f t="shared" ca="1" si="62"/>
        <v>Under Observation</v>
      </c>
      <c r="AG143" t="str">
        <f t="shared" ca="1" si="63"/>
        <v>West Coast</v>
      </c>
      <c r="AH143" t="str">
        <f t="shared" si="46"/>
        <v>January</v>
      </c>
      <c r="AI143">
        <f t="shared" si="47"/>
        <v>2024</v>
      </c>
      <c r="AJ143" t="str">
        <f t="shared" ca="1" si="64"/>
        <v>Occupied</v>
      </c>
      <c r="AK143">
        <f t="shared" ca="1" si="65"/>
        <v>1</v>
      </c>
    </row>
    <row r="144" spans="1:37" x14ac:dyDescent="0.3">
      <c r="A144" t="s">
        <v>4586</v>
      </c>
      <c r="B144">
        <v>44</v>
      </c>
      <c r="C144" t="s">
        <v>32</v>
      </c>
      <c r="D144" t="s">
        <v>98</v>
      </c>
      <c r="E144" t="s">
        <v>64</v>
      </c>
      <c r="F144" s="1">
        <v>44054</v>
      </c>
      <c r="G144" t="s">
        <v>331</v>
      </c>
      <c r="H144" t="s">
        <v>332</v>
      </c>
      <c r="I144" t="s">
        <v>51</v>
      </c>
      <c r="J144">
        <v>4532</v>
      </c>
      <c r="K144">
        <v>213</v>
      </c>
      <c r="L144" t="s">
        <v>29</v>
      </c>
      <c r="M144" s="1">
        <v>44078</v>
      </c>
      <c r="N144" t="s">
        <v>67</v>
      </c>
      <c r="O144" t="s">
        <v>31</v>
      </c>
      <c r="P144" t="str">
        <f t="shared" si="48"/>
        <v>P0143</v>
      </c>
      <c r="Q144" t="str">
        <f t="shared" si="44"/>
        <v>Cardiology</v>
      </c>
      <c r="R144">
        <f t="shared" si="45"/>
        <v>24</v>
      </c>
      <c r="S144" t="str">
        <f t="shared" ca="1" si="49"/>
        <v>Yes</v>
      </c>
      <c r="T144" t="str">
        <f t="shared" ca="1" si="50"/>
        <v>Moderate</v>
      </c>
      <c r="U144" t="str">
        <f t="shared" ca="1" si="51"/>
        <v>Emergency</v>
      </c>
      <c r="V144" t="str">
        <f t="shared" si="52"/>
        <v>BED0143</v>
      </c>
      <c r="W144" t="str">
        <f t="shared" ca="1" si="53"/>
        <v>ICU</v>
      </c>
      <c r="X144" t="str">
        <f t="shared" si="54"/>
        <v>NUR043</v>
      </c>
      <c r="Y144" t="str">
        <f t="shared" ca="1" si="55"/>
        <v>Night</v>
      </c>
      <c r="Z144" t="str">
        <f t="shared" ca="1" si="56"/>
        <v>CT Scanner</v>
      </c>
      <c r="AA144" t="str">
        <f t="shared" ca="1" si="57"/>
        <v>Available</v>
      </c>
      <c r="AB144" t="str">
        <f t="shared" ca="1" si="58"/>
        <v>Pending</v>
      </c>
      <c r="AC144" t="str">
        <f t="shared" ca="1" si="59"/>
        <v>Bank Transfer</v>
      </c>
      <c r="AD144" t="str">
        <f t="shared" ca="1" si="60"/>
        <v>No</v>
      </c>
      <c r="AE144" t="str">
        <f t="shared" ca="1" si="61"/>
        <v>No</v>
      </c>
      <c r="AF144" t="str">
        <f t="shared" ca="1" si="62"/>
        <v>Recovered</v>
      </c>
      <c r="AG144" t="str">
        <f t="shared" ca="1" si="63"/>
        <v>Midwest</v>
      </c>
      <c r="AH144" t="str">
        <f t="shared" si="46"/>
        <v>August</v>
      </c>
      <c r="AI144">
        <f t="shared" si="47"/>
        <v>2020</v>
      </c>
      <c r="AJ144" t="str">
        <f t="shared" ca="1" si="64"/>
        <v>Occupied</v>
      </c>
      <c r="AK144">
        <f t="shared" ca="1" si="65"/>
        <v>1</v>
      </c>
    </row>
    <row r="145" spans="1:37" x14ac:dyDescent="0.3">
      <c r="A145" t="s">
        <v>4587</v>
      </c>
      <c r="B145">
        <v>54</v>
      </c>
      <c r="C145" t="s">
        <v>15</v>
      </c>
      <c r="D145" t="s">
        <v>83</v>
      </c>
      <c r="E145" t="s">
        <v>39</v>
      </c>
      <c r="F145" s="1">
        <v>44729</v>
      </c>
      <c r="G145" t="s">
        <v>333</v>
      </c>
      <c r="H145" t="s">
        <v>334</v>
      </c>
      <c r="I145" t="s">
        <v>28</v>
      </c>
      <c r="J145">
        <v>35522</v>
      </c>
      <c r="K145">
        <v>130</v>
      </c>
      <c r="L145" t="s">
        <v>42</v>
      </c>
      <c r="M145" s="1">
        <v>44736</v>
      </c>
      <c r="N145" t="s">
        <v>22</v>
      </c>
      <c r="O145" t="s">
        <v>23</v>
      </c>
      <c r="P145" t="str">
        <f t="shared" si="48"/>
        <v>P0144</v>
      </c>
      <c r="Q145" t="str">
        <f t="shared" si="44"/>
        <v>Endocrinology</v>
      </c>
      <c r="R145">
        <f t="shared" si="45"/>
        <v>7</v>
      </c>
      <c r="S145" t="str">
        <f t="shared" ca="1" si="49"/>
        <v>No</v>
      </c>
      <c r="T145" t="str">
        <f t="shared" ca="1" si="50"/>
        <v>Moderate</v>
      </c>
      <c r="U145" t="str">
        <f t="shared" ca="1" si="51"/>
        <v>Private Ward</v>
      </c>
      <c r="V145" t="str">
        <f t="shared" si="52"/>
        <v>BED0144</v>
      </c>
      <c r="W145" t="str">
        <f t="shared" ca="1" si="53"/>
        <v>ICU</v>
      </c>
      <c r="X145" t="str">
        <f t="shared" si="54"/>
        <v>NUR044</v>
      </c>
      <c r="Y145" t="str">
        <f t="shared" ca="1" si="55"/>
        <v>Morning</v>
      </c>
      <c r="Z145" t="str">
        <f t="shared" ca="1" si="56"/>
        <v>Ultrasound</v>
      </c>
      <c r="AA145" t="str">
        <f t="shared" ca="1" si="57"/>
        <v>In Use</v>
      </c>
      <c r="AB145" t="str">
        <f t="shared" ca="1" si="58"/>
        <v>Paid</v>
      </c>
      <c r="AC145" t="str">
        <f t="shared" ca="1" si="59"/>
        <v>Bank Transfer</v>
      </c>
      <c r="AD145" t="str">
        <f t="shared" ca="1" si="60"/>
        <v>No</v>
      </c>
      <c r="AE145" t="str">
        <f t="shared" ca="1" si="61"/>
        <v>No</v>
      </c>
      <c r="AF145" t="str">
        <f t="shared" ca="1" si="62"/>
        <v>Under Observation</v>
      </c>
      <c r="AG145" t="str">
        <f t="shared" ca="1" si="63"/>
        <v>Southwest</v>
      </c>
      <c r="AH145" t="str">
        <f t="shared" si="46"/>
        <v>June</v>
      </c>
      <c r="AI145">
        <f t="shared" si="47"/>
        <v>2022</v>
      </c>
      <c r="AJ145" t="str">
        <f t="shared" ca="1" si="64"/>
        <v>Occupied</v>
      </c>
      <c r="AK145">
        <f t="shared" ca="1" si="65"/>
        <v>2</v>
      </c>
    </row>
    <row r="146" spans="1:37" x14ac:dyDescent="0.3">
      <c r="A146" t="s">
        <v>4588</v>
      </c>
      <c r="B146">
        <v>21</v>
      </c>
      <c r="C146" t="s">
        <v>32</v>
      </c>
      <c r="D146" t="s">
        <v>52</v>
      </c>
      <c r="E146" t="s">
        <v>76</v>
      </c>
      <c r="F146" s="1">
        <v>44653</v>
      </c>
      <c r="G146" t="s">
        <v>335</v>
      </c>
      <c r="H146" t="s">
        <v>336</v>
      </c>
      <c r="I146" t="s">
        <v>36</v>
      </c>
      <c r="J146">
        <v>1590</v>
      </c>
      <c r="K146">
        <v>244</v>
      </c>
      <c r="L146" t="s">
        <v>29</v>
      </c>
      <c r="M146" s="1">
        <v>44660</v>
      </c>
      <c r="N146" t="s">
        <v>37</v>
      </c>
      <c r="O146" t="s">
        <v>31</v>
      </c>
      <c r="P146" t="str">
        <f t="shared" si="48"/>
        <v>P0145</v>
      </c>
      <c r="Q146" t="str">
        <f t="shared" si="44"/>
        <v>Orthopedics</v>
      </c>
      <c r="R146">
        <f t="shared" si="45"/>
        <v>7</v>
      </c>
      <c r="S146" t="str">
        <f t="shared" ca="1" si="49"/>
        <v>Yes</v>
      </c>
      <c r="T146" t="str">
        <f t="shared" ca="1" si="50"/>
        <v>Severe</v>
      </c>
      <c r="U146" t="str">
        <f t="shared" ca="1" si="51"/>
        <v>ICU</v>
      </c>
      <c r="V146" t="str">
        <f t="shared" si="52"/>
        <v>BED0145</v>
      </c>
      <c r="W146" t="str">
        <f t="shared" ca="1" si="53"/>
        <v>ICU</v>
      </c>
      <c r="X146" t="str">
        <f t="shared" si="54"/>
        <v>NUR045</v>
      </c>
      <c r="Y146" t="str">
        <f t="shared" ca="1" si="55"/>
        <v>Morning</v>
      </c>
      <c r="Z146" t="str">
        <f t="shared" ca="1" si="56"/>
        <v>MRI Scanner</v>
      </c>
      <c r="AA146" t="str">
        <f t="shared" ca="1" si="57"/>
        <v>Maintenance</v>
      </c>
      <c r="AB146" t="str">
        <f t="shared" ca="1" si="58"/>
        <v>Partially Paid</v>
      </c>
      <c r="AC146" t="str">
        <f t="shared" ca="1" si="59"/>
        <v>Credit Card</v>
      </c>
      <c r="AD146" t="str">
        <f t="shared" ca="1" si="60"/>
        <v>Yes</v>
      </c>
      <c r="AE146" t="str">
        <f t="shared" ca="1" si="61"/>
        <v>No</v>
      </c>
      <c r="AF146" t="str">
        <f t="shared" ca="1" si="62"/>
        <v>Under Observation</v>
      </c>
      <c r="AG146" t="str">
        <f t="shared" ca="1" si="63"/>
        <v>Northeast</v>
      </c>
      <c r="AH146" t="str">
        <f t="shared" si="46"/>
        <v>April</v>
      </c>
      <c r="AI146">
        <f t="shared" si="47"/>
        <v>2022</v>
      </c>
      <c r="AJ146" t="str">
        <f t="shared" ca="1" si="64"/>
        <v>Vacant</v>
      </c>
      <c r="AK146">
        <f t="shared" ca="1" si="65"/>
        <v>2</v>
      </c>
    </row>
    <row r="147" spans="1:37" x14ac:dyDescent="0.3">
      <c r="A147" t="s">
        <v>4589</v>
      </c>
      <c r="B147">
        <v>45</v>
      </c>
      <c r="C147" t="s">
        <v>32</v>
      </c>
      <c r="D147" t="s">
        <v>44</v>
      </c>
      <c r="E147" t="s">
        <v>39</v>
      </c>
      <c r="F147" s="1">
        <v>43985</v>
      </c>
      <c r="G147" t="s">
        <v>337</v>
      </c>
      <c r="H147" t="s">
        <v>338</v>
      </c>
      <c r="I147" t="s">
        <v>28</v>
      </c>
      <c r="J147">
        <v>22951</v>
      </c>
      <c r="K147">
        <v>233</v>
      </c>
      <c r="L147" t="s">
        <v>42</v>
      </c>
      <c r="M147" s="1">
        <v>44004</v>
      </c>
      <c r="N147" t="s">
        <v>30</v>
      </c>
      <c r="O147" t="s">
        <v>43</v>
      </c>
      <c r="P147" t="str">
        <f t="shared" si="48"/>
        <v>P0146</v>
      </c>
      <c r="Q147" t="str">
        <f t="shared" si="44"/>
        <v>Endocrinology</v>
      </c>
      <c r="R147">
        <f t="shared" si="45"/>
        <v>19</v>
      </c>
      <c r="S147" t="str">
        <f t="shared" ca="1" si="49"/>
        <v>No</v>
      </c>
      <c r="T147" t="str">
        <f t="shared" ca="1" si="50"/>
        <v>Critical</v>
      </c>
      <c r="U147" t="str">
        <f t="shared" ca="1" si="51"/>
        <v>ICU</v>
      </c>
      <c r="V147" t="str">
        <f t="shared" si="52"/>
        <v>BED0146</v>
      </c>
      <c r="W147" t="str">
        <f t="shared" ca="1" si="53"/>
        <v>Semi-Private</v>
      </c>
      <c r="X147" t="str">
        <f t="shared" si="54"/>
        <v>NUR046</v>
      </c>
      <c r="Y147" t="str">
        <f t="shared" ca="1" si="55"/>
        <v>Morning</v>
      </c>
      <c r="Z147" t="str">
        <f t="shared" ca="1" si="56"/>
        <v>Ultrasound</v>
      </c>
      <c r="AA147" t="str">
        <f t="shared" ca="1" si="57"/>
        <v>Available</v>
      </c>
      <c r="AB147" t="str">
        <f t="shared" ca="1" si="58"/>
        <v>Partially Paid</v>
      </c>
      <c r="AC147" t="str">
        <f t="shared" ca="1" si="59"/>
        <v>Debit Card</v>
      </c>
      <c r="AD147" t="str">
        <f t="shared" ca="1" si="60"/>
        <v>Yes</v>
      </c>
      <c r="AE147" t="str">
        <f t="shared" ca="1" si="61"/>
        <v>Yes</v>
      </c>
      <c r="AF147" t="str">
        <f t="shared" ca="1" si="62"/>
        <v>Under Observation</v>
      </c>
      <c r="AG147" t="str">
        <f t="shared" ca="1" si="63"/>
        <v>Southeast</v>
      </c>
      <c r="AH147" t="str">
        <f t="shared" si="46"/>
        <v>June</v>
      </c>
      <c r="AI147">
        <f t="shared" si="47"/>
        <v>2020</v>
      </c>
      <c r="AJ147" t="str">
        <f t="shared" ca="1" si="64"/>
        <v>Occupied</v>
      </c>
      <c r="AK147">
        <f t="shared" ca="1" si="65"/>
        <v>4</v>
      </c>
    </row>
    <row r="148" spans="1:37" x14ac:dyDescent="0.3">
      <c r="A148" t="s">
        <v>4590</v>
      </c>
      <c r="B148">
        <v>68</v>
      </c>
      <c r="C148" t="s">
        <v>32</v>
      </c>
      <c r="D148" t="s">
        <v>83</v>
      </c>
      <c r="E148" t="s">
        <v>76</v>
      </c>
      <c r="F148" s="1">
        <v>43693</v>
      </c>
      <c r="G148" t="s">
        <v>339</v>
      </c>
      <c r="H148" t="s">
        <v>340</v>
      </c>
      <c r="I148" t="s">
        <v>36</v>
      </c>
      <c r="J148">
        <v>2679</v>
      </c>
      <c r="K148">
        <v>427</v>
      </c>
      <c r="L148" t="s">
        <v>21</v>
      </c>
      <c r="M148" s="1">
        <v>43698</v>
      </c>
      <c r="N148" t="s">
        <v>22</v>
      </c>
      <c r="O148" t="s">
        <v>43</v>
      </c>
      <c r="P148" t="str">
        <f t="shared" si="48"/>
        <v>P0147</v>
      </c>
      <c r="Q148" t="str">
        <f t="shared" si="44"/>
        <v>Orthopedics</v>
      </c>
      <c r="R148">
        <f t="shared" si="45"/>
        <v>5</v>
      </c>
      <c r="S148" t="str">
        <f t="shared" ca="1" si="49"/>
        <v>No</v>
      </c>
      <c r="T148" t="str">
        <f t="shared" ca="1" si="50"/>
        <v>Moderate</v>
      </c>
      <c r="U148" t="str">
        <f t="shared" ca="1" si="51"/>
        <v>General Ward</v>
      </c>
      <c r="V148" t="str">
        <f t="shared" si="52"/>
        <v>BED0147</v>
      </c>
      <c r="W148" t="str">
        <f t="shared" ca="1" si="53"/>
        <v>Private</v>
      </c>
      <c r="X148" t="str">
        <f t="shared" si="54"/>
        <v>NUR047</v>
      </c>
      <c r="Y148" t="str">
        <f t="shared" ca="1" si="55"/>
        <v>Night</v>
      </c>
      <c r="Z148" t="str">
        <f t="shared" ca="1" si="56"/>
        <v>ECG Machine</v>
      </c>
      <c r="AA148" t="str">
        <f t="shared" ca="1" si="57"/>
        <v>Maintenance</v>
      </c>
      <c r="AB148" t="str">
        <f t="shared" ca="1" si="58"/>
        <v>Pending</v>
      </c>
      <c r="AC148" t="str">
        <f t="shared" ca="1" si="59"/>
        <v>Credit Card</v>
      </c>
      <c r="AD148" t="str">
        <f t="shared" ca="1" si="60"/>
        <v>No</v>
      </c>
      <c r="AE148" t="str">
        <f t="shared" ca="1" si="61"/>
        <v>No</v>
      </c>
      <c r="AF148" t="str">
        <f t="shared" ca="1" si="62"/>
        <v>Transferred</v>
      </c>
      <c r="AG148" t="str">
        <f t="shared" ca="1" si="63"/>
        <v>Midwest</v>
      </c>
      <c r="AH148" t="str">
        <f t="shared" si="46"/>
        <v>August</v>
      </c>
      <c r="AI148">
        <f t="shared" si="47"/>
        <v>2019</v>
      </c>
      <c r="AJ148" t="str">
        <f t="shared" ca="1" si="64"/>
        <v>Occupied</v>
      </c>
      <c r="AK148">
        <f t="shared" ca="1" si="65"/>
        <v>1</v>
      </c>
    </row>
    <row r="149" spans="1:37" x14ac:dyDescent="0.3">
      <c r="A149" t="s">
        <v>4591</v>
      </c>
      <c r="B149">
        <v>27</v>
      </c>
      <c r="C149" t="s">
        <v>15</v>
      </c>
      <c r="D149" t="s">
        <v>24</v>
      </c>
      <c r="E149" t="s">
        <v>64</v>
      </c>
      <c r="F149" s="1">
        <v>45344</v>
      </c>
      <c r="G149" t="s">
        <v>341</v>
      </c>
      <c r="H149" t="s">
        <v>342</v>
      </c>
      <c r="I149" t="s">
        <v>51</v>
      </c>
      <c r="J149">
        <v>39616</v>
      </c>
      <c r="K149">
        <v>500</v>
      </c>
      <c r="L149" t="s">
        <v>21</v>
      </c>
      <c r="M149" s="1">
        <v>45346</v>
      </c>
      <c r="N149" t="s">
        <v>47</v>
      </c>
      <c r="O149" t="s">
        <v>31</v>
      </c>
      <c r="P149" t="str">
        <f t="shared" si="48"/>
        <v>P0148</v>
      </c>
      <c r="Q149" t="str">
        <f t="shared" si="44"/>
        <v>Cardiology</v>
      </c>
      <c r="R149">
        <f t="shared" si="45"/>
        <v>2</v>
      </c>
      <c r="S149" t="str">
        <f t="shared" ca="1" si="49"/>
        <v>No</v>
      </c>
      <c r="T149" t="str">
        <f t="shared" ca="1" si="50"/>
        <v>Mild</v>
      </c>
      <c r="U149" t="str">
        <f t="shared" ca="1" si="51"/>
        <v>Semi-Private</v>
      </c>
      <c r="V149" t="str">
        <f t="shared" si="52"/>
        <v>BED0148</v>
      </c>
      <c r="W149" t="str">
        <f t="shared" ca="1" si="53"/>
        <v>General</v>
      </c>
      <c r="X149" t="str">
        <f t="shared" si="54"/>
        <v>NUR048</v>
      </c>
      <c r="Y149" t="str">
        <f t="shared" ca="1" si="55"/>
        <v>Morning</v>
      </c>
      <c r="Z149" t="str">
        <f t="shared" ca="1" si="56"/>
        <v>ECG Machine</v>
      </c>
      <c r="AA149" t="str">
        <f t="shared" ca="1" si="57"/>
        <v>Available</v>
      </c>
      <c r="AB149" t="str">
        <f t="shared" ca="1" si="58"/>
        <v>Pending</v>
      </c>
      <c r="AC149" t="str">
        <f t="shared" ca="1" si="59"/>
        <v>Insurance</v>
      </c>
      <c r="AD149" t="str">
        <f t="shared" ca="1" si="60"/>
        <v>No</v>
      </c>
      <c r="AE149" t="str">
        <f t="shared" ca="1" si="61"/>
        <v>No</v>
      </c>
      <c r="AF149" t="str">
        <f t="shared" ca="1" si="62"/>
        <v>Transferred</v>
      </c>
      <c r="AG149" t="str">
        <f t="shared" ca="1" si="63"/>
        <v>Midwest</v>
      </c>
      <c r="AH149" t="str">
        <f t="shared" si="46"/>
        <v>February</v>
      </c>
      <c r="AI149">
        <f t="shared" si="47"/>
        <v>2024</v>
      </c>
      <c r="AJ149" t="str">
        <f t="shared" ca="1" si="64"/>
        <v>Occupied</v>
      </c>
      <c r="AK149">
        <f t="shared" ca="1" si="65"/>
        <v>2</v>
      </c>
    </row>
    <row r="150" spans="1:37" x14ac:dyDescent="0.3">
      <c r="A150" t="s">
        <v>1981</v>
      </c>
      <c r="B150">
        <v>42</v>
      </c>
      <c r="C150" t="s">
        <v>15</v>
      </c>
      <c r="D150" t="s">
        <v>52</v>
      </c>
      <c r="E150" t="s">
        <v>48</v>
      </c>
      <c r="F150" s="1">
        <v>44322</v>
      </c>
      <c r="G150" t="s">
        <v>343</v>
      </c>
      <c r="H150" t="s">
        <v>344</v>
      </c>
      <c r="I150" t="s">
        <v>28</v>
      </c>
      <c r="J150">
        <v>13356</v>
      </c>
      <c r="K150">
        <v>451</v>
      </c>
      <c r="L150" t="s">
        <v>42</v>
      </c>
      <c r="M150" s="1">
        <v>44345</v>
      </c>
      <c r="N150" t="s">
        <v>30</v>
      </c>
      <c r="O150" t="s">
        <v>31</v>
      </c>
      <c r="P150" t="str">
        <f t="shared" si="48"/>
        <v>P0149</v>
      </c>
      <c r="Q150" t="str">
        <f t="shared" si="44"/>
        <v>Pulmonology</v>
      </c>
      <c r="R150">
        <f t="shared" si="45"/>
        <v>23</v>
      </c>
      <c r="S150" t="str">
        <f t="shared" ca="1" si="49"/>
        <v>No</v>
      </c>
      <c r="T150" t="str">
        <f t="shared" ca="1" si="50"/>
        <v>Critical</v>
      </c>
      <c r="U150" t="str">
        <f t="shared" ca="1" si="51"/>
        <v>ICU</v>
      </c>
      <c r="V150" t="str">
        <f t="shared" si="52"/>
        <v>BED0149</v>
      </c>
      <c r="W150" t="str">
        <f t="shared" ca="1" si="53"/>
        <v>General</v>
      </c>
      <c r="X150" t="str">
        <f t="shared" si="54"/>
        <v>NUR049</v>
      </c>
      <c r="Y150" t="str">
        <f t="shared" ca="1" si="55"/>
        <v>Morning</v>
      </c>
      <c r="Z150" t="str">
        <f t="shared" ca="1" si="56"/>
        <v>CT Scanner</v>
      </c>
      <c r="AA150" t="str">
        <f t="shared" ca="1" si="57"/>
        <v>In Use</v>
      </c>
      <c r="AB150" t="str">
        <f t="shared" ca="1" si="58"/>
        <v>Pending</v>
      </c>
      <c r="AC150" t="str">
        <f t="shared" ca="1" si="59"/>
        <v>Cash</v>
      </c>
      <c r="AD150" t="str">
        <f t="shared" ca="1" si="60"/>
        <v>No</v>
      </c>
      <c r="AE150" t="str">
        <f t="shared" ca="1" si="61"/>
        <v>No</v>
      </c>
      <c r="AF150" t="str">
        <f t="shared" ca="1" si="62"/>
        <v>Under Observation</v>
      </c>
      <c r="AG150" t="str">
        <f t="shared" ca="1" si="63"/>
        <v>West Coast</v>
      </c>
      <c r="AH150" t="str">
        <f t="shared" si="46"/>
        <v>May</v>
      </c>
      <c r="AI150">
        <f t="shared" si="47"/>
        <v>2021</v>
      </c>
      <c r="AJ150" t="str">
        <f t="shared" ca="1" si="64"/>
        <v>Vacant</v>
      </c>
      <c r="AK150">
        <f t="shared" ca="1" si="65"/>
        <v>4</v>
      </c>
    </row>
    <row r="151" spans="1:37" x14ac:dyDescent="0.3">
      <c r="A151" t="s">
        <v>4592</v>
      </c>
      <c r="B151">
        <v>27</v>
      </c>
      <c r="C151" t="s">
        <v>32</v>
      </c>
      <c r="D151" t="s">
        <v>16</v>
      </c>
      <c r="E151" t="s">
        <v>48</v>
      </c>
      <c r="F151" s="1">
        <v>44496</v>
      </c>
      <c r="G151" t="s">
        <v>345</v>
      </c>
      <c r="H151" t="s">
        <v>346</v>
      </c>
      <c r="I151" t="s">
        <v>36</v>
      </c>
      <c r="J151">
        <v>32562</v>
      </c>
      <c r="K151">
        <v>485</v>
      </c>
      <c r="L151" t="s">
        <v>42</v>
      </c>
      <c r="M151" s="1">
        <v>44504</v>
      </c>
      <c r="N151" t="s">
        <v>30</v>
      </c>
      <c r="O151" t="s">
        <v>31</v>
      </c>
      <c r="P151" t="str">
        <f t="shared" si="48"/>
        <v>P0150</v>
      </c>
      <c r="Q151" t="str">
        <f t="shared" si="44"/>
        <v>Pulmonology</v>
      </c>
      <c r="R151">
        <f t="shared" si="45"/>
        <v>8</v>
      </c>
      <c r="S151" t="str">
        <f t="shared" ca="1" si="49"/>
        <v>No</v>
      </c>
      <c r="T151" t="str">
        <f t="shared" ca="1" si="50"/>
        <v>Mild</v>
      </c>
      <c r="U151" t="str">
        <f t="shared" ca="1" si="51"/>
        <v>Emergency</v>
      </c>
      <c r="V151" t="str">
        <f t="shared" si="52"/>
        <v>BED0150</v>
      </c>
      <c r="W151" t="str">
        <f t="shared" ca="1" si="53"/>
        <v>Private</v>
      </c>
      <c r="X151" t="str">
        <f t="shared" si="54"/>
        <v>NUR050</v>
      </c>
      <c r="Y151" t="str">
        <f t="shared" ca="1" si="55"/>
        <v>Morning</v>
      </c>
      <c r="Z151" t="str">
        <f t="shared" ca="1" si="56"/>
        <v>X-Ray</v>
      </c>
      <c r="AA151" t="str">
        <f t="shared" ca="1" si="57"/>
        <v>Available</v>
      </c>
      <c r="AB151" t="str">
        <f t="shared" ca="1" si="58"/>
        <v>Paid</v>
      </c>
      <c r="AC151" t="str">
        <f t="shared" ca="1" si="59"/>
        <v>Debit Card</v>
      </c>
      <c r="AD151" t="str">
        <f t="shared" ca="1" si="60"/>
        <v>No</v>
      </c>
      <c r="AE151" t="str">
        <f t="shared" ca="1" si="61"/>
        <v>No</v>
      </c>
      <c r="AF151" t="str">
        <f t="shared" ca="1" si="62"/>
        <v>Recovered</v>
      </c>
      <c r="AG151" t="str">
        <f t="shared" ca="1" si="63"/>
        <v>Midwest</v>
      </c>
      <c r="AH151" t="str">
        <f t="shared" si="46"/>
        <v>October</v>
      </c>
      <c r="AI151">
        <f t="shared" si="47"/>
        <v>2021</v>
      </c>
      <c r="AJ151" t="str">
        <f t="shared" ca="1" si="64"/>
        <v>Occupied</v>
      </c>
      <c r="AK151">
        <f t="shared" ca="1" si="65"/>
        <v>2</v>
      </c>
    </row>
    <row r="152" spans="1:37" x14ac:dyDescent="0.3">
      <c r="A152" t="s">
        <v>4593</v>
      </c>
      <c r="B152">
        <v>80</v>
      </c>
      <c r="C152" t="s">
        <v>15</v>
      </c>
      <c r="D152" t="s">
        <v>83</v>
      </c>
      <c r="E152" t="s">
        <v>48</v>
      </c>
      <c r="F152" s="1">
        <v>44075</v>
      </c>
      <c r="G152" t="s">
        <v>347</v>
      </c>
      <c r="H152" t="s">
        <v>348</v>
      </c>
      <c r="I152" t="s">
        <v>28</v>
      </c>
      <c r="J152">
        <v>29221</v>
      </c>
      <c r="K152">
        <v>208</v>
      </c>
      <c r="L152" t="s">
        <v>29</v>
      </c>
      <c r="M152" s="1">
        <v>44091</v>
      </c>
      <c r="N152" t="s">
        <v>22</v>
      </c>
      <c r="O152" t="s">
        <v>31</v>
      </c>
      <c r="P152" t="str">
        <f t="shared" si="48"/>
        <v>P0151</v>
      </c>
      <c r="Q152" t="str">
        <f t="shared" si="44"/>
        <v>Pulmonology</v>
      </c>
      <c r="R152">
        <f t="shared" si="45"/>
        <v>16</v>
      </c>
      <c r="S152" t="str">
        <f t="shared" ca="1" si="49"/>
        <v>No</v>
      </c>
      <c r="T152" t="str">
        <f t="shared" ca="1" si="50"/>
        <v>Critical</v>
      </c>
      <c r="U152" t="str">
        <f t="shared" ca="1" si="51"/>
        <v>General Ward</v>
      </c>
      <c r="V152" t="str">
        <f t="shared" si="52"/>
        <v>BED0151</v>
      </c>
      <c r="W152" t="str">
        <f t="shared" ca="1" si="53"/>
        <v>Private</v>
      </c>
      <c r="X152" t="str">
        <f t="shared" si="54"/>
        <v>NUR001</v>
      </c>
      <c r="Y152" t="str">
        <f t="shared" ca="1" si="55"/>
        <v>Night</v>
      </c>
      <c r="Z152" t="str">
        <f t="shared" ca="1" si="56"/>
        <v>X-Ray</v>
      </c>
      <c r="AA152" t="str">
        <f t="shared" ca="1" si="57"/>
        <v>In Use</v>
      </c>
      <c r="AB152" t="str">
        <f t="shared" ca="1" si="58"/>
        <v>Pending</v>
      </c>
      <c r="AC152" t="str">
        <f t="shared" ca="1" si="59"/>
        <v>Credit Card</v>
      </c>
      <c r="AD152" t="str">
        <f t="shared" ca="1" si="60"/>
        <v>Yes</v>
      </c>
      <c r="AE152" t="str">
        <f t="shared" ca="1" si="61"/>
        <v>No</v>
      </c>
      <c r="AF152" t="str">
        <f t="shared" ca="1" si="62"/>
        <v>Transferred</v>
      </c>
      <c r="AG152" t="str">
        <f t="shared" ca="1" si="63"/>
        <v>West Coast</v>
      </c>
      <c r="AH152" t="str">
        <f t="shared" si="46"/>
        <v>September</v>
      </c>
      <c r="AI152">
        <f t="shared" si="47"/>
        <v>2020</v>
      </c>
      <c r="AJ152" t="str">
        <f t="shared" ca="1" si="64"/>
        <v>Occupied</v>
      </c>
      <c r="AK152">
        <f t="shared" ca="1" si="65"/>
        <v>4</v>
      </c>
    </row>
    <row r="153" spans="1:37" x14ac:dyDescent="0.3">
      <c r="A153" t="s">
        <v>4594</v>
      </c>
      <c r="B153">
        <v>21</v>
      </c>
      <c r="C153" t="s">
        <v>15</v>
      </c>
      <c r="D153" t="s">
        <v>38</v>
      </c>
      <c r="E153" t="s">
        <v>39</v>
      </c>
      <c r="F153" s="1">
        <v>44342</v>
      </c>
      <c r="G153" t="s">
        <v>349</v>
      </c>
      <c r="H153" t="s">
        <v>350</v>
      </c>
      <c r="I153" t="s">
        <v>28</v>
      </c>
      <c r="J153">
        <v>12881</v>
      </c>
      <c r="K153">
        <v>267</v>
      </c>
      <c r="L153" t="s">
        <v>21</v>
      </c>
      <c r="M153" s="1">
        <v>44369</v>
      </c>
      <c r="N153" t="s">
        <v>47</v>
      </c>
      <c r="O153" t="s">
        <v>23</v>
      </c>
      <c r="P153" t="str">
        <f t="shared" si="48"/>
        <v>P0152</v>
      </c>
      <c r="Q153" t="str">
        <f t="shared" si="44"/>
        <v>Endocrinology</v>
      </c>
      <c r="R153">
        <f t="shared" si="45"/>
        <v>27</v>
      </c>
      <c r="S153" t="str">
        <f t="shared" ca="1" si="49"/>
        <v>No</v>
      </c>
      <c r="T153" t="str">
        <f t="shared" ca="1" si="50"/>
        <v>Critical</v>
      </c>
      <c r="U153" t="str">
        <f t="shared" ca="1" si="51"/>
        <v>General Ward</v>
      </c>
      <c r="V153" t="str">
        <f t="shared" si="52"/>
        <v>BED0152</v>
      </c>
      <c r="W153" t="str">
        <f t="shared" ca="1" si="53"/>
        <v>Private</v>
      </c>
      <c r="X153" t="str">
        <f t="shared" si="54"/>
        <v>NUR002</v>
      </c>
      <c r="Y153" t="str">
        <f t="shared" ca="1" si="55"/>
        <v>Morning</v>
      </c>
      <c r="Z153" t="str">
        <f t="shared" ca="1" si="56"/>
        <v>MRI Scanner</v>
      </c>
      <c r="AA153" t="str">
        <f t="shared" ca="1" si="57"/>
        <v>In Use</v>
      </c>
      <c r="AB153" t="str">
        <f t="shared" ca="1" si="58"/>
        <v>Partially Paid</v>
      </c>
      <c r="AC153" t="str">
        <f t="shared" ca="1" si="59"/>
        <v>Cash</v>
      </c>
      <c r="AD153" t="str">
        <f t="shared" ca="1" si="60"/>
        <v>No</v>
      </c>
      <c r="AE153" t="str">
        <f t="shared" ca="1" si="61"/>
        <v>No</v>
      </c>
      <c r="AF153" t="str">
        <f t="shared" ca="1" si="62"/>
        <v>Under Observation</v>
      </c>
      <c r="AG153" t="str">
        <f t="shared" ca="1" si="63"/>
        <v>Northeast</v>
      </c>
      <c r="AH153" t="str">
        <f t="shared" si="46"/>
        <v>May</v>
      </c>
      <c r="AI153">
        <f t="shared" si="47"/>
        <v>2021</v>
      </c>
      <c r="AJ153" t="str">
        <f t="shared" ca="1" si="64"/>
        <v>Occupied</v>
      </c>
      <c r="AK153">
        <f t="shared" ca="1" si="65"/>
        <v>2</v>
      </c>
    </row>
    <row r="154" spans="1:37" x14ac:dyDescent="0.3">
      <c r="A154" t="s">
        <v>4595</v>
      </c>
      <c r="B154">
        <v>84</v>
      </c>
      <c r="C154" t="s">
        <v>32</v>
      </c>
      <c r="D154" t="s">
        <v>33</v>
      </c>
      <c r="E154" t="s">
        <v>25</v>
      </c>
      <c r="F154" s="1">
        <v>44734</v>
      </c>
      <c r="G154" t="s">
        <v>351</v>
      </c>
      <c r="H154" t="s">
        <v>352</v>
      </c>
      <c r="I154" t="s">
        <v>36</v>
      </c>
      <c r="J154">
        <v>15475</v>
      </c>
      <c r="K154">
        <v>154</v>
      </c>
      <c r="L154" t="s">
        <v>42</v>
      </c>
      <c r="M154" s="1">
        <v>44764</v>
      </c>
      <c r="N154" t="s">
        <v>30</v>
      </c>
      <c r="O154" t="s">
        <v>43</v>
      </c>
      <c r="P154" t="str">
        <f t="shared" si="48"/>
        <v>P0153</v>
      </c>
      <c r="Q154" t="str">
        <f t="shared" si="44"/>
        <v>Nutrition</v>
      </c>
      <c r="R154">
        <f t="shared" si="45"/>
        <v>30</v>
      </c>
      <c r="S154" t="str">
        <f t="shared" ca="1" si="49"/>
        <v>No</v>
      </c>
      <c r="T154" t="str">
        <f t="shared" ca="1" si="50"/>
        <v>Critical</v>
      </c>
      <c r="U154" t="str">
        <f t="shared" ca="1" si="51"/>
        <v>General Ward</v>
      </c>
      <c r="V154" t="str">
        <f t="shared" si="52"/>
        <v>BED0153</v>
      </c>
      <c r="W154" t="str">
        <f t="shared" ca="1" si="53"/>
        <v>General</v>
      </c>
      <c r="X154" t="str">
        <f t="shared" si="54"/>
        <v>NUR003</v>
      </c>
      <c r="Y154" t="str">
        <f t="shared" ca="1" si="55"/>
        <v>Morning</v>
      </c>
      <c r="Z154" t="str">
        <f t="shared" ca="1" si="56"/>
        <v>ECG Machine</v>
      </c>
      <c r="AA154" t="str">
        <f t="shared" ca="1" si="57"/>
        <v>Available</v>
      </c>
      <c r="AB154" t="str">
        <f t="shared" ca="1" si="58"/>
        <v>Paid</v>
      </c>
      <c r="AC154" t="str">
        <f t="shared" ca="1" si="59"/>
        <v>Bank Transfer</v>
      </c>
      <c r="AD154" t="str">
        <f t="shared" ca="1" si="60"/>
        <v>No</v>
      </c>
      <c r="AE154" t="str">
        <f t="shared" ca="1" si="61"/>
        <v>No</v>
      </c>
      <c r="AF154" t="str">
        <f t="shared" ca="1" si="62"/>
        <v>Recovered</v>
      </c>
      <c r="AG154" t="str">
        <f t="shared" ca="1" si="63"/>
        <v>West Coast</v>
      </c>
      <c r="AH154" t="str">
        <f t="shared" si="46"/>
        <v>June</v>
      </c>
      <c r="AI154">
        <f t="shared" si="47"/>
        <v>2022</v>
      </c>
      <c r="AJ154" t="str">
        <f t="shared" ca="1" si="64"/>
        <v>Occupied</v>
      </c>
      <c r="AK154">
        <f t="shared" ca="1" si="65"/>
        <v>1</v>
      </c>
    </row>
    <row r="155" spans="1:37" x14ac:dyDescent="0.3">
      <c r="A155" t="s">
        <v>4596</v>
      </c>
      <c r="B155">
        <v>67</v>
      </c>
      <c r="C155" t="s">
        <v>32</v>
      </c>
      <c r="D155" t="s">
        <v>98</v>
      </c>
      <c r="E155" t="s">
        <v>76</v>
      </c>
      <c r="F155" s="1">
        <v>45063</v>
      </c>
      <c r="G155" t="s">
        <v>353</v>
      </c>
      <c r="H155" t="s">
        <v>354</v>
      </c>
      <c r="I155" t="s">
        <v>28</v>
      </c>
      <c r="J155">
        <v>27309</v>
      </c>
      <c r="K155">
        <v>293</v>
      </c>
      <c r="L155" t="s">
        <v>42</v>
      </c>
      <c r="M155" s="1">
        <v>45077</v>
      </c>
      <c r="N155" t="s">
        <v>37</v>
      </c>
      <c r="O155" t="s">
        <v>43</v>
      </c>
      <c r="P155" t="str">
        <f t="shared" si="48"/>
        <v>P0154</v>
      </c>
      <c r="Q155" t="str">
        <f t="shared" si="44"/>
        <v>Orthopedics</v>
      </c>
      <c r="R155">
        <f t="shared" si="45"/>
        <v>14</v>
      </c>
      <c r="S155" t="str">
        <f t="shared" ca="1" si="49"/>
        <v>No</v>
      </c>
      <c r="T155" t="str">
        <f t="shared" ca="1" si="50"/>
        <v>Moderate</v>
      </c>
      <c r="U155" t="str">
        <f t="shared" ca="1" si="51"/>
        <v>Emergency</v>
      </c>
      <c r="V155" t="str">
        <f t="shared" si="52"/>
        <v>BED0154</v>
      </c>
      <c r="W155" t="str">
        <f t="shared" ca="1" si="53"/>
        <v>Private</v>
      </c>
      <c r="X155" t="str">
        <f t="shared" si="54"/>
        <v>NUR004</v>
      </c>
      <c r="Y155" t="str">
        <f t="shared" ca="1" si="55"/>
        <v>Night</v>
      </c>
      <c r="Z155" t="str">
        <f t="shared" ca="1" si="56"/>
        <v>MRI Scanner</v>
      </c>
      <c r="AA155" t="str">
        <f t="shared" ca="1" si="57"/>
        <v>In Use</v>
      </c>
      <c r="AB155" t="str">
        <f t="shared" ca="1" si="58"/>
        <v>Pending</v>
      </c>
      <c r="AC155" t="str">
        <f t="shared" ca="1" si="59"/>
        <v>Bank Transfer</v>
      </c>
      <c r="AD155" t="str">
        <f t="shared" ca="1" si="60"/>
        <v>No</v>
      </c>
      <c r="AE155" t="str">
        <f t="shared" ca="1" si="61"/>
        <v>No</v>
      </c>
      <c r="AF155" t="str">
        <f t="shared" ca="1" si="62"/>
        <v>Transferred</v>
      </c>
      <c r="AG155" t="str">
        <f t="shared" ca="1" si="63"/>
        <v>Midwest</v>
      </c>
      <c r="AH155" t="str">
        <f t="shared" si="46"/>
        <v>May</v>
      </c>
      <c r="AI155">
        <f t="shared" si="47"/>
        <v>2023</v>
      </c>
      <c r="AJ155" t="str">
        <f t="shared" ca="1" si="64"/>
        <v>Occupied</v>
      </c>
      <c r="AK155">
        <f t="shared" ca="1" si="65"/>
        <v>4</v>
      </c>
    </row>
    <row r="156" spans="1:37" x14ac:dyDescent="0.3">
      <c r="A156" t="s">
        <v>4597</v>
      </c>
      <c r="B156">
        <v>66</v>
      </c>
      <c r="C156" t="s">
        <v>15</v>
      </c>
      <c r="D156" t="s">
        <v>44</v>
      </c>
      <c r="E156" t="s">
        <v>76</v>
      </c>
      <c r="F156" s="1">
        <v>44370</v>
      </c>
      <c r="G156" t="s">
        <v>355</v>
      </c>
      <c r="H156" t="s">
        <v>356</v>
      </c>
      <c r="I156" t="s">
        <v>28</v>
      </c>
      <c r="J156">
        <v>1898</v>
      </c>
      <c r="K156">
        <v>196</v>
      </c>
      <c r="L156" t="s">
        <v>42</v>
      </c>
      <c r="M156" s="1">
        <v>44386</v>
      </c>
      <c r="N156" t="s">
        <v>30</v>
      </c>
      <c r="O156" t="s">
        <v>43</v>
      </c>
      <c r="P156" t="str">
        <f t="shared" si="48"/>
        <v>P0155</v>
      </c>
      <c r="Q156" t="str">
        <f t="shared" si="44"/>
        <v>Orthopedics</v>
      </c>
      <c r="R156">
        <f t="shared" si="45"/>
        <v>16</v>
      </c>
      <c r="S156" t="str">
        <f t="shared" ca="1" si="49"/>
        <v>No</v>
      </c>
      <c r="T156" t="str">
        <f t="shared" ca="1" si="50"/>
        <v>Mild</v>
      </c>
      <c r="U156" t="str">
        <f t="shared" ca="1" si="51"/>
        <v>ICU</v>
      </c>
      <c r="V156" t="str">
        <f t="shared" si="52"/>
        <v>BED0155</v>
      </c>
      <c r="W156" t="str">
        <f t="shared" ca="1" si="53"/>
        <v>Private</v>
      </c>
      <c r="X156" t="str">
        <f t="shared" si="54"/>
        <v>NUR005</v>
      </c>
      <c r="Y156" t="str">
        <f t="shared" ca="1" si="55"/>
        <v>Evening</v>
      </c>
      <c r="Z156" t="str">
        <f t="shared" ca="1" si="56"/>
        <v>CT Scanner</v>
      </c>
      <c r="AA156" t="str">
        <f t="shared" ca="1" si="57"/>
        <v>In Use</v>
      </c>
      <c r="AB156" t="str">
        <f t="shared" ca="1" si="58"/>
        <v>Paid</v>
      </c>
      <c r="AC156" t="str">
        <f t="shared" ca="1" si="59"/>
        <v>Credit Card</v>
      </c>
      <c r="AD156" t="str">
        <f t="shared" ca="1" si="60"/>
        <v>No</v>
      </c>
      <c r="AE156" t="str">
        <f t="shared" ca="1" si="61"/>
        <v>No</v>
      </c>
      <c r="AF156" t="str">
        <f t="shared" ca="1" si="62"/>
        <v>Transferred</v>
      </c>
      <c r="AG156" t="str">
        <f t="shared" ca="1" si="63"/>
        <v>Southeast</v>
      </c>
      <c r="AH156" t="str">
        <f t="shared" si="46"/>
        <v>June</v>
      </c>
      <c r="AI156">
        <f t="shared" si="47"/>
        <v>2021</v>
      </c>
      <c r="AJ156" t="str">
        <f t="shared" ca="1" si="64"/>
        <v>Occupied</v>
      </c>
      <c r="AK156">
        <f t="shared" ca="1" si="65"/>
        <v>1</v>
      </c>
    </row>
    <row r="157" spans="1:37" x14ac:dyDescent="0.3">
      <c r="A157" t="s">
        <v>4598</v>
      </c>
      <c r="B157">
        <v>37</v>
      </c>
      <c r="C157" t="s">
        <v>32</v>
      </c>
      <c r="D157" t="s">
        <v>33</v>
      </c>
      <c r="E157" t="s">
        <v>17</v>
      </c>
      <c r="F157" s="1">
        <v>45247</v>
      </c>
      <c r="G157" t="s">
        <v>357</v>
      </c>
      <c r="H157" t="s">
        <v>358</v>
      </c>
      <c r="I157" t="s">
        <v>36</v>
      </c>
      <c r="J157">
        <v>31308</v>
      </c>
      <c r="K157">
        <v>466</v>
      </c>
      <c r="L157" t="s">
        <v>21</v>
      </c>
      <c r="M157" s="1">
        <v>45255</v>
      </c>
      <c r="N157" t="s">
        <v>47</v>
      </c>
      <c r="O157" t="s">
        <v>23</v>
      </c>
      <c r="P157" t="str">
        <f t="shared" si="48"/>
        <v>P0156</v>
      </c>
      <c r="Q157" t="str">
        <f t="shared" si="44"/>
        <v>Oncology</v>
      </c>
      <c r="R157">
        <f t="shared" si="45"/>
        <v>8</v>
      </c>
      <c r="S157" t="str">
        <f t="shared" ca="1" si="49"/>
        <v>Yes</v>
      </c>
      <c r="T157" t="str">
        <f t="shared" ca="1" si="50"/>
        <v>Critical</v>
      </c>
      <c r="U157" t="str">
        <f t="shared" ca="1" si="51"/>
        <v>General Ward</v>
      </c>
      <c r="V157" t="str">
        <f t="shared" si="52"/>
        <v>BED0156</v>
      </c>
      <c r="W157" t="str">
        <f t="shared" ca="1" si="53"/>
        <v>General</v>
      </c>
      <c r="X157" t="str">
        <f t="shared" si="54"/>
        <v>NUR006</v>
      </c>
      <c r="Y157" t="str">
        <f t="shared" ca="1" si="55"/>
        <v>Evening</v>
      </c>
      <c r="Z157" t="str">
        <f t="shared" ca="1" si="56"/>
        <v>CT Scanner</v>
      </c>
      <c r="AA157" t="str">
        <f t="shared" ca="1" si="57"/>
        <v>In Use</v>
      </c>
      <c r="AB157" t="str">
        <f t="shared" ca="1" si="58"/>
        <v>Paid</v>
      </c>
      <c r="AC157" t="str">
        <f t="shared" ca="1" si="59"/>
        <v>Debit Card</v>
      </c>
      <c r="AD157" t="str">
        <f t="shared" ca="1" si="60"/>
        <v>No</v>
      </c>
      <c r="AE157" t="str">
        <f t="shared" ca="1" si="61"/>
        <v>Yes</v>
      </c>
      <c r="AF157" t="str">
        <f t="shared" ca="1" si="62"/>
        <v>Recovered</v>
      </c>
      <c r="AG157" t="str">
        <f t="shared" ca="1" si="63"/>
        <v>Midwest</v>
      </c>
      <c r="AH157" t="str">
        <f t="shared" si="46"/>
        <v>November</v>
      </c>
      <c r="AI157">
        <f t="shared" si="47"/>
        <v>2023</v>
      </c>
      <c r="AJ157" t="str">
        <f t="shared" ca="1" si="64"/>
        <v>Vacant</v>
      </c>
      <c r="AK157">
        <f t="shared" ca="1" si="65"/>
        <v>2</v>
      </c>
    </row>
    <row r="158" spans="1:37" x14ac:dyDescent="0.3">
      <c r="A158" t="s">
        <v>4599</v>
      </c>
      <c r="B158">
        <v>30</v>
      </c>
      <c r="C158" t="s">
        <v>32</v>
      </c>
      <c r="D158" t="s">
        <v>33</v>
      </c>
      <c r="E158" t="s">
        <v>39</v>
      </c>
      <c r="F158" s="1">
        <v>44115</v>
      </c>
      <c r="G158" t="s">
        <v>359</v>
      </c>
      <c r="H158" t="s">
        <v>360</v>
      </c>
      <c r="I158" t="s">
        <v>28</v>
      </c>
      <c r="J158">
        <v>42792</v>
      </c>
      <c r="K158">
        <v>468</v>
      </c>
      <c r="L158" t="s">
        <v>42</v>
      </c>
      <c r="M158" s="1">
        <v>44125</v>
      </c>
      <c r="N158" t="s">
        <v>30</v>
      </c>
      <c r="O158" t="s">
        <v>43</v>
      </c>
      <c r="P158" t="str">
        <f t="shared" si="48"/>
        <v>P0157</v>
      </c>
      <c r="Q158" t="str">
        <f t="shared" si="44"/>
        <v>Endocrinology</v>
      </c>
      <c r="R158">
        <f t="shared" si="45"/>
        <v>10</v>
      </c>
      <c r="S158" t="str">
        <f t="shared" ca="1" si="49"/>
        <v>No</v>
      </c>
      <c r="T158" t="str">
        <f t="shared" ca="1" si="50"/>
        <v>Severe</v>
      </c>
      <c r="U158" t="str">
        <f t="shared" ca="1" si="51"/>
        <v>ICU</v>
      </c>
      <c r="V158" t="str">
        <f t="shared" si="52"/>
        <v>BED0157</v>
      </c>
      <c r="W158" t="str">
        <f t="shared" ca="1" si="53"/>
        <v>Private</v>
      </c>
      <c r="X158" t="str">
        <f t="shared" si="54"/>
        <v>NUR007</v>
      </c>
      <c r="Y158" t="str">
        <f t="shared" ca="1" si="55"/>
        <v>Morning</v>
      </c>
      <c r="Z158" t="str">
        <f t="shared" ca="1" si="56"/>
        <v>MRI Scanner</v>
      </c>
      <c r="AA158" t="str">
        <f t="shared" ca="1" si="57"/>
        <v>Available</v>
      </c>
      <c r="AB158" t="str">
        <f t="shared" ca="1" si="58"/>
        <v>Partially Paid</v>
      </c>
      <c r="AC158" t="str">
        <f t="shared" ca="1" si="59"/>
        <v>Debit Card</v>
      </c>
      <c r="AD158" t="str">
        <f t="shared" ca="1" si="60"/>
        <v>No</v>
      </c>
      <c r="AE158" t="str">
        <f t="shared" ca="1" si="61"/>
        <v>No</v>
      </c>
      <c r="AF158" t="str">
        <f t="shared" ca="1" si="62"/>
        <v>Under Observation</v>
      </c>
      <c r="AG158" t="str">
        <f t="shared" ca="1" si="63"/>
        <v>Southwest</v>
      </c>
      <c r="AH158" t="str">
        <f t="shared" si="46"/>
        <v>October</v>
      </c>
      <c r="AI158">
        <f t="shared" si="47"/>
        <v>2020</v>
      </c>
      <c r="AJ158" t="str">
        <f t="shared" ca="1" si="64"/>
        <v>Occupied</v>
      </c>
      <c r="AK158">
        <f t="shared" ca="1" si="65"/>
        <v>4</v>
      </c>
    </row>
    <row r="159" spans="1:37" x14ac:dyDescent="0.3">
      <c r="A159" t="s">
        <v>4600</v>
      </c>
      <c r="B159">
        <v>78</v>
      </c>
      <c r="C159" t="s">
        <v>15</v>
      </c>
      <c r="D159" t="s">
        <v>38</v>
      </c>
      <c r="E159" t="s">
        <v>39</v>
      </c>
      <c r="F159" s="1">
        <v>44418</v>
      </c>
      <c r="G159" t="s">
        <v>361</v>
      </c>
      <c r="H159" t="s">
        <v>362</v>
      </c>
      <c r="I159" t="s">
        <v>57</v>
      </c>
      <c r="J159">
        <v>14377</v>
      </c>
      <c r="K159">
        <v>114</v>
      </c>
      <c r="L159" t="s">
        <v>29</v>
      </c>
      <c r="M159" s="1">
        <v>44435</v>
      </c>
      <c r="N159" t="s">
        <v>47</v>
      </c>
      <c r="O159" t="s">
        <v>43</v>
      </c>
      <c r="P159" t="str">
        <f t="shared" si="48"/>
        <v>P0158</v>
      </c>
      <c r="Q159" t="str">
        <f t="shared" si="44"/>
        <v>Endocrinology</v>
      </c>
      <c r="R159">
        <f t="shared" si="45"/>
        <v>17</v>
      </c>
      <c r="S159" t="str">
        <f t="shared" ca="1" si="49"/>
        <v>No</v>
      </c>
      <c r="T159" t="str">
        <f t="shared" ca="1" si="50"/>
        <v>Critical</v>
      </c>
      <c r="U159" t="str">
        <f t="shared" ca="1" si="51"/>
        <v>ICU</v>
      </c>
      <c r="V159" t="str">
        <f t="shared" si="52"/>
        <v>BED0158</v>
      </c>
      <c r="W159" t="str">
        <f t="shared" ca="1" si="53"/>
        <v>General</v>
      </c>
      <c r="X159" t="str">
        <f t="shared" si="54"/>
        <v>NUR008</v>
      </c>
      <c r="Y159" t="str">
        <f t="shared" ca="1" si="55"/>
        <v>Night</v>
      </c>
      <c r="Z159" t="str">
        <f t="shared" ca="1" si="56"/>
        <v>Ventilator</v>
      </c>
      <c r="AA159" t="str">
        <f t="shared" ca="1" si="57"/>
        <v>Maintenance</v>
      </c>
      <c r="AB159" t="str">
        <f t="shared" ca="1" si="58"/>
        <v>Pending</v>
      </c>
      <c r="AC159" t="str">
        <f t="shared" ca="1" si="59"/>
        <v>Bank Transfer</v>
      </c>
      <c r="AD159" t="str">
        <f t="shared" ca="1" si="60"/>
        <v>No</v>
      </c>
      <c r="AE159" t="str">
        <f t="shared" ca="1" si="61"/>
        <v>No</v>
      </c>
      <c r="AF159" t="str">
        <f t="shared" ca="1" si="62"/>
        <v>Recovered</v>
      </c>
      <c r="AG159" t="str">
        <f t="shared" ca="1" si="63"/>
        <v>Southwest</v>
      </c>
      <c r="AH159" t="str">
        <f t="shared" si="46"/>
        <v>August</v>
      </c>
      <c r="AI159">
        <f t="shared" si="47"/>
        <v>2021</v>
      </c>
      <c r="AJ159" t="str">
        <f t="shared" ca="1" si="64"/>
        <v>Occupied</v>
      </c>
      <c r="AK159">
        <f t="shared" ca="1" si="65"/>
        <v>2</v>
      </c>
    </row>
    <row r="160" spans="1:37" x14ac:dyDescent="0.3">
      <c r="A160" t="s">
        <v>4601</v>
      </c>
      <c r="B160">
        <v>39</v>
      </c>
      <c r="C160" t="s">
        <v>32</v>
      </c>
      <c r="D160" t="s">
        <v>24</v>
      </c>
      <c r="E160" t="s">
        <v>39</v>
      </c>
      <c r="F160" s="1">
        <v>45167</v>
      </c>
      <c r="G160" t="s">
        <v>363</v>
      </c>
      <c r="H160" t="s">
        <v>364</v>
      </c>
      <c r="I160" t="s">
        <v>51</v>
      </c>
      <c r="J160">
        <v>1151</v>
      </c>
      <c r="K160">
        <v>408</v>
      </c>
      <c r="L160" t="s">
        <v>21</v>
      </c>
      <c r="M160" s="1">
        <v>45176</v>
      </c>
      <c r="N160" t="s">
        <v>47</v>
      </c>
      <c r="O160" t="s">
        <v>43</v>
      </c>
      <c r="P160" t="str">
        <f t="shared" si="48"/>
        <v>P0159</v>
      </c>
      <c r="Q160" t="str">
        <f t="shared" si="44"/>
        <v>Endocrinology</v>
      </c>
      <c r="R160">
        <f t="shared" si="45"/>
        <v>9</v>
      </c>
      <c r="S160" t="str">
        <f t="shared" ca="1" si="49"/>
        <v>Yes</v>
      </c>
      <c r="T160" t="str">
        <f t="shared" ca="1" si="50"/>
        <v>Mild</v>
      </c>
      <c r="U160" t="str">
        <f t="shared" ca="1" si="51"/>
        <v>Emergency</v>
      </c>
      <c r="V160" t="str">
        <f t="shared" si="52"/>
        <v>BED0159</v>
      </c>
      <c r="W160" t="str">
        <f t="shared" ca="1" si="53"/>
        <v>General</v>
      </c>
      <c r="X160" t="str">
        <f t="shared" si="54"/>
        <v>NUR009</v>
      </c>
      <c r="Y160" t="str">
        <f t="shared" ca="1" si="55"/>
        <v>Evening</v>
      </c>
      <c r="Z160" t="str">
        <f t="shared" ca="1" si="56"/>
        <v>Ventilator</v>
      </c>
      <c r="AA160" t="str">
        <f t="shared" ca="1" si="57"/>
        <v>In Use</v>
      </c>
      <c r="AB160" t="str">
        <f t="shared" ca="1" si="58"/>
        <v>Paid</v>
      </c>
      <c r="AC160" t="str">
        <f t="shared" ca="1" si="59"/>
        <v>Insurance</v>
      </c>
      <c r="AD160" t="str">
        <f t="shared" ca="1" si="60"/>
        <v>No</v>
      </c>
      <c r="AE160" t="str">
        <f t="shared" ca="1" si="61"/>
        <v>No</v>
      </c>
      <c r="AF160" t="str">
        <f t="shared" ca="1" si="62"/>
        <v>Recovered</v>
      </c>
      <c r="AG160" t="str">
        <f t="shared" ca="1" si="63"/>
        <v>West Coast</v>
      </c>
      <c r="AH160" t="str">
        <f t="shared" si="46"/>
        <v>August</v>
      </c>
      <c r="AI160">
        <f t="shared" si="47"/>
        <v>2023</v>
      </c>
      <c r="AJ160" t="str">
        <f t="shared" ca="1" si="64"/>
        <v>Occupied</v>
      </c>
      <c r="AK160">
        <f t="shared" ca="1" si="65"/>
        <v>2</v>
      </c>
    </row>
    <row r="161" spans="1:37" x14ac:dyDescent="0.3">
      <c r="A161" t="s">
        <v>4602</v>
      </c>
      <c r="B161">
        <v>29</v>
      </c>
      <c r="C161" t="s">
        <v>15</v>
      </c>
      <c r="D161" t="s">
        <v>98</v>
      </c>
      <c r="E161" t="s">
        <v>48</v>
      </c>
      <c r="F161" s="1">
        <v>43888</v>
      </c>
      <c r="G161" t="s">
        <v>365</v>
      </c>
      <c r="H161" t="s">
        <v>366</v>
      </c>
      <c r="I161" t="s">
        <v>28</v>
      </c>
      <c r="J161">
        <v>41939</v>
      </c>
      <c r="K161">
        <v>453</v>
      </c>
      <c r="L161" t="s">
        <v>42</v>
      </c>
      <c r="M161" s="1">
        <v>43916</v>
      </c>
      <c r="N161" t="s">
        <v>30</v>
      </c>
      <c r="O161" t="s">
        <v>23</v>
      </c>
      <c r="P161" t="str">
        <f t="shared" si="48"/>
        <v>P0160</v>
      </c>
      <c r="Q161" t="str">
        <f t="shared" si="44"/>
        <v>Pulmonology</v>
      </c>
      <c r="R161">
        <f t="shared" si="45"/>
        <v>28</v>
      </c>
      <c r="S161" t="str">
        <f t="shared" ca="1" si="49"/>
        <v>No</v>
      </c>
      <c r="T161" t="str">
        <f t="shared" ca="1" si="50"/>
        <v>Severe</v>
      </c>
      <c r="U161" t="str">
        <f t="shared" ca="1" si="51"/>
        <v>General Ward</v>
      </c>
      <c r="V161" t="str">
        <f t="shared" si="52"/>
        <v>BED0160</v>
      </c>
      <c r="W161" t="str">
        <f t="shared" ca="1" si="53"/>
        <v>Semi-Private</v>
      </c>
      <c r="X161" t="str">
        <f t="shared" si="54"/>
        <v>NUR010</v>
      </c>
      <c r="Y161" t="str">
        <f t="shared" ca="1" si="55"/>
        <v>Evening</v>
      </c>
      <c r="Z161" t="str">
        <f t="shared" ca="1" si="56"/>
        <v>Ultrasound</v>
      </c>
      <c r="AA161" t="str">
        <f t="shared" ca="1" si="57"/>
        <v>Available</v>
      </c>
      <c r="AB161" t="str">
        <f t="shared" ca="1" si="58"/>
        <v>Pending</v>
      </c>
      <c r="AC161" t="str">
        <f t="shared" ca="1" si="59"/>
        <v>Insurance</v>
      </c>
      <c r="AD161" t="str">
        <f t="shared" ca="1" si="60"/>
        <v>No</v>
      </c>
      <c r="AE161" t="str">
        <f t="shared" ca="1" si="61"/>
        <v>No</v>
      </c>
      <c r="AF161" t="str">
        <f t="shared" ca="1" si="62"/>
        <v>Transferred</v>
      </c>
      <c r="AG161" t="str">
        <f t="shared" ca="1" si="63"/>
        <v>West Coast</v>
      </c>
      <c r="AH161" t="str">
        <f t="shared" si="46"/>
        <v>February</v>
      </c>
      <c r="AI161">
        <f t="shared" si="47"/>
        <v>2020</v>
      </c>
      <c r="AJ161" t="str">
        <f t="shared" ca="1" si="64"/>
        <v>Occupied</v>
      </c>
      <c r="AK161">
        <f t="shared" ca="1" si="65"/>
        <v>2</v>
      </c>
    </row>
    <row r="162" spans="1:37" x14ac:dyDescent="0.3">
      <c r="A162" t="s">
        <v>4603</v>
      </c>
      <c r="B162">
        <v>81</v>
      </c>
      <c r="C162" t="s">
        <v>32</v>
      </c>
      <c r="D162" t="s">
        <v>52</v>
      </c>
      <c r="E162" t="s">
        <v>17</v>
      </c>
      <c r="F162" s="1">
        <v>44384</v>
      </c>
      <c r="G162" t="s">
        <v>367</v>
      </c>
      <c r="H162" t="s">
        <v>368</v>
      </c>
      <c r="I162" t="s">
        <v>51</v>
      </c>
      <c r="J162">
        <v>41982</v>
      </c>
      <c r="K162">
        <v>261</v>
      </c>
      <c r="L162" t="s">
        <v>42</v>
      </c>
      <c r="M162" s="1">
        <v>44392</v>
      </c>
      <c r="N162" t="s">
        <v>37</v>
      </c>
      <c r="O162" t="s">
        <v>43</v>
      </c>
      <c r="P162" t="str">
        <f t="shared" si="48"/>
        <v>P0161</v>
      </c>
      <c r="Q162" t="str">
        <f t="shared" si="44"/>
        <v>Oncology</v>
      </c>
      <c r="R162">
        <f t="shared" si="45"/>
        <v>8</v>
      </c>
      <c r="S162" t="str">
        <f t="shared" ca="1" si="49"/>
        <v>No</v>
      </c>
      <c r="T162" t="str">
        <f t="shared" ca="1" si="50"/>
        <v>Mild</v>
      </c>
      <c r="U162" t="str">
        <f t="shared" ca="1" si="51"/>
        <v>ICU</v>
      </c>
      <c r="V162" t="str">
        <f t="shared" si="52"/>
        <v>BED0161</v>
      </c>
      <c r="W162" t="str">
        <f t="shared" ca="1" si="53"/>
        <v>General</v>
      </c>
      <c r="X162" t="str">
        <f t="shared" si="54"/>
        <v>NUR011</v>
      </c>
      <c r="Y162" t="str">
        <f t="shared" ca="1" si="55"/>
        <v>Morning</v>
      </c>
      <c r="Z162" t="str">
        <f t="shared" ca="1" si="56"/>
        <v>X-Ray</v>
      </c>
      <c r="AA162" t="str">
        <f t="shared" ca="1" si="57"/>
        <v>Maintenance</v>
      </c>
      <c r="AB162" t="str">
        <f t="shared" ca="1" si="58"/>
        <v>Partially Paid</v>
      </c>
      <c r="AC162" t="str">
        <f t="shared" ca="1" si="59"/>
        <v>Credit Card</v>
      </c>
      <c r="AD162" t="str">
        <f t="shared" ca="1" si="60"/>
        <v>No</v>
      </c>
      <c r="AE162" t="str">
        <f t="shared" ca="1" si="61"/>
        <v>No</v>
      </c>
      <c r="AF162" t="str">
        <f t="shared" ca="1" si="62"/>
        <v>Transferred</v>
      </c>
      <c r="AG162" t="str">
        <f t="shared" ca="1" si="63"/>
        <v>West Coast</v>
      </c>
      <c r="AH162" t="str">
        <f t="shared" si="46"/>
        <v>July</v>
      </c>
      <c r="AI162">
        <f t="shared" si="47"/>
        <v>2021</v>
      </c>
      <c r="AJ162" t="str">
        <f t="shared" ca="1" si="64"/>
        <v>Occupied</v>
      </c>
      <c r="AK162">
        <f t="shared" ca="1" si="65"/>
        <v>1</v>
      </c>
    </row>
    <row r="163" spans="1:37" x14ac:dyDescent="0.3">
      <c r="A163" t="s">
        <v>4604</v>
      </c>
      <c r="B163">
        <v>66</v>
      </c>
      <c r="C163" t="s">
        <v>32</v>
      </c>
      <c r="D163" t="s">
        <v>52</v>
      </c>
      <c r="E163" t="s">
        <v>25</v>
      </c>
      <c r="F163" s="1">
        <v>44715</v>
      </c>
      <c r="G163" t="s">
        <v>369</v>
      </c>
      <c r="H163" t="s">
        <v>370</v>
      </c>
      <c r="I163" t="s">
        <v>57</v>
      </c>
      <c r="J163">
        <v>33861</v>
      </c>
      <c r="K163">
        <v>115</v>
      </c>
      <c r="L163" t="s">
        <v>42</v>
      </c>
      <c r="M163" s="1">
        <v>44739</v>
      </c>
      <c r="N163" t="s">
        <v>37</v>
      </c>
      <c r="O163" t="s">
        <v>23</v>
      </c>
      <c r="P163" t="str">
        <f t="shared" si="48"/>
        <v>P0162</v>
      </c>
      <c r="Q163" t="str">
        <f t="shared" si="44"/>
        <v>Nutrition</v>
      </c>
      <c r="R163">
        <f t="shared" si="45"/>
        <v>24</v>
      </c>
      <c r="S163" t="str">
        <f t="shared" ca="1" si="49"/>
        <v>No</v>
      </c>
      <c r="T163" t="str">
        <f t="shared" ca="1" si="50"/>
        <v>Moderate</v>
      </c>
      <c r="U163" t="str">
        <f t="shared" ca="1" si="51"/>
        <v>Private Ward</v>
      </c>
      <c r="V163" t="str">
        <f t="shared" si="52"/>
        <v>BED0162</v>
      </c>
      <c r="W163" t="str">
        <f t="shared" ca="1" si="53"/>
        <v>Private</v>
      </c>
      <c r="X163" t="str">
        <f t="shared" si="54"/>
        <v>NUR012</v>
      </c>
      <c r="Y163" t="str">
        <f t="shared" ca="1" si="55"/>
        <v>Evening</v>
      </c>
      <c r="Z163" t="str">
        <f t="shared" ca="1" si="56"/>
        <v>Ventilator</v>
      </c>
      <c r="AA163" t="str">
        <f t="shared" ca="1" si="57"/>
        <v>Available</v>
      </c>
      <c r="AB163" t="str">
        <f t="shared" ca="1" si="58"/>
        <v>Partially Paid</v>
      </c>
      <c r="AC163" t="str">
        <f t="shared" ca="1" si="59"/>
        <v>Debit Card</v>
      </c>
      <c r="AD163" t="str">
        <f t="shared" ca="1" si="60"/>
        <v>No</v>
      </c>
      <c r="AE163" t="str">
        <f t="shared" ca="1" si="61"/>
        <v>No</v>
      </c>
      <c r="AF163" t="str">
        <f t="shared" ca="1" si="62"/>
        <v>Recovered</v>
      </c>
      <c r="AG163" t="str">
        <f t="shared" ca="1" si="63"/>
        <v>Midwest</v>
      </c>
      <c r="AH163" t="str">
        <f t="shared" si="46"/>
        <v>June</v>
      </c>
      <c r="AI163">
        <f t="shared" si="47"/>
        <v>2022</v>
      </c>
      <c r="AJ163" t="str">
        <f t="shared" ca="1" si="64"/>
        <v>Occupied</v>
      </c>
      <c r="AK163">
        <f t="shared" ca="1" si="65"/>
        <v>4</v>
      </c>
    </row>
    <row r="164" spans="1:37" x14ac:dyDescent="0.3">
      <c r="A164" t="s">
        <v>4605</v>
      </c>
      <c r="B164">
        <v>65</v>
      </c>
      <c r="C164" t="s">
        <v>15</v>
      </c>
      <c r="D164" t="s">
        <v>16</v>
      </c>
      <c r="E164" t="s">
        <v>48</v>
      </c>
      <c r="F164" s="1">
        <v>43881</v>
      </c>
      <c r="G164" t="s">
        <v>371</v>
      </c>
      <c r="H164" t="s">
        <v>372</v>
      </c>
      <c r="I164" t="s">
        <v>36</v>
      </c>
      <c r="J164">
        <v>49321</v>
      </c>
      <c r="K164">
        <v>167</v>
      </c>
      <c r="L164" t="s">
        <v>29</v>
      </c>
      <c r="M164" s="1">
        <v>43891</v>
      </c>
      <c r="N164" t="s">
        <v>47</v>
      </c>
      <c r="O164" t="s">
        <v>43</v>
      </c>
      <c r="P164" t="str">
        <f t="shared" si="48"/>
        <v>P0163</v>
      </c>
      <c r="Q164" t="str">
        <f t="shared" si="44"/>
        <v>Pulmonology</v>
      </c>
      <c r="R164">
        <f t="shared" si="45"/>
        <v>10</v>
      </c>
      <c r="S164" t="str">
        <f t="shared" ca="1" si="49"/>
        <v>No</v>
      </c>
      <c r="T164" t="str">
        <f t="shared" ca="1" si="50"/>
        <v>Moderate</v>
      </c>
      <c r="U164" t="str">
        <f t="shared" ca="1" si="51"/>
        <v>Private Ward</v>
      </c>
      <c r="V164" t="str">
        <f t="shared" si="52"/>
        <v>BED0163</v>
      </c>
      <c r="W164" t="str">
        <f t="shared" ca="1" si="53"/>
        <v>General</v>
      </c>
      <c r="X164" t="str">
        <f t="shared" si="54"/>
        <v>NUR013</v>
      </c>
      <c r="Y164" t="str">
        <f t="shared" ca="1" si="55"/>
        <v>Night</v>
      </c>
      <c r="Z164" t="str">
        <f t="shared" ca="1" si="56"/>
        <v>Ventilator</v>
      </c>
      <c r="AA164" t="str">
        <f t="shared" ca="1" si="57"/>
        <v>In Use</v>
      </c>
      <c r="AB164" t="str">
        <f t="shared" ca="1" si="58"/>
        <v>Paid</v>
      </c>
      <c r="AC164" t="str">
        <f t="shared" ca="1" si="59"/>
        <v>Bank Transfer</v>
      </c>
      <c r="AD164" t="str">
        <f t="shared" ca="1" si="60"/>
        <v>No</v>
      </c>
      <c r="AE164" t="str">
        <f t="shared" ca="1" si="61"/>
        <v>No</v>
      </c>
      <c r="AF164" t="str">
        <f t="shared" ca="1" si="62"/>
        <v>Recovered</v>
      </c>
      <c r="AG164" t="str">
        <f t="shared" ca="1" si="63"/>
        <v>Southeast</v>
      </c>
      <c r="AH164" t="str">
        <f t="shared" si="46"/>
        <v>February</v>
      </c>
      <c r="AI164">
        <f t="shared" si="47"/>
        <v>2020</v>
      </c>
      <c r="AJ164" t="str">
        <f t="shared" ca="1" si="64"/>
        <v>Occupied</v>
      </c>
      <c r="AK164">
        <f t="shared" ca="1" si="65"/>
        <v>1</v>
      </c>
    </row>
    <row r="165" spans="1:37" x14ac:dyDescent="0.3">
      <c r="A165" t="s">
        <v>4606</v>
      </c>
      <c r="B165">
        <v>80</v>
      </c>
      <c r="C165" t="s">
        <v>15</v>
      </c>
      <c r="D165" t="s">
        <v>52</v>
      </c>
      <c r="E165" t="s">
        <v>48</v>
      </c>
      <c r="F165" s="1">
        <v>44232</v>
      </c>
      <c r="G165" t="s">
        <v>373</v>
      </c>
      <c r="H165" t="s">
        <v>374</v>
      </c>
      <c r="I165" t="s">
        <v>57</v>
      </c>
      <c r="J165">
        <v>47433</v>
      </c>
      <c r="K165">
        <v>179</v>
      </c>
      <c r="L165" t="s">
        <v>42</v>
      </c>
      <c r="M165" s="1">
        <v>44260</v>
      </c>
      <c r="N165" t="s">
        <v>47</v>
      </c>
      <c r="O165" t="s">
        <v>31</v>
      </c>
      <c r="P165" t="str">
        <f t="shared" si="48"/>
        <v>P0164</v>
      </c>
      <c r="Q165" t="str">
        <f t="shared" si="44"/>
        <v>Pulmonology</v>
      </c>
      <c r="R165">
        <f t="shared" si="45"/>
        <v>28</v>
      </c>
      <c r="S165" t="str">
        <f t="shared" ca="1" si="49"/>
        <v>No</v>
      </c>
      <c r="T165" t="str">
        <f t="shared" ca="1" si="50"/>
        <v>Mild</v>
      </c>
      <c r="U165" t="str">
        <f t="shared" ca="1" si="51"/>
        <v>General Ward</v>
      </c>
      <c r="V165" t="str">
        <f t="shared" si="52"/>
        <v>BED0164</v>
      </c>
      <c r="W165" t="str">
        <f t="shared" ca="1" si="53"/>
        <v>Private</v>
      </c>
      <c r="X165" t="str">
        <f t="shared" si="54"/>
        <v>NUR014</v>
      </c>
      <c r="Y165" t="str">
        <f t="shared" ca="1" si="55"/>
        <v>Night</v>
      </c>
      <c r="Z165" t="str">
        <f t="shared" ca="1" si="56"/>
        <v>CT Scanner</v>
      </c>
      <c r="AA165" t="str">
        <f t="shared" ca="1" si="57"/>
        <v>In Use</v>
      </c>
      <c r="AB165" t="str">
        <f t="shared" ca="1" si="58"/>
        <v>Partially Paid</v>
      </c>
      <c r="AC165" t="str">
        <f t="shared" ca="1" si="59"/>
        <v>Bank Transfer</v>
      </c>
      <c r="AD165" t="str">
        <f t="shared" ca="1" si="60"/>
        <v>No</v>
      </c>
      <c r="AE165" t="str">
        <f t="shared" ca="1" si="61"/>
        <v>Yes</v>
      </c>
      <c r="AF165" t="str">
        <f t="shared" ca="1" si="62"/>
        <v>Recovered</v>
      </c>
      <c r="AG165" t="str">
        <f t="shared" ca="1" si="63"/>
        <v>Southwest</v>
      </c>
      <c r="AH165" t="str">
        <f t="shared" si="46"/>
        <v>February</v>
      </c>
      <c r="AI165">
        <f t="shared" si="47"/>
        <v>2021</v>
      </c>
      <c r="AJ165" t="str">
        <f t="shared" ca="1" si="64"/>
        <v>Vacant</v>
      </c>
      <c r="AK165">
        <f t="shared" ca="1" si="65"/>
        <v>1</v>
      </c>
    </row>
    <row r="166" spans="1:37" x14ac:dyDescent="0.3">
      <c r="A166" t="s">
        <v>4607</v>
      </c>
      <c r="B166">
        <v>72</v>
      </c>
      <c r="C166" t="s">
        <v>32</v>
      </c>
      <c r="D166" t="s">
        <v>98</v>
      </c>
      <c r="E166" t="s">
        <v>76</v>
      </c>
      <c r="F166" s="1">
        <v>44128</v>
      </c>
      <c r="G166" t="s">
        <v>375</v>
      </c>
      <c r="H166" t="s">
        <v>376</v>
      </c>
      <c r="I166" t="s">
        <v>28</v>
      </c>
      <c r="J166">
        <v>19065</v>
      </c>
      <c r="K166">
        <v>490</v>
      </c>
      <c r="L166" t="s">
        <v>29</v>
      </c>
      <c r="M166" s="1">
        <v>44137</v>
      </c>
      <c r="N166" t="s">
        <v>22</v>
      </c>
      <c r="O166" t="s">
        <v>43</v>
      </c>
      <c r="P166" t="str">
        <f t="shared" si="48"/>
        <v>P0165</v>
      </c>
      <c r="Q166" t="str">
        <f t="shared" si="44"/>
        <v>Orthopedics</v>
      </c>
      <c r="R166">
        <f t="shared" si="45"/>
        <v>9</v>
      </c>
      <c r="S166" t="str">
        <f t="shared" ca="1" si="49"/>
        <v>No</v>
      </c>
      <c r="T166" t="str">
        <f t="shared" ca="1" si="50"/>
        <v>Critical</v>
      </c>
      <c r="U166" t="str">
        <f t="shared" ca="1" si="51"/>
        <v>General Ward</v>
      </c>
      <c r="V166" t="str">
        <f t="shared" si="52"/>
        <v>BED0165</v>
      </c>
      <c r="W166" t="str">
        <f t="shared" ca="1" si="53"/>
        <v>ICU</v>
      </c>
      <c r="X166" t="str">
        <f t="shared" si="54"/>
        <v>NUR015</v>
      </c>
      <c r="Y166" t="str">
        <f t="shared" ca="1" si="55"/>
        <v>Morning</v>
      </c>
      <c r="Z166" t="str">
        <f t="shared" ca="1" si="56"/>
        <v>CT Scanner</v>
      </c>
      <c r="AA166" t="str">
        <f t="shared" ca="1" si="57"/>
        <v>Maintenance</v>
      </c>
      <c r="AB166" t="str">
        <f t="shared" ca="1" si="58"/>
        <v>Paid</v>
      </c>
      <c r="AC166" t="str">
        <f t="shared" ca="1" si="59"/>
        <v>Bank Transfer</v>
      </c>
      <c r="AD166" t="str">
        <f t="shared" ca="1" si="60"/>
        <v>No</v>
      </c>
      <c r="AE166" t="str">
        <f t="shared" ca="1" si="61"/>
        <v>Yes</v>
      </c>
      <c r="AF166" t="str">
        <f t="shared" ca="1" si="62"/>
        <v>Recovered</v>
      </c>
      <c r="AG166" t="str">
        <f t="shared" ca="1" si="63"/>
        <v>Southeast</v>
      </c>
      <c r="AH166" t="str">
        <f t="shared" si="46"/>
        <v>October</v>
      </c>
      <c r="AI166">
        <f t="shared" si="47"/>
        <v>2020</v>
      </c>
      <c r="AJ166" t="str">
        <f t="shared" ca="1" si="64"/>
        <v>Occupied</v>
      </c>
      <c r="AK166">
        <f t="shared" ca="1" si="65"/>
        <v>1</v>
      </c>
    </row>
    <row r="167" spans="1:37" x14ac:dyDescent="0.3">
      <c r="A167" t="s">
        <v>4608</v>
      </c>
      <c r="B167">
        <v>85</v>
      </c>
      <c r="C167" t="s">
        <v>15</v>
      </c>
      <c r="D167" t="s">
        <v>98</v>
      </c>
      <c r="E167" t="s">
        <v>17</v>
      </c>
      <c r="F167" s="1">
        <v>45266</v>
      </c>
      <c r="G167" t="s">
        <v>377</v>
      </c>
      <c r="H167" t="s">
        <v>378</v>
      </c>
      <c r="I167" t="s">
        <v>57</v>
      </c>
      <c r="J167">
        <v>50142</v>
      </c>
      <c r="K167">
        <v>258</v>
      </c>
      <c r="L167" t="s">
        <v>42</v>
      </c>
      <c r="M167" s="1">
        <v>45279</v>
      </c>
      <c r="N167" t="s">
        <v>30</v>
      </c>
      <c r="O167" t="s">
        <v>43</v>
      </c>
      <c r="P167" t="str">
        <f t="shared" si="48"/>
        <v>P0166</v>
      </c>
      <c r="Q167" t="str">
        <f t="shared" si="44"/>
        <v>Oncology</v>
      </c>
      <c r="R167">
        <f t="shared" si="45"/>
        <v>13</v>
      </c>
      <c r="S167" t="str">
        <f t="shared" ca="1" si="49"/>
        <v>No</v>
      </c>
      <c r="T167" t="str">
        <f t="shared" ca="1" si="50"/>
        <v>Severe</v>
      </c>
      <c r="U167" t="str">
        <f t="shared" ca="1" si="51"/>
        <v>Private Ward</v>
      </c>
      <c r="V167" t="str">
        <f t="shared" si="52"/>
        <v>BED0166</v>
      </c>
      <c r="W167" t="str">
        <f t="shared" ca="1" si="53"/>
        <v>Private</v>
      </c>
      <c r="X167" t="str">
        <f t="shared" si="54"/>
        <v>NUR016</v>
      </c>
      <c r="Y167" t="str">
        <f t="shared" ca="1" si="55"/>
        <v>Night</v>
      </c>
      <c r="Z167" t="str">
        <f t="shared" ca="1" si="56"/>
        <v>X-Ray</v>
      </c>
      <c r="AA167" t="str">
        <f t="shared" ca="1" si="57"/>
        <v>In Use</v>
      </c>
      <c r="AB167" t="str">
        <f t="shared" ca="1" si="58"/>
        <v>Partially Paid</v>
      </c>
      <c r="AC167" t="str">
        <f t="shared" ca="1" si="59"/>
        <v>Debit Card</v>
      </c>
      <c r="AD167" t="str">
        <f t="shared" ca="1" si="60"/>
        <v>No</v>
      </c>
      <c r="AE167" t="str">
        <f t="shared" ca="1" si="61"/>
        <v>No</v>
      </c>
      <c r="AF167" t="str">
        <f t="shared" ca="1" si="62"/>
        <v>Under Observation</v>
      </c>
      <c r="AG167" t="str">
        <f t="shared" ca="1" si="63"/>
        <v>Northeast</v>
      </c>
      <c r="AH167" t="str">
        <f t="shared" si="46"/>
        <v>December</v>
      </c>
      <c r="AI167">
        <f t="shared" si="47"/>
        <v>2023</v>
      </c>
      <c r="AJ167" t="str">
        <f t="shared" ca="1" si="64"/>
        <v>Vacant</v>
      </c>
      <c r="AK167">
        <f t="shared" ca="1" si="65"/>
        <v>1</v>
      </c>
    </row>
    <row r="168" spans="1:37" x14ac:dyDescent="0.3">
      <c r="A168" t="s">
        <v>4609</v>
      </c>
      <c r="B168">
        <v>68</v>
      </c>
      <c r="C168" t="s">
        <v>32</v>
      </c>
      <c r="D168" t="s">
        <v>38</v>
      </c>
      <c r="E168" t="s">
        <v>64</v>
      </c>
      <c r="F168" s="1">
        <v>44551</v>
      </c>
      <c r="G168" t="s">
        <v>379</v>
      </c>
      <c r="H168" t="s">
        <v>380</v>
      </c>
      <c r="I168" t="s">
        <v>36</v>
      </c>
      <c r="J168">
        <v>12082</v>
      </c>
      <c r="K168">
        <v>483</v>
      </c>
      <c r="L168" t="s">
        <v>21</v>
      </c>
      <c r="M168" s="1">
        <v>44560</v>
      </c>
      <c r="N168" t="s">
        <v>67</v>
      </c>
      <c r="O168" t="s">
        <v>43</v>
      </c>
      <c r="P168" t="str">
        <f t="shared" si="48"/>
        <v>P0167</v>
      </c>
      <c r="Q168" t="str">
        <f t="shared" si="44"/>
        <v>Cardiology</v>
      </c>
      <c r="R168">
        <f t="shared" si="45"/>
        <v>9</v>
      </c>
      <c r="S168" t="str">
        <f t="shared" ca="1" si="49"/>
        <v>No</v>
      </c>
      <c r="T168" t="str">
        <f t="shared" ca="1" si="50"/>
        <v>Mild</v>
      </c>
      <c r="U168" t="str">
        <f t="shared" ca="1" si="51"/>
        <v>Semi-Private</v>
      </c>
      <c r="V168" t="str">
        <f t="shared" si="52"/>
        <v>BED0167</v>
      </c>
      <c r="W168" t="str">
        <f t="shared" ca="1" si="53"/>
        <v>Private</v>
      </c>
      <c r="X168" t="str">
        <f t="shared" si="54"/>
        <v>NUR017</v>
      </c>
      <c r="Y168" t="str">
        <f t="shared" ca="1" si="55"/>
        <v>Evening</v>
      </c>
      <c r="Z168" t="str">
        <f t="shared" ca="1" si="56"/>
        <v>CT Scanner</v>
      </c>
      <c r="AA168" t="str">
        <f t="shared" ca="1" si="57"/>
        <v>Maintenance</v>
      </c>
      <c r="AB168" t="str">
        <f t="shared" ca="1" si="58"/>
        <v>Pending</v>
      </c>
      <c r="AC168" t="str">
        <f t="shared" ca="1" si="59"/>
        <v>Debit Card</v>
      </c>
      <c r="AD168" t="str">
        <f t="shared" ca="1" si="60"/>
        <v>No</v>
      </c>
      <c r="AE168" t="str">
        <f t="shared" ca="1" si="61"/>
        <v>No</v>
      </c>
      <c r="AF168" t="str">
        <f t="shared" ca="1" si="62"/>
        <v>Transferred</v>
      </c>
      <c r="AG168" t="str">
        <f t="shared" ca="1" si="63"/>
        <v>Northeast</v>
      </c>
      <c r="AH168" t="str">
        <f t="shared" si="46"/>
        <v>December</v>
      </c>
      <c r="AI168">
        <f t="shared" si="47"/>
        <v>2021</v>
      </c>
      <c r="AJ168" t="str">
        <f t="shared" ca="1" si="64"/>
        <v>Vacant</v>
      </c>
      <c r="AK168">
        <f t="shared" ca="1" si="65"/>
        <v>2</v>
      </c>
    </row>
    <row r="169" spans="1:37" x14ac:dyDescent="0.3">
      <c r="A169" t="s">
        <v>4610</v>
      </c>
      <c r="B169">
        <v>56</v>
      </c>
      <c r="C169" t="s">
        <v>32</v>
      </c>
      <c r="D169" t="s">
        <v>33</v>
      </c>
      <c r="E169" t="s">
        <v>17</v>
      </c>
      <c r="F169" s="1">
        <v>45172</v>
      </c>
      <c r="G169" t="s">
        <v>381</v>
      </c>
      <c r="H169" t="s">
        <v>382</v>
      </c>
      <c r="I169" t="s">
        <v>36</v>
      </c>
      <c r="J169">
        <v>18031</v>
      </c>
      <c r="K169">
        <v>273</v>
      </c>
      <c r="L169" t="s">
        <v>42</v>
      </c>
      <c r="M169" s="1">
        <v>45199</v>
      </c>
      <c r="N169" t="s">
        <v>67</v>
      </c>
      <c r="O169" t="s">
        <v>31</v>
      </c>
      <c r="P169" t="str">
        <f t="shared" si="48"/>
        <v>P0168</v>
      </c>
      <c r="Q169" t="str">
        <f t="shared" si="44"/>
        <v>Oncology</v>
      </c>
      <c r="R169">
        <f t="shared" si="45"/>
        <v>27</v>
      </c>
      <c r="S169" t="str">
        <f t="shared" ca="1" si="49"/>
        <v>No</v>
      </c>
      <c r="T169" t="str">
        <f t="shared" ca="1" si="50"/>
        <v>Moderate</v>
      </c>
      <c r="U169" t="str">
        <f t="shared" ca="1" si="51"/>
        <v>Semi-Private</v>
      </c>
      <c r="V169" t="str">
        <f t="shared" si="52"/>
        <v>BED0168</v>
      </c>
      <c r="W169" t="str">
        <f t="shared" ca="1" si="53"/>
        <v>Private</v>
      </c>
      <c r="X169" t="str">
        <f t="shared" si="54"/>
        <v>NUR018</v>
      </c>
      <c r="Y169" t="str">
        <f t="shared" ca="1" si="55"/>
        <v>Evening</v>
      </c>
      <c r="Z169" t="str">
        <f t="shared" ca="1" si="56"/>
        <v>X-Ray</v>
      </c>
      <c r="AA169" t="str">
        <f t="shared" ca="1" si="57"/>
        <v>Maintenance</v>
      </c>
      <c r="AB169" t="str">
        <f t="shared" ca="1" si="58"/>
        <v>Paid</v>
      </c>
      <c r="AC169" t="str">
        <f t="shared" ca="1" si="59"/>
        <v>Bank Transfer</v>
      </c>
      <c r="AD169" t="str">
        <f t="shared" ca="1" si="60"/>
        <v>No</v>
      </c>
      <c r="AE169" t="str">
        <f t="shared" ca="1" si="61"/>
        <v>Yes</v>
      </c>
      <c r="AF169" t="str">
        <f t="shared" ca="1" si="62"/>
        <v>Transferred</v>
      </c>
      <c r="AG169" t="str">
        <f t="shared" ca="1" si="63"/>
        <v>Southwest</v>
      </c>
      <c r="AH169" t="str">
        <f t="shared" si="46"/>
        <v>September</v>
      </c>
      <c r="AI169">
        <f t="shared" si="47"/>
        <v>2023</v>
      </c>
      <c r="AJ169" t="str">
        <f t="shared" ca="1" si="64"/>
        <v>Vacant</v>
      </c>
      <c r="AK169">
        <f t="shared" ca="1" si="65"/>
        <v>2</v>
      </c>
    </row>
    <row r="170" spans="1:37" x14ac:dyDescent="0.3">
      <c r="A170" t="s">
        <v>4611</v>
      </c>
      <c r="B170">
        <v>53</v>
      </c>
      <c r="C170" t="s">
        <v>32</v>
      </c>
      <c r="D170" t="s">
        <v>98</v>
      </c>
      <c r="E170" t="s">
        <v>48</v>
      </c>
      <c r="F170" s="1">
        <v>44122</v>
      </c>
      <c r="G170" t="s">
        <v>383</v>
      </c>
      <c r="H170" t="s">
        <v>384</v>
      </c>
      <c r="I170" t="s">
        <v>28</v>
      </c>
      <c r="J170">
        <v>5142</v>
      </c>
      <c r="K170">
        <v>120</v>
      </c>
      <c r="L170" t="s">
        <v>42</v>
      </c>
      <c r="M170" s="1">
        <v>44145</v>
      </c>
      <c r="N170" t="s">
        <v>22</v>
      </c>
      <c r="O170" t="s">
        <v>43</v>
      </c>
      <c r="P170" t="str">
        <f t="shared" si="48"/>
        <v>P0169</v>
      </c>
      <c r="Q170" t="str">
        <f t="shared" si="44"/>
        <v>Pulmonology</v>
      </c>
      <c r="R170">
        <f t="shared" si="45"/>
        <v>23</v>
      </c>
      <c r="S170" t="str">
        <f t="shared" ca="1" si="49"/>
        <v>Yes</v>
      </c>
      <c r="T170" t="str">
        <f t="shared" ca="1" si="50"/>
        <v>Critical</v>
      </c>
      <c r="U170" t="str">
        <f t="shared" ca="1" si="51"/>
        <v>General Ward</v>
      </c>
      <c r="V170" t="str">
        <f t="shared" si="52"/>
        <v>BED0169</v>
      </c>
      <c r="W170" t="str">
        <f t="shared" ca="1" si="53"/>
        <v>Semi-Private</v>
      </c>
      <c r="X170" t="str">
        <f t="shared" si="54"/>
        <v>NUR019</v>
      </c>
      <c r="Y170" t="str">
        <f t="shared" ca="1" si="55"/>
        <v>Evening</v>
      </c>
      <c r="Z170" t="str">
        <f t="shared" ca="1" si="56"/>
        <v>X-Ray</v>
      </c>
      <c r="AA170" t="str">
        <f t="shared" ca="1" si="57"/>
        <v>Available</v>
      </c>
      <c r="AB170" t="str">
        <f t="shared" ca="1" si="58"/>
        <v>Partially Paid</v>
      </c>
      <c r="AC170" t="str">
        <f t="shared" ca="1" si="59"/>
        <v>Credit Card</v>
      </c>
      <c r="AD170" t="str">
        <f t="shared" ca="1" si="60"/>
        <v>No</v>
      </c>
      <c r="AE170" t="str">
        <f t="shared" ca="1" si="61"/>
        <v>No</v>
      </c>
      <c r="AF170" t="str">
        <f t="shared" ca="1" si="62"/>
        <v>Transferred</v>
      </c>
      <c r="AG170" t="str">
        <f t="shared" ca="1" si="63"/>
        <v>Southeast</v>
      </c>
      <c r="AH170" t="str">
        <f t="shared" si="46"/>
        <v>October</v>
      </c>
      <c r="AI170">
        <f t="shared" si="47"/>
        <v>2020</v>
      </c>
      <c r="AJ170" t="str">
        <f t="shared" ca="1" si="64"/>
        <v>Occupied</v>
      </c>
      <c r="AK170">
        <f t="shared" ca="1" si="65"/>
        <v>1</v>
      </c>
    </row>
    <row r="171" spans="1:37" x14ac:dyDescent="0.3">
      <c r="A171" t="s">
        <v>4612</v>
      </c>
      <c r="B171">
        <v>37</v>
      </c>
      <c r="C171" t="s">
        <v>32</v>
      </c>
      <c r="D171" t="s">
        <v>83</v>
      </c>
      <c r="E171" t="s">
        <v>48</v>
      </c>
      <c r="F171" s="1">
        <v>44384</v>
      </c>
      <c r="G171" t="s">
        <v>385</v>
      </c>
      <c r="H171" t="s">
        <v>386</v>
      </c>
      <c r="I171" t="s">
        <v>51</v>
      </c>
      <c r="J171">
        <v>19851</v>
      </c>
      <c r="K171">
        <v>202</v>
      </c>
      <c r="L171" t="s">
        <v>42</v>
      </c>
      <c r="M171" s="1">
        <v>44401</v>
      </c>
      <c r="N171" t="s">
        <v>47</v>
      </c>
      <c r="O171" t="s">
        <v>23</v>
      </c>
      <c r="P171" t="str">
        <f t="shared" si="48"/>
        <v>P0170</v>
      </c>
      <c r="Q171" t="str">
        <f t="shared" si="44"/>
        <v>Pulmonology</v>
      </c>
      <c r="R171">
        <f t="shared" si="45"/>
        <v>17</v>
      </c>
      <c r="S171" t="str">
        <f t="shared" ca="1" si="49"/>
        <v>No</v>
      </c>
      <c r="T171" t="str">
        <f t="shared" ca="1" si="50"/>
        <v>Mild</v>
      </c>
      <c r="U171" t="str">
        <f t="shared" ca="1" si="51"/>
        <v>ICU</v>
      </c>
      <c r="V171" t="str">
        <f t="shared" si="52"/>
        <v>BED0170</v>
      </c>
      <c r="W171" t="str">
        <f t="shared" ca="1" si="53"/>
        <v>General</v>
      </c>
      <c r="X171" t="str">
        <f t="shared" si="54"/>
        <v>NUR020</v>
      </c>
      <c r="Y171" t="str">
        <f t="shared" ca="1" si="55"/>
        <v>Night</v>
      </c>
      <c r="Z171" t="str">
        <f t="shared" ca="1" si="56"/>
        <v>Ventilator</v>
      </c>
      <c r="AA171" t="str">
        <f t="shared" ca="1" si="57"/>
        <v>Available</v>
      </c>
      <c r="AB171" t="str">
        <f t="shared" ca="1" si="58"/>
        <v>Partially Paid</v>
      </c>
      <c r="AC171" t="str">
        <f t="shared" ca="1" si="59"/>
        <v>Credit Card</v>
      </c>
      <c r="AD171" t="str">
        <f t="shared" ca="1" si="60"/>
        <v>No</v>
      </c>
      <c r="AE171" t="str">
        <f t="shared" ca="1" si="61"/>
        <v>No</v>
      </c>
      <c r="AF171" t="str">
        <f t="shared" ca="1" si="62"/>
        <v>Recovered</v>
      </c>
      <c r="AG171" t="str">
        <f t="shared" ca="1" si="63"/>
        <v>Midwest</v>
      </c>
      <c r="AH171" t="str">
        <f t="shared" si="46"/>
        <v>July</v>
      </c>
      <c r="AI171">
        <f t="shared" si="47"/>
        <v>2021</v>
      </c>
      <c r="AJ171" t="str">
        <f t="shared" ca="1" si="64"/>
        <v>Occupied</v>
      </c>
      <c r="AK171">
        <f t="shared" ca="1" si="65"/>
        <v>4</v>
      </c>
    </row>
    <row r="172" spans="1:37" x14ac:dyDescent="0.3">
      <c r="A172" t="s">
        <v>4613</v>
      </c>
      <c r="B172">
        <v>57</v>
      </c>
      <c r="C172" t="s">
        <v>32</v>
      </c>
      <c r="D172" t="s">
        <v>38</v>
      </c>
      <c r="E172" t="s">
        <v>64</v>
      </c>
      <c r="F172" s="1">
        <v>45166</v>
      </c>
      <c r="G172" t="s">
        <v>387</v>
      </c>
      <c r="H172" t="s">
        <v>388</v>
      </c>
      <c r="I172" t="s">
        <v>57</v>
      </c>
      <c r="J172">
        <v>20546</v>
      </c>
      <c r="K172">
        <v>198</v>
      </c>
      <c r="L172" t="s">
        <v>21</v>
      </c>
      <c r="M172" s="1">
        <v>45185</v>
      </c>
      <c r="N172" t="s">
        <v>47</v>
      </c>
      <c r="O172" t="s">
        <v>43</v>
      </c>
      <c r="P172" t="str">
        <f t="shared" si="48"/>
        <v>P0171</v>
      </c>
      <c r="Q172" t="str">
        <f t="shared" si="44"/>
        <v>Cardiology</v>
      </c>
      <c r="R172">
        <f t="shared" si="45"/>
        <v>19</v>
      </c>
      <c r="S172" t="str">
        <f t="shared" ca="1" si="49"/>
        <v>No</v>
      </c>
      <c r="T172" t="str">
        <f t="shared" ca="1" si="50"/>
        <v>Moderate</v>
      </c>
      <c r="U172" t="str">
        <f t="shared" ca="1" si="51"/>
        <v>General Ward</v>
      </c>
      <c r="V172" t="str">
        <f t="shared" si="52"/>
        <v>BED0171</v>
      </c>
      <c r="W172" t="str">
        <f t="shared" ca="1" si="53"/>
        <v>General</v>
      </c>
      <c r="X172" t="str">
        <f t="shared" si="54"/>
        <v>NUR021</v>
      </c>
      <c r="Y172" t="str">
        <f t="shared" ca="1" si="55"/>
        <v>Evening</v>
      </c>
      <c r="Z172" t="str">
        <f t="shared" ca="1" si="56"/>
        <v>Ultrasound</v>
      </c>
      <c r="AA172" t="str">
        <f t="shared" ca="1" si="57"/>
        <v>Maintenance</v>
      </c>
      <c r="AB172" t="str">
        <f t="shared" ca="1" si="58"/>
        <v>Pending</v>
      </c>
      <c r="AC172" t="str">
        <f t="shared" ca="1" si="59"/>
        <v>Bank Transfer</v>
      </c>
      <c r="AD172" t="str">
        <f t="shared" ca="1" si="60"/>
        <v>Yes</v>
      </c>
      <c r="AE172" t="str">
        <f t="shared" ca="1" si="61"/>
        <v>No</v>
      </c>
      <c r="AF172" t="str">
        <f t="shared" ca="1" si="62"/>
        <v>Recovered</v>
      </c>
      <c r="AG172" t="str">
        <f t="shared" ca="1" si="63"/>
        <v>West Coast</v>
      </c>
      <c r="AH172" t="str">
        <f t="shared" si="46"/>
        <v>August</v>
      </c>
      <c r="AI172">
        <f t="shared" si="47"/>
        <v>2023</v>
      </c>
      <c r="AJ172" t="str">
        <f t="shared" ca="1" si="64"/>
        <v>Occupied</v>
      </c>
      <c r="AK172">
        <f t="shared" ca="1" si="65"/>
        <v>1</v>
      </c>
    </row>
    <row r="173" spans="1:37" x14ac:dyDescent="0.3">
      <c r="A173" t="s">
        <v>4614</v>
      </c>
      <c r="B173">
        <v>36</v>
      </c>
      <c r="C173" t="s">
        <v>15</v>
      </c>
      <c r="D173" t="s">
        <v>38</v>
      </c>
      <c r="E173" t="s">
        <v>76</v>
      </c>
      <c r="F173" s="1">
        <v>43786</v>
      </c>
      <c r="G173" t="s">
        <v>389</v>
      </c>
      <c r="H173" t="s">
        <v>390</v>
      </c>
      <c r="I173" t="s">
        <v>57</v>
      </c>
      <c r="J173">
        <v>36870</v>
      </c>
      <c r="K173">
        <v>368</v>
      </c>
      <c r="L173" t="s">
        <v>21</v>
      </c>
      <c r="M173" s="1">
        <v>43800</v>
      </c>
      <c r="N173" t="s">
        <v>47</v>
      </c>
      <c r="O173" t="s">
        <v>23</v>
      </c>
      <c r="P173" t="str">
        <f t="shared" si="48"/>
        <v>P0172</v>
      </c>
      <c r="Q173" t="str">
        <f t="shared" si="44"/>
        <v>Orthopedics</v>
      </c>
      <c r="R173">
        <f t="shared" si="45"/>
        <v>14</v>
      </c>
      <c r="S173" t="str">
        <f t="shared" ca="1" si="49"/>
        <v>No</v>
      </c>
      <c r="T173" t="str">
        <f t="shared" ca="1" si="50"/>
        <v>Moderate</v>
      </c>
      <c r="U173" t="str">
        <f t="shared" ca="1" si="51"/>
        <v>General Ward</v>
      </c>
      <c r="V173" t="str">
        <f t="shared" si="52"/>
        <v>BED0172</v>
      </c>
      <c r="W173" t="str">
        <f t="shared" ca="1" si="53"/>
        <v>ICU</v>
      </c>
      <c r="X173" t="str">
        <f t="shared" si="54"/>
        <v>NUR022</v>
      </c>
      <c r="Y173" t="str">
        <f t="shared" ca="1" si="55"/>
        <v>Night</v>
      </c>
      <c r="Z173" t="str">
        <f t="shared" ca="1" si="56"/>
        <v>MRI Scanner</v>
      </c>
      <c r="AA173" t="str">
        <f t="shared" ca="1" si="57"/>
        <v>Maintenance</v>
      </c>
      <c r="AB173" t="str">
        <f t="shared" ca="1" si="58"/>
        <v>Partially Paid</v>
      </c>
      <c r="AC173" t="str">
        <f t="shared" ca="1" si="59"/>
        <v>Insurance</v>
      </c>
      <c r="AD173" t="str">
        <f t="shared" ca="1" si="60"/>
        <v>No</v>
      </c>
      <c r="AE173" t="str">
        <f t="shared" ca="1" si="61"/>
        <v>Yes</v>
      </c>
      <c r="AF173" t="str">
        <f t="shared" ca="1" si="62"/>
        <v>Transferred</v>
      </c>
      <c r="AG173" t="str">
        <f t="shared" ca="1" si="63"/>
        <v>West Coast</v>
      </c>
      <c r="AH173" t="str">
        <f t="shared" si="46"/>
        <v>November</v>
      </c>
      <c r="AI173">
        <f t="shared" si="47"/>
        <v>2019</v>
      </c>
      <c r="AJ173" t="str">
        <f t="shared" ca="1" si="64"/>
        <v>Occupied</v>
      </c>
      <c r="AK173">
        <f t="shared" ca="1" si="65"/>
        <v>2</v>
      </c>
    </row>
    <row r="174" spans="1:37" x14ac:dyDescent="0.3">
      <c r="A174" t="s">
        <v>4615</v>
      </c>
      <c r="B174">
        <v>20</v>
      </c>
      <c r="C174" t="s">
        <v>32</v>
      </c>
      <c r="D174" t="s">
        <v>83</v>
      </c>
      <c r="E174" t="s">
        <v>17</v>
      </c>
      <c r="F174" s="1">
        <v>44157</v>
      </c>
      <c r="G174" t="s">
        <v>391</v>
      </c>
      <c r="H174" t="s">
        <v>392</v>
      </c>
      <c r="I174" t="s">
        <v>57</v>
      </c>
      <c r="J174">
        <v>40598</v>
      </c>
      <c r="K174">
        <v>113</v>
      </c>
      <c r="L174" t="s">
        <v>42</v>
      </c>
      <c r="M174" s="1">
        <v>44182</v>
      </c>
      <c r="N174" t="s">
        <v>22</v>
      </c>
      <c r="O174" t="s">
        <v>23</v>
      </c>
      <c r="P174" t="str">
        <f t="shared" si="48"/>
        <v>P0173</v>
      </c>
      <c r="Q174" t="str">
        <f t="shared" si="44"/>
        <v>Oncology</v>
      </c>
      <c r="R174">
        <f t="shared" si="45"/>
        <v>25</v>
      </c>
      <c r="S174" t="str">
        <f t="shared" ca="1" si="49"/>
        <v>No</v>
      </c>
      <c r="T174" t="str">
        <f t="shared" ca="1" si="50"/>
        <v>Moderate</v>
      </c>
      <c r="U174" t="str">
        <f t="shared" ca="1" si="51"/>
        <v>General Ward</v>
      </c>
      <c r="V174" t="str">
        <f t="shared" si="52"/>
        <v>BED0173</v>
      </c>
      <c r="W174" t="str">
        <f t="shared" ca="1" si="53"/>
        <v>General</v>
      </c>
      <c r="X174" t="str">
        <f t="shared" si="54"/>
        <v>NUR023</v>
      </c>
      <c r="Y174" t="str">
        <f t="shared" ca="1" si="55"/>
        <v>Night</v>
      </c>
      <c r="Z174" t="str">
        <f t="shared" ca="1" si="56"/>
        <v>X-Ray</v>
      </c>
      <c r="AA174" t="str">
        <f t="shared" ca="1" si="57"/>
        <v>In Use</v>
      </c>
      <c r="AB174" t="str">
        <f t="shared" ca="1" si="58"/>
        <v>Pending</v>
      </c>
      <c r="AC174" t="str">
        <f t="shared" ca="1" si="59"/>
        <v>Debit Card</v>
      </c>
      <c r="AD174" t="str">
        <f t="shared" ca="1" si="60"/>
        <v>No</v>
      </c>
      <c r="AE174" t="str">
        <f t="shared" ca="1" si="61"/>
        <v>No</v>
      </c>
      <c r="AF174" t="str">
        <f t="shared" ca="1" si="62"/>
        <v>Under Observation</v>
      </c>
      <c r="AG174" t="str">
        <f t="shared" ca="1" si="63"/>
        <v>Southwest</v>
      </c>
      <c r="AH174" t="str">
        <f t="shared" si="46"/>
        <v>November</v>
      </c>
      <c r="AI174">
        <f t="shared" si="47"/>
        <v>2020</v>
      </c>
      <c r="AJ174" t="str">
        <f t="shared" ca="1" si="64"/>
        <v>Occupied</v>
      </c>
      <c r="AK174">
        <f t="shared" ca="1" si="65"/>
        <v>2</v>
      </c>
    </row>
    <row r="175" spans="1:37" x14ac:dyDescent="0.3">
      <c r="A175" t="s">
        <v>4616</v>
      </c>
      <c r="B175">
        <v>83</v>
      </c>
      <c r="C175" t="s">
        <v>15</v>
      </c>
      <c r="D175" t="s">
        <v>98</v>
      </c>
      <c r="E175" t="s">
        <v>48</v>
      </c>
      <c r="F175" s="1">
        <v>44513</v>
      </c>
      <c r="G175" t="s">
        <v>393</v>
      </c>
      <c r="H175" t="s">
        <v>394</v>
      </c>
      <c r="I175" t="s">
        <v>36</v>
      </c>
      <c r="J175">
        <v>18198</v>
      </c>
      <c r="K175">
        <v>308</v>
      </c>
      <c r="L175" t="s">
        <v>21</v>
      </c>
      <c r="M175" s="1">
        <v>44538</v>
      </c>
      <c r="N175" t="s">
        <v>30</v>
      </c>
      <c r="O175" t="s">
        <v>23</v>
      </c>
      <c r="P175" t="str">
        <f t="shared" si="48"/>
        <v>P0174</v>
      </c>
      <c r="Q175" t="str">
        <f t="shared" si="44"/>
        <v>Pulmonology</v>
      </c>
      <c r="R175">
        <f t="shared" si="45"/>
        <v>25</v>
      </c>
      <c r="S175" t="str">
        <f t="shared" ca="1" si="49"/>
        <v>No</v>
      </c>
      <c r="T175" t="str">
        <f t="shared" ca="1" si="50"/>
        <v>Severe</v>
      </c>
      <c r="U175" t="str">
        <f t="shared" ca="1" si="51"/>
        <v>Semi-Private</v>
      </c>
      <c r="V175" t="str">
        <f t="shared" si="52"/>
        <v>BED0174</v>
      </c>
      <c r="W175" t="str">
        <f t="shared" ca="1" si="53"/>
        <v>ICU</v>
      </c>
      <c r="X175" t="str">
        <f t="shared" si="54"/>
        <v>NUR024</v>
      </c>
      <c r="Y175" t="str">
        <f t="shared" ca="1" si="55"/>
        <v>Night</v>
      </c>
      <c r="Z175" t="str">
        <f t="shared" ca="1" si="56"/>
        <v>ECG Machine</v>
      </c>
      <c r="AA175" t="str">
        <f t="shared" ca="1" si="57"/>
        <v>In Use</v>
      </c>
      <c r="AB175" t="str">
        <f t="shared" ca="1" si="58"/>
        <v>Partially Paid</v>
      </c>
      <c r="AC175" t="str">
        <f t="shared" ca="1" si="59"/>
        <v>Debit Card</v>
      </c>
      <c r="AD175" t="str">
        <f t="shared" ca="1" si="60"/>
        <v>No</v>
      </c>
      <c r="AE175" t="str">
        <f t="shared" ca="1" si="61"/>
        <v>No</v>
      </c>
      <c r="AF175" t="str">
        <f t="shared" ca="1" si="62"/>
        <v>Recovered</v>
      </c>
      <c r="AG175" t="str">
        <f t="shared" ca="1" si="63"/>
        <v>Southwest</v>
      </c>
      <c r="AH175" t="str">
        <f t="shared" si="46"/>
        <v>November</v>
      </c>
      <c r="AI175">
        <f t="shared" si="47"/>
        <v>2021</v>
      </c>
      <c r="AJ175" t="str">
        <f t="shared" ca="1" si="64"/>
        <v>Vacant</v>
      </c>
      <c r="AK175">
        <f t="shared" ca="1" si="65"/>
        <v>1</v>
      </c>
    </row>
    <row r="176" spans="1:37" x14ac:dyDescent="0.3">
      <c r="A176" t="s">
        <v>4617</v>
      </c>
      <c r="B176">
        <v>79</v>
      </c>
      <c r="C176" t="s">
        <v>15</v>
      </c>
      <c r="D176" t="s">
        <v>83</v>
      </c>
      <c r="E176" t="s">
        <v>25</v>
      </c>
      <c r="F176" s="1">
        <v>44605</v>
      </c>
      <c r="G176" t="s">
        <v>395</v>
      </c>
      <c r="H176" t="s">
        <v>396</v>
      </c>
      <c r="I176" t="s">
        <v>20</v>
      </c>
      <c r="J176">
        <v>4920</v>
      </c>
      <c r="K176">
        <v>278</v>
      </c>
      <c r="L176" t="s">
        <v>42</v>
      </c>
      <c r="M176" s="1">
        <v>44612</v>
      </c>
      <c r="N176" t="s">
        <v>22</v>
      </c>
      <c r="O176" t="s">
        <v>23</v>
      </c>
      <c r="P176" t="str">
        <f t="shared" si="48"/>
        <v>P0175</v>
      </c>
      <c r="Q176" t="str">
        <f t="shared" si="44"/>
        <v>Nutrition</v>
      </c>
      <c r="R176">
        <f t="shared" si="45"/>
        <v>7</v>
      </c>
      <c r="S176" t="str">
        <f t="shared" ca="1" si="49"/>
        <v>No</v>
      </c>
      <c r="T176" t="str">
        <f t="shared" ca="1" si="50"/>
        <v>Severe</v>
      </c>
      <c r="U176" t="str">
        <f t="shared" ca="1" si="51"/>
        <v>ICU</v>
      </c>
      <c r="V176" t="str">
        <f t="shared" si="52"/>
        <v>BED0175</v>
      </c>
      <c r="W176" t="str">
        <f t="shared" ca="1" si="53"/>
        <v>General</v>
      </c>
      <c r="X176" t="str">
        <f t="shared" si="54"/>
        <v>NUR025</v>
      </c>
      <c r="Y176" t="str">
        <f t="shared" ca="1" si="55"/>
        <v>Morning</v>
      </c>
      <c r="Z176" t="str">
        <f t="shared" ca="1" si="56"/>
        <v>MRI Scanner</v>
      </c>
      <c r="AA176" t="str">
        <f t="shared" ca="1" si="57"/>
        <v>In Use</v>
      </c>
      <c r="AB176" t="str">
        <f t="shared" ca="1" si="58"/>
        <v>Pending</v>
      </c>
      <c r="AC176" t="str">
        <f t="shared" ca="1" si="59"/>
        <v>Cash</v>
      </c>
      <c r="AD176" t="str">
        <f t="shared" ca="1" si="60"/>
        <v>No</v>
      </c>
      <c r="AE176" t="str">
        <f t="shared" ca="1" si="61"/>
        <v>No</v>
      </c>
      <c r="AF176" t="str">
        <f t="shared" ca="1" si="62"/>
        <v>Recovered</v>
      </c>
      <c r="AG176" t="str">
        <f t="shared" ca="1" si="63"/>
        <v>West Coast</v>
      </c>
      <c r="AH176" t="str">
        <f t="shared" si="46"/>
        <v>February</v>
      </c>
      <c r="AI176">
        <f t="shared" si="47"/>
        <v>2022</v>
      </c>
      <c r="AJ176" t="str">
        <f t="shared" ca="1" si="64"/>
        <v>Occupied</v>
      </c>
      <c r="AK176">
        <f t="shared" ca="1" si="65"/>
        <v>2</v>
      </c>
    </row>
    <row r="177" spans="1:37" x14ac:dyDescent="0.3">
      <c r="A177" t="s">
        <v>4618</v>
      </c>
      <c r="B177">
        <v>62</v>
      </c>
      <c r="C177" t="s">
        <v>15</v>
      </c>
      <c r="D177" t="s">
        <v>38</v>
      </c>
      <c r="E177" t="s">
        <v>39</v>
      </c>
      <c r="F177" s="1">
        <v>43601</v>
      </c>
      <c r="G177" t="s">
        <v>397</v>
      </c>
      <c r="H177" t="s">
        <v>398</v>
      </c>
      <c r="I177" t="s">
        <v>51</v>
      </c>
      <c r="J177">
        <v>3864</v>
      </c>
      <c r="K177">
        <v>103</v>
      </c>
      <c r="L177" t="s">
        <v>21</v>
      </c>
      <c r="M177" s="1">
        <v>43616</v>
      </c>
      <c r="N177" t="s">
        <v>37</v>
      </c>
      <c r="O177" t="s">
        <v>31</v>
      </c>
      <c r="P177" t="str">
        <f t="shared" si="48"/>
        <v>P0176</v>
      </c>
      <c r="Q177" t="str">
        <f t="shared" si="44"/>
        <v>Endocrinology</v>
      </c>
      <c r="R177">
        <f t="shared" si="45"/>
        <v>15</v>
      </c>
      <c r="S177" t="str">
        <f t="shared" ca="1" si="49"/>
        <v>No</v>
      </c>
      <c r="T177" t="str">
        <f t="shared" ca="1" si="50"/>
        <v>Mild</v>
      </c>
      <c r="U177" t="str">
        <f t="shared" ca="1" si="51"/>
        <v>Private Ward</v>
      </c>
      <c r="V177" t="str">
        <f t="shared" si="52"/>
        <v>BED0176</v>
      </c>
      <c r="W177" t="str">
        <f t="shared" ca="1" si="53"/>
        <v>ICU</v>
      </c>
      <c r="X177" t="str">
        <f t="shared" si="54"/>
        <v>NUR026</v>
      </c>
      <c r="Y177" t="str">
        <f t="shared" ca="1" si="55"/>
        <v>Morning</v>
      </c>
      <c r="Z177" t="str">
        <f t="shared" ca="1" si="56"/>
        <v>Ultrasound</v>
      </c>
      <c r="AA177" t="str">
        <f t="shared" ca="1" si="57"/>
        <v>Maintenance</v>
      </c>
      <c r="AB177" t="str">
        <f t="shared" ca="1" si="58"/>
        <v>Partially Paid</v>
      </c>
      <c r="AC177" t="str">
        <f t="shared" ca="1" si="59"/>
        <v>Cash</v>
      </c>
      <c r="AD177" t="str">
        <f t="shared" ca="1" si="60"/>
        <v>No</v>
      </c>
      <c r="AE177" t="str">
        <f t="shared" ca="1" si="61"/>
        <v>No</v>
      </c>
      <c r="AF177" t="str">
        <f t="shared" ca="1" si="62"/>
        <v>Transferred</v>
      </c>
      <c r="AG177" t="str">
        <f t="shared" ca="1" si="63"/>
        <v>Northeast</v>
      </c>
      <c r="AH177" t="str">
        <f t="shared" si="46"/>
        <v>May</v>
      </c>
      <c r="AI177">
        <f t="shared" si="47"/>
        <v>2019</v>
      </c>
      <c r="AJ177" t="str">
        <f t="shared" ca="1" si="64"/>
        <v>Occupied</v>
      </c>
      <c r="AK177">
        <f t="shared" ca="1" si="65"/>
        <v>2</v>
      </c>
    </row>
    <row r="178" spans="1:37" x14ac:dyDescent="0.3">
      <c r="A178" t="s">
        <v>4619</v>
      </c>
      <c r="B178">
        <v>38</v>
      </c>
      <c r="C178" t="s">
        <v>15</v>
      </c>
      <c r="D178" t="s">
        <v>44</v>
      </c>
      <c r="E178" t="s">
        <v>48</v>
      </c>
      <c r="F178" s="1">
        <v>44412</v>
      </c>
      <c r="G178" t="s">
        <v>399</v>
      </c>
      <c r="H178" t="s">
        <v>400</v>
      </c>
      <c r="I178" t="s">
        <v>20</v>
      </c>
      <c r="J178">
        <v>21563</v>
      </c>
      <c r="K178">
        <v>400</v>
      </c>
      <c r="L178" t="s">
        <v>21</v>
      </c>
      <c r="M178" s="1">
        <v>44434</v>
      </c>
      <c r="N178" t="s">
        <v>22</v>
      </c>
      <c r="O178" t="s">
        <v>23</v>
      </c>
      <c r="P178" t="str">
        <f t="shared" si="48"/>
        <v>P0177</v>
      </c>
      <c r="Q178" t="str">
        <f t="shared" si="44"/>
        <v>Pulmonology</v>
      </c>
      <c r="R178">
        <f t="shared" si="45"/>
        <v>22</v>
      </c>
      <c r="S178" t="str">
        <f t="shared" ca="1" si="49"/>
        <v>Yes</v>
      </c>
      <c r="T178" t="str">
        <f t="shared" ca="1" si="50"/>
        <v>Critical</v>
      </c>
      <c r="U178" t="str">
        <f t="shared" ca="1" si="51"/>
        <v>Private Ward</v>
      </c>
      <c r="V178" t="str">
        <f t="shared" si="52"/>
        <v>BED0177</v>
      </c>
      <c r="W178" t="str">
        <f t="shared" ca="1" si="53"/>
        <v>General</v>
      </c>
      <c r="X178" t="str">
        <f t="shared" si="54"/>
        <v>NUR027</v>
      </c>
      <c r="Y178" t="str">
        <f t="shared" ca="1" si="55"/>
        <v>Morning</v>
      </c>
      <c r="Z178" t="str">
        <f t="shared" ca="1" si="56"/>
        <v>X-Ray</v>
      </c>
      <c r="AA178" t="str">
        <f t="shared" ca="1" si="57"/>
        <v>Available</v>
      </c>
      <c r="AB178" t="str">
        <f t="shared" ca="1" si="58"/>
        <v>Paid</v>
      </c>
      <c r="AC178" t="str">
        <f t="shared" ca="1" si="59"/>
        <v>Credit Card</v>
      </c>
      <c r="AD178" t="str">
        <f t="shared" ca="1" si="60"/>
        <v>No</v>
      </c>
      <c r="AE178" t="str">
        <f t="shared" ca="1" si="61"/>
        <v>No</v>
      </c>
      <c r="AF178" t="str">
        <f t="shared" ca="1" si="62"/>
        <v>Transferred</v>
      </c>
      <c r="AG178" t="str">
        <f t="shared" ca="1" si="63"/>
        <v>Southeast</v>
      </c>
      <c r="AH178" t="str">
        <f t="shared" si="46"/>
        <v>August</v>
      </c>
      <c r="AI178">
        <f t="shared" si="47"/>
        <v>2021</v>
      </c>
      <c r="AJ178" t="str">
        <f t="shared" ca="1" si="64"/>
        <v>Occupied</v>
      </c>
      <c r="AK178">
        <f t="shared" ca="1" si="65"/>
        <v>1</v>
      </c>
    </row>
    <row r="179" spans="1:37" x14ac:dyDescent="0.3">
      <c r="A179" t="s">
        <v>4620</v>
      </c>
      <c r="B179">
        <v>75</v>
      </c>
      <c r="C179" t="s">
        <v>32</v>
      </c>
      <c r="D179" t="s">
        <v>16</v>
      </c>
      <c r="E179" t="s">
        <v>17</v>
      </c>
      <c r="F179" s="1">
        <v>43833</v>
      </c>
      <c r="G179" t="s">
        <v>401</v>
      </c>
      <c r="H179" t="s">
        <v>402</v>
      </c>
      <c r="I179" t="s">
        <v>28</v>
      </c>
      <c r="J179">
        <v>11815</v>
      </c>
      <c r="K179">
        <v>401</v>
      </c>
      <c r="L179" t="s">
        <v>42</v>
      </c>
      <c r="M179" s="1">
        <v>43857</v>
      </c>
      <c r="N179" t="s">
        <v>30</v>
      </c>
      <c r="O179" t="s">
        <v>43</v>
      </c>
      <c r="P179" t="str">
        <f t="shared" si="48"/>
        <v>P0178</v>
      </c>
      <c r="Q179" t="str">
        <f t="shared" si="44"/>
        <v>Oncology</v>
      </c>
      <c r="R179">
        <f t="shared" si="45"/>
        <v>24</v>
      </c>
      <c r="S179" t="str">
        <f t="shared" ca="1" si="49"/>
        <v>No</v>
      </c>
      <c r="T179" t="str">
        <f t="shared" ca="1" si="50"/>
        <v>Severe</v>
      </c>
      <c r="U179" t="str">
        <f t="shared" ca="1" si="51"/>
        <v>ICU</v>
      </c>
      <c r="V179" t="str">
        <f t="shared" si="52"/>
        <v>BED0178</v>
      </c>
      <c r="W179" t="str">
        <f t="shared" ca="1" si="53"/>
        <v>ICU</v>
      </c>
      <c r="X179" t="str">
        <f t="shared" si="54"/>
        <v>NUR028</v>
      </c>
      <c r="Y179" t="str">
        <f t="shared" ca="1" si="55"/>
        <v>Night</v>
      </c>
      <c r="Z179" t="str">
        <f t="shared" ca="1" si="56"/>
        <v>MRI Scanner</v>
      </c>
      <c r="AA179" t="str">
        <f t="shared" ca="1" si="57"/>
        <v>Available</v>
      </c>
      <c r="AB179" t="str">
        <f t="shared" ca="1" si="58"/>
        <v>Partially Paid</v>
      </c>
      <c r="AC179" t="str">
        <f t="shared" ca="1" si="59"/>
        <v>Bank Transfer</v>
      </c>
      <c r="AD179" t="str">
        <f t="shared" ca="1" si="60"/>
        <v>No</v>
      </c>
      <c r="AE179" t="str">
        <f t="shared" ca="1" si="61"/>
        <v>No</v>
      </c>
      <c r="AF179" t="str">
        <f t="shared" ca="1" si="62"/>
        <v>Recovered</v>
      </c>
      <c r="AG179" t="str">
        <f t="shared" ca="1" si="63"/>
        <v>Northeast</v>
      </c>
      <c r="AH179" t="str">
        <f t="shared" si="46"/>
        <v>January</v>
      </c>
      <c r="AI179">
        <f t="shared" si="47"/>
        <v>2020</v>
      </c>
      <c r="AJ179" t="str">
        <f t="shared" ca="1" si="64"/>
        <v>Occupied</v>
      </c>
      <c r="AK179">
        <f t="shared" ca="1" si="65"/>
        <v>2</v>
      </c>
    </row>
    <row r="180" spans="1:37" x14ac:dyDescent="0.3">
      <c r="A180" t="s">
        <v>4621</v>
      </c>
      <c r="B180">
        <v>28</v>
      </c>
      <c r="C180" t="s">
        <v>15</v>
      </c>
      <c r="D180" t="s">
        <v>24</v>
      </c>
      <c r="E180" t="s">
        <v>64</v>
      </c>
      <c r="F180" s="1">
        <v>44817</v>
      </c>
      <c r="G180" t="s">
        <v>403</v>
      </c>
      <c r="H180" t="s">
        <v>404</v>
      </c>
      <c r="I180" t="s">
        <v>57</v>
      </c>
      <c r="J180">
        <v>25797</v>
      </c>
      <c r="K180">
        <v>258</v>
      </c>
      <c r="L180" t="s">
        <v>21</v>
      </c>
      <c r="M180" s="1">
        <v>44841</v>
      </c>
      <c r="N180" t="s">
        <v>67</v>
      </c>
      <c r="O180" t="s">
        <v>43</v>
      </c>
      <c r="P180" t="str">
        <f t="shared" si="48"/>
        <v>P0179</v>
      </c>
      <c r="Q180" t="str">
        <f t="shared" si="44"/>
        <v>Cardiology</v>
      </c>
      <c r="R180">
        <f t="shared" si="45"/>
        <v>24</v>
      </c>
      <c r="S180" t="str">
        <f t="shared" ca="1" si="49"/>
        <v>No</v>
      </c>
      <c r="T180" t="str">
        <f t="shared" ca="1" si="50"/>
        <v>Critical</v>
      </c>
      <c r="U180" t="str">
        <f t="shared" ca="1" si="51"/>
        <v>Private Ward</v>
      </c>
      <c r="V180" t="str">
        <f t="shared" si="52"/>
        <v>BED0179</v>
      </c>
      <c r="W180" t="str">
        <f t="shared" ca="1" si="53"/>
        <v>General</v>
      </c>
      <c r="X180" t="str">
        <f t="shared" si="54"/>
        <v>NUR029</v>
      </c>
      <c r="Y180" t="str">
        <f t="shared" ca="1" si="55"/>
        <v>Night</v>
      </c>
      <c r="Z180" t="str">
        <f t="shared" ca="1" si="56"/>
        <v>ECG Machine</v>
      </c>
      <c r="AA180" t="str">
        <f t="shared" ca="1" si="57"/>
        <v>Maintenance</v>
      </c>
      <c r="AB180" t="str">
        <f t="shared" ca="1" si="58"/>
        <v>Partially Paid</v>
      </c>
      <c r="AC180" t="str">
        <f t="shared" ca="1" si="59"/>
        <v>Bank Transfer</v>
      </c>
      <c r="AD180" t="str">
        <f t="shared" ca="1" si="60"/>
        <v>No</v>
      </c>
      <c r="AE180" t="str">
        <f t="shared" ca="1" si="61"/>
        <v>No</v>
      </c>
      <c r="AF180" t="str">
        <f t="shared" ca="1" si="62"/>
        <v>Under Observation</v>
      </c>
      <c r="AG180" t="str">
        <f t="shared" ca="1" si="63"/>
        <v>Midwest</v>
      </c>
      <c r="AH180" t="str">
        <f t="shared" si="46"/>
        <v>September</v>
      </c>
      <c r="AI180">
        <f t="shared" si="47"/>
        <v>2022</v>
      </c>
      <c r="AJ180" t="str">
        <f t="shared" ca="1" si="64"/>
        <v>Occupied</v>
      </c>
      <c r="AK180">
        <f t="shared" ca="1" si="65"/>
        <v>1</v>
      </c>
    </row>
    <row r="181" spans="1:37" x14ac:dyDescent="0.3">
      <c r="A181" t="s">
        <v>4622</v>
      </c>
      <c r="B181">
        <v>36</v>
      </c>
      <c r="C181" t="s">
        <v>15</v>
      </c>
      <c r="D181" t="s">
        <v>98</v>
      </c>
      <c r="E181" t="s">
        <v>64</v>
      </c>
      <c r="F181" s="1">
        <v>44184</v>
      </c>
      <c r="G181" t="s">
        <v>405</v>
      </c>
      <c r="H181" t="s">
        <v>406</v>
      </c>
      <c r="I181" t="s">
        <v>51</v>
      </c>
      <c r="J181">
        <v>4267</v>
      </c>
      <c r="K181">
        <v>268</v>
      </c>
      <c r="L181" t="s">
        <v>29</v>
      </c>
      <c r="M181" s="1">
        <v>44205</v>
      </c>
      <c r="N181" t="s">
        <v>67</v>
      </c>
      <c r="O181" t="s">
        <v>23</v>
      </c>
      <c r="P181" t="str">
        <f t="shared" si="48"/>
        <v>P0180</v>
      </c>
      <c r="Q181" t="str">
        <f t="shared" si="44"/>
        <v>Cardiology</v>
      </c>
      <c r="R181">
        <f t="shared" si="45"/>
        <v>21</v>
      </c>
      <c r="S181" t="str">
        <f t="shared" ca="1" si="49"/>
        <v>No</v>
      </c>
      <c r="T181" t="str">
        <f t="shared" ca="1" si="50"/>
        <v>Severe</v>
      </c>
      <c r="U181" t="str">
        <f t="shared" ca="1" si="51"/>
        <v>Emergency</v>
      </c>
      <c r="V181" t="str">
        <f t="shared" si="52"/>
        <v>BED0180</v>
      </c>
      <c r="W181" t="str">
        <f t="shared" ca="1" si="53"/>
        <v>General</v>
      </c>
      <c r="X181" t="str">
        <f t="shared" si="54"/>
        <v>NUR030</v>
      </c>
      <c r="Y181" t="str">
        <f t="shared" ca="1" si="55"/>
        <v>Night</v>
      </c>
      <c r="Z181" t="str">
        <f t="shared" ca="1" si="56"/>
        <v>ECG Machine</v>
      </c>
      <c r="AA181" t="str">
        <f t="shared" ca="1" si="57"/>
        <v>In Use</v>
      </c>
      <c r="AB181" t="str">
        <f t="shared" ca="1" si="58"/>
        <v>Pending</v>
      </c>
      <c r="AC181" t="str">
        <f t="shared" ca="1" si="59"/>
        <v>Debit Card</v>
      </c>
      <c r="AD181" t="str">
        <f t="shared" ca="1" si="60"/>
        <v>No</v>
      </c>
      <c r="AE181" t="str">
        <f t="shared" ca="1" si="61"/>
        <v>No</v>
      </c>
      <c r="AF181" t="str">
        <f t="shared" ca="1" si="62"/>
        <v>Recovered</v>
      </c>
      <c r="AG181" t="str">
        <f t="shared" ca="1" si="63"/>
        <v>Northeast</v>
      </c>
      <c r="AH181" t="str">
        <f t="shared" si="46"/>
        <v>December</v>
      </c>
      <c r="AI181">
        <f t="shared" si="47"/>
        <v>2020</v>
      </c>
      <c r="AJ181" t="str">
        <f t="shared" ca="1" si="64"/>
        <v>Occupied</v>
      </c>
      <c r="AK181">
        <f t="shared" ca="1" si="65"/>
        <v>2</v>
      </c>
    </row>
    <row r="182" spans="1:37" x14ac:dyDescent="0.3">
      <c r="A182" t="s">
        <v>4623</v>
      </c>
      <c r="B182">
        <v>54</v>
      </c>
      <c r="C182" t="s">
        <v>15</v>
      </c>
      <c r="D182" t="s">
        <v>44</v>
      </c>
      <c r="E182" t="s">
        <v>25</v>
      </c>
      <c r="F182" s="1">
        <v>45016</v>
      </c>
      <c r="G182" t="s">
        <v>407</v>
      </c>
      <c r="H182" t="s">
        <v>408</v>
      </c>
      <c r="I182" t="s">
        <v>57</v>
      </c>
      <c r="J182">
        <v>4751</v>
      </c>
      <c r="K182">
        <v>192</v>
      </c>
      <c r="L182" t="s">
        <v>21</v>
      </c>
      <c r="M182" s="1">
        <v>45045</v>
      </c>
      <c r="N182" t="s">
        <v>47</v>
      </c>
      <c r="O182" t="s">
        <v>31</v>
      </c>
      <c r="P182" t="str">
        <f t="shared" si="48"/>
        <v>P0181</v>
      </c>
      <c r="Q182" t="str">
        <f t="shared" si="44"/>
        <v>Nutrition</v>
      </c>
      <c r="R182">
        <f t="shared" si="45"/>
        <v>29</v>
      </c>
      <c r="S182" t="str">
        <f t="shared" ca="1" si="49"/>
        <v>No</v>
      </c>
      <c r="T182" t="str">
        <f t="shared" ca="1" si="50"/>
        <v>Critical</v>
      </c>
      <c r="U182" t="str">
        <f t="shared" ca="1" si="51"/>
        <v>ICU</v>
      </c>
      <c r="V182" t="str">
        <f t="shared" si="52"/>
        <v>BED0181</v>
      </c>
      <c r="W182" t="str">
        <f t="shared" ca="1" si="53"/>
        <v>Private</v>
      </c>
      <c r="X182" t="str">
        <f t="shared" si="54"/>
        <v>NUR031</v>
      </c>
      <c r="Y182" t="str">
        <f t="shared" ca="1" si="55"/>
        <v>Morning</v>
      </c>
      <c r="Z182" t="str">
        <f t="shared" ca="1" si="56"/>
        <v>Ultrasound</v>
      </c>
      <c r="AA182" t="str">
        <f t="shared" ca="1" si="57"/>
        <v>Maintenance</v>
      </c>
      <c r="AB182" t="str">
        <f t="shared" ca="1" si="58"/>
        <v>Pending</v>
      </c>
      <c r="AC182" t="str">
        <f t="shared" ca="1" si="59"/>
        <v>Insurance</v>
      </c>
      <c r="AD182" t="str">
        <f t="shared" ca="1" si="60"/>
        <v>No</v>
      </c>
      <c r="AE182" t="str">
        <f t="shared" ca="1" si="61"/>
        <v>No</v>
      </c>
      <c r="AF182" t="str">
        <f t="shared" ca="1" si="62"/>
        <v>Recovered</v>
      </c>
      <c r="AG182" t="str">
        <f t="shared" ca="1" si="63"/>
        <v>Southeast</v>
      </c>
      <c r="AH182" t="str">
        <f t="shared" si="46"/>
        <v>March</v>
      </c>
      <c r="AI182">
        <f t="shared" si="47"/>
        <v>2023</v>
      </c>
      <c r="AJ182" t="str">
        <f t="shared" ca="1" si="64"/>
        <v>Occupied</v>
      </c>
      <c r="AK182">
        <f t="shared" ca="1" si="65"/>
        <v>1</v>
      </c>
    </row>
    <row r="183" spans="1:37" x14ac:dyDescent="0.3">
      <c r="A183" t="s">
        <v>4624</v>
      </c>
      <c r="B183">
        <v>81</v>
      </c>
      <c r="C183" t="s">
        <v>32</v>
      </c>
      <c r="D183" t="s">
        <v>16</v>
      </c>
      <c r="E183" t="s">
        <v>39</v>
      </c>
      <c r="F183" s="1">
        <v>43959</v>
      </c>
      <c r="G183" t="s">
        <v>409</v>
      </c>
      <c r="H183" t="s">
        <v>410</v>
      </c>
      <c r="I183" t="s">
        <v>36</v>
      </c>
      <c r="J183">
        <v>17968</v>
      </c>
      <c r="K183">
        <v>285</v>
      </c>
      <c r="L183" t="s">
        <v>29</v>
      </c>
      <c r="M183" s="1">
        <v>43979</v>
      </c>
      <c r="N183" t="s">
        <v>67</v>
      </c>
      <c r="O183" t="s">
        <v>31</v>
      </c>
      <c r="P183" t="str">
        <f t="shared" si="48"/>
        <v>P0182</v>
      </c>
      <c r="Q183" t="str">
        <f t="shared" si="44"/>
        <v>Endocrinology</v>
      </c>
      <c r="R183">
        <f t="shared" si="45"/>
        <v>20</v>
      </c>
      <c r="S183" t="str">
        <f t="shared" ca="1" si="49"/>
        <v>No</v>
      </c>
      <c r="T183" t="str">
        <f t="shared" ca="1" si="50"/>
        <v>Moderate</v>
      </c>
      <c r="U183" t="str">
        <f t="shared" ca="1" si="51"/>
        <v>General Ward</v>
      </c>
      <c r="V183" t="str">
        <f t="shared" si="52"/>
        <v>BED0182</v>
      </c>
      <c r="W183" t="str">
        <f t="shared" ca="1" si="53"/>
        <v>Semi-Private</v>
      </c>
      <c r="X183" t="str">
        <f t="shared" si="54"/>
        <v>NUR032</v>
      </c>
      <c r="Y183" t="str">
        <f t="shared" ca="1" si="55"/>
        <v>Morning</v>
      </c>
      <c r="Z183" t="str">
        <f t="shared" ca="1" si="56"/>
        <v>ECG Machine</v>
      </c>
      <c r="AA183" t="str">
        <f t="shared" ca="1" si="57"/>
        <v>Available</v>
      </c>
      <c r="AB183" t="str">
        <f t="shared" ca="1" si="58"/>
        <v>Pending</v>
      </c>
      <c r="AC183" t="str">
        <f t="shared" ca="1" si="59"/>
        <v>Insurance</v>
      </c>
      <c r="AD183" t="str">
        <f t="shared" ca="1" si="60"/>
        <v>Yes</v>
      </c>
      <c r="AE183" t="str">
        <f t="shared" ca="1" si="61"/>
        <v>No</v>
      </c>
      <c r="AF183" t="str">
        <f t="shared" ca="1" si="62"/>
        <v>Under Observation</v>
      </c>
      <c r="AG183" t="str">
        <f t="shared" ca="1" si="63"/>
        <v>Southeast</v>
      </c>
      <c r="AH183" t="str">
        <f t="shared" si="46"/>
        <v>May</v>
      </c>
      <c r="AI183">
        <f t="shared" si="47"/>
        <v>2020</v>
      </c>
      <c r="AJ183" t="str">
        <f t="shared" ca="1" si="64"/>
        <v>Occupied</v>
      </c>
      <c r="AK183">
        <f t="shared" ca="1" si="65"/>
        <v>1</v>
      </c>
    </row>
    <row r="184" spans="1:37" x14ac:dyDescent="0.3">
      <c r="A184" t="s">
        <v>4625</v>
      </c>
      <c r="B184">
        <v>56</v>
      </c>
      <c r="C184" t="s">
        <v>32</v>
      </c>
      <c r="D184" t="s">
        <v>44</v>
      </c>
      <c r="E184" t="s">
        <v>25</v>
      </c>
      <c r="F184" s="1">
        <v>45138</v>
      </c>
      <c r="G184" t="s">
        <v>411</v>
      </c>
      <c r="H184" t="s">
        <v>412</v>
      </c>
      <c r="I184" t="s">
        <v>57</v>
      </c>
      <c r="J184">
        <v>11311</v>
      </c>
      <c r="K184">
        <v>302</v>
      </c>
      <c r="L184" t="s">
        <v>21</v>
      </c>
      <c r="M184" s="1">
        <v>45140</v>
      </c>
      <c r="N184" t="s">
        <v>67</v>
      </c>
      <c r="O184" t="s">
        <v>23</v>
      </c>
      <c r="P184" t="str">
        <f t="shared" si="48"/>
        <v>P0183</v>
      </c>
      <c r="Q184" t="str">
        <f t="shared" si="44"/>
        <v>Nutrition</v>
      </c>
      <c r="R184">
        <f t="shared" si="45"/>
        <v>2</v>
      </c>
      <c r="S184" t="str">
        <f t="shared" ca="1" si="49"/>
        <v>No</v>
      </c>
      <c r="T184" t="str">
        <f t="shared" ca="1" si="50"/>
        <v>Severe</v>
      </c>
      <c r="U184" t="str">
        <f t="shared" ca="1" si="51"/>
        <v>ICU</v>
      </c>
      <c r="V184" t="str">
        <f t="shared" si="52"/>
        <v>BED0183</v>
      </c>
      <c r="W184" t="str">
        <f t="shared" ca="1" si="53"/>
        <v>General</v>
      </c>
      <c r="X184" t="str">
        <f t="shared" si="54"/>
        <v>NUR033</v>
      </c>
      <c r="Y184" t="str">
        <f t="shared" ca="1" si="55"/>
        <v>Morning</v>
      </c>
      <c r="Z184" t="str">
        <f t="shared" ca="1" si="56"/>
        <v>X-Ray</v>
      </c>
      <c r="AA184" t="str">
        <f t="shared" ca="1" si="57"/>
        <v>Maintenance</v>
      </c>
      <c r="AB184" t="str">
        <f t="shared" ca="1" si="58"/>
        <v>Pending</v>
      </c>
      <c r="AC184" t="str">
        <f t="shared" ca="1" si="59"/>
        <v>Insurance</v>
      </c>
      <c r="AD184" t="str">
        <f t="shared" ca="1" si="60"/>
        <v>Yes</v>
      </c>
      <c r="AE184" t="str">
        <f t="shared" ca="1" si="61"/>
        <v>No</v>
      </c>
      <c r="AF184" t="str">
        <f t="shared" ca="1" si="62"/>
        <v>Transferred</v>
      </c>
      <c r="AG184" t="str">
        <f t="shared" ca="1" si="63"/>
        <v>Northeast</v>
      </c>
      <c r="AH184" t="str">
        <f t="shared" si="46"/>
        <v>July</v>
      </c>
      <c r="AI184">
        <f t="shared" si="47"/>
        <v>2023</v>
      </c>
      <c r="AJ184" t="str">
        <f t="shared" ca="1" si="64"/>
        <v>Occupied</v>
      </c>
      <c r="AK184">
        <f t="shared" ca="1" si="65"/>
        <v>2</v>
      </c>
    </row>
    <row r="185" spans="1:37" x14ac:dyDescent="0.3">
      <c r="A185" t="s">
        <v>4626</v>
      </c>
      <c r="B185">
        <v>30</v>
      </c>
      <c r="C185" t="s">
        <v>15</v>
      </c>
      <c r="D185" t="s">
        <v>52</v>
      </c>
      <c r="E185" t="s">
        <v>64</v>
      </c>
      <c r="F185" s="1">
        <v>44570</v>
      </c>
      <c r="G185" t="s">
        <v>413</v>
      </c>
      <c r="H185" t="s">
        <v>414</v>
      </c>
      <c r="I185" t="s">
        <v>20</v>
      </c>
      <c r="J185">
        <v>47242</v>
      </c>
      <c r="K185">
        <v>418</v>
      </c>
      <c r="L185" t="s">
        <v>29</v>
      </c>
      <c r="M185" s="1">
        <v>44573</v>
      </c>
      <c r="N185" t="s">
        <v>30</v>
      </c>
      <c r="O185" t="s">
        <v>31</v>
      </c>
      <c r="P185" t="str">
        <f t="shared" si="48"/>
        <v>P0184</v>
      </c>
      <c r="Q185" t="str">
        <f t="shared" si="44"/>
        <v>Cardiology</v>
      </c>
      <c r="R185">
        <f t="shared" si="45"/>
        <v>3</v>
      </c>
      <c r="S185" t="str">
        <f t="shared" ca="1" si="49"/>
        <v>No</v>
      </c>
      <c r="T185" t="str">
        <f t="shared" ca="1" si="50"/>
        <v>Mild</v>
      </c>
      <c r="U185" t="str">
        <f t="shared" ca="1" si="51"/>
        <v>Semi-Private</v>
      </c>
      <c r="V185" t="str">
        <f t="shared" si="52"/>
        <v>BED0184</v>
      </c>
      <c r="W185" t="str">
        <f t="shared" ca="1" si="53"/>
        <v>Semi-Private</v>
      </c>
      <c r="X185" t="str">
        <f t="shared" si="54"/>
        <v>NUR034</v>
      </c>
      <c r="Y185" t="str">
        <f t="shared" ca="1" si="55"/>
        <v>Night</v>
      </c>
      <c r="Z185" t="str">
        <f t="shared" ca="1" si="56"/>
        <v>ECG Machine</v>
      </c>
      <c r="AA185" t="str">
        <f t="shared" ca="1" si="57"/>
        <v>In Use</v>
      </c>
      <c r="AB185" t="str">
        <f t="shared" ca="1" si="58"/>
        <v>Pending</v>
      </c>
      <c r="AC185" t="str">
        <f t="shared" ca="1" si="59"/>
        <v>Insurance</v>
      </c>
      <c r="AD185" t="str">
        <f t="shared" ca="1" si="60"/>
        <v>No</v>
      </c>
      <c r="AE185" t="str">
        <f t="shared" ca="1" si="61"/>
        <v>No</v>
      </c>
      <c r="AF185" t="str">
        <f t="shared" ca="1" si="62"/>
        <v>Transferred</v>
      </c>
      <c r="AG185" t="str">
        <f t="shared" ca="1" si="63"/>
        <v>Midwest</v>
      </c>
      <c r="AH185" t="str">
        <f t="shared" si="46"/>
        <v>January</v>
      </c>
      <c r="AI185">
        <f t="shared" si="47"/>
        <v>2022</v>
      </c>
      <c r="AJ185" t="str">
        <f t="shared" ca="1" si="64"/>
        <v>Occupied</v>
      </c>
      <c r="AK185">
        <f t="shared" ca="1" si="65"/>
        <v>4</v>
      </c>
    </row>
    <row r="186" spans="1:37" x14ac:dyDescent="0.3">
      <c r="A186" t="s">
        <v>4627</v>
      </c>
      <c r="B186">
        <v>64</v>
      </c>
      <c r="C186" t="s">
        <v>32</v>
      </c>
      <c r="D186" t="s">
        <v>33</v>
      </c>
      <c r="E186" t="s">
        <v>39</v>
      </c>
      <c r="F186" s="1">
        <v>45276</v>
      </c>
      <c r="G186" t="s">
        <v>415</v>
      </c>
      <c r="H186" t="s">
        <v>416</v>
      </c>
      <c r="I186" t="s">
        <v>57</v>
      </c>
      <c r="J186">
        <v>17671</v>
      </c>
      <c r="K186">
        <v>128</v>
      </c>
      <c r="L186" t="s">
        <v>42</v>
      </c>
      <c r="M186" s="1">
        <v>45306</v>
      </c>
      <c r="N186" t="s">
        <v>22</v>
      </c>
      <c r="O186" t="s">
        <v>31</v>
      </c>
      <c r="P186" t="str">
        <f t="shared" si="48"/>
        <v>P0185</v>
      </c>
      <c r="Q186" t="str">
        <f t="shared" si="44"/>
        <v>Endocrinology</v>
      </c>
      <c r="R186">
        <f t="shared" si="45"/>
        <v>30</v>
      </c>
      <c r="S186" t="str">
        <f t="shared" ca="1" si="49"/>
        <v>No</v>
      </c>
      <c r="T186" t="str">
        <f t="shared" ca="1" si="50"/>
        <v>Mild</v>
      </c>
      <c r="U186" t="str">
        <f t="shared" ca="1" si="51"/>
        <v>Semi-Private</v>
      </c>
      <c r="V186" t="str">
        <f t="shared" si="52"/>
        <v>BED0185</v>
      </c>
      <c r="W186" t="str">
        <f t="shared" ca="1" si="53"/>
        <v>Private</v>
      </c>
      <c r="X186" t="str">
        <f t="shared" si="54"/>
        <v>NUR035</v>
      </c>
      <c r="Y186" t="str">
        <f t="shared" ca="1" si="55"/>
        <v>Night</v>
      </c>
      <c r="Z186" t="str">
        <f t="shared" ca="1" si="56"/>
        <v>MRI Scanner</v>
      </c>
      <c r="AA186" t="str">
        <f t="shared" ca="1" si="57"/>
        <v>Available</v>
      </c>
      <c r="AB186" t="str">
        <f t="shared" ca="1" si="58"/>
        <v>Paid</v>
      </c>
      <c r="AC186" t="str">
        <f t="shared" ca="1" si="59"/>
        <v>Cash</v>
      </c>
      <c r="AD186" t="str">
        <f t="shared" ca="1" si="60"/>
        <v>No</v>
      </c>
      <c r="AE186" t="str">
        <f t="shared" ca="1" si="61"/>
        <v>No</v>
      </c>
      <c r="AF186" t="str">
        <f t="shared" ca="1" si="62"/>
        <v>Transferred</v>
      </c>
      <c r="AG186" t="str">
        <f t="shared" ca="1" si="63"/>
        <v>West Coast</v>
      </c>
      <c r="AH186" t="str">
        <f t="shared" si="46"/>
        <v>December</v>
      </c>
      <c r="AI186">
        <f t="shared" si="47"/>
        <v>2023</v>
      </c>
      <c r="AJ186" t="str">
        <f t="shared" ca="1" si="64"/>
        <v>Vacant</v>
      </c>
      <c r="AK186">
        <f t="shared" ca="1" si="65"/>
        <v>2</v>
      </c>
    </row>
    <row r="187" spans="1:37" x14ac:dyDescent="0.3">
      <c r="A187" t="s">
        <v>4628</v>
      </c>
      <c r="B187">
        <v>76</v>
      </c>
      <c r="C187" t="s">
        <v>15</v>
      </c>
      <c r="D187" t="s">
        <v>24</v>
      </c>
      <c r="E187" t="s">
        <v>25</v>
      </c>
      <c r="F187" s="1">
        <v>44170</v>
      </c>
      <c r="G187" t="s">
        <v>417</v>
      </c>
      <c r="H187" t="s">
        <v>418</v>
      </c>
      <c r="I187" t="s">
        <v>28</v>
      </c>
      <c r="J187">
        <v>5715</v>
      </c>
      <c r="K187">
        <v>238</v>
      </c>
      <c r="L187" t="s">
        <v>42</v>
      </c>
      <c r="M187" s="1">
        <v>44183</v>
      </c>
      <c r="N187" t="s">
        <v>67</v>
      </c>
      <c r="O187" t="s">
        <v>43</v>
      </c>
      <c r="P187" t="str">
        <f t="shared" si="48"/>
        <v>P0186</v>
      </c>
      <c r="Q187" t="str">
        <f t="shared" si="44"/>
        <v>Nutrition</v>
      </c>
      <c r="R187">
        <f t="shared" si="45"/>
        <v>13</v>
      </c>
      <c r="S187" t="str">
        <f t="shared" ca="1" si="49"/>
        <v>No</v>
      </c>
      <c r="T187" t="str">
        <f t="shared" ca="1" si="50"/>
        <v>Moderate</v>
      </c>
      <c r="U187" t="str">
        <f t="shared" ca="1" si="51"/>
        <v>Emergency</v>
      </c>
      <c r="V187" t="str">
        <f t="shared" si="52"/>
        <v>BED0186</v>
      </c>
      <c r="W187" t="str">
        <f t="shared" ca="1" si="53"/>
        <v>Private</v>
      </c>
      <c r="X187" t="str">
        <f t="shared" si="54"/>
        <v>NUR036</v>
      </c>
      <c r="Y187" t="str">
        <f t="shared" ca="1" si="55"/>
        <v>Evening</v>
      </c>
      <c r="Z187" t="str">
        <f t="shared" ca="1" si="56"/>
        <v>CT Scanner</v>
      </c>
      <c r="AA187" t="str">
        <f t="shared" ca="1" si="57"/>
        <v>In Use</v>
      </c>
      <c r="AB187" t="str">
        <f t="shared" ca="1" si="58"/>
        <v>Paid</v>
      </c>
      <c r="AC187" t="str">
        <f t="shared" ca="1" si="59"/>
        <v>Bank Transfer</v>
      </c>
      <c r="AD187" t="str">
        <f t="shared" ca="1" si="60"/>
        <v>No</v>
      </c>
      <c r="AE187" t="str">
        <f t="shared" ca="1" si="61"/>
        <v>Yes</v>
      </c>
      <c r="AF187" t="str">
        <f t="shared" ca="1" si="62"/>
        <v>Under Observation</v>
      </c>
      <c r="AG187" t="str">
        <f t="shared" ca="1" si="63"/>
        <v>Northeast</v>
      </c>
      <c r="AH187" t="str">
        <f t="shared" si="46"/>
        <v>December</v>
      </c>
      <c r="AI187">
        <f t="shared" si="47"/>
        <v>2020</v>
      </c>
      <c r="AJ187" t="str">
        <f t="shared" ca="1" si="64"/>
        <v>Occupied</v>
      </c>
      <c r="AK187">
        <f t="shared" ca="1" si="65"/>
        <v>2</v>
      </c>
    </row>
    <row r="188" spans="1:37" x14ac:dyDescent="0.3">
      <c r="A188" t="s">
        <v>4629</v>
      </c>
      <c r="B188">
        <v>21</v>
      </c>
      <c r="C188" t="s">
        <v>32</v>
      </c>
      <c r="D188" t="s">
        <v>44</v>
      </c>
      <c r="E188" t="s">
        <v>39</v>
      </c>
      <c r="F188" s="1">
        <v>44511</v>
      </c>
      <c r="G188" t="s">
        <v>419</v>
      </c>
      <c r="H188" t="s">
        <v>420</v>
      </c>
      <c r="I188" t="s">
        <v>57</v>
      </c>
      <c r="J188">
        <v>5986</v>
      </c>
      <c r="K188">
        <v>136</v>
      </c>
      <c r="L188" t="s">
        <v>21</v>
      </c>
      <c r="M188" s="1">
        <v>44534</v>
      </c>
      <c r="N188" t="s">
        <v>47</v>
      </c>
      <c r="O188" t="s">
        <v>23</v>
      </c>
      <c r="P188" t="str">
        <f t="shared" si="48"/>
        <v>P0187</v>
      </c>
      <c r="Q188" t="str">
        <f t="shared" si="44"/>
        <v>Endocrinology</v>
      </c>
      <c r="R188">
        <f t="shared" si="45"/>
        <v>23</v>
      </c>
      <c r="S188" t="str">
        <f t="shared" ca="1" si="49"/>
        <v>No</v>
      </c>
      <c r="T188" t="str">
        <f t="shared" ca="1" si="50"/>
        <v>Moderate</v>
      </c>
      <c r="U188" t="str">
        <f t="shared" ca="1" si="51"/>
        <v>ICU</v>
      </c>
      <c r="V188" t="str">
        <f t="shared" si="52"/>
        <v>BED0187</v>
      </c>
      <c r="W188" t="str">
        <f t="shared" ca="1" si="53"/>
        <v>Private</v>
      </c>
      <c r="X188" t="str">
        <f t="shared" si="54"/>
        <v>NUR037</v>
      </c>
      <c r="Y188" t="str">
        <f t="shared" ca="1" si="55"/>
        <v>Evening</v>
      </c>
      <c r="Z188" t="str">
        <f t="shared" ca="1" si="56"/>
        <v>Ventilator</v>
      </c>
      <c r="AA188" t="str">
        <f t="shared" ca="1" si="57"/>
        <v>Maintenance</v>
      </c>
      <c r="AB188" t="str">
        <f t="shared" ca="1" si="58"/>
        <v>Paid</v>
      </c>
      <c r="AC188" t="str">
        <f t="shared" ca="1" si="59"/>
        <v>Insurance</v>
      </c>
      <c r="AD188" t="str">
        <f t="shared" ca="1" si="60"/>
        <v>No</v>
      </c>
      <c r="AE188" t="str">
        <f t="shared" ca="1" si="61"/>
        <v>Yes</v>
      </c>
      <c r="AF188" t="str">
        <f t="shared" ca="1" si="62"/>
        <v>Recovered</v>
      </c>
      <c r="AG188" t="str">
        <f t="shared" ca="1" si="63"/>
        <v>Southeast</v>
      </c>
      <c r="AH188" t="str">
        <f t="shared" si="46"/>
        <v>November</v>
      </c>
      <c r="AI188">
        <f t="shared" si="47"/>
        <v>2021</v>
      </c>
      <c r="AJ188" t="str">
        <f t="shared" ca="1" si="64"/>
        <v>Vacant</v>
      </c>
      <c r="AK188">
        <f t="shared" ca="1" si="65"/>
        <v>2</v>
      </c>
    </row>
    <row r="189" spans="1:37" x14ac:dyDescent="0.3">
      <c r="A189" t="s">
        <v>4630</v>
      </c>
      <c r="B189">
        <v>59</v>
      </c>
      <c r="C189" t="s">
        <v>32</v>
      </c>
      <c r="D189" t="s">
        <v>38</v>
      </c>
      <c r="E189" t="s">
        <v>25</v>
      </c>
      <c r="F189" s="1">
        <v>43719</v>
      </c>
      <c r="G189" t="s">
        <v>421</v>
      </c>
      <c r="H189" t="s">
        <v>422</v>
      </c>
      <c r="I189" t="s">
        <v>20</v>
      </c>
      <c r="J189">
        <v>27386</v>
      </c>
      <c r="K189">
        <v>427</v>
      </c>
      <c r="L189" t="s">
        <v>29</v>
      </c>
      <c r="M189" s="1">
        <v>43723</v>
      </c>
      <c r="N189" t="s">
        <v>47</v>
      </c>
      <c r="O189" t="s">
        <v>31</v>
      </c>
      <c r="P189" t="str">
        <f t="shared" si="48"/>
        <v>P0188</v>
      </c>
      <c r="Q189" t="str">
        <f t="shared" si="44"/>
        <v>Nutrition</v>
      </c>
      <c r="R189">
        <f t="shared" si="45"/>
        <v>4</v>
      </c>
      <c r="S189" t="str">
        <f t="shared" ca="1" si="49"/>
        <v>No</v>
      </c>
      <c r="T189" t="str">
        <f t="shared" ca="1" si="50"/>
        <v>Mild</v>
      </c>
      <c r="U189" t="str">
        <f t="shared" ca="1" si="51"/>
        <v>Emergency</v>
      </c>
      <c r="V189" t="str">
        <f t="shared" si="52"/>
        <v>BED0188</v>
      </c>
      <c r="W189" t="str">
        <f t="shared" ca="1" si="53"/>
        <v>ICU</v>
      </c>
      <c r="X189" t="str">
        <f t="shared" si="54"/>
        <v>NUR038</v>
      </c>
      <c r="Y189" t="str">
        <f t="shared" ca="1" si="55"/>
        <v>Evening</v>
      </c>
      <c r="Z189" t="str">
        <f t="shared" ca="1" si="56"/>
        <v>Ventilator</v>
      </c>
      <c r="AA189" t="str">
        <f t="shared" ca="1" si="57"/>
        <v>Maintenance</v>
      </c>
      <c r="AB189" t="str">
        <f t="shared" ca="1" si="58"/>
        <v>Paid</v>
      </c>
      <c r="AC189" t="str">
        <f t="shared" ca="1" si="59"/>
        <v>Debit Card</v>
      </c>
      <c r="AD189" t="str">
        <f t="shared" ca="1" si="60"/>
        <v>No</v>
      </c>
      <c r="AE189" t="str">
        <f t="shared" ca="1" si="61"/>
        <v>No</v>
      </c>
      <c r="AF189" t="str">
        <f t="shared" ca="1" si="62"/>
        <v>Recovered</v>
      </c>
      <c r="AG189" t="str">
        <f t="shared" ca="1" si="63"/>
        <v>Southeast</v>
      </c>
      <c r="AH189" t="str">
        <f t="shared" si="46"/>
        <v>September</v>
      </c>
      <c r="AI189">
        <f t="shared" si="47"/>
        <v>2019</v>
      </c>
      <c r="AJ189" t="str">
        <f t="shared" ca="1" si="64"/>
        <v>Occupied</v>
      </c>
      <c r="AK189">
        <f t="shared" ca="1" si="65"/>
        <v>4</v>
      </c>
    </row>
    <row r="190" spans="1:37" x14ac:dyDescent="0.3">
      <c r="A190" t="s">
        <v>4631</v>
      </c>
      <c r="B190">
        <v>31</v>
      </c>
      <c r="C190" t="s">
        <v>32</v>
      </c>
      <c r="D190" t="s">
        <v>33</v>
      </c>
      <c r="E190" t="s">
        <v>39</v>
      </c>
      <c r="F190" s="1">
        <v>44180</v>
      </c>
      <c r="G190" t="s">
        <v>423</v>
      </c>
      <c r="H190" t="s">
        <v>424</v>
      </c>
      <c r="I190" t="s">
        <v>51</v>
      </c>
      <c r="J190">
        <v>3730</v>
      </c>
      <c r="K190">
        <v>218</v>
      </c>
      <c r="L190" t="s">
        <v>21</v>
      </c>
      <c r="M190" s="1">
        <v>44197</v>
      </c>
      <c r="N190" t="s">
        <v>30</v>
      </c>
      <c r="O190" t="s">
        <v>43</v>
      </c>
      <c r="P190" t="str">
        <f t="shared" si="48"/>
        <v>P0189</v>
      </c>
      <c r="Q190" t="str">
        <f t="shared" si="44"/>
        <v>Endocrinology</v>
      </c>
      <c r="R190">
        <f t="shared" si="45"/>
        <v>17</v>
      </c>
      <c r="S190" t="str">
        <f t="shared" ca="1" si="49"/>
        <v>No</v>
      </c>
      <c r="T190" t="str">
        <f t="shared" ca="1" si="50"/>
        <v>Mild</v>
      </c>
      <c r="U190" t="str">
        <f t="shared" ca="1" si="51"/>
        <v>Private Ward</v>
      </c>
      <c r="V190" t="str">
        <f t="shared" si="52"/>
        <v>BED0189</v>
      </c>
      <c r="W190" t="str">
        <f t="shared" ca="1" si="53"/>
        <v>General</v>
      </c>
      <c r="X190" t="str">
        <f t="shared" si="54"/>
        <v>NUR039</v>
      </c>
      <c r="Y190" t="str">
        <f t="shared" ca="1" si="55"/>
        <v>Morning</v>
      </c>
      <c r="Z190" t="str">
        <f t="shared" ca="1" si="56"/>
        <v>X-Ray</v>
      </c>
      <c r="AA190" t="str">
        <f t="shared" ca="1" si="57"/>
        <v>In Use</v>
      </c>
      <c r="AB190" t="str">
        <f t="shared" ca="1" si="58"/>
        <v>Pending</v>
      </c>
      <c r="AC190" t="str">
        <f t="shared" ca="1" si="59"/>
        <v>Bank Transfer</v>
      </c>
      <c r="AD190" t="str">
        <f t="shared" ca="1" si="60"/>
        <v>No</v>
      </c>
      <c r="AE190" t="str">
        <f t="shared" ca="1" si="61"/>
        <v>No</v>
      </c>
      <c r="AF190" t="str">
        <f t="shared" ca="1" si="62"/>
        <v>Recovered</v>
      </c>
      <c r="AG190" t="str">
        <f t="shared" ca="1" si="63"/>
        <v>Midwest</v>
      </c>
      <c r="AH190" t="str">
        <f t="shared" si="46"/>
        <v>December</v>
      </c>
      <c r="AI190">
        <f t="shared" si="47"/>
        <v>2020</v>
      </c>
      <c r="AJ190" t="str">
        <f t="shared" ca="1" si="64"/>
        <v>Vacant</v>
      </c>
      <c r="AK190">
        <f t="shared" ca="1" si="65"/>
        <v>4</v>
      </c>
    </row>
    <row r="191" spans="1:37" x14ac:dyDescent="0.3">
      <c r="A191" t="s">
        <v>4632</v>
      </c>
      <c r="B191">
        <v>36</v>
      </c>
      <c r="C191" t="s">
        <v>32</v>
      </c>
      <c r="D191" t="s">
        <v>38</v>
      </c>
      <c r="E191" t="s">
        <v>48</v>
      </c>
      <c r="F191" s="1">
        <v>44903</v>
      </c>
      <c r="G191" t="s">
        <v>425</v>
      </c>
      <c r="H191" t="s">
        <v>426</v>
      </c>
      <c r="I191" t="s">
        <v>20</v>
      </c>
      <c r="J191">
        <v>22481</v>
      </c>
      <c r="K191">
        <v>348</v>
      </c>
      <c r="L191" t="s">
        <v>42</v>
      </c>
      <c r="M191" s="1">
        <v>44928</v>
      </c>
      <c r="N191" t="s">
        <v>30</v>
      </c>
      <c r="O191" t="s">
        <v>31</v>
      </c>
      <c r="P191" t="str">
        <f t="shared" si="48"/>
        <v>P0190</v>
      </c>
      <c r="Q191" t="str">
        <f t="shared" si="44"/>
        <v>Pulmonology</v>
      </c>
      <c r="R191">
        <f t="shared" si="45"/>
        <v>25</v>
      </c>
      <c r="S191" t="str">
        <f t="shared" ca="1" si="49"/>
        <v>No</v>
      </c>
      <c r="T191" t="str">
        <f t="shared" ca="1" si="50"/>
        <v>Moderate</v>
      </c>
      <c r="U191" t="str">
        <f t="shared" ca="1" si="51"/>
        <v>Emergency</v>
      </c>
      <c r="V191" t="str">
        <f t="shared" si="52"/>
        <v>BED0190</v>
      </c>
      <c r="W191" t="str">
        <f t="shared" ca="1" si="53"/>
        <v>Private</v>
      </c>
      <c r="X191" t="str">
        <f t="shared" si="54"/>
        <v>NUR040</v>
      </c>
      <c r="Y191" t="str">
        <f t="shared" ca="1" si="55"/>
        <v>Evening</v>
      </c>
      <c r="Z191" t="str">
        <f t="shared" ca="1" si="56"/>
        <v>CT Scanner</v>
      </c>
      <c r="AA191" t="str">
        <f t="shared" ca="1" si="57"/>
        <v>Available</v>
      </c>
      <c r="AB191" t="str">
        <f t="shared" ca="1" si="58"/>
        <v>Pending</v>
      </c>
      <c r="AC191" t="str">
        <f t="shared" ca="1" si="59"/>
        <v>Debit Card</v>
      </c>
      <c r="AD191" t="str">
        <f t="shared" ca="1" si="60"/>
        <v>Yes</v>
      </c>
      <c r="AE191" t="str">
        <f t="shared" ca="1" si="61"/>
        <v>Yes</v>
      </c>
      <c r="AF191" t="str">
        <f t="shared" ca="1" si="62"/>
        <v>Under Observation</v>
      </c>
      <c r="AG191" t="str">
        <f t="shared" ca="1" si="63"/>
        <v>Southeast</v>
      </c>
      <c r="AH191" t="str">
        <f t="shared" si="46"/>
        <v>December</v>
      </c>
      <c r="AI191">
        <f t="shared" si="47"/>
        <v>2022</v>
      </c>
      <c r="AJ191" t="str">
        <f t="shared" ca="1" si="64"/>
        <v>Occupied</v>
      </c>
      <c r="AK191">
        <f t="shared" ca="1" si="65"/>
        <v>1</v>
      </c>
    </row>
    <row r="192" spans="1:37" x14ac:dyDescent="0.3">
      <c r="A192" t="s">
        <v>4633</v>
      </c>
      <c r="B192">
        <v>42</v>
      </c>
      <c r="C192" t="s">
        <v>32</v>
      </c>
      <c r="D192" t="s">
        <v>83</v>
      </c>
      <c r="E192" t="s">
        <v>39</v>
      </c>
      <c r="F192" s="1">
        <v>44392</v>
      </c>
      <c r="G192" t="s">
        <v>427</v>
      </c>
      <c r="H192" t="s">
        <v>428</v>
      </c>
      <c r="I192" t="s">
        <v>36</v>
      </c>
      <c r="J192">
        <v>35022</v>
      </c>
      <c r="K192">
        <v>486</v>
      </c>
      <c r="L192" t="s">
        <v>42</v>
      </c>
      <c r="M192" s="1">
        <v>44413</v>
      </c>
      <c r="N192" t="s">
        <v>37</v>
      </c>
      <c r="O192" t="s">
        <v>31</v>
      </c>
      <c r="P192" t="str">
        <f t="shared" si="48"/>
        <v>P0191</v>
      </c>
      <c r="Q192" t="str">
        <f t="shared" si="44"/>
        <v>Endocrinology</v>
      </c>
      <c r="R192">
        <f t="shared" si="45"/>
        <v>21</v>
      </c>
      <c r="S192" t="str">
        <f t="shared" ca="1" si="49"/>
        <v>No</v>
      </c>
      <c r="T192" t="str">
        <f t="shared" ca="1" si="50"/>
        <v>Moderate</v>
      </c>
      <c r="U192" t="str">
        <f t="shared" ca="1" si="51"/>
        <v>Semi-Private</v>
      </c>
      <c r="V192" t="str">
        <f t="shared" si="52"/>
        <v>BED0191</v>
      </c>
      <c r="W192" t="str">
        <f t="shared" ca="1" si="53"/>
        <v>Private</v>
      </c>
      <c r="X192" t="str">
        <f t="shared" si="54"/>
        <v>NUR041</v>
      </c>
      <c r="Y192" t="str">
        <f t="shared" ca="1" si="55"/>
        <v>Evening</v>
      </c>
      <c r="Z192" t="str">
        <f t="shared" ca="1" si="56"/>
        <v>ECG Machine</v>
      </c>
      <c r="AA192" t="str">
        <f t="shared" ca="1" si="57"/>
        <v>Maintenance</v>
      </c>
      <c r="AB192" t="str">
        <f t="shared" ca="1" si="58"/>
        <v>Pending</v>
      </c>
      <c r="AC192" t="str">
        <f t="shared" ca="1" si="59"/>
        <v>Credit Card</v>
      </c>
      <c r="AD192" t="str">
        <f t="shared" ca="1" si="60"/>
        <v>No</v>
      </c>
      <c r="AE192" t="str">
        <f t="shared" ca="1" si="61"/>
        <v>No</v>
      </c>
      <c r="AF192" t="str">
        <f t="shared" ca="1" si="62"/>
        <v>Transferred</v>
      </c>
      <c r="AG192" t="str">
        <f t="shared" ca="1" si="63"/>
        <v>Northeast</v>
      </c>
      <c r="AH192" t="str">
        <f t="shared" si="46"/>
        <v>July</v>
      </c>
      <c r="AI192">
        <f t="shared" si="47"/>
        <v>2021</v>
      </c>
      <c r="AJ192" t="str">
        <f t="shared" ca="1" si="64"/>
        <v>Occupied</v>
      </c>
      <c r="AK192">
        <f t="shared" ca="1" si="65"/>
        <v>2</v>
      </c>
    </row>
    <row r="193" spans="1:37" x14ac:dyDescent="0.3">
      <c r="A193" t="s">
        <v>4634</v>
      </c>
      <c r="B193">
        <v>18</v>
      </c>
      <c r="C193" t="s">
        <v>32</v>
      </c>
      <c r="D193" t="s">
        <v>44</v>
      </c>
      <c r="E193" t="s">
        <v>48</v>
      </c>
      <c r="F193" s="1">
        <v>44728</v>
      </c>
      <c r="G193" t="s">
        <v>429</v>
      </c>
      <c r="H193" t="s">
        <v>430</v>
      </c>
      <c r="I193" t="s">
        <v>20</v>
      </c>
      <c r="J193">
        <v>45072</v>
      </c>
      <c r="K193">
        <v>147</v>
      </c>
      <c r="L193" t="s">
        <v>21</v>
      </c>
      <c r="M193" s="1">
        <v>44746</v>
      </c>
      <c r="N193" t="s">
        <v>67</v>
      </c>
      <c r="O193" t="s">
        <v>31</v>
      </c>
      <c r="P193" t="str">
        <f t="shared" si="48"/>
        <v>P0192</v>
      </c>
      <c r="Q193" t="str">
        <f t="shared" si="44"/>
        <v>Pulmonology</v>
      </c>
      <c r="R193">
        <f t="shared" si="45"/>
        <v>18</v>
      </c>
      <c r="S193" t="str">
        <f t="shared" ca="1" si="49"/>
        <v>No</v>
      </c>
      <c r="T193" t="str">
        <f t="shared" ca="1" si="50"/>
        <v>Moderate</v>
      </c>
      <c r="U193" t="str">
        <f t="shared" ca="1" si="51"/>
        <v>Emergency</v>
      </c>
      <c r="V193" t="str">
        <f t="shared" si="52"/>
        <v>BED0192</v>
      </c>
      <c r="W193" t="str">
        <f t="shared" ca="1" si="53"/>
        <v>Semi-Private</v>
      </c>
      <c r="X193" t="str">
        <f t="shared" si="54"/>
        <v>NUR042</v>
      </c>
      <c r="Y193" t="str">
        <f t="shared" ca="1" si="55"/>
        <v>Evening</v>
      </c>
      <c r="Z193" t="str">
        <f t="shared" ca="1" si="56"/>
        <v>CT Scanner</v>
      </c>
      <c r="AA193" t="str">
        <f t="shared" ca="1" si="57"/>
        <v>In Use</v>
      </c>
      <c r="AB193" t="str">
        <f t="shared" ca="1" si="58"/>
        <v>Partially Paid</v>
      </c>
      <c r="AC193" t="str">
        <f t="shared" ca="1" si="59"/>
        <v>Bank Transfer</v>
      </c>
      <c r="AD193" t="str">
        <f t="shared" ca="1" si="60"/>
        <v>No</v>
      </c>
      <c r="AE193" t="str">
        <f t="shared" ca="1" si="61"/>
        <v>No</v>
      </c>
      <c r="AF193" t="str">
        <f t="shared" ca="1" si="62"/>
        <v>Under Observation</v>
      </c>
      <c r="AG193" t="str">
        <f t="shared" ca="1" si="63"/>
        <v>Midwest</v>
      </c>
      <c r="AH193" t="str">
        <f t="shared" si="46"/>
        <v>June</v>
      </c>
      <c r="AI193">
        <f t="shared" si="47"/>
        <v>2022</v>
      </c>
      <c r="AJ193" t="str">
        <f t="shared" ca="1" si="64"/>
        <v>Occupied</v>
      </c>
      <c r="AK193">
        <f t="shared" ca="1" si="65"/>
        <v>4</v>
      </c>
    </row>
    <row r="194" spans="1:37" x14ac:dyDescent="0.3">
      <c r="A194" t="s">
        <v>4635</v>
      </c>
      <c r="B194">
        <v>62</v>
      </c>
      <c r="C194" t="s">
        <v>32</v>
      </c>
      <c r="D194" t="s">
        <v>24</v>
      </c>
      <c r="E194" t="s">
        <v>25</v>
      </c>
      <c r="F194" s="1">
        <v>45331</v>
      </c>
      <c r="G194" t="s">
        <v>431</v>
      </c>
      <c r="H194" t="s">
        <v>432</v>
      </c>
      <c r="I194" t="s">
        <v>51</v>
      </c>
      <c r="J194">
        <v>45903</v>
      </c>
      <c r="K194">
        <v>126</v>
      </c>
      <c r="L194" t="s">
        <v>21</v>
      </c>
      <c r="M194" s="1">
        <v>45341</v>
      </c>
      <c r="N194" t="s">
        <v>37</v>
      </c>
      <c r="O194" t="s">
        <v>23</v>
      </c>
      <c r="P194" t="str">
        <f t="shared" si="48"/>
        <v>P0193</v>
      </c>
      <c r="Q194" t="str">
        <f t="shared" ref="Q194:Q257" si="66">IF(E194="Cancer","Oncology",IF(E194="Obesity","Nutrition",IF(E194="Diabetes","Endocrinology",IF(E194="Asthma","Pulmonology",IF(E194="Arthritis","Orthopedics",IF(E194="Hypertension","Cardiology","General Medicine"))))))</f>
        <v>Nutrition</v>
      </c>
      <c r="R194">
        <f t="shared" ref="R194:R257" si="67">M194-F194</f>
        <v>10</v>
      </c>
      <c r="S194" t="str">
        <f t="shared" ca="1" si="49"/>
        <v>No</v>
      </c>
      <c r="T194" t="str">
        <f t="shared" ca="1" si="50"/>
        <v>Severe</v>
      </c>
      <c r="U194" t="str">
        <f t="shared" ca="1" si="51"/>
        <v>Emergency</v>
      </c>
      <c r="V194" t="str">
        <f t="shared" si="52"/>
        <v>BED0193</v>
      </c>
      <c r="W194" t="str">
        <f t="shared" ca="1" si="53"/>
        <v>Private</v>
      </c>
      <c r="X194" t="str">
        <f t="shared" si="54"/>
        <v>NUR043</v>
      </c>
      <c r="Y194" t="str">
        <f t="shared" ca="1" si="55"/>
        <v>Evening</v>
      </c>
      <c r="Z194" t="str">
        <f t="shared" ca="1" si="56"/>
        <v>ECG Machine</v>
      </c>
      <c r="AA194" t="str">
        <f t="shared" ca="1" si="57"/>
        <v>Available</v>
      </c>
      <c r="AB194" t="str">
        <f t="shared" ca="1" si="58"/>
        <v>Partially Paid</v>
      </c>
      <c r="AC194" t="str">
        <f t="shared" ca="1" si="59"/>
        <v>Cash</v>
      </c>
      <c r="AD194" t="str">
        <f t="shared" ca="1" si="60"/>
        <v>No</v>
      </c>
      <c r="AE194" t="str">
        <f t="shared" ca="1" si="61"/>
        <v>No</v>
      </c>
      <c r="AF194" t="str">
        <f t="shared" ca="1" si="62"/>
        <v>Recovered</v>
      </c>
      <c r="AG194" t="str">
        <f t="shared" ca="1" si="63"/>
        <v>Southeast</v>
      </c>
      <c r="AH194" t="str">
        <f t="shared" ref="AH194:AH257" si="68">TEXT(F194,"MMMM")</f>
        <v>February</v>
      </c>
      <c r="AI194">
        <f t="shared" ref="AI194:AI257" si="69">YEAR(F194)</f>
        <v>2024</v>
      </c>
      <c r="AJ194" t="str">
        <f t="shared" ca="1" si="64"/>
        <v>Occupied</v>
      </c>
      <c r="AK194">
        <f t="shared" ca="1" si="65"/>
        <v>1</v>
      </c>
    </row>
    <row r="195" spans="1:37" x14ac:dyDescent="0.3">
      <c r="A195" t="s">
        <v>4636</v>
      </c>
      <c r="B195">
        <v>53</v>
      </c>
      <c r="C195" t="s">
        <v>15</v>
      </c>
      <c r="D195" t="s">
        <v>44</v>
      </c>
      <c r="E195" t="s">
        <v>64</v>
      </c>
      <c r="F195" s="1">
        <v>45355</v>
      </c>
      <c r="G195" t="s">
        <v>433</v>
      </c>
      <c r="H195" t="s">
        <v>434</v>
      </c>
      <c r="I195" t="s">
        <v>28</v>
      </c>
      <c r="J195">
        <v>28899</v>
      </c>
      <c r="K195">
        <v>314</v>
      </c>
      <c r="L195" t="s">
        <v>29</v>
      </c>
      <c r="M195" s="1">
        <v>45369</v>
      </c>
      <c r="N195" t="s">
        <v>22</v>
      </c>
      <c r="O195" t="s">
        <v>43</v>
      </c>
      <c r="P195" t="str">
        <f t="shared" ref="P195:P258" si="70">"P"&amp;TEXT(ROW()-1,"0000")</f>
        <v>P0194</v>
      </c>
      <c r="Q195" t="str">
        <f t="shared" si="66"/>
        <v>Cardiology</v>
      </c>
      <c r="R195">
        <f t="shared" si="67"/>
        <v>14</v>
      </c>
      <c r="S195" t="str">
        <f t="shared" ref="S195:S258" ca="1" si="71">IF(RAND()&lt;0.1,"Yes","No")</f>
        <v>No</v>
      </c>
      <c r="T195" t="str">
        <f t="shared" ref="T195:T258" ca="1" si="72">CHOOSE(RANDBETWEEN(1,4),"Mild","Moderate","Severe","Critical")</f>
        <v>Moderate</v>
      </c>
      <c r="U195" t="str">
        <f t="shared" ref="U195:U258" ca="1" si="73">CHOOSE(RANDBETWEEN(1,5),"General Ward","ICU","Emergency","Private Ward","Semi-Private")</f>
        <v>Private Ward</v>
      </c>
      <c r="V195" t="str">
        <f t="shared" ref="V195:V258" si="74">"BED"&amp;TEXT(ROW()-1,"0000")</f>
        <v>BED0194</v>
      </c>
      <c r="W195" t="str">
        <f t="shared" ref="W195:W258" ca="1" si="75">CHOOSE(RANDBETWEEN(1,4),"General","Private","Semi-Private","ICU")</f>
        <v>ICU</v>
      </c>
      <c r="X195" t="str">
        <f t="shared" ref="X195:X258" si="76">"NUR"&amp;TEXT(MOD(ROW()-2,50)+1,"000")</f>
        <v>NUR044</v>
      </c>
      <c r="Y195" t="str">
        <f t="shared" ref="Y195:Y258" ca="1" si="77">CHOOSE(RANDBETWEEN(1,3),"Morning","Evening","Night")</f>
        <v>Night</v>
      </c>
      <c r="Z195" t="str">
        <f t="shared" ref="Z195:Z258" ca="1" si="78">CHOOSE(RANDBETWEEN(1,6),"MRI Scanner","CT Scanner","Ventilator","X-Ray","ECG Machine","Ultrasound")</f>
        <v>X-Ray</v>
      </c>
      <c r="AA195" t="str">
        <f t="shared" ref="AA195:AA258" ca="1" si="79">CHOOSE(RANDBETWEEN(1,3),"Available","In Use","Maintenance")</f>
        <v>Maintenance</v>
      </c>
      <c r="AB195" t="str">
        <f t="shared" ref="AB195:AB258" ca="1" si="80">CHOOSE(RANDBETWEEN(1,3),"Paid","Pending","Partially Paid")</f>
        <v>Partially Paid</v>
      </c>
      <c r="AC195" t="str">
        <f t="shared" ref="AC195:AC258" ca="1" si="81">CHOOSE(RANDBETWEEN(1,5),"Cash","Credit Card","Debit Card","Insurance","Bank Transfer")</f>
        <v>Debit Card</v>
      </c>
      <c r="AD195" t="str">
        <f t="shared" ref="AD195:AD258" ca="1" si="82">IF(RAND()&lt;0.2,"Yes","No")</f>
        <v>No</v>
      </c>
      <c r="AE195" t="str">
        <f t="shared" ref="AE195:AE258" ca="1" si="83">IF(RAND()&lt;0.15,"Yes","No")</f>
        <v>No</v>
      </c>
      <c r="AF195" t="str">
        <f t="shared" ref="AF195:AF258" ca="1" si="84">CHOOSE(RANDBETWEEN(1,3),"Recovered","Transferred","Under Observation")</f>
        <v>Transferred</v>
      </c>
      <c r="AG195" t="str">
        <f t="shared" ref="AG195:AG258" ca="1" si="85">CHOOSE(RANDBETWEEN(1,5),"Northeast","Southeast","Midwest","Southwest","West Coast")</f>
        <v>West Coast</v>
      </c>
      <c r="AH195" t="str">
        <f t="shared" si="68"/>
        <v>March</v>
      </c>
      <c r="AI195">
        <f t="shared" si="69"/>
        <v>2024</v>
      </c>
      <c r="AJ195" t="str">
        <f t="shared" ref="AJ195:AJ258" ca="1" si="86">IF(RANDBETWEEN(1,100)&lt;=80,"Occupied","Vacant")</f>
        <v>Occupied</v>
      </c>
      <c r="AK195">
        <f t="shared" ref="AK195:AK258" ca="1" si="87">CHOOSE(RANDBETWEEN(1,3),1,2,4)</f>
        <v>2</v>
      </c>
    </row>
    <row r="196" spans="1:37" x14ac:dyDescent="0.3">
      <c r="A196" t="s">
        <v>4637</v>
      </c>
      <c r="B196">
        <v>82</v>
      </c>
      <c r="C196" t="s">
        <v>32</v>
      </c>
      <c r="D196" t="s">
        <v>24</v>
      </c>
      <c r="E196" t="s">
        <v>25</v>
      </c>
      <c r="F196" s="1">
        <v>44603</v>
      </c>
      <c r="G196" t="s">
        <v>435</v>
      </c>
      <c r="H196" t="s">
        <v>436</v>
      </c>
      <c r="I196" t="s">
        <v>20</v>
      </c>
      <c r="J196">
        <v>39003</v>
      </c>
      <c r="K196">
        <v>133</v>
      </c>
      <c r="L196" t="s">
        <v>42</v>
      </c>
      <c r="M196" s="1">
        <v>44617</v>
      </c>
      <c r="N196" t="s">
        <v>67</v>
      </c>
      <c r="O196" t="s">
        <v>23</v>
      </c>
      <c r="P196" t="str">
        <f t="shared" si="70"/>
        <v>P0195</v>
      </c>
      <c r="Q196" t="str">
        <f t="shared" si="66"/>
        <v>Nutrition</v>
      </c>
      <c r="R196">
        <f t="shared" si="67"/>
        <v>14</v>
      </c>
      <c r="S196" t="str">
        <f t="shared" ca="1" si="71"/>
        <v>No</v>
      </c>
      <c r="T196" t="str">
        <f t="shared" ca="1" si="72"/>
        <v>Mild</v>
      </c>
      <c r="U196" t="str">
        <f t="shared" ca="1" si="73"/>
        <v>ICU</v>
      </c>
      <c r="V196" t="str">
        <f t="shared" si="74"/>
        <v>BED0195</v>
      </c>
      <c r="W196" t="str">
        <f t="shared" ca="1" si="75"/>
        <v>General</v>
      </c>
      <c r="X196" t="str">
        <f t="shared" si="76"/>
        <v>NUR045</v>
      </c>
      <c r="Y196" t="str">
        <f t="shared" ca="1" si="77"/>
        <v>Evening</v>
      </c>
      <c r="Z196" t="str">
        <f t="shared" ca="1" si="78"/>
        <v>X-Ray</v>
      </c>
      <c r="AA196" t="str">
        <f t="shared" ca="1" si="79"/>
        <v>In Use</v>
      </c>
      <c r="AB196" t="str">
        <f t="shared" ca="1" si="80"/>
        <v>Pending</v>
      </c>
      <c r="AC196" t="str">
        <f t="shared" ca="1" si="81"/>
        <v>Credit Card</v>
      </c>
      <c r="AD196" t="str">
        <f t="shared" ca="1" si="82"/>
        <v>No</v>
      </c>
      <c r="AE196" t="str">
        <f t="shared" ca="1" si="83"/>
        <v>No</v>
      </c>
      <c r="AF196" t="str">
        <f t="shared" ca="1" si="84"/>
        <v>Under Observation</v>
      </c>
      <c r="AG196" t="str">
        <f t="shared" ca="1" si="85"/>
        <v>Northeast</v>
      </c>
      <c r="AH196" t="str">
        <f t="shared" si="68"/>
        <v>February</v>
      </c>
      <c r="AI196">
        <f t="shared" si="69"/>
        <v>2022</v>
      </c>
      <c r="AJ196" t="str">
        <f t="shared" ca="1" si="86"/>
        <v>Occupied</v>
      </c>
      <c r="AK196">
        <f t="shared" ca="1" si="87"/>
        <v>4</v>
      </c>
    </row>
    <row r="197" spans="1:37" x14ac:dyDescent="0.3">
      <c r="A197" t="s">
        <v>4638</v>
      </c>
      <c r="B197">
        <v>19</v>
      </c>
      <c r="C197" t="s">
        <v>32</v>
      </c>
      <c r="D197" t="s">
        <v>98</v>
      </c>
      <c r="E197" t="s">
        <v>39</v>
      </c>
      <c r="F197" s="1">
        <v>44600</v>
      </c>
      <c r="G197" t="s">
        <v>437</v>
      </c>
      <c r="H197" t="s">
        <v>438</v>
      </c>
      <c r="I197" t="s">
        <v>20</v>
      </c>
      <c r="J197">
        <v>10349</v>
      </c>
      <c r="K197">
        <v>271</v>
      </c>
      <c r="L197" t="s">
        <v>29</v>
      </c>
      <c r="M197" s="1">
        <v>44609</v>
      </c>
      <c r="N197" t="s">
        <v>30</v>
      </c>
      <c r="O197" t="s">
        <v>31</v>
      </c>
      <c r="P197" t="str">
        <f t="shared" si="70"/>
        <v>P0196</v>
      </c>
      <c r="Q197" t="str">
        <f t="shared" si="66"/>
        <v>Endocrinology</v>
      </c>
      <c r="R197">
        <f t="shared" si="67"/>
        <v>9</v>
      </c>
      <c r="S197" t="str">
        <f t="shared" ca="1" si="71"/>
        <v>No</v>
      </c>
      <c r="T197" t="str">
        <f t="shared" ca="1" si="72"/>
        <v>Severe</v>
      </c>
      <c r="U197" t="str">
        <f t="shared" ca="1" si="73"/>
        <v>Private Ward</v>
      </c>
      <c r="V197" t="str">
        <f t="shared" si="74"/>
        <v>BED0196</v>
      </c>
      <c r="W197" t="str">
        <f t="shared" ca="1" si="75"/>
        <v>General</v>
      </c>
      <c r="X197" t="str">
        <f t="shared" si="76"/>
        <v>NUR046</v>
      </c>
      <c r="Y197" t="str">
        <f t="shared" ca="1" si="77"/>
        <v>Evening</v>
      </c>
      <c r="Z197" t="str">
        <f t="shared" ca="1" si="78"/>
        <v>ECG Machine</v>
      </c>
      <c r="AA197" t="str">
        <f t="shared" ca="1" si="79"/>
        <v>In Use</v>
      </c>
      <c r="AB197" t="str">
        <f t="shared" ca="1" si="80"/>
        <v>Partially Paid</v>
      </c>
      <c r="AC197" t="str">
        <f t="shared" ca="1" si="81"/>
        <v>Credit Card</v>
      </c>
      <c r="AD197" t="str">
        <f t="shared" ca="1" si="82"/>
        <v>Yes</v>
      </c>
      <c r="AE197" t="str">
        <f t="shared" ca="1" si="83"/>
        <v>No</v>
      </c>
      <c r="AF197" t="str">
        <f t="shared" ca="1" si="84"/>
        <v>Recovered</v>
      </c>
      <c r="AG197" t="str">
        <f t="shared" ca="1" si="85"/>
        <v>Southwest</v>
      </c>
      <c r="AH197" t="str">
        <f t="shared" si="68"/>
        <v>February</v>
      </c>
      <c r="AI197">
        <f t="shared" si="69"/>
        <v>2022</v>
      </c>
      <c r="AJ197" t="str">
        <f t="shared" ca="1" si="86"/>
        <v>Vacant</v>
      </c>
      <c r="AK197">
        <f t="shared" ca="1" si="87"/>
        <v>2</v>
      </c>
    </row>
    <row r="198" spans="1:37" x14ac:dyDescent="0.3">
      <c r="A198" t="s">
        <v>4639</v>
      </c>
      <c r="B198">
        <v>83</v>
      </c>
      <c r="C198" t="s">
        <v>32</v>
      </c>
      <c r="D198" t="s">
        <v>33</v>
      </c>
      <c r="E198" t="s">
        <v>64</v>
      </c>
      <c r="F198" s="1">
        <v>45092</v>
      </c>
      <c r="G198" t="s">
        <v>439</v>
      </c>
      <c r="H198" t="s">
        <v>440</v>
      </c>
      <c r="I198" t="s">
        <v>51</v>
      </c>
      <c r="J198">
        <v>14372</v>
      </c>
      <c r="K198">
        <v>341</v>
      </c>
      <c r="L198" t="s">
        <v>21</v>
      </c>
      <c r="M198" s="1">
        <v>45107</v>
      </c>
      <c r="N198" t="s">
        <v>22</v>
      </c>
      <c r="O198" t="s">
        <v>31</v>
      </c>
      <c r="P198" t="str">
        <f t="shared" si="70"/>
        <v>P0197</v>
      </c>
      <c r="Q198" t="str">
        <f t="shared" si="66"/>
        <v>Cardiology</v>
      </c>
      <c r="R198">
        <f t="shared" si="67"/>
        <v>15</v>
      </c>
      <c r="S198" t="str">
        <f t="shared" ca="1" si="71"/>
        <v>No</v>
      </c>
      <c r="T198" t="str">
        <f t="shared" ca="1" si="72"/>
        <v>Mild</v>
      </c>
      <c r="U198" t="str">
        <f t="shared" ca="1" si="73"/>
        <v>Semi-Private</v>
      </c>
      <c r="V198" t="str">
        <f t="shared" si="74"/>
        <v>BED0197</v>
      </c>
      <c r="W198" t="str">
        <f t="shared" ca="1" si="75"/>
        <v>ICU</v>
      </c>
      <c r="X198" t="str">
        <f t="shared" si="76"/>
        <v>NUR047</v>
      </c>
      <c r="Y198" t="str">
        <f t="shared" ca="1" si="77"/>
        <v>Night</v>
      </c>
      <c r="Z198" t="str">
        <f t="shared" ca="1" si="78"/>
        <v>ECG Machine</v>
      </c>
      <c r="AA198" t="str">
        <f t="shared" ca="1" si="79"/>
        <v>In Use</v>
      </c>
      <c r="AB198" t="str">
        <f t="shared" ca="1" si="80"/>
        <v>Partially Paid</v>
      </c>
      <c r="AC198" t="str">
        <f t="shared" ca="1" si="81"/>
        <v>Cash</v>
      </c>
      <c r="AD198" t="str">
        <f t="shared" ca="1" si="82"/>
        <v>No</v>
      </c>
      <c r="AE198" t="str">
        <f t="shared" ca="1" si="83"/>
        <v>No</v>
      </c>
      <c r="AF198" t="str">
        <f t="shared" ca="1" si="84"/>
        <v>Recovered</v>
      </c>
      <c r="AG198" t="str">
        <f t="shared" ca="1" si="85"/>
        <v>Southeast</v>
      </c>
      <c r="AH198" t="str">
        <f t="shared" si="68"/>
        <v>June</v>
      </c>
      <c r="AI198">
        <f t="shared" si="69"/>
        <v>2023</v>
      </c>
      <c r="AJ198" t="str">
        <f t="shared" ca="1" si="86"/>
        <v>Occupied</v>
      </c>
      <c r="AK198">
        <f t="shared" ca="1" si="87"/>
        <v>4</v>
      </c>
    </row>
    <row r="199" spans="1:37" x14ac:dyDescent="0.3">
      <c r="A199" t="s">
        <v>4640</v>
      </c>
      <c r="B199">
        <v>26</v>
      </c>
      <c r="C199" t="s">
        <v>15</v>
      </c>
      <c r="D199" t="s">
        <v>98</v>
      </c>
      <c r="E199" t="s">
        <v>39</v>
      </c>
      <c r="F199" s="1">
        <v>44480</v>
      </c>
      <c r="G199" t="s">
        <v>441</v>
      </c>
      <c r="H199" t="s">
        <v>442</v>
      </c>
      <c r="I199" t="s">
        <v>51</v>
      </c>
      <c r="J199">
        <v>13769</v>
      </c>
      <c r="K199">
        <v>498</v>
      </c>
      <c r="L199" t="s">
        <v>21</v>
      </c>
      <c r="M199" s="1">
        <v>44493</v>
      </c>
      <c r="N199" t="s">
        <v>30</v>
      </c>
      <c r="O199" t="s">
        <v>43</v>
      </c>
      <c r="P199" t="str">
        <f t="shared" si="70"/>
        <v>P0198</v>
      </c>
      <c r="Q199" t="str">
        <f t="shared" si="66"/>
        <v>Endocrinology</v>
      </c>
      <c r="R199">
        <f t="shared" si="67"/>
        <v>13</v>
      </c>
      <c r="S199" t="str">
        <f t="shared" ca="1" si="71"/>
        <v>Yes</v>
      </c>
      <c r="T199" t="str">
        <f t="shared" ca="1" si="72"/>
        <v>Moderate</v>
      </c>
      <c r="U199" t="str">
        <f t="shared" ca="1" si="73"/>
        <v>General Ward</v>
      </c>
      <c r="V199" t="str">
        <f t="shared" si="74"/>
        <v>BED0198</v>
      </c>
      <c r="W199" t="str">
        <f t="shared" ca="1" si="75"/>
        <v>General</v>
      </c>
      <c r="X199" t="str">
        <f t="shared" si="76"/>
        <v>NUR048</v>
      </c>
      <c r="Y199" t="str">
        <f t="shared" ca="1" si="77"/>
        <v>Morning</v>
      </c>
      <c r="Z199" t="str">
        <f t="shared" ca="1" si="78"/>
        <v>X-Ray</v>
      </c>
      <c r="AA199" t="str">
        <f t="shared" ca="1" si="79"/>
        <v>In Use</v>
      </c>
      <c r="AB199" t="str">
        <f t="shared" ca="1" si="80"/>
        <v>Paid</v>
      </c>
      <c r="AC199" t="str">
        <f t="shared" ca="1" si="81"/>
        <v>Debit Card</v>
      </c>
      <c r="AD199" t="str">
        <f t="shared" ca="1" si="82"/>
        <v>Yes</v>
      </c>
      <c r="AE199" t="str">
        <f t="shared" ca="1" si="83"/>
        <v>No</v>
      </c>
      <c r="AF199" t="str">
        <f t="shared" ca="1" si="84"/>
        <v>Recovered</v>
      </c>
      <c r="AG199" t="str">
        <f t="shared" ca="1" si="85"/>
        <v>Southeast</v>
      </c>
      <c r="AH199" t="str">
        <f t="shared" si="68"/>
        <v>October</v>
      </c>
      <c r="AI199">
        <f t="shared" si="69"/>
        <v>2021</v>
      </c>
      <c r="AJ199" t="str">
        <f t="shared" ca="1" si="86"/>
        <v>Occupied</v>
      </c>
      <c r="AK199">
        <f t="shared" ca="1" si="87"/>
        <v>2</v>
      </c>
    </row>
    <row r="200" spans="1:37" x14ac:dyDescent="0.3">
      <c r="A200" t="s">
        <v>4641</v>
      </c>
      <c r="B200">
        <v>51</v>
      </c>
      <c r="C200" t="s">
        <v>15</v>
      </c>
      <c r="D200" t="s">
        <v>38</v>
      </c>
      <c r="E200" t="s">
        <v>76</v>
      </c>
      <c r="F200" s="1">
        <v>44542</v>
      </c>
      <c r="G200" t="s">
        <v>443</v>
      </c>
      <c r="H200" t="s">
        <v>444</v>
      </c>
      <c r="I200" t="s">
        <v>36</v>
      </c>
      <c r="J200">
        <v>35869</v>
      </c>
      <c r="K200">
        <v>309</v>
      </c>
      <c r="L200" t="s">
        <v>42</v>
      </c>
      <c r="M200" s="1">
        <v>44560</v>
      </c>
      <c r="N200" t="s">
        <v>67</v>
      </c>
      <c r="O200" t="s">
        <v>43</v>
      </c>
      <c r="P200" t="str">
        <f t="shared" si="70"/>
        <v>P0199</v>
      </c>
      <c r="Q200" t="str">
        <f t="shared" si="66"/>
        <v>Orthopedics</v>
      </c>
      <c r="R200">
        <f t="shared" si="67"/>
        <v>18</v>
      </c>
      <c r="S200" t="str">
        <f t="shared" ca="1" si="71"/>
        <v>No</v>
      </c>
      <c r="T200" t="str">
        <f t="shared" ca="1" si="72"/>
        <v>Moderate</v>
      </c>
      <c r="U200" t="str">
        <f t="shared" ca="1" si="73"/>
        <v>Emergency</v>
      </c>
      <c r="V200" t="str">
        <f t="shared" si="74"/>
        <v>BED0199</v>
      </c>
      <c r="W200" t="str">
        <f t="shared" ca="1" si="75"/>
        <v>ICU</v>
      </c>
      <c r="X200" t="str">
        <f t="shared" si="76"/>
        <v>NUR049</v>
      </c>
      <c r="Y200" t="str">
        <f t="shared" ca="1" si="77"/>
        <v>Evening</v>
      </c>
      <c r="Z200" t="str">
        <f t="shared" ca="1" si="78"/>
        <v>ECG Machine</v>
      </c>
      <c r="AA200" t="str">
        <f t="shared" ca="1" si="79"/>
        <v>Available</v>
      </c>
      <c r="AB200" t="str">
        <f t="shared" ca="1" si="80"/>
        <v>Paid</v>
      </c>
      <c r="AC200" t="str">
        <f t="shared" ca="1" si="81"/>
        <v>Insurance</v>
      </c>
      <c r="AD200" t="str">
        <f t="shared" ca="1" si="82"/>
        <v>No</v>
      </c>
      <c r="AE200" t="str">
        <f t="shared" ca="1" si="83"/>
        <v>No</v>
      </c>
      <c r="AF200" t="str">
        <f t="shared" ca="1" si="84"/>
        <v>Under Observation</v>
      </c>
      <c r="AG200" t="str">
        <f t="shared" ca="1" si="85"/>
        <v>Southeast</v>
      </c>
      <c r="AH200" t="str">
        <f t="shared" si="68"/>
        <v>December</v>
      </c>
      <c r="AI200">
        <f t="shared" si="69"/>
        <v>2021</v>
      </c>
      <c r="AJ200" t="str">
        <f t="shared" ca="1" si="86"/>
        <v>Vacant</v>
      </c>
      <c r="AK200">
        <f t="shared" ca="1" si="87"/>
        <v>4</v>
      </c>
    </row>
    <row r="201" spans="1:37" x14ac:dyDescent="0.3">
      <c r="A201" t="s">
        <v>4642</v>
      </c>
      <c r="B201">
        <v>20</v>
      </c>
      <c r="C201" t="s">
        <v>15</v>
      </c>
      <c r="D201" t="s">
        <v>38</v>
      </c>
      <c r="E201" t="s">
        <v>25</v>
      </c>
      <c r="F201" s="1">
        <v>45116</v>
      </c>
      <c r="G201" t="s">
        <v>445</v>
      </c>
      <c r="H201" t="s">
        <v>446</v>
      </c>
      <c r="I201" t="s">
        <v>20</v>
      </c>
      <c r="J201">
        <v>35205</v>
      </c>
      <c r="K201">
        <v>104</v>
      </c>
      <c r="L201" t="s">
        <v>29</v>
      </c>
      <c r="M201" s="1">
        <v>45122</v>
      </c>
      <c r="N201" t="s">
        <v>67</v>
      </c>
      <c r="O201" t="s">
        <v>43</v>
      </c>
      <c r="P201" t="str">
        <f t="shared" si="70"/>
        <v>P0200</v>
      </c>
      <c r="Q201" t="str">
        <f t="shared" si="66"/>
        <v>Nutrition</v>
      </c>
      <c r="R201">
        <f t="shared" si="67"/>
        <v>6</v>
      </c>
      <c r="S201" t="str">
        <f t="shared" ca="1" si="71"/>
        <v>No</v>
      </c>
      <c r="T201" t="str">
        <f t="shared" ca="1" si="72"/>
        <v>Critical</v>
      </c>
      <c r="U201" t="str">
        <f t="shared" ca="1" si="73"/>
        <v>General Ward</v>
      </c>
      <c r="V201" t="str">
        <f t="shared" si="74"/>
        <v>BED0200</v>
      </c>
      <c r="W201" t="str">
        <f t="shared" ca="1" si="75"/>
        <v>Private</v>
      </c>
      <c r="X201" t="str">
        <f t="shared" si="76"/>
        <v>NUR050</v>
      </c>
      <c r="Y201" t="str">
        <f t="shared" ca="1" si="77"/>
        <v>Night</v>
      </c>
      <c r="Z201" t="str">
        <f t="shared" ca="1" si="78"/>
        <v>MRI Scanner</v>
      </c>
      <c r="AA201" t="str">
        <f t="shared" ca="1" si="79"/>
        <v>Maintenance</v>
      </c>
      <c r="AB201" t="str">
        <f t="shared" ca="1" si="80"/>
        <v>Paid</v>
      </c>
      <c r="AC201" t="str">
        <f t="shared" ca="1" si="81"/>
        <v>Bank Transfer</v>
      </c>
      <c r="AD201" t="str">
        <f t="shared" ca="1" si="82"/>
        <v>No</v>
      </c>
      <c r="AE201" t="str">
        <f t="shared" ca="1" si="83"/>
        <v>No</v>
      </c>
      <c r="AF201" t="str">
        <f t="shared" ca="1" si="84"/>
        <v>Transferred</v>
      </c>
      <c r="AG201" t="str">
        <f t="shared" ca="1" si="85"/>
        <v>Northeast</v>
      </c>
      <c r="AH201" t="str">
        <f t="shared" si="68"/>
        <v>July</v>
      </c>
      <c r="AI201">
        <f t="shared" si="69"/>
        <v>2023</v>
      </c>
      <c r="AJ201" t="str">
        <f t="shared" ca="1" si="86"/>
        <v>Occupied</v>
      </c>
      <c r="AK201">
        <f t="shared" ca="1" si="87"/>
        <v>4</v>
      </c>
    </row>
    <row r="202" spans="1:37" x14ac:dyDescent="0.3">
      <c r="A202" t="s">
        <v>4643</v>
      </c>
      <c r="B202">
        <v>61</v>
      </c>
      <c r="C202" t="s">
        <v>32</v>
      </c>
      <c r="D202" t="s">
        <v>33</v>
      </c>
      <c r="E202" t="s">
        <v>25</v>
      </c>
      <c r="F202" s="1">
        <v>44082</v>
      </c>
      <c r="G202" t="s">
        <v>447</v>
      </c>
      <c r="H202" t="s">
        <v>448</v>
      </c>
      <c r="I202" t="s">
        <v>20</v>
      </c>
      <c r="J202">
        <v>21577</v>
      </c>
      <c r="K202">
        <v>308</v>
      </c>
      <c r="L202" t="s">
        <v>29</v>
      </c>
      <c r="M202" s="1">
        <v>44107</v>
      </c>
      <c r="N202" t="s">
        <v>30</v>
      </c>
      <c r="O202" t="s">
        <v>43</v>
      </c>
      <c r="P202" t="str">
        <f t="shared" si="70"/>
        <v>P0201</v>
      </c>
      <c r="Q202" t="str">
        <f t="shared" si="66"/>
        <v>Nutrition</v>
      </c>
      <c r="R202">
        <f t="shared" si="67"/>
        <v>25</v>
      </c>
      <c r="S202" t="str">
        <f t="shared" ca="1" si="71"/>
        <v>No</v>
      </c>
      <c r="T202" t="str">
        <f t="shared" ca="1" si="72"/>
        <v>Critical</v>
      </c>
      <c r="U202" t="str">
        <f t="shared" ca="1" si="73"/>
        <v>Emergency</v>
      </c>
      <c r="V202" t="str">
        <f t="shared" si="74"/>
        <v>BED0201</v>
      </c>
      <c r="W202" t="str">
        <f t="shared" ca="1" si="75"/>
        <v>General</v>
      </c>
      <c r="X202" t="str">
        <f t="shared" si="76"/>
        <v>NUR001</v>
      </c>
      <c r="Y202" t="str">
        <f t="shared" ca="1" si="77"/>
        <v>Night</v>
      </c>
      <c r="Z202" t="str">
        <f t="shared" ca="1" si="78"/>
        <v>Ultrasound</v>
      </c>
      <c r="AA202" t="str">
        <f t="shared" ca="1" si="79"/>
        <v>In Use</v>
      </c>
      <c r="AB202" t="str">
        <f t="shared" ca="1" si="80"/>
        <v>Pending</v>
      </c>
      <c r="AC202" t="str">
        <f t="shared" ca="1" si="81"/>
        <v>Cash</v>
      </c>
      <c r="AD202" t="str">
        <f t="shared" ca="1" si="82"/>
        <v>No</v>
      </c>
      <c r="AE202" t="str">
        <f t="shared" ca="1" si="83"/>
        <v>No</v>
      </c>
      <c r="AF202" t="str">
        <f t="shared" ca="1" si="84"/>
        <v>Transferred</v>
      </c>
      <c r="AG202" t="str">
        <f t="shared" ca="1" si="85"/>
        <v>Northeast</v>
      </c>
      <c r="AH202" t="str">
        <f t="shared" si="68"/>
        <v>September</v>
      </c>
      <c r="AI202">
        <f t="shared" si="69"/>
        <v>2020</v>
      </c>
      <c r="AJ202" t="str">
        <f t="shared" ca="1" si="86"/>
        <v>Occupied</v>
      </c>
      <c r="AK202">
        <f t="shared" ca="1" si="87"/>
        <v>2</v>
      </c>
    </row>
    <row r="203" spans="1:37" x14ac:dyDescent="0.3">
      <c r="A203" t="s">
        <v>4644</v>
      </c>
      <c r="B203">
        <v>44</v>
      </c>
      <c r="C203" t="s">
        <v>15</v>
      </c>
      <c r="D203" t="s">
        <v>52</v>
      </c>
      <c r="E203" t="s">
        <v>64</v>
      </c>
      <c r="F203" s="1">
        <v>44074</v>
      </c>
      <c r="G203" t="s">
        <v>449</v>
      </c>
      <c r="H203" t="s">
        <v>450</v>
      </c>
      <c r="I203" t="s">
        <v>36</v>
      </c>
      <c r="J203">
        <v>18771</v>
      </c>
      <c r="K203">
        <v>168</v>
      </c>
      <c r="L203" t="s">
        <v>21</v>
      </c>
      <c r="M203" s="1">
        <v>44092</v>
      </c>
      <c r="N203" t="s">
        <v>67</v>
      </c>
      <c r="O203" t="s">
        <v>43</v>
      </c>
      <c r="P203" t="str">
        <f t="shared" si="70"/>
        <v>P0202</v>
      </c>
      <c r="Q203" t="str">
        <f t="shared" si="66"/>
        <v>Cardiology</v>
      </c>
      <c r="R203">
        <f t="shared" si="67"/>
        <v>18</v>
      </c>
      <c r="S203" t="str">
        <f t="shared" ca="1" si="71"/>
        <v>No</v>
      </c>
      <c r="T203" t="str">
        <f t="shared" ca="1" si="72"/>
        <v>Mild</v>
      </c>
      <c r="U203" t="str">
        <f t="shared" ca="1" si="73"/>
        <v>Emergency</v>
      </c>
      <c r="V203" t="str">
        <f t="shared" si="74"/>
        <v>BED0202</v>
      </c>
      <c r="W203" t="str">
        <f t="shared" ca="1" si="75"/>
        <v>Semi-Private</v>
      </c>
      <c r="X203" t="str">
        <f t="shared" si="76"/>
        <v>NUR002</v>
      </c>
      <c r="Y203" t="str">
        <f t="shared" ca="1" si="77"/>
        <v>Night</v>
      </c>
      <c r="Z203" t="str">
        <f t="shared" ca="1" si="78"/>
        <v>Ventilator</v>
      </c>
      <c r="AA203" t="str">
        <f t="shared" ca="1" si="79"/>
        <v>Maintenance</v>
      </c>
      <c r="AB203" t="str">
        <f t="shared" ca="1" si="80"/>
        <v>Paid</v>
      </c>
      <c r="AC203" t="str">
        <f t="shared" ca="1" si="81"/>
        <v>Cash</v>
      </c>
      <c r="AD203" t="str">
        <f t="shared" ca="1" si="82"/>
        <v>No</v>
      </c>
      <c r="AE203" t="str">
        <f t="shared" ca="1" si="83"/>
        <v>No</v>
      </c>
      <c r="AF203" t="str">
        <f t="shared" ca="1" si="84"/>
        <v>Transferred</v>
      </c>
      <c r="AG203" t="str">
        <f t="shared" ca="1" si="85"/>
        <v>Midwest</v>
      </c>
      <c r="AH203" t="str">
        <f t="shared" si="68"/>
        <v>August</v>
      </c>
      <c r="AI203">
        <f t="shared" si="69"/>
        <v>2020</v>
      </c>
      <c r="AJ203" t="str">
        <f t="shared" ca="1" si="86"/>
        <v>Occupied</v>
      </c>
      <c r="AK203">
        <f t="shared" ca="1" si="87"/>
        <v>4</v>
      </c>
    </row>
    <row r="204" spans="1:37" x14ac:dyDescent="0.3">
      <c r="A204" t="s">
        <v>4645</v>
      </c>
      <c r="B204">
        <v>74</v>
      </c>
      <c r="C204" t="s">
        <v>32</v>
      </c>
      <c r="D204" t="s">
        <v>44</v>
      </c>
      <c r="E204" t="s">
        <v>17</v>
      </c>
      <c r="F204" s="1">
        <v>45392</v>
      </c>
      <c r="G204" t="s">
        <v>451</v>
      </c>
      <c r="H204" t="s">
        <v>452</v>
      </c>
      <c r="I204" t="s">
        <v>20</v>
      </c>
      <c r="J204">
        <v>21669</v>
      </c>
      <c r="K204">
        <v>115</v>
      </c>
      <c r="L204" t="s">
        <v>29</v>
      </c>
      <c r="M204" s="1">
        <v>45415</v>
      </c>
      <c r="N204" t="s">
        <v>67</v>
      </c>
      <c r="O204" t="s">
        <v>43</v>
      </c>
      <c r="P204" t="str">
        <f t="shared" si="70"/>
        <v>P0203</v>
      </c>
      <c r="Q204" t="str">
        <f t="shared" si="66"/>
        <v>Oncology</v>
      </c>
      <c r="R204">
        <f t="shared" si="67"/>
        <v>23</v>
      </c>
      <c r="S204" t="str">
        <f t="shared" ca="1" si="71"/>
        <v>No</v>
      </c>
      <c r="T204" t="str">
        <f t="shared" ca="1" si="72"/>
        <v>Moderate</v>
      </c>
      <c r="U204" t="str">
        <f t="shared" ca="1" si="73"/>
        <v>Emergency</v>
      </c>
      <c r="V204" t="str">
        <f t="shared" si="74"/>
        <v>BED0203</v>
      </c>
      <c r="W204" t="str">
        <f t="shared" ca="1" si="75"/>
        <v>Private</v>
      </c>
      <c r="X204" t="str">
        <f t="shared" si="76"/>
        <v>NUR003</v>
      </c>
      <c r="Y204" t="str">
        <f t="shared" ca="1" si="77"/>
        <v>Night</v>
      </c>
      <c r="Z204" t="str">
        <f t="shared" ca="1" si="78"/>
        <v>Ultrasound</v>
      </c>
      <c r="AA204" t="str">
        <f t="shared" ca="1" si="79"/>
        <v>Available</v>
      </c>
      <c r="AB204" t="str">
        <f t="shared" ca="1" si="80"/>
        <v>Paid</v>
      </c>
      <c r="AC204" t="str">
        <f t="shared" ca="1" si="81"/>
        <v>Cash</v>
      </c>
      <c r="AD204" t="str">
        <f t="shared" ca="1" si="82"/>
        <v>No</v>
      </c>
      <c r="AE204" t="str">
        <f t="shared" ca="1" si="83"/>
        <v>No</v>
      </c>
      <c r="AF204" t="str">
        <f t="shared" ca="1" si="84"/>
        <v>Recovered</v>
      </c>
      <c r="AG204" t="str">
        <f t="shared" ca="1" si="85"/>
        <v>Midwest</v>
      </c>
      <c r="AH204" t="str">
        <f t="shared" si="68"/>
        <v>April</v>
      </c>
      <c r="AI204">
        <f t="shared" si="69"/>
        <v>2024</v>
      </c>
      <c r="AJ204" t="str">
        <f t="shared" ca="1" si="86"/>
        <v>Occupied</v>
      </c>
      <c r="AK204">
        <f t="shared" ca="1" si="87"/>
        <v>1</v>
      </c>
    </row>
    <row r="205" spans="1:37" x14ac:dyDescent="0.3">
      <c r="A205" t="s">
        <v>4646</v>
      </c>
      <c r="B205">
        <v>82</v>
      </c>
      <c r="C205" t="s">
        <v>32</v>
      </c>
      <c r="D205" t="s">
        <v>16</v>
      </c>
      <c r="E205" t="s">
        <v>39</v>
      </c>
      <c r="F205" s="1">
        <v>44418</v>
      </c>
      <c r="G205" t="s">
        <v>453</v>
      </c>
      <c r="H205" t="s">
        <v>454</v>
      </c>
      <c r="I205" t="s">
        <v>57</v>
      </c>
      <c r="J205">
        <v>36340</v>
      </c>
      <c r="K205">
        <v>189</v>
      </c>
      <c r="L205" t="s">
        <v>42</v>
      </c>
      <c r="M205" s="1">
        <v>44448</v>
      </c>
      <c r="N205" t="s">
        <v>67</v>
      </c>
      <c r="O205" t="s">
        <v>31</v>
      </c>
      <c r="P205" t="str">
        <f t="shared" si="70"/>
        <v>P0204</v>
      </c>
      <c r="Q205" t="str">
        <f t="shared" si="66"/>
        <v>Endocrinology</v>
      </c>
      <c r="R205">
        <f t="shared" si="67"/>
        <v>30</v>
      </c>
      <c r="S205" t="str">
        <f t="shared" ca="1" si="71"/>
        <v>Yes</v>
      </c>
      <c r="T205" t="str">
        <f t="shared" ca="1" si="72"/>
        <v>Critical</v>
      </c>
      <c r="U205" t="str">
        <f t="shared" ca="1" si="73"/>
        <v>Emergency</v>
      </c>
      <c r="V205" t="str">
        <f t="shared" si="74"/>
        <v>BED0204</v>
      </c>
      <c r="W205" t="str">
        <f t="shared" ca="1" si="75"/>
        <v>General</v>
      </c>
      <c r="X205" t="str">
        <f t="shared" si="76"/>
        <v>NUR004</v>
      </c>
      <c r="Y205" t="str">
        <f t="shared" ca="1" si="77"/>
        <v>Evening</v>
      </c>
      <c r="Z205" t="str">
        <f t="shared" ca="1" si="78"/>
        <v>ECG Machine</v>
      </c>
      <c r="AA205" t="str">
        <f t="shared" ca="1" si="79"/>
        <v>Maintenance</v>
      </c>
      <c r="AB205" t="str">
        <f t="shared" ca="1" si="80"/>
        <v>Paid</v>
      </c>
      <c r="AC205" t="str">
        <f t="shared" ca="1" si="81"/>
        <v>Insurance</v>
      </c>
      <c r="AD205" t="str">
        <f t="shared" ca="1" si="82"/>
        <v>Yes</v>
      </c>
      <c r="AE205" t="str">
        <f t="shared" ca="1" si="83"/>
        <v>No</v>
      </c>
      <c r="AF205" t="str">
        <f t="shared" ca="1" si="84"/>
        <v>Recovered</v>
      </c>
      <c r="AG205" t="str">
        <f t="shared" ca="1" si="85"/>
        <v>Southeast</v>
      </c>
      <c r="AH205" t="str">
        <f t="shared" si="68"/>
        <v>August</v>
      </c>
      <c r="AI205">
        <f t="shared" si="69"/>
        <v>2021</v>
      </c>
      <c r="AJ205" t="str">
        <f t="shared" ca="1" si="86"/>
        <v>Vacant</v>
      </c>
      <c r="AK205">
        <f t="shared" ca="1" si="87"/>
        <v>1</v>
      </c>
    </row>
    <row r="206" spans="1:37" x14ac:dyDescent="0.3">
      <c r="A206" t="s">
        <v>4647</v>
      </c>
      <c r="B206">
        <v>83</v>
      </c>
      <c r="C206" t="s">
        <v>15</v>
      </c>
      <c r="D206" t="s">
        <v>98</v>
      </c>
      <c r="E206" t="s">
        <v>39</v>
      </c>
      <c r="F206" s="1">
        <v>44586</v>
      </c>
      <c r="G206" t="s">
        <v>455</v>
      </c>
      <c r="H206" t="s">
        <v>456</v>
      </c>
      <c r="I206" t="s">
        <v>57</v>
      </c>
      <c r="J206">
        <v>40825</v>
      </c>
      <c r="K206">
        <v>438</v>
      </c>
      <c r="L206" t="s">
        <v>42</v>
      </c>
      <c r="M206" s="1">
        <v>44589</v>
      </c>
      <c r="N206" t="s">
        <v>37</v>
      </c>
      <c r="O206" t="s">
        <v>43</v>
      </c>
      <c r="P206" t="str">
        <f t="shared" si="70"/>
        <v>P0205</v>
      </c>
      <c r="Q206" t="str">
        <f t="shared" si="66"/>
        <v>Endocrinology</v>
      </c>
      <c r="R206">
        <f t="shared" si="67"/>
        <v>3</v>
      </c>
      <c r="S206" t="str">
        <f t="shared" ca="1" si="71"/>
        <v>No</v>
      </c>
      <c r="T206" t="str">
        <f t="shared" ca="1" si="72"/>
        <v>Critical</v>
      </c>
      <c r="U206" t="str">
        <f t="shared" ca="1" si="73"/>
        <v>General Ward</v>
      </c>
      <c r="V206" t="str">
        <f t="shared" si="74"/>
        <v>BED0205</v>
      </c>
      <c r="W206" t="str">
        <f t="shared" ca="1" si="75"/>
        <v>ICU</v>
      </c>
      <c r="X206" t="str">
        <f t="shared" si="76"/>
        <v>NUR005</v>
      </c>
      <c r="Y206" t="str">
        <f t="shared" ca="1" si="77"/>
        <v>Night</v>
      </c>
      <c r="Z206" t="str">
        <f t="shared" ca="1" si="78"/>
        <v>ECG Machine</v>
      </c>
      <c r="AA206" t="str">
        <f t="shared" ca="1" si="79"/>
        <v>Available</v>
      </c>
      <c r="AB206" t="str">
        <f t="shared" ca="1" si="80"/>
        <v>Partially Paid</v>
      </c>
      <c r="AC206" t="str">
        <f t="shared" ca="1" si="81"/>
        <v>Debit Card</v>
      </c>
      <c r="AD206" t="str">
        <f t="shared" ca="1" si="82"/>
        <v>No</v>
      </c>
      <c r="AE206" t="str">
        <f t="shared" ca="1" si="83"/>
        <v>Yes</v>
      </c>
      <c r="AF206" t="str">
        <f t="shared" ca="1" si="84"/>
        <v>Under Observation</v>
      </c>
      <c r="AG206" t="str">
        <f t="shared" ca="1" si="85"/>
        <v>Southeast</v>
      </c>
      <c r="AH206" t="str">
        <f t="shared" si="68"/>
        <v>January</v>
      </c>
      <c r="AI206">
        <f t="shared" si="69"/>
        <v>2022</v>
      </c>
      <c r="AJ206" t="str">
        <f t="shared" ca="1" si="86"/>
        <v>Occupied</v>
      </c>
      <c r="AK206">
        <f t="shared" ca="1" si="87"/>
        <v>4</v>
      </c>
    </row>
    <row r="207" spans="1:37" x14ac:dyDescent="0.3">
      <c r="A207" t="s">
        <v>4648</v>
      </c>
      <c r="B207">
        <v>62</v>
      </c>
      <c r="C207" t="s">
        <v>32</v>
      </c>
      <c r="D207" t="s">
        <v>52</v>
      </c>
      <c r="E207" t="s">
        <v>17</v>
      </c>
      <c r="F207" s="1">
        <v>45181</v>
      </c>
      <c r="G207" t="s">
        <v>457</v>
      </c>
      <c r="H207" t="s">
        <v>458</v>
      </c>
      <c r="I207" t="s">
        <v>20</v>
      </c>
      <c r="J207">
        <v>40470</v>
      </c>
      <c r="K207">
        <v>286</v>
      </c>
      <c r="L207" t="s">
        <v>42</v>
      </c>
      <c r="M207" s="1">
        <v>45211</v>
      </c>
      <c r="N207" t="s">
        <v>47</v>
      </c>
      <c r="O207" t="s">
        <v>23</v>
      </c>
      <c r="P207" t="str">
        <f t="shared" si="70"/>
        <v>P0206</v>
      </c>
      <c r="Q207" t="str">
        <f t="shared" si="66"/>
        <v>Oncology</v>
      </c>
      <c r="R207">
        <f t="shared" si="67"/>
        <v>30</v>
      </c>
      <c r="S207" t="str">
        <f t="shared" ca="1" si="71"/>
        <v>No</v>
      </c>
      <c r="T207" t="str">
        <f t="shared" ca="1" si="72"/>
        <v>Critical</v>
      </c>
      <c r="U207" t="str">
        <f t="shared" ca="1" si="73"/>
        <v>ICU</v>
      </c>
      <c r="V207" t="str">
        <f t="shared" si="74"/>
        <v>BED0206</v>
      </c>
      <c r="W207" t="str">
        <f t="shared" ca="1" si="75"/>
        <v>Semi-Private</v>
      </c>
      <c r="X207" t="str">
        <f t="shared" si="76"/>
        <v>NUR006</v>
      </c>
      <c r="Y207" t="str">
        <f t="shared" ca="1" si="77"/>
        <v>Night</v>
      </c>
      <c r="Z207" t="str">
        <f t="shared" ca="1" si="78"/>
        <v>X-Ray</v>
      </c>
      <c r="AA207" t="str">
        <f t="shared" ca="1" si="79"/>
        <v>Available</v>
      </c>
      <c r="AB207" t="str">
        <f t="shared" ca="1" si="80"/>
        <v>Partially Paid</v>
      </c>
      <c r="AC207" t="str">
        <f t="shared" ca="1" si="81"/>
        <v>Credit Card</v>
      </c>
      <c r="AD207" t="str">
        <f t="shared" ca="1" si="82"/>
        <v>No</v>
      </c>
      <c r="AE207" t="str">
        <f t="shared" ca="1" si="83"/>
        <v>No</v>
      </c>
      <c r="AF207" t="str">
        <f t="shared" ca="1" si="84"/>
        <v>Under Observation</v>
      </c>
      <c r="AG207" t="str">
        <f t="shared" ca="1" si="85"/>
        <v>Midwest</v>
      </c>
      <c r="AH207" t="str">
        <f t="shared" si="68"/>
        <v>September</v>
      </c>
      <c r="AI207">
        <f t="shared" si="69"/>
        <v>2023</v>
      </c>
      <c r="AJ207" t="str">
        <f t="shared" ca="1" si="86"/>
        <v>Occupied</v>
      </c>
      <c r="AK207">
        <f t="shared" ca="1" si="87"/>
        <v>1</v>
      </c>
    </row>
    <row r="208" spans="1:37" x14ac:dyDescent="0.3">
      <c r="A208" t="s">
        <v>4649</v>
      </c>
      <c r="B208">
        <v>62</v>
      </c>
      <c r="C208" t="s">
        <v>32</v>
      </c>
      <c r="D208" t="s">
        <v>16</v>
      </c>
      <c r="E208" t="s">
        <v>25</v>
      </c>
      <c r="F208" s="1">
        <v>44048</v>
      </c>
      <c r="G208" t="s">
        <v>459</v>
      </c>
      <c r="H208" t="s">
        <v>460</v>
      </c>
      <c r="I208" t="s">
        <v>28</v>
      </c>
      <c r="J208">
        <v>25750</v>
      </c>
      <c r="K208">
        <v>138</v>
      </c>
      <c r="L208" t="s">
        <v>42</v>
      </c>
      <c r="M208" s="1">
        <v>44057</v>
      </c>
      <c r="N208" t="s">
        <v>30</v>
      </c>
      <c r="O208" t="s">
        <v>31</v>
      </c>
      <c r="P208" t="str">
        <f t="shared" si="70"/>
        <v>P0207</v>
      </c>
      <c r="Q208" t="str">
        <f t="shared" si="66"/>
        <v>Nutrition</v>
      </c>
      <c r="R208">
        <f t="shared" si="67"/>
        <v>9</v>
      </c>
      <c r="S208" t="str">
        <f t="shared" ca="1" si="71"/>
        <v>No</v>
      </c>
      <c r="T208" t="str">
        <f t="shared" ca="1" si="72"/>
        <v>Moderate</v>
      </c>
      <c r="U208" t="str">
        <f t="shared" ca="1" si="73"/>
        <v>General Ward</v>
      </c>
      <c r="V208" t="str">
        <f t="shared" si="74"/>
        <v>BED0207</v>
      </c>
      <c r="W208" t="str">
        <f t="shared" ca="1" si="75"/>
        <v>ICU</v>
      </c>
      <c r="X208" t="str">
        <f t="shared" si="76"/>
        <v>NUR007</v>
      </c>
      <c r="Y208" t="str">
        <f t="shared" ca="1" si="77"/>
        <v>Morning</v>
      </c>
      <c r="Z208" t="str">
        <f t="shared" ca="1" si="78"/>
        <v>ECG Machine</v>
      </c>
      <c r="AA208" t="str">
        <f t="shared" ca="1" si="79"/>
        <v>Maintenance</v>
      </c>
      <c r="AB208" t="str">
        <f t="shared" ca="1" si="80"/>
        <v>Paid</v>
      </c>
      <c r="AC208" t="str">
        <f t="shared" ca="1" si="81"/>
        <v>Credit Card</v>
      </c>
      <c r="AD208" t="str">
        <f t="shared" ca="1" si="82"/>
        <v>No</v>
      </c>
      <c r="AE208" t="str">
        <f t="shared" ca="1" si="83"/>
        <v>No</v>
      </c>
      <c r="AF208" t="str">
        <f t="shared" ca="1" si="84"/>
        <v>Recovered</v>
      </c>
      <c r="AG208" t="str">
        <f t="shared" ca="1" si="85"/>
        <v>Southeast</v>
      </c>
      <c r="AH208" t="str">
        <f t="shared" si="68"/>
        <v>August</v>
      </c>
      <c r="AI208">
        <f t="shared" si="69"/>
        <v>2020</v>
      </c>
      <c r="AJ208" t="str">
        <f t="shared" ca="1" si="86"/>
        <v>Occupied</v>
      </c>
      <c r="AK208">
        <f t="shared" ca="1" si="87"/>
        <v>4</v>
      </c>
    </row>
    <row r="209" spans="1:37" x14ac:dyDescent="0.3">
      <c r="A209" t="s">
        <v>4650</v>
      </c>
      <c r="B209">
        <v>18</v>
      </c>
      <c r="C209" t="s">
        <v>15</v>
      </c>
      <c r="D209" t="s">
        <v>33</v>
      </c>
      <c r="E209" t="s">
        <v>48</v>
      </c>
      <c r="F209" s="1">
        <v>44688</v>
      </c>
      <c r="G209" t="s">
        <v>461</v>
      </c>
      <c r="H209" t="s">
        <v>462</v>
      </c>
      <c r="I209" t="s">
        <v>36</v>
      </c>
      <c r="J209">
        <v>15841</v>
      </c>
      <c r="K209">
        <v>275</v>
      </c>
      <c r="L209" t="s">
        <v>21</v>
      </c>
      <c r="M209" s="1">
        <v>44715</v>
      </c>
      <c r="N209" t="s">
        <v>30</v>
      </c>
      <c r="O209" t="s">
        <v>43</v>
      </c>
      <c r="P209" t="str">
        <f t="shared" si="70"/>
        <v>P0208</v>
      </c>
      <c r="Q209" t="str">
        <f t="shared" si="66"/>
        <v>Pulmonology</v>
      </c>
      <c r="R209">
        <f t="shared" si="67"/>
        <v>27</v>
      </c>
      <c r="S209" t="str">
        <f t="shared" ca="1" si="71"/>
        <v>No</v>
      </c>
      <c r="T209" t="str">
        <f t="shared" ca="1" si="72"/>
        <v>Critical</v>
      </c>
      <c r="U209" t="str">
        <f t="shared" ca="1" si="73"/>
        <v>Semi-Private</v>
      </c>
      <c r="V209" t="str">
        <f t="shared" si="74"/>
        <v>BED0208</v>
      </c>
      <c r="W209" t="str">
        <f t="shared" ca="1" si="75"/>
        <v>Semi-Private</v>
      </c>
      <c r="X209" t="str">
        <f t="shared" si="76"/>
        <v>NUR008</v>
      </c>
      <c r="Y209" t="str">
        <f t="shared" ca="1" si="77"/>
        <v>Morning</v>
      </c>
      <c r="Z209" t="str">
        <f t="shared" ca="1" si="78"/>
        <v>MRI Scanner</v>
      </c>
      <c r="AA209" t="str">
        <f t="shared" ca="1" si="79"/>
        <v>Available</v>
      </c>
      <c r="AB209" t="str">
        <f t="shared" ca="1" si="80"/>
        <v>Pending</v>
      </c>
      <c r="AC209" t="str">
        <f t="shared" ca="1" si="81"/>
        <v>Bank Transfer</v>
      </c>
      <c r="AD209" t="str">
        <f t="shared" ca="1" si="82"/>
        <v>No</v>
      </c>
      <c r="AE209" t="str">
        <f t="shared" ca="1" si="83"/>
        <v>No</v>
      </c>
      <c r="AF209" t="str">
        <f t="shared" ca="1" si="84"/>
        <v>Under Observation</v>
      </c>
      <c r="AG209" t="str">
        <f t="shared" ca="1" si="85"/>
        <v>Southwest</v>
      </c>
      <c r="AH209" t="str">
        <f t="shared" si="68"/>
        <v>May</v>
      </c>
      <c r="AI209">
        <f t="shared" si="69"/>
        <v>2022</v>
      </c>
      <c r="AJ209" t="str">
        <f t="shared" ca="1" si="86"/>
        <v>Occupied</v>
      </c>
      <c r="AK209">
        <f t="shared" ca="1" si="87"/>
        <v>4</v>
      </c>
    </row>
    <row r="210" spans="1:37" x14ac:dyDescent="0.3">
      <c r="A210" t="s">
        <v>4651</v>
      </c>
      <c r="B210">
        <v>66</v>
      </c>
      <c r="C210" t="s">
        <v>15</v>
      </c>
      <c r="D210" t="s">
        <v>24</v>
      </c>
      <c r="E210" t="s">
        <v>76</v>
      </c>
      <c r="F210" s="1">
        <v>44605</v>
      </c>
      <c r="G210" t="s">
        <v>463</v>
      </c>
      <c r="H210" t="s">
        <v>464</v>
      </c>
      <c r="I210" t="s">
        <v>28</v>
      </c>
      <c r="J210">
        <v>36087</v>
      </c>
      <c r="K210">
        <v>266</v>
      </c>
      <c r="L210" t="s">
        <v>21</v>
      </c>
      <c r="M210" s="1">
        <v>44615</v>
      </c>
      <c r="N210" t="s">
        <v>22</v>
      </c>
      <c r="O210" t="s">
        <v>23</v>
      </c>
      <c r="P210" t="str">
        <f t="shared" si="70"/>
        <v>P0209</v>
      </c>
      <c r="Q210" t="str">
        <f t="shared" si="66"/>
        <v>Orthopedics</v>
      </c>
      <c r="R210">
        <f t="shared" si="67"/>
        <v>10</v>
      </c>
      <c r="S210" t="str">
        <f t="shared" ca="1" si="71"/>
        <v>No</v>
      </c>
      <c r="T210" t="str">
        <f t="shared" ca="1" si="72"/>
        <v>Mild</v>
      </c>
      <c r="U210" t="str">
        <f t="shared" ca="1" si="73"/>
        <v>Private Ward</v>
      </c>
      <c r="V210" t="str">
        <f t="shared" si="74"/>
        <v>BED0209</v>
      </c>
      <c r="W210" t="str">
        <f t="shared" ca="1" si="75"/>
        <v>ICU</v>
      </c>
      <c r="X210" t="str">
        <f t="shared" si="76"/>
        <v>NUR009</v>
      </c>
      <c r="Y210" t="str">
        <f t="shared" ca="1" si="77"/>
        <v>Morning</v>
      </c>
      <c r="Z210" t="str">
        <f t="shared" ca="1" si="78"/>
        <v>Ventilator</v>
      </c>
      <c r="AA210" t="str">
        <f t="shared" ca="1" si="79"/>
        <v>Maintenance</v>
      </c>
      <c r="AB210" t="str">
        <f t="shared" ca="1" si="80"/>
        <v>Paid</v>
      </c>
      <c r="AC210" t="str">
        <f t="shared" ca="1" si="81"/>
        <v>Cash</v>
      </c>
      <c r="AD210" t="str">
        <f t="shared" ca="1" si="82"/>
        <v>No</v>
      </c>
      <c r="AE210" t="str">
        <f t="shared" ca="1" si="83"/>
        <v>No</v>
      </c>
      <c r="AF210" t="str">
        <f t="shared" ca="1" si="84"/>
        <v>Under Observation</v>
      </c>
      <c r="AG210" t="str">
        <f t="shared" ca="1" si="85"/>
        <v>Midwest</v>
      </c>
      <c r="AH210" t="str">
        <f t="shared" si="68"/>
        <v>February</v>
      </c>
      <c r="AI210">
        <f t="shared" si="69"/>
        <v>2022</v>
      </c>
      <c r="AJ210" t="str">
        <f t="shared" ca="1" si="86"/>
        <v>Occupied</v>
      </c>
      <c r="AK210">
        <f t="shared" ca="1" si="87"/>
        <v>1</v>
      </c>
    </row>
    <row r="211" spans="1:37" x14ac:dyDescent="0.3">
      <c r="A211" t="s">
        <v>4652</v>
      </c>
      <c r="B211">
        <v>26</v>
      </c>
      <c r="C211" t="s">
        <v>32</v>
      </c>
      <c r="D211" t="s">
        <v>44</v>
      </c>
      <c r="E211" t="s">
        <v>48</v>
      </c>
      <c r="F211" s="1">
        <v>45354</v>
      </c>
      <c r="G211" t="s">
        <v>465</v>
      </c>
      <c r="H211" t="s">
        <v>466</v>
      </c>
      <c r="I211" t="s">
        <v>20</v>
      </c>
      <c r="J211">
        <v>32085</v>
      </c>
      <c r="K211">
        <v>392</v>
      </c>
      <c r="L211" t="s">
        <v>21</v>
      </c>
      <c r="M211" s="1">
        <v>45378</v>
      </c>
      <c r="N211" t="s">
        <v>47</v>
      </c>
      <c r="O211" t="s">
        <v>31</v>
      </c>
      <c r="P211" t="str">
        <f t="shared" si="70"/>
        <v>P0210</v>
      </c>
      <c r="Q211" t="str">
        <f t="shared" si="66"/>
        <v>Pulmonology</v>
      </c>
      <c r="R211">
        <f t="shared" si="67"/>
        <v>24</v>
      </c>
      <c r="S211" t="str">
        <f t="shared" ca="1" si="71"/>
        <v>No</v>
      </c>
      <c r="T211" t="str">
        <f t="shared" ca="1" si="72"/>
        <v>Mild</v>
      </c>
      <c r="U211" t="str">
        <f t="shared" ca="1" si="73"/>
        <v>Semi-Private</v>
      </c>
      <c r="V211" t="str">
        <f t="shared" si="74"/>
        <v>BED0210</v>
      </c>
      <c r="W211" t="str">
        <f t="shared" ca="1" si="75"/>
        <v>Semi-Private</v>
      </c>
      <c r="X211" t="str">
        <f t="shared" si="76"/>
        <v>NUR010</v>
      </c>
      <c r="Y211" t="str">
        <f t="shared" ca="1" si="77"/>
        <v>Night</v>
      </c>
      <c r="Z211" t="str">
        <f t="shared" ca="1" si="78"/>
        <v>CT Scanner</v>
      </c>
      <c r="AA211" t="str">
        <f t="shared" ca="1" si="79"/>
        <v>Available</v>
      </c>
      <c r="AB211" t="str">
        <f t="shared" ca="1" si="80"/>
        <v>Paid</v>
      </c>
      <c r="AC211" t="str">
        <f t="shared" ca="1" si="81"/>
        <v>Insurance</v>
      </c>
      <c r="AD211" t="str">
        <f t="shared" ca="1" si="82"/>
        <v>No</v>
      </c>
      <c r="AE211" t="str">
        <f t="shared" ca="1" si="83"/>
        <v>No</v>
      </c>
      <c r="AF211" t="str">
        <f t="shared" ca="1" si="84"/>
        <v>Transferred</v>
      </c>
      <c r="AG211" t="str">
        <f t="shared" ca="1" si="85"/>
        <v>West Coast</v>
      </c>
      <c r="AH211" t="str">
        <f t="shared" si="68"/>
        <v>March</v>
      </c>
      <c r="AI211">
        <f t="shared" si="69"/>
        <v>2024</v>
      </c>
      <c r="AJ211" t="str">
        <f t="shared" ca="1" si="86"/>
        <v>Occupied</v>
      </c>
      <c r="AK211">
        <f t="shared" ca="1" si="87"/>
        <v>2</v>
      </c>
    </row>
    <row r="212" spans="1:37" x14ac:dyDescent="0.3">
      <c r="A212" t="s">
        <v>4653</v>
      </c>
      <c r="B212">
        <v>45</v>
      </c>
      <c r="C212" t="s">
        <v>32</v>
      </c>
      <c r="D212" t="s">
        <v>83</v>
      </c>
      <c r="E212" t="s">
        <v>17</v>
      </c>
      <c r="F212" s="1">
        <v>43904</v>
      </c>
      <c r="G212" t="s">
        <v>467</v>
      </c>
      <c r="H212" t="s">
        <v>468</v>
      </c>
      <c r="I212" t="s">
        <v>57</v>
      </c>
      <c r="J212">
        <v>12357</v>
      </c>
      <c r="K212">
        <v>156</v>
      </c>
      <c r="L212" t="s">
        <v>29</v>
      </c>
      <c r="M212" s="1">
        <v>43924</v>
      </c>
      <c r="N212" t="s">
        <v>37</v>
      </c>
      <c r="O212" t="s">
        <v>31</v>
      </c>
      <c r="P212" t="str">
        <f t="shared" si="70"/>
        <v>P0211</v>
      </c>
      <c r="Q212" t="str">
        <f t="shared" si="66"/>
        <v>Oncology</v>
      </c>
      <c r="R212">
        <f t="shared" si="67"/>
        <v>20</v>
      </c>
      <c r="S212" t="str">
        <f t="shared" ca="1" si="71"/>
        <v>No</v>
      </c>
      <c r="T212" t="str">
        <f t="shared" ca="1" si="72"/>
        <v>Moderate</v>
      </c>
      <c r="U212" t="str">
        <f t="shared" ca="1" si="73"/>
        <v>General Ward</v>
      </c>
      <c r="V212" t="str">
        <f t="shared" si="74"/>
        <v>BED0211</v>
      </c>
      <c r="W212" t="str">
        <f t="shared" ca="1" si="75"/>
        <v>Semi-Private</v>
      </c>
      <c r="X212" t="str">
        <f t="shared" si="76"/>
        <v>NUR011</v>
      </c>
      <c r="Y212" t="str">
        <f t="shared" ca="1" si="77"/>
        <v>Morning</v>
      </c>
      <c r="Z212" t="str">
        <f t="shared" ca="1" si="78"/>
        <v>ECG Machine</v>
      </c>
      <c r="AA212" t="str">
        <f t="shared" ca="1" si="79"/>
        <v>Available</v>
      </c>
      <c r="AB212" t="str">
        <f t="shared" ca="1" si="80"/>
        <v>Paid</v>
      </c>
      <c r="AC212" t="str">
        <f t="shared" ca="1" si="81"/>
        <v>Cash</v>
      </c>
      <c r="AD212" t="str">
        <f t="shared" ca="1" si="82"/>
        <v>Yes</v>
      </c>
      <c r="AE212" t="str">
        <f t="shared" ca="1" si="83"/>
        <v>No</v>
      </c>
      <c r="AF212" t="str">
        <f t="shared" ca="1" si="84"/>
        <v>Under Observation</v>
      </c>
      <c r="AG212" t="str">
        <f t="shared" ca="1" si="85"/>
        <v>West Coast</v>
      </c>
      <c r="AH212" t="str">
        <f t="shared" si="68"/>
        <v>March</v>
      </c>
      <c r="AI212">
        <f t="shared" si="69"/>
        <v>2020</v>
      </c>
      <c r="AJ212" t="str">
        <f t="shared" ca="1" si="86"/>
        <v>Occupied</v>
      </c>
      <c r="AK212">
        <f t="shared" ca="1" si="87"/>
        <v>4</v>
      </c>
    </row>
    <row r="213" spans="1:37" x14ac:dyDescent="0.3">
      <c r="A213" t="s">
        <v>4654</v>
      </c>
      <c r="B213">
        <v>26</v>
      </c>
      <c r="C213" t="s">
        <v>15</v>
      </c>
      <c r="D213" t="s">
        <v>52</v>
      </c>
      <c r="E213" t="s">
        <v>48</v>
      </c>
      <c r="F213" s="1">
        <v>45329</v>
      </c>
      <c r="G213" t="s">
        <v>469</v>
      </c>
      <c r="H213" t="s">
        <v>470</v>
      </c>
      <c r="I213" t="s">
        <v>36</v>
      </c>
      <c r="J213">
        <v>15367</v>
      </c>
      <c r="K213">
        <v>255</v>
      </c>
      <c r="L213" t="s">
        <v>29</v>
      </c>
      <c r="M213" s="1">
        <v>45346</v>
      </c>
      <c r="N213" t="s">
        <v>30</v>
      </c>
      <c r="O213" t="s">
        <v>31</v>
      </c>
      <c r="P213" t="str">
        <f t="shared" si="70"/>
        <v>P0212</v>
      </c>
      <c r="Q213" t="str">
        <f t="shared" si="66"/>
        <v>Pulmonology</v>
      </c>
      <c r="R213">
        <f t="shared" si="67"/>
        <v>17</v>
      </c>
      <c r="S213" t="str">
        <f t="shared" ca="1" si="71"/>
        <v>No</v>
      </c>
      <c r="T213" t="str">
        <f t="shared" ca="1" si="72"/>
        <v>Moderate</v>
      </c>
      <c r="U213" t="str">
        <f t="shared" ca="1" si="73"/>
        <v>ICU</v>
      </c>
      <c r="V213" t="str">
        <f t="shared" si="74"/>
        <v>BED0212</v>
      </c>
      <c r="W213" t="str">
        <f t="shared" ca="1" si="75"/>
        <v>Semi-Private</v>
      </c>
      <c r="X213" t="str">
        <f t="shared" si="76"/>
        <v>NUR012</v>
      </c>
      <c r="Y213" t="str">
        <f t="shared" ca="1" si="77"/>
        <v>Night</v>
      </c>
      <c r="Z213" t="str">
        <f t="shared" ca="1" si="78"/>
        <v>CT Scanner</v>
      </c>
      <c r="AA213" t="str">
        <f t="shared" ca="1" si="79"/>
        <v>Available</v>
      </c>
      <c r="AB213" t="str">
        <f t="shared" ca="1" si="80"/>
        <v>Paid</v>
      </c>
      <c r="AC213" t="str">
        <f t="shared" ca="1" si="81"/>
        <v>Credit Card</v>
      </c>
      <c r="AD213" t="str">
        <f t="shared" ca="1" si="82"/>
        <v>No</v>
      </c>
      <c r="AE213" t="str">
        <f t="shared" ca="1" si="83"/>
        <v>No</v>
      </c>
      <c r="AF213" t="str">
        <f t="shared" ca="1" si="84"/>
        <v>Recovered</v>
      </c>
      <c r="AG213" t="str">
        <f t="shared" ca="1" si="85"/>
        <v>Midwest</v>
      </c>
      <c r="AH213" t="str">
        <f t="shared" si="68"/>
        <v>February</v>
      </c>
      <c r="AI213">
        <f t="shared" si="69"/>
        <v>2024</v>
      </c>
      <c r="AJ213" t="str">
        <f t="shared" ca="1" si="86"/>
        <v>Vacant</v>
      </c>
      <c r="AK213">
        <f t="shared" ca="1" si="87"/>
        <v>4</v>
      </c>
    </row>
    <row r="214" spans="1:37" x14ac:dyDescent="0.3">
      <c r="A214" t="s">
        <v>4655</v>
      </c>
      <c r="B214">
        <v>26</v>
      </c>
      <c r="C214" t="s">
        <v>15</v>
      </c>
      <c r="D214" t="s">
        <v>38</v>
      </c>
      <c r="E214" t="s">
        <v>17</v>
      </c>
      <c r="F214" s="1">
        <v>43667</v>
      </c>
      <c r="G214" t="s">
        <v>471</v>
      </c>
      <c r="H214" t="s">
        <v>472</v>
      </c>
      <c r="I214" t="s">
        <v>28</v>
      </c>
      <c r="J214">
        <v>40190</v>
      </c>
      <c r="K214">
        <v>315</v>
      </c>
      <c r="L214" t="s">
        <v>42</v>
      </c>
      <c r="M214" s="1">
        <v>43682</v>
      </c>
      <c r="N214" t="s">
        <v>47</v>
      </c>
      <c r="O214" t="s">
        <v>43</v>
      </c>
      <c r="P214" t="str">
        <f t="shared" si="70"/>
        <v>P0213</v>
      </c>
      <c r="Q214" t="str">
        <f t="shared" si="66"/>
        <v>Oncology</v>
      </c>
      <c r="R214">
        <f t="shared" si="67"/>
        <v>15</v>
      </c>
      <c r="S214" t="str">
        <f t="shared" ca="1" si="71"/>
        <v>No</v>
      </c>
      <c r="T214" t="str">
        <f t="shared" ca="1" si="72"/>
        <v>Moderate</v>
      </c>
      <c r="U214" t="str">
        <f t="shared" ca="1" si="73"/>
        <v>Private Ward</v>
      </c>
      <c r="V214" t="str">
        <f t="shared" si="74"/>
        <v>BED0213</v>
      </c>
      <c r="W214" t="str">
        <f t="shared" ca="1" si="75"/>
        <v>ICU</v>
      </c>
      <c r="X214" t="str">
        <f t="shared" si="76"/>
        <v>NUR013</v>
      </c>
      <c r="Y214" t="str">
        <f t="shared" ca="1" si="77"/>
        <v>Night</v>
      </c>
      <c r="Z214" t="str">
        <f t="shared" ca="1" si="78"/>
        <v>X-Ray</v>
      </c>
      <c r="AA214" t="str">
        <f t="shared" ca="1" si="79"/>
        <v>Maintenance</v>
      </c>
      <c r="AB214" t="str">
        <f t="shared" ca="1" si="80"/>
        <v>Paid</v>
      </c>
      <c r="AC214" t="str">
        <f t="shared" ca="1" si="81"/>
        <v>Insurance</v>
      </c>
      <c r="AD214" t="str">
        <f t="shared" ca="1" si="82"/>
        <v>No</v>
      </c>
      <c r="AE214" t="str">
        <f t="shared" ca="1" si="83"/>
        <v>No</v>
      </c>
      <c r="AF214" t="str">
        <f t="shared" ca="1" si="84"/>
        <v>Recovered</v>
      </c>
      <c r="AG214" t="str">
        <f t="shared" ca="1" si="85"/>
        <v>Southwest</v>
      </c>
      <c r="AH214" t="str">
        <f t="shared" si="68"/>
        <v>July</v>
      </c>
      <c r="AI214">
        <f t="shared" si="69"/>
        <v>2019</v>
      </c>
      <c r="AJ214" t="str">
        <f t="shared" ca="1" si="86"/>
        <v>Occupied</v>
      </c>
      <c r="AK214">
        <f t="shared" ca="1" si="87"/>
        <v>4</v>
      </c>
    </row>
    <row r="215" spans="1:37" x14ac:dyDescent="0.3">
      <c r="A215" t="s">
        <v>4656</v>
      </c>
      <c r="B215">
        <v>79</v>
      </c>
      <c r="C215" t="s">
        <v>32</v>
      </c>
      <c r="D215" t="s">
        <v>38</v>
      </c>
      <c r="E215" t="s">
        <v>39</v>
      </c>
      <c r="F215" s="1">
        <v>45030</v>
      </c>
      <c r="G215" t="s">
        <v>473</v>
      </c>
      <c r="H215" t="s">
        <v>474</v>
      </c>
      <c r="I215" t="s">
        <v>36</v>
      </c>
      <c r="J215">
        <v>3872</v>
      </c>
      <c r="K215">
        <v>322</v>
      </c>
      <c r="L215" t="s">
        <v>42</v>
      </c>
      <c r="M215" s="1">
        <v>45034</v>
      </c>
      <c r="N215" t="s">
        <v>47</v>
      </c>
      <c r="O215" t="s">
        <v>31</v>
      </c>
      <c r="P215" t="str">
        <f t="shared" si="70"/>
        <v>P0214</v>
      </c>
      <c r="Q215" t="str">
        <f t="shared" si="66"/>
        <v>Endocrinology</v>
      </c>
      <c r="R215">
        <f t="shared" si="67"/>
        <v>4</v>
      </c>
      <c r="S215" t="str">
        <f t="shared" ca="1" si="71"/>
        <v>No</v>
      </c>
      <c r="T215" t="str">
        <f t="shared" ca="1" si="72"/>
        <v>Severe</v>
      </c>
      <c r="U215" t="str">
        <f t="shared" ca="1" si="73"/>
        <v>Semi-Private</v>
      </c>
      <c r="V215" t="str">
        <f t="shared" si="74"/>
        <v>BED0214</v>
      </c>
      <c r="W215" t="str">
        <f t="shared" ca="1" si="75"/>
        <v>Semi-Private</v>
      </c>
      <c r="X215" t="str">
        <f t="shared" si="76"/>
        <v>NUR014</v>
      </c>
      <c r="Y215" t="str">
        <f t="shared" ca="1" si="77"/>
        <v>Morning</v>
      </c>
      <c r="Z215" t="str">
        <f t="shared" ca="1" si="78"/>
        <v>ECG Machine</v>
      </c>
      <c r="AA215" t="str">
        <f t="shared" ca="1" si="79"/>
        <v>In Use</v>
      </c>
      <c r="AB215" t="str">
        <f t="shared" ca="1" si="80"/>
        <v>Paid</v>
      </c>
      <c r="AC215" t="str">
        <f t="shared" ca="1" si="81"/>
        <v>Bank Transfer</v>
      </c>
      <c r="AD215" t="str">
        <f t="shared" ca="1" si="82"/>
        <v>No</v>
      </c>
      <c r="AE215" t="str">
        <f t="shared" ca="1" si="83"/>
        <v>No</v>
      </c>
      <c r="AF215" t="str">
        <f t="shared" ca="1" si="84"/>
        <v>Transferred</v>
      </c>
      <c r="AG215" t="str">
        <f t="shared" ca="1" si="85"/>
        <v>Southeast</v>
      </c>
      <c r="AH215" t="str">
        <f t="shared" si="68"/>
        <v>April</v>
      </c>
      <c r="AI215">
        <f t="shared" si="69"/>
        <v>2023</v>
      </c>
      <c r="AJ215" t="str">
        <f t="shared" ca="1" si="86"/>
        <v>Occupied</v>
      </c>
      <c r="AK215">
        <f t="shared" ca="1" si="87"/>
        <v>1</v>
      </c>
    </row>
    <row r="216" spans="1:37" x14ac:dyDescent="0.3">
      <c r="A216" t="s">
        <v>4657</v>
      </c>
      <c r="B216">
        <v>33</v>
      </c>
      <c r="C216" t="s">
        <v>32</v>
      </c>
      <c r="D216" t="s">
        <v>16</v>
      </c>
      <c r="E216" t="s">
        <v>76</v>
      </c>
      <c r="F216" s="1">
        <v>45308</v>
      </c>
      <c r="G216" t="s">
        <v>475</v>
      </c>
      <c r="H216" t="s">
        <v>476</v>
      </c>
      <c r="I216" t="s">
        <v>57</v>
      </c>
      <c r="J216">
        <v>3312</v>
      </c>
      <c r="K216">
        <v>184</v>
      </c>
      <c r="L216" t="s">
        <v>42</v>
      </c>
      <c r="M216" s="1">
        <v>45327</v>
      </c>
      <c r="N216" t="s">
        <v>67</v>
      </c>
      <c r="O216" t="s">
        <v>23</v>
      </c>
      <c r="P216" t="str">
        <f t="shared" si="70"/>
        <v>P0215</v>
      </c>
      <c r="Q216" t="str">
        <f t="shared" si="66"/>
        <v>Orthopedics</v>
      </c>
      <c r="R216">
        <f t="shared" si="67"/>
        <v>19</v>
      </c>
      <c r="S216" t="str">
        <f t="shared" ca="1" si="71"/>
        <v>No</v>
      </c>
      <c r="T216" t="str">
        <f t="shared" ca="1" si="72"/>
        <v>Critical</v>
      </c>
      <c r="U216" t="str">
        <f t="shared" ca="1" si="73"/>
        <v>Emergency</v>
      </c>
      <c r="V216" t="str">
        <f t="shared" si="74"/>
        <v>BED0215</v>
      </c>
      <c r="W216" t="str">
        <f t="shared" ca="1" si="75"/>
        <v>General</v>
      </c>
      <c r="X216" t="str">
        <f t="shared" si="76"/>
        <v>NUR015</v>
      </c>
      <c r="Y216" t="str">
        <f t="shared" ca="1" si="77"/>
        <v>Night</v>
      </c>
      <c r="Z216" t="str">
        <f t="shared" ca="1" si="78"/>
        <v>X-Ray</v>
      </c>
      <c r="AA216" t="str">
        <f t="shared" ca="1" si="79"/>
        <v>Maintenance</v>
      </c>
      <c r="AB216" t="str">
        <f t="shared" ca="1" si="80"/>
        <v>Paid</v>
      </c>
      <c r="AC216" t="str">
        <f t="shared" ca="1" si="81"/>
        <v>Cash</v>
      </c>
      <c r="AD216" t="str">
        <f t="shared" ca="1" si="82"/>
        <v>No</v>
      </c>
      <c r="AE216" t="str">
        <f t="shared" ca="1" si="83"/>
        <v>No</v>
      </c>
      <c r="AF216" t="str">
        <f t="shared" ca="1" si="84"/>
        <v>Recovered</v>
      </c>
      <c r="AG216" t="str">
        <f t="shared" ca="1" si="85"/>
        <v>Southwest</v>
      </c>
      <c r="AH216" t="str">
        <f t="shared" si="68"/>
        <v>January</v>
      </c>
      <c r="AI216">
        <f t="shared" si="69"/>
        <v>2024</v>
      </c>
      <c r="AJ216" t="str">
        <f t="shared" ca="1" si="86"/>
        <v>Occupied</v>
      </c>
      <c r="AK216">
        <f t="shared" ca="1" si="87"/>
        <v>2</v>
      </c>
    </row>
    <row r="217" spans="1:37" x14ac:dyDescent="0.3">
      <c r="A217" t="s">
        <v>4658</v>
      </c>
      <c r="B217">
        <v>34</v>
      </c>
      <c r="C217" t="s">
        <v>32</v>
      </c>
      <c r="D217" t="s">
        <v>38</v>
      </c>
      <c r="E217" t="s">
        <v>17</v>
      </c>
      <c r="F217" s="1">
        <v>43641</v>
      </c>
      <c r="G217" t="s">
        <v>477</v>
      </c>
      <c r="H217" t="s">
        <v>478</v>
      </c>
      <c r="I217" t="s">
        <v>51</v>
      </c>
      <c r="J217">
        <v>18525</v>
      </c>
      <c r="K217">
        <v>472</v>
      </c>
      <c r="L217" t="s">
        <v>21</v>
      </c>
      <c r="M217" s="1">
        <v>43646</v>
      </c>
      <c r="N217" t="s">
        <v>67</v>
      </c>
      <c r="O217" t="s">
        <v>43</v>
      </c>
      <c r="P217" t="str">
        <f t="shared" si="70"/>
        <v>P0216</v>
      </c>
      <c r="Q217" t="str">
        <f t="shared" si="66"/>
        <v>Oncology</v>
      </c>
      <c r="R217">
        <f t="shared" si="67"/>
        <v>5</v>
      </c>
      <c r="S217" t="str">
        <f t="shared" ca="1" si="71"/>
        <v>No</v>
      </c>
      <c r="T217" t="str">
        <f t="shared" ca="1" si="72"/>
        <v>Severe</v>
      </c>
      <c r="U217" t="str">
        <f t="shared" ca="1" si="73"/>
        <v>ICU</v>
      </c>
      <c r="V217" t="str">
        <f t="shared" si="74"/>
        <v>BED0216</v>
      </c>
      <c r="W217" t="str">
        <f t="shared" ca="1" si="75"/>
        <v>General</v>
      </c>
      <c r="X217" t="str">
        <f t="shared" si="76"/>
        <v>NUR016</v>
      </c>
      <c r="Y217" t="str">
        <f t="shared" ca="1" si="77"/>
        <v>Evening</v>
      </c>
      <c r="Z217" t="str">
        <f t="shared" ca="1" si="78"/>
        <v>ECG Machine</v>
      </c>
      <c r="AA217" t="str">
        <f t="shared" ca="1" si="79"/>
        <v>Available</v>
      </c>
      <c r="AB217" t="str">
        <f t="shared" ca="1" si="80"/>
        <v>Paid</v>
      </c>
      <c r="AC217" t="str">
        <f t="shared" ca="1" si="81"/>
        <v>Insurance</v>
      </c>
      <c r="AD217" t="str">
        <f t="shared" ca="1" si="82"/>
        <v>No</v>
      </c>
      <c r="AE217" t="str">
        <f t="shared" ca="1" si="83"/>
        <v>No</v>
      </c>
      <c r="AF217" t="str">
        <f t="shared" ca="1" si="84"/>
        <v>Under Observation</v>
      </c>
      <c r="AG217" t="str">
        <f t="shared" ca="1" si="85"/>
        <v>Northeast</v>
      </c>
      <c r="AH217" t="str">
        <f t="shared" si="68"/>
        <v>June</v>
      </c>
      <c r="AI217">
        <f t="shared" si="69"/>
        <v>2019</v>
      </c>
      <c r="AJ217" t="str">
        <f t="shared" ca="1" si="86"/>
        <v>Occupied</v>
      </c>
      <c r="AK217">
        <f t="shared" ca="1" si="87"/>
        <v>4</v>
      </c>
    </row>
    <row r="218" spans="1:37" x14ac:dyDescent="0.3">
      <c r="A218" t="s">
        <v>4659</v>
      </c>
      <c r="B218">
        <v>76</v>
      </c>
      <c r="C218" t="s">
        <v>32</v>
      </c>
      <c r="D218" t="s">
        <v>52</v>
      </c>
      <c r="E218" t="s">
        <v>64</v>
      </c>
      <c r="F218" s="1">
        <v>44336</v>
      </c>
      <c r="G218" t="s">
        <v>479</v>
      </c>
      <c r="H218" t="s">
        <v>480</v>
      </c>
      <c r="I218" t="s">
        <v>51</v>
      </c>
      <c r="J218">
        <v>30107</v>
      </c>
      <c r="K218">
        <v>494</v>
      </c>
      <c r="L218" t="s">
        <v>29</v>
      </c>
      <c r="M218" s="1">
        <v>44359</v>
      </c>
      <c r="N218" t="s">
        <v>30</v>
      </c>
      <c r="O218" t="s">
        <v>31</v>
      </c>
      <c r="P218" t="str">
        <f t="shared" si="70"/>
        <v>P0217</v>
      </c>
      <c r="Q218" t="str">
        <f t="shared" si="66"/>
        <v>Cardiology</v>
      </c>
      <c r="R218">
        <f t="shared" si="67"/>
        <v>23</v>
      </c>
      <c r="S218" t="str">
        <f t="shared" ca="1" si="71"/>
        <v>No</v>
      </c>
      <c r="T218" t="str">
        <f t="shared" ca="1" si="72"/>
        <v>Critical</v>
      </c>
      <c r="U218" t="str">
        <f t="shared" ca="1" si="73"/>
        <v>General Ward</v>
      </c>
      <c r="V218" t="str">
        <f t="shared" si="74"/>
        <v>BED0217</v>
      </c>
      <c r="W218" t="str">
        <f t="shared" ca="1" si="75"/>
        <v>Private</v>
      </c>
      <c r="X218" t="str">
        <f t="shared" si="76"/>
        <v>NUR017</v>
      </c>
      <c r="Y218" t="str">
        <f t="shared" ca="1" si="77"/>
        <v>Morning</v>
      </c>
      <c r="Z218" t="str">
        <f t="shared" ca="1" si="78"/>
        <v>Ultrasound</v>
      </c>
      <c r="AA218" t="str">
        <f t="shared" ca="1" si="79"/>
        <v>Available</v>
      </c>
      <c r="AB218" t="str">
        <f t="shared" ca="1" si="80"/>
        <v>Paid</v>
      </c>
      <c r="AC218" t="str">
        <f t="shared" ca="1" si="81"/>
        <v>Bank Transfer</v>
      </c>
      <c r="AD218" t="str">
        <f t="shared" ca="1" si="82"/>
        <v>No</v>
      </c>
      <c r="AE218" t="str">
        <f t="shared" ca="1" si="83"/>
        <v>Yes</v>
      </c>
      <c r="AF218" t="str">
        <f t="shared" ca="1" si="84"/>
        <v>Transferred</v>
      </c>
      <c r="AG218" t="str">
        <f t="shared" ca="1" si="85"/>
        <v>Northeast</v>
      </c>
      <c r="AH218" t="str">
        <f t="shared" si="68"/>
        <v>May</v>
      </c>
      <c r="AI218">
        <f t="shared" si="69"/>
        <v>2021</v>
      </c>
      <c r="AJ218" t="str">
        <f t="shared" ca="1" si="86"/>
        <v>Occupied</v>
      </c>
      <c r="AK218">
        <f t="shared" ca="1" si="87"/>
        <v>2</v>
      </c>
    </row>
    <row r="219" spans="1:37" x14ac:dyDescent="0.3">
      <c r="A219" t="s">
        <v>4660</v>
      </c>
      <c r="B219">
        <v>50</v>
      </c>
      <c r="C219" t="s">
        <v>32</v>
      </c>
      <c r="D219" t="s">
        <v>16</v>
      </c>
      <c r="E219" t="s">
        <v>25</v>
      </c>
      <c r="F219" s="1">
        <v>43924</v>
      </c>
      <c r="G219" t="s">
        <v>481</v>
      </c>
      <c r="H219" t="s">
        <v>482</v>
      </c>
      <c r="I219" t="s">
        <v>51</v>
      </c>
      <c r="J219">
        <v>15826</v>
      </c>
      <c r="K219">
        <v>398</v>
      </c>
      <c r="L219" t="s">
        <v>29</v>
      </c>
      <c r="M219" s="1">
        <v>43932</v>
      </c>
      <c r="N219" t="s">
        <v>22</v>
      </c>
      <c r="O219" t="s">
        <v>23</v>
      </c>
      <c r="P219" t="str">
        <f t="shared" si="70"/>
        <v>P0218</v>
      </c>
      <c r="Q219" t="str">
        <f t="shared" si="66"/>
        <v>Nutrition</v>
      </c>
      <c r="R219">
        <f t="shared" si="67"/>
        <v>8</v>
      </c>
      <c r="S219" t="str">
        <f t="shared" ca="1" si="71"/>
        <v>No</v>
      </c>
      <c r="T219" t="str">
        <f t="shared" ca="1" si="72"/>
        <v>Moderate</v>
      </c>
      <c r="U219" t="str">
        <f t="shared" ca="1" si="73"/>
        <v>ICU</v>
      </c>
      <c r="V219" t="str">
        <f t="shared" si="74"/>
        <v>BED0218</v>
      </c>
      <c r="W219" t="str">
        <f t="shared" ca="1" si="75"/>
        <v>Semi-Private</v>
      </c>
      <c r="X219" t="str">
        <f t="shared" si="76"/>
        <v>NUR018</v>
      </c>
      <c r="Y219" t="str">
        <f t="shared" ca="1" si="77"/>
        <v>Night</v>
      </c>
      <c r="Z219" t="str">
        <f t="shared" ca="1" si="78"/>
        <v>Ventilator</v>
      </c>
      <c r="AA219" t="str">
        <f t="shared" ca="1" si="79"/>
        <v>Maintenance</v>
      </c>
      <c r="AB219" t="str">
        <f t="shared" ca="1" si="80"/>
        <v>Pending</v>
      </c>
      <c r="AC219" t="str">
        <f t="shared" ca="1" si="81"/>
        <v>Cash</v>
      </c>
      <c r="AD219" t="str">
        <f t="shared" ca="1" si="82"/>
        <v>No</v>
      </c>
      <c r="AE219" t="str">
        <f t="shared" ca="1" si="83"/>
        <v>Yes</v>
      </c>
      <c r="AF219" t="str">
        <f t="shared" ca="1" si="84"/>
        <v>Transferred</v>
      </c>
      <c r="AG219" t="str">
        <f t="shared" ca="1" si="85"/>
        <v>Southeast</v>
      </c>
      <c r="AH219" t="str">
        <f t="shared" si="68"/>
        <v>April</v>
      </c>
      <c r="AI219">
        <f t="shared" si="69"/>
        <v>2020</v>
      </c>
      <c r="AJ219" t="str">
        <f t="shared" ca="1" si="86"/>
        <v>Occupied</v>
      </c>
      <c r="AK219">
        <f t="shared" ca="1" si="87"/>
        <v>2</v>
      </c>
    </row>
    <row r="220" spans="1:37" x14ac:dyDescent="0.3">
      <c r="A220" t="s">
        <v>4661</v>
      </c>
      <c r="B220">
        <v>44</v>
      </c>
      <c r="C220" t="s">
        <v>15</v>
      </c>
      <c r="D220" t="s">
        <v>16</v>
      </c>
      <c r="E220" t="s">
        <v>39</v>
      </c>
      <c r="F220" s="1">
        <v>43851</v>
      </c>
      <c r="G220" t="s">
        <v>483</v>
      </c>
      <c r="H220" t="s">
        <v>484</v>
      </c>
      <c r="I220" t="s">
        <v>20</v>
      </c>
      <c r="J220">
        <v>26438</v>
      </c>
      <c r="K220">
        <v>267</v>
      </c>
      <c r="L220" t="s">
        <v>29</v>
      </c>
      <c r="M220" s="1">
        <v>43860</v>
      </c>
      <c r="N220" t="s">
        <v>30</v>
      </c>
      <c r="O220" t="s">
        <v>43</v>
      </c>
      <c r="P220" t="str">
        <f t="shared" si="70"/>
        <v>P0219</v>
      </c>
      <c r="Q220" t="str">
        <f t="shared" si="66"/>
        <v>Endocrinology</v>
      </c>
      <c r="R220">
        <f t="shared" si="67"/>
        <v>9</v>
      </c>
      <c r="S220" t="str">
        <f t="shared" ca="1" si="71"/>
        <v>No</v>
      </c>
      <c r="T220" t="str">
        <f t="shared" ca="1" si="72"/>
        <v>Moderate</v>
      </c>
      <c r="U220" t="str">
        <f t="shared" ca="1" si="73"/>
        <v>ICU</v>
      </c>
      <c r="V220" t="str">
        <f t="shared" si="74"/>
        <v>BED0219</v>
      </c>
      <c r="W220" t="str">
        <f t="shared" ca="1" si="75"/>
        <v>Private</v>
      </c>
      <c r="X220" t="str">
        <f t="shared" si="76"/>
        <v>NUR019</v>
      </c>
      <c r="Y220" t="str">
        <f t="shared" ca="1" si="77"/>
        <v>Night</v>
      </c>
      <c r="Z220" t="str">
        <f t="shared" ca="1" si="78"/>
        <v>MRI Scanner</v>
      </c>
      <c r="AA220" t="str">
        <f t="shared" ca="1" si="79"/>
        <v>Maintenance</v>
      </c>
      <c r="AB220" t="str">
        <f t="shared" ca="1" si="80"/>
        <v>Partially Paid</v>
      </c>
      <c r="AC220" t="str">
        <f t="shared" ca="1" si="81"/>
        <v>Debit Card</v>
      </c>
      <c r="AD220" t="str">
        <f t="shared" ca="1" si="82"/>
        <v>No</v>
      </c>
      <c r="AE220" t="str">
        <f t="shared" ca="1" si="83"/>
        <v>No</v>
      </c>
      <c r="AF220" t="str">
        <f t="shared" ca="1" si="84"/>
        <v>Transferred</v>
      </c>
      <c r="AG220" t="str">
        <f t="shared" ca="1" si="85"/>
        <v>Southwest</v>
      </c>
      <c r="AH220" t="str">
        <f t="shared" si="68"/>
        <v>January</v>
      </c>
      <c r="AI220">
        <f t="shared" si="69"/>
        <v>2020</v>
      </c>
      <c r="AJ220" t="str">
        <f t="shared" ca="1" si="86"/>
        <v>Occupied</v>
      </c>
      <c r="AK220">
        <f t="shared" ca="1" si="87"/>
        <v>4</v>
      </c>
    </row>
    <row r="221" spans="1:37" x14ac:dyDescent="0.3">
      <c r="A221" t="s">
        <v>4662</v>
      </c>
      <c r="B221">
        <v>38</v>
      </c>
      <c r="C221" t="s">
        <v>32</v>
      </c>
      <c r="D221" t="s">
        <v>52</v>
      </c>
      <c r="E221" t="s">
        <v>76</v>
      </c>
      <c r="F221" s="1">
        <v>44532</v>
      </c>
      <c r="G221" t="s">
        <v>485</v>
      </c>
      <c r="H221" t="s">
        <v>486</v>
      </c>
      <c r="I221" t="s">
        <v>36</v>
      </c>
      <c r="J221">
        <v>49663</v>
      </c>
      <c r="K221">
        <v>435</v>
      </c>
      <c r="L221" t="s">
        <v>29</v>
      </c>
      <c r="M221" s="1">
        <v>44537</v>
      </c>
      <c r="N221" t="s">
        <v>22</v>
      </c>
      <c r="O221" t="s">
        <v>23</v>
      </c>
      <c r="P221" t="str">
        <f t="shared" si="70"/>
        <v>P0220</v>
      </c>
      <c r="Q221" t="str">
        <f t="shared" si="66"/>
        <v>Orthopedics</v>
      </c>
      <c r="R221">
        <f t="shared" si="67"/>
        <v>5</v>
      </c>
      <c r="S221" t="str">
        <f t="shared" ca="1" si="71"/>
        <v>No</v>
      </c>
      <c r="T221" t="str">
        <f t="shared" ca="1" si="72"/>
        <v>Severe</v>
      </c>
      <c r="U221" t="str">
        <f t="shared" ca="1" si="73"/>
        <v>General Ward</v>
      </c>
      <c r="V221" t="str">
        <f t="shared" si="74"/>
        <v>BED0220</v>
      </c>
      <c r="W221" t="str">
        <f t="shared" ca="1" si="75"/>
        <v>Private</v>
      </c>
      <c r="X221" t="str">
        <f t="shared" si="76"/>
        <v>NUR020</v>
      </c>
      <c r="Y221" t="str">
        <f t="shared" ca="1" si="77"/>
        <v>Evening</v>
      </c>
      <c r="Z221" t="str">
        <f t="shared" ca="1" si="78"/>
        <v>ECG Machine</v>
      </c>
      <c r="AA221" t="str">
        <f t="shared" ca="1" si="79"/>
        <v>Maintenance</v>
      </c>
      <c r="AB221" t="str">
        <f t="shared" ca="1" si="80"/>
        <v>Partially Paid</v>
      </c>
      <c r="AC221" t="str">
        <f t="shared" ca="1" si="81"/>
        <v>Credit Card</v>
      </c>
      <c r="AD221" t="str">
        <f t="shared" ca="1" si="82"/>
        <v>No</v>
      </c>
      <c r="AE221" t="str">
        <f t="shared" ca="1" si="83"/>
        <v>No</v>
      </c>
      <c r="AF221" t="str">
        <f t="shared" ca="1" si="84"/>
        <v>Transferred</v>
      </c>
      <c r="AG221" t="str">
        <f t="shared" ca="1" si="85"/>
        <v>West Coast</v>
      </c>
      <c r="AH221" t="str">
        <f t="shared" si="68"/>
        <v>December</v>
      </c>
      <c r="AI221">
        <f t="shared" si="69"/>
        <v>2021</v>
      </c>
      <c r="AJ221" t="str">
        <f t="shared" ca="1" si="86"/>
        <v>Occupied</v>
      </c>
      <c r="AK221">
        <f t="shared" ca="1" si="87"/>
        <v>2</v>
      </c>
    </row>
    <row r="222" spans="1:37" x14ac:dyDescent="0.3">
      <c r="A222" t="s">
        <v>4663</v>
      </c>
      <c r="B222">
        <v>43</v>
      </c>
      <c r="C222" t="s">
        <v>15</v>
      </c>
      <c r="D222" t="s">
        <v>44</v>
      </c>
      <c r="E222" t="s">
        <v>17</v>
      </c>
      <c r="F222" s="1">
        <v>44344</v>
      </c>
      <c r="G222" t="s">
        <v>487</v>
      </c>
      <c r="H222" t="s">
        <v>488</v>
      </c>
      <c r="I222" t="s">
        <v>36</v>
      </c>
      <c r="J222">
        <v>27278</v>
      </c>
      <c r="K222">
        <v>174</v>
      </c>
      <c r="L222" t="s">
        <v>21</v>
      </c>
      <c r="M222" s="1">
        <v>44365</v>
      </c>
      <c r="N222" t="s">
        <v>30</v>
      </c>
      <c r="O222" t="s">
        <v>43</v>
      </c>
      <c r="P222" t="str">
        <f t="shared" si="70"/>
        <v>P0221</v>
      </c>
      <c r="Q222" t="str">
        <f t="shared" si="66"/>
        <v>Oncology</v>
      </c>
      <c r="R222">
        <f t="shared" si="67"/>
        <v>21</v>
      </c>
      <c r="S222" t="str">
        <f t="shared" ca="1" si="71"/>
        <v>Yes</v>
      </c>
      <c r="T222" t="str">
        <f t="shared" ca="1" si="72"/>
        <v>Mild</v>
      </c>
      <c r="U222" t="str">
        <f t="shared" ca="1" si="73"/>
        <v>Emergency</v>
      </c>
      <c r="V222" t="str">
        <f t="shared" si="74"/>
        <v>BED0221</v>
      </c>
      <c r="W222" t="str">
        <f t="shared" ca="1" si="75"/>
        <v>Semi-Private</v>
      </c>
      <c r="X222" t="str">
        <f t="shared" si="76"/>
        <v>NUR021</v>
      </c>
      <c r="Y222" t="str">
        <f t="shared" ca="1" si="77"/>
        <v>Night</v>
      </c>
      <c r="Z222" t="str">
        <f t="shared" ca="1" si="78"/>
        <v>Ventilator</v>
      </c>
      <c r="AA222" t="str">
        <f t="shared" ca="1" si="79"/>
        <v>Available</v>
      </c>
      <c r="AB222" t="str">
        <f t="shared" ca="1" si="80"/>
        <v>Paid</v>
      </c>
      <c r="AC222" t="str">
        <f t="shared" ca="1" si="81"/>
        <v>Insurance</v>
      </c>
      <c r="AD222" t="str">
        <f t="shared" ca="1" si="82"/>
        <v>No</v>
      </c>
      <c r="AE222" t="str">
        <f t="shared" ca="1" si="83"/>
        <v>No</v>
      </c>
      <c r="AF222" t="str">
        <f t="shared" ca="1" si="84"/>
        <v>Transferred</v>
      </c>
      <c r="AG222" t="str">
        <f t="shared" ca="1" si="85"/>
        <v>West Coast</v>
      </c>
      <c r="AH222" t="str">
        <f t="shared" si="68"/>
        <v>May</v>
      </c>
      <c r="AI222">
        <f t="shared" si="69"/>
        <v>2021</v>
      </c>
      <c r="AJ222" t="str">
        <f t="shared" ca="1" si="86"/>
        <v>Occupied</v>
      </c>
      <c r="AK222">
        <f t="shared" ca="1" si="87"/>
        <v>4</v>
      </c>
    </row>
    <row r="223" spans="1:37" x14ac:dyDescent="0.3">
      <c r="A223" t="s">
        <v>4664</v>
      </c>
      <c r="B223">
        <v>27</v>
      </c>
      <c r="C223" t="s">
        <v>32</v>
      </c>
      <c r="D223" t="s">
        <v>44</v>
      </c>
      <c r="E223" t="s">
        <v>64</v>
      </c>
      <c r="F223" s="1">
        <v>43913</v>
      </c>
      <c r="G223" t="s">
        <v>489</v>
      </c>
      <c r="H223" t="s">
        <v>490</v>
      </c>
      <c r="I223" t="s">
        <v>57</v>
      </c>
      <c r="J223">
        <v>33170</v>
      </c>
      <c r="K223">
        <v>137</v>
      </c>
      <c r="L223" t="s">
        <v>21</v>
      </c>
      <c r="M223" s="1">
        <v>43932</v>
      </c>
      <c r="N223" t="s">
        <v>22</v>
      </c>
      <c r="O223" t="s">
        <v>43</v>
      </c>
      <c r="P223" t="str">
        <f t="shared" si="70"/>
        <v>P0222</v>
      </c>
      <c r="Q223" t="str">
        <f t="shared" si="66"/>
        <v>Cardiology</v>
      </c>
      <c r="R223">
        <f t="shared" si="67"/>
        <v>19</v>
      </c>
      <c r="S223" t="str">
        <f t="shared" ca="1" si="71"/>
        <v>No</v>
      </c>
      <c r="T223" t="str">
        <f t="shared" ca="1" si="72"/>
        <v>Critical</v>
      </c>
      <c r="U223" t="str">
        <f t="shared" ca="1" si="73"/>
        <v>ICU</v>
      </c>
      <c r="V223" t="str">
        <f t="shared" si="74"/>
        <v>BED0222</v>
      </c>
      <c r="W223" t="str">
        <f t="shared" ca="1" si="75"/>
        <v>ICU</v>
      </c>
      <c r="X223" t="str">
        <f t="shared" si="76"/>
        <v>NUR022</v>
      </c>
      <c r="Y223" t="str">
        <f t="shared" ca="1" si="77"/>
        <v>Night</v>
      </c>
      <c r="Z223" t="str">
        <f t="shared" ca="1" si="78"/>
        <v>CT Scanner</v>
      </c>
      <c r="AA223" t="str">
        <f t="shared" ca="1" si="79"/>
        <v>Maintenance</v>
      </c>
      <c r="AB223" t="str">
        <f t="shared" ca="1" si="80"/>
        <v>Paid</v>
      </c>
      <c r="AC223" t="str">
        <f t="shared" ca="1" si="81"/>
        <v>Credit Card</v>
      </c>
      <c r="AD223" t="str">
        <f t="shared" ca="1" si="82"/>
        <v>Yes</v>
      </c>
      <c r="AE223" t="str">
        <f t="shared" ca="1" si="83"/>
        <v>Yes</v>
      </c>
      <c r="AF223" t="str">
        <f t="shared" ca="1" si="84"/>
        <v>Transferred</v>
      </c>
      <c r="AG223" t="str">
        <f t="shared" ca="1" si="85"/>
        <v>Southeast</v>
      </c>
      <c r="AH223" t="str">
        <f t="shared" si="68"/>
        <v>March</v>
      </c>
      <c r="AI223">
        <f t="shared" si="69"/>
        <v>2020</v>
      </c>
      <c r="AJ223" t="str">
        <f t="shared" ca="1" si="86"/>
        <v>Vacant</v>
      </c>
      <c r="AK223">
        <f t="shared" ca="1" si="87"/>
        <v>1</v>
      </c>
    </row>
    <row r="224" spans="1:37" x14ac:dyDescent="0.3">
      <c r="A224" t="s">
        <v>4665</v>
      </c>
      <c r="B224">
        <v>78</v>
      </c>
      <c r="C224" t="s">
        <v>15</v>
      </c>
      <c r="D224" t="s">
        <v>24</v>
      </c>
      <c r="E224" t="s">
        <v>48</v>
      </c>
      <c r="F224" s="1">
        <v>44779</v>
      </c>
      <c r="G224" t="s">
        <v>491</v>
      </c>
      <c r="H224" t="s">
        <v>492</v>
      </c>
      <c r="I224" t="s">
        <v>28</v>
      </c>
      <c r="J224">
        <v>1791</v>
      </c>
      <c r="K224">
        <v>405</v>
      </c>
      <c r="L224" t="s">
        <v>21</v>
      </c>
      <c r="M224" s="1">
        <v>44809</v>
      </c>
      <c r="N224" t="s">
        <v>22</v>
      </c>
      <c r="O224" t="s">
        <v>23</v>
      </c>
      <c r="P224" t="str">
        <f t="shared" si="70"/>
        <v>P0223</v>
      </c>
      <c r="Q224" t="str">
        <f t="shared" si="66"/>
        <v>Pulmonology</v>
      </c>
      <c r="R224">
        <f t="shared" si="67"/>
        <v>30</v>
      </c>
      <c r="S224" t="str">
        <f t="shared" ca="1" si="71"/>
        <v>No</v>
      </c>
      <c r="T224" t="str">
        <f t="shared" ca="1" si="72"/>
        <v>Critical</v>
      </c>
      <c r="U224" t="str">
        <f t="shared" ca="1" si="73"/>
        <v>General Ward</v>
      </c>
      <c r="V224" t="str">
        <f t="shared" si="74"/>
        <v>BED0223</v>
      </c>
      <c r="W224" t="str">
        <f t="shared" ca="1" si="75"/>
        <v>Semi-Private</v>
      </c>
      <c r="X224" t="str">
        <f t="shared" si="76"/>
        <v>NUR023</v>
      </c>
      <c r="Y224" t="str">
        <f t="shared" ca="1" si="77"/>
        <v>Morning</v>
      </c>
      <c r="Z224" t="str">
        <f t="shared" ca="1" si="78"/>
        <v>ECG Machine</v>
      </c>
      <c r="AA224" t="str">
        <f t="shared" ca="1" si="79"/>
        <v>Available</v>
      </c>
      <c r="AB224" t="str">
        <f t="shared" ca="1" si="80"/>
        <v>Paid</v>
      </c>
      <c r="AC224" t="str">
        <f t="shared" ca="1" si="81"/>
        <v>Insurance</v>
      </c>
      <c r="AD224" t="str">
        <f t="shared" ca="1" si="82"/>
        <v>No</v>
      </c>
      <c r="AE224" t="str">
        <f t="shared" ca="1" si="83"/>
        <v>No</v>
      </c>
      <c r="AF224" t="str">
        <f t="shared" ca="1" si="84"/>
        <v>Recovered</v>
      </c>
      <c r="AG224" t="str">
        <f t="shared" ca="1" si="85"/>
        <v>West Coast</v>
      </c>
      <c r="AH224" t="str">
        <f t="shared" si="68"/>
        <v>August</v>
      </c>
      <c r="AI224">
        <f t="shared" si="69"/>
        <v>2022</v>
      </c>
      <c r="AJ224" t="str">
        <f t="shared" ca="1" si="86"/>
        <v>Occupied</v>
      </c>
      <c r="AK224">
        <f t="shared" ca="1" si="87"/>
        <v>1</v>
      </c>
    </row>
    <row r="225" spans="1:37" x14ac:dyDescent="0.3">
      <c r="A225" t="s">
        <v>4666</v>
      </c>
      <c r="B225">
        <v>40</v>
      </c>
      <c r="C225" t="s">
        <v>15</v>
      </c>
      <c r="D225" t="s">
        <v>24</v>
      </c>
      <c r="E225" t="s">
        <v>39</v>
      </c>
      <c r="F225" s="1">
        <v>45360</v>
      </c>
      <c r="G225" t="s">
        <v>493</v>
      </c>
      <c r="H225" t="s">
        <v>494</v>
      </c>
      <c r="I225" t="s">
        <v>20</v>
      </c>
      <c r="J225">
        <v>31188</v>
      </c>
      <c r="K225">
        <v>111</v>
      </c>
      <c r="L225" t="s">
        <v>42</v>
      </c>
      <c r="M225" s="1">
        <v>45387</v>
      </c>
      <c r="N225" t="s">
        <v>30</v>
      </c>
      <c r="O225" t="s">
        <v>23</v>
      </c>
      <c r="P225" t="str">
        <f t="shared" si="70"/>
        <v>P0224</v>
      </c>
      <c r="Q225" t="str">
        <f t="shared" si="66"/>
        <v>Endocrinology</v>
      </c>
      <c r="R225">
        <f t="shared" si="67"/>
        <v>27</v>
      </c>
      <c r="S225" t="str">
        <f t="shared" ca="1" si="71"/>
        <v>No</v>
      </c>
      <c r="T225" t="str">
        <f t="shared" ca="1" si="72"/>
        <v>Mild</v>
      </c>
      <c r="U225" t="str">
        <f t="shared" ca="1" si="73"/>
        <v>ICU</v>
      </c>
      <c r="V225" t="str">
        <f t="shared" si="74"/>
        <v>BED0224</v>
      </c>
      <c r="W225" t="str">
        <f t="shared" ca="1" si="75"/>
        <v>ICU</v>
      </c>
      <c r="X225" t="str">
        <f t="shared" si="76"/>
        <v>NUR024</v>
      </c>
      <c r="Y225" t="str">
        <f t="shared" ca="1" si="77"/>
        <v>Night</v>
      </c>
      <c r="Z225" t="str">
        <f t="shared" ca="1" si="78"/>
        <v>ECG Machine</v>
      </c>
      <c r="AA225" t="str">
        <f t="shared" ca="1" si="79"/>
        <v>Available</v>
      </c>
      <c r="AB225" t="str">
        <f t="shared" ca="1" si="80"/>
        <v>Paid</v>
      </c>
      <c r="AC225" t="str">
        <f t="shared" ca="1" si="81"/>
        <v>Credit Card</v>
      </c>
      <c r="AD225" t="str">
        <f t="shared" ca="1" si="82"/>
        <v>No</v>
      </c>
      <c r="AE225" t="str">
        <f t="shared" ca="1" si="83"/>
        <v>No</v>
      </c>
      <c r="AF225" t="str">
        <f t="shared" ca="1" si="84"/>
        <v>Under Observation</v>
      </c>
      <c r="AG225" t="str">
        <f t="shared" ca="1" si="85"/>
        <v>West Coast</v>
      </c>
      <c r="AH225" t="str">
        <f t="shared" si="68"/>
        <v>March</v>
      </c>
      <c r="AI225">
        <f t="shared" si="69"/>
        <v>2024</v>
      </c>
      <c r="AJ225" t="str">
        <f t="shared" ca="1" si="86"/>
        <v>Occupied</v>
      </c>
      <c r="AK225">
        <f t="shared" ca="1" si="87"/>
        <v>1</v>
      </c>
    </row>
    <row r="226" spans="1:37" x14ac:dyDescent="0.3">
      <c r="A226" t="s">
        <v>4667</v>
      </c>
      <c r="B226">
        <v>25</v>
      </c>
      <c r="C226" t="s">
        <v>15</v>
      </c>
      <c r="D226" t="s">
        <v>52</v>
      </c>
      <c r="E226" t="s">
        <v>76</v>
      </c>
      <c r="F226" s="1">
        <v>44635</v>
      </c>
      <c r="G226" t="s">
        <v>495</v>
      </c>
      <c r="H226" t="s">
        <v>496</v>
      </c>
      <c r="I226" t="s">
        <v>28</v>
      </c>
      <c r="J226">
        <v>13855</v>
      </c>
      <c r="K226">
        <v>328</v>
      </c>
      <c r="L226" t="s">
        <v>42</v>
      </c>
      <c r="M226" s="1">
        <v>44661</v>
      </c>
      <c r="N226" t="s">
        <v>47</v>
      </c>
      <c r="O226" t="s">
        <v>31</v>
      </c>
      <c r="P226" t="str">
        <f t="shared" si="70"/>
        <v>P0225</v>
      </c>
      <c r="Q226" t="str">
        <f t="shared" si="66"/>
        <v>Orthopedics</v>
      </c>
      <c r="R226">
        <f t="shared" si="67"/>
        <v>26</v>
      </c>
      <c r="S226" t="str">
        <f t="shared" ca="1" si="71"/>
        <v>No</v>
      </c>
      <c r="T226" t="str">
        <f t="shared" ca="1" si="72"/>
        <v>Critical</v>
      </c>
      <c r="U226" t="str">
        <f t="shared" ca="1" si="73"/>
        <v>ICU</v>
      </c>
      <c r="V226" t="str">
        <f t="shared" si="74"/>
        <v>BED0225</v>
      </c>
      <c r="W226" t="str">
        <f t="shared" ca="1" si="75"/>
        <v>General</v>
      </c>
      <c r="X226" t="str">
        <f t="shared" si="76"/>
        <v>NUR025</v>
      </c>
      <c r="Y226" t="str">
        <f t="shared" ca="1" si="77"/>
        <v>Morning</v>
      </c>
      <c r="Z226" t="str">
        <f t="shared" ca="1" si="78"/>
        <v>CT Scanner</v>
      </c>
      <c r="AA226" t="str">
        <f t="shared" ca="1" si="79"/>
        <v>Available</v>
      </c>
      <c r="AB226" t="str">
        <f t="shared" ca="1" si="80"/>
        <v>Partially Paid</v>
      </c>
      <c r="AC226" t="str">
        <f t="shared" ca="1" si="81"/>
        <v>Debit Card</v>
      </c>
      <c r="AD226" t="str">
        <f t="shared" ca="1" si="82"/>
        <v>No</v>
      </c>
      <c r="AE226" t="str">
        <f t="shared" ca="1" si="83"/>
        <v>No</v>
      </c>
      <c r="AF226" t="str">
        <f t="shared" ca="1" si="84"/>
        <v>Under Observation</v>
      </c>
      <c r="AG226" t="str">
        <f t="shared" ca="1" si="85"/>
        <v>West Coast</v>
      </c>
      <c r="AH226" t="str">
        <f t="shared" si="68"/>
        <v>March</v>
      </c>
      <c r="AI226">
        <f t="shared" si="69"/>
        <v>2022</v>
      </c>
      <c r="AJ226" t="str">
        <f t="shared" ca="1" si="86"/>
        <v>Occupied</v>
      </c>
      <c r="AK226">
        <f t="shared" ca="1" si="87"/>
        <v>1</v>
      </c>
    </row>
    <row r="227" spans="1:37" x14ac:dyDescent="0.3">
      <c r="A227" t="s">
        <v>4668</v>
      </c>
      <c r="B227">
        <v>67</v>
      </c>
      <c r="C227" t="s">
        <v>32</v>
      </c>
      <c r="D227" t="s">
        <v>44</v>
      </c>
      <c r="E227" t="s">
        <v>25</v>
      </c>
      <c r="F227" s="1">
        <v>44051</v>
      </c>
      <c r="G227" t="s">
        <v>497</v>
      </c>
      <c r="H227" t="s">
        <v>498</v>
      </c>
      <c r="I227" t="s">
        <v>20</v>
      </c>
      <c r="J227">
        <v>11871</v>
      </c>
      <c r="K227">
        <v>196</v>
      </c>
      <c r="L227" t="s">
        <v>42</v>
      </c>
      <c r="M227" s="1">
        <v>44057</v>
      </c>
      <c r="N227" t="s">
        <v>30</v>
      </c>
      <c r="O227" t="s">
        <v>43</v>
      </c>
      <c r="P227" t="str">
        <f t="shared" si="70"/>
        <v>P0226</v>
      </c>
      <c r="Q227" t="str">
        <f t="shared" si="66"/>
        <v>Nutrition</v>
      </c>
      <c r="R227">
        <f t="shared" si="67"/>
        <v>6</v>
      </c>
      <c r="S227" t="str">
        <f t="shared" ca="1" si="71"/>
        <v>No</v>
      </c>
      <c r="T227" t="str">
        <f t="shared" ca="1" si="72"/>
        <v>Severe</v>
      </c>
      <c r="U227" t="str">
        <f t="shared" ca="1" si="73"/>
        <v>General Ward</v>
      </c>
      <c r="V227" t="str">
        <f t="shared" si="74"/>
        <v>BED0226</v>
      </c>
      <c r="W227" t="str">
        <f t="shared" ca="1" si="75"/>
        <v>General</v>
      </c>
      <c r="X227" t="str">
        <f t="shared" si="76"/>
        <v>NUR026</v>
      </c>
      <c r="Y227" t="str">
        <f t="shared" ca="1" si="77"/>
        <v>Morning</v>
      </c>
      <c r="Z227" t="str">
        <f t="shared" ca="1" si="78"/>
        <v>MRI Scanner</v>
      </c>
      <c r="AA227" t="str">
        <f t="shared" ca="1" si="79"/>
        <v>In Use</v>
      </c>
      <c r="AB227" t="str">
        <f t="shared" ca="1" si="80"/>
        <v>Paid</v>
      </c>
      <c r="AC227" t="str">
        <f t="shared" ca="1" si="81"/>
        <v>Insurance</v>
      </c>
      <c r="AD227" t="str">
        <f t="shared" ca="1" si="82"/>
        <v>No</v>
      </c>
      <c r="AE227" t="str">
        <f t="shared" ca="1" si="83"/>
        <v>Yes</v>
      </c>
      <c r="AF227" t="str">
        <f t="shared" ca="1" si="84"/>
        <v>Recovered</v>
      </c>
      <c r="AG227" t="str">
        <f t="shared" ca="1" si="85"/>
        <v>Southwest</v>
      </c>
      <c r="AH227" t="str">
        <f t="shared" si="68"/>
        <v>August</v>
      </c>
      <c r="AI227">
        <f t="shared" si="69"/>
        <v>2020</v>
      </c>
      <c r="AJ227" t="str">
        <f t="shared" ca="1" si="86"/>
        <v>Vacant</v>
      </c>
      <c r="AK227">
        <f t="shared" ca="1" si="87"/>
        <v>2</v>
      </c>
    </row>
    <row r="228" spans="1:37" x14ac:dyDescent="0.3">
      <c r="A228" t="s">
        <v>4669</v>
      </c>
      <c r="B228">
        <v>47</v>
      </c>
      <c r="C228" t="s">
        <v>32</v>
      </c>
      <c r="D228" t="s">
        <v>44</v>
      </c>
      <c r="E228" t="s">
        <v>25</v>
      </c>
      <c r="F228" s="1">
        <v>43625</v>
      </c>
      <c r="G228" t="s">
        <v>499</v>
      </c>
      <c r="H228" t="s">
        <v>500</v>
      </c>
      <c r="I228" t="s">
        <v>51</v>
      </c>
      <c r="J228">
        <v>25574</v>
      </c>
      <c r="K228">
        <v>464</v>
      </c>
      <c r="L228" t="s">
        <v>42</v>
      </c>
      <c r="M228" s="1">
        <v>43647</v>
      </c>
      <c r="N228" t="s">
        <v>37</v>
      </c>
      <c r="O228" t="s">
        <v>31</v>
      </c>
      <c r="P228" t="str">
        <f t="shared" si="70"/>
        <v>P0227</v>
      </c>
      <c r="Q228" t="str">
        <f t="shared" si="66"/>
        <v>Nutrition</v>
      </c>
      <c r="R228">
        <f t="shared" si="67"/>
        <v>22</v>
      </c>
      <c r="S228" t="str">
        <f t="shared" ca="1" si="71"/>
        <v>No</v>
      </c>
      <c r="T228" t="str">
        <f t="shared" ca="1" si="72"/>
        <v>Mild</v>
      </c>
      <c r="U228" t="str">
        <f t="shared" ca="1" si="73"/>
        <v>Private Ward</v>
      </c>
      <c r="V228" t="str">
        <f t="shared" si="74"/>
        <v>BED0227</v>
      </c>
      <c r="W228" t="str">
        <f t="shared" ca="1" si="75"/>
        <v>Semi-Private</v>
      </c>
      <c r="X228" t="str">
        <f t="shared" si="76"/>
        <v>NUR027</v>
      </c>
      <c r="Y228" t="str">
        <f t="shared" ca="1" si="77"/>
        <v>Morning</v>
      </c>
      <c r="Z228" t="str">
        <f t="shared" ca="1" si="78"/>
        <v>MRI Scanner</v>
      </c>
      <c r="AA228" t="str">
        <f t="shared" ca="1" si="79"/>
        <v>In Use</v>
      </c>
      <c r="AB228" t="str">
        <f t="shared" ca="1" si="80"/>
        <v>Paid</v>
      </c>
      <c r="AC228" t="str">
        <f t="shared" ca="1" si="81"/>
        <v>Debit Card</v>
      </c>
      <c r="AD228" t="str">
        <f t="shared" ca="1" si="82"/>
        <v>Yes</v>
      </c>
      <c r="AE228" t="str">
        <f t="shared" ca="1" si="83"/>
        <v>No</v>
      </c>
      <c r="AF228" t="str">
        <f t="shared" ca="1" si="84"/>
        <v>Transferred</v>
      </c>
      <c r="AG228" t="str">
        <f t="shared" ca="1" si="85"/>
        <v>Southwest</v>
      </c>
      <c r="AH228" t="str">
        <f t="shared" si="68"/>
        <v>June</v>
      </c>
      <c r="AI228">
        <f t="shared" si="69"/>
        <v>2019</v>
      </c>
      <c r="AJ228" t="str">
        <f t="shared" ca="1" si="86"/>
        <v>Occupied</v>
      </c>
      <c r="AK228">
        <f t="shared" ca="1" si="87"/>
        <v>4</v>
      </c>
    </row>
    <row r="229" spans="1:37" x14ac:dyDescent="0.3">
      <c r="A229" t="s">
        <v>4670</v>
      </c>
      <c r="B229">
        <v>75</v>
      </c>
      <c r="C229" t="s">
        <v>15</v>
      </c>
      <c r="D229" t="s">
        <v>52</v>
      </c>
      <c r="E229" t="s">
        <v>76</v>
      </c>
      <c r="F229" s="1">
        <v>43715</v>
      </c>
      <c r="G229" t="s">
        <v>501</v>
      </c>
      <c r="H229" t="s">
        <v>502</v>
      </c>
      <c r="I229" t="s">
        <v>36</v>
      </c>
      <c r="J229">
        <v>6132</v>
      </c>
      <c r="K229">
        <v>231</v>
      </c>
      <c r="L229" t="s">
        <v>21</v>
      </c>
      <c r="M229" s="1">
        <v>43744</v>
      </c>
      <c r="N229" t="s">
        <v>22</v>
      </c>
      <c r="O229" t="s">
        <v>23</v>
      </c>
      <c r="P229" t="str">
        <f t="shared" si="70"/>
        <v>P0228</v>
      </c>
      <c r="Q229" t="str">
        <f t="shared" si="66"/>
        <v>Orthopedics</v>
      </c>
      <c r="R229">
        <f t="shared" si="67"/>
        <v>29</v>
      </c>
      <c r="S229" t="str">
        <f t="shared" ca="1" si="71"/>
        <v>No</v>
      </c>
      <c r="T229" t="str">
        <f t="shared" ca="1" si="72"/>
        <v>Moderate</v>
      </c>
      <c r="U229" t="str">
        <f t="shared" ca="1" si="73"/>
        <v>Private Ward</v>
      </c>
      <c r="V229" t="str">
        <f t="shared" si="74"/>
        <v>BED0228</v>
      </c>
      <c r="W229" t="str">
        <f t="shared" ca="1" si="75"/>
        <v>ICU</v>
      </c>
      <c r="X229" t="str">
        <f t="shared" si="76"/>
        <v>NUR028</v>
      </c>
      <c r="Y229" t="str">
        <f t="shared" ca="1" si="77"/>
        <v>Evening</v>
      </c>
      <c r="Z229" t="str">
        <f t="shared" ca="1" si="78"/>
        <v>Ventilator</v>
      </c>
      <c r="AA229" t="str">
        <f t="shared" ca="1" si="79"/>
        <v>Maintenance</v>
      </c>
      <c r="AB229" t="str">
        <f t="shared" ca="1" si="80"/>
        <v>Pending</v>
      </c>
      <c r="AC229" t="str">
        <f t="shared" ca="1" si="81"/>
        <v>Credit Card</v>
      </c>
      <c r="AD229" t="str">
        <f t="shared" ca="1" si="82"/>
        <v>No</v>
      </c>
      <c r="AE229" t="str">
        <f t="shared" ca="1" si="83"/>
        <v>Yes</v>
      </c>
      <c r="AF229" t="str">
        <f t="shared" ca="1" si="84"/>
        <v>Recovered</v>
      </c>
      <c r="AG229" t="str">
        <f t="shared" ca="1" si="85"/>
        <v>Midwest</v>
      </c>
      <c r="AH229" t="str">
        <f t="shared" si="68"/>
        <v>September</v>
      </c>
      <c r="AI229">
        <f t="shared" si="69"/>
        <v>2019</v>
      </c>
      <c r="AJ229" t="str">
        <f t="shared" ca="1" si="86"/>
        <v>Occupied</v>
      </c>
      <c r="AK229">
        <f t="shared" ca="1" si="87"/>
        <v>4</v>
      </c>
    </row>
    <row r="230" spans="1:37" x14ac:dyDescent="0.3">
      <c r="A230" t="s">
        <v>4671</v>
      </c>
      <c r="B230">
        <v>58</v>
      </c>
      <c r="C230" t="s">
        <v>32</v>
      </c>
      <c r="D230" t="s">
        <v>33</v>
      </c>
      <c r="E230" t="s">
        <v>25</v>
      </c>
      <c r="F230" s="1">
        <v>44241</v>
      </c>
      <c r="G230" t="s">
        <v>503</v>
      </c>
      <c r="H230" t="s">
        <v>504</v>
      </c>
      <c r="I230" t="s">
        <v>28</v>
      </c>
      <c r="J230">
        <v>33344</v>
      </c>
      <c r="K230">
        <v>117</v>
      </c>
      <c r="L230" t="s">
        <v>42</v>
      </c>
      <c r="M230" s="1">
        <v>44253</v>
      </c>
      <c r="N230" t="s">
        <v>67</v>
      </c>
      <c r="O230" t="s">
        <v>31</v>
      </c>
      <c r="P230" t="str">
        <f t="shared" si="70"/>
        <v>P0229</v>
      </c>
      <c r="Q230" t="str">
        <f t="shared" si="66"/>
        <v>Nutrition</v>
      </c>
      <c r="R230">
        <f t="shared" si="67"/>
        <v>12</v>
      </c>
      <c r="S230" t="str">
        <f t="shared" ca="1" si="71"/>
        <v>Yes</v>
      </c>
      <c r="T230" t="str">
        <f t="shared" ca="1" si="72"/>
        <v>Critical</v>
      </c>
      <c r="U230" t="str">
        <f t="shared" ca="1" si="73"/>
        <v>General Ward</v>
      </c>
      <c r="V230" t="str">
        <f t="shared" si="74"/>
        <v>BED0229</v>
      </c>
      <c r="W230" t="str">
        <f t="shared" ca="1" si="75"/>
        <v>General</v>
      </c>
      <c r="X230" t="str">
        <f t="shared" si="76"/>
        <v>NUR029</v>
      </c>
      <c r="Y230" t="str">
        <f t="shared" ca="1" si="77"/>
        <v>Evening</v>
      </c>
      <c r="Z230" t="str">
        <f t="shared" ca="1" si="78"/>
        <v>Ultrasound</v>
      </c>
      <c r="AA230" t="str">
        <f t="shared" ca="1" si="79"/>
        <v>In Use</v>
      </c>
      <c r="AB230" t="str">
        <f t="shared" ca="1" si="80"/>
        <v>Partially Paid</v>
      </c>
      <c r="AC230" t="str">
        <f t="shared" ca="1" si="81"/>
        <v>Credit Card</v>
      </c>
      <c r="AD230" t="str">
        <f t="shared" ca="1" si="82"/>
        <v>Yes</v>
      </c>
      <c r="AE230" t="str">
        <f t="shared" ca="1" si="83"/>
        <v>No</v>
      </c>
      <c r="AF230" t="str">
        <f t="shared" ca="1" si="84"/>
        <v>Recovered</v>
      </c>
      <c r="AG230" t="str">
        <f t="shared" ca="1" si="85"/>
        <v>Northeast</v>
      </c>
      <c r="AH230" t="str">
        <f t="shared" si="68"/>
        <v>February</v>
      </c>
      <c r="AI230">
        <f t="shared" si="69"/>
        <v>2021</v>
      </c>
      <c r="AJ230" t="str">
        <f t="shared" ca="1" si="86"/>
        <v>Occupied</v>
      </c>
      <c r="AK230">
        <f t="shared" ca="1" si="87"/>
        <v>1</v>
      </c>
    </row>
    <row r="231" spans="1:37" x14ac:dyDescent="0.3">
      <c r="A231" t="s">
        <v>4672</v>
      </c>
      <c r="B231">
        <v>26</v>
      </c>
      <c r="C231" t="s">
        <v>32</v>
      </c>
      <c r="D231" t="s">
        <v>33</v>
      </c>
      <c r="E231" t="s">
        <v>64</v>
      </c>
      <c r="F231" s="1">
        <v>43779</v>
      </c>
      <c r="G231" t="s">
        <v>505</v>
      </c>
      <c r="H231" t="s">
        <v>506</v>
      </c>
      <c r="I231" t="s">
        <v>28</v>
      </c>
      <c r="J231">
        <v>43484</v>
      </c>
      <c r="K231">
        <v>244</v>
      </c>
      <c r="L231" t="s">
        <v>21</v>
      </c>
      <c r="M231" s="1">
        <v>43795</v>
      </c>
      <c r="N231" t="s">
        <v>47</v>
      </c>
      <c r="O231" t="s">
        <v>43</v>
      </c>
      <c r="P231" t="str">
        <f t="shared" si="70"/>
        <v>P0230</v>
      </c>
      <c r="Q231" t="str">
        <f t="shared" si="66"/>
        <v>Cardiology</v>
      </c>
      <c r="R231">
        <f t="shared" si="67"/>
        <v>16</v>
      </c>
      <c r="S231" t="str">
        <f t="shared" ca="1" si="71"/>
        <v>No</v>
      </c>
      <c r="T231" t="str">
        <f t="shared" ca="1" si="72"/>
        <v>Critical</v>
      </c>
      <c r="U231" t="str">
        <f t="shared" ca="1" si="73"/>
        <v>Emergency</v>
      </c>
      <c r="V231" t="str">
        <f t="shared" si="74"/>
        <v>BED0230</v>
      </c>
      <c r="W231" t="str">
        <f t="shared" ca="1" si="75"/>
        <v>ICU</v>
      </c>
      <c r="X231" t="str">
        <f t="shared" si="76"/>
        <v>NUR030</v>
      </c>
      <c r="Y231" t="str">
        <f t="shared" ca="1" si="77"/>
        <v>Night</v>
      </c>
      <c r="Z231" t="str">
        <f t="shared" ca="1" si="78"/>
        <v>Ventilator</v>
      </c>
      <c r="AA231" t="str">
        <f t="shared" ca="1" si="79"/>
        <v>Maintenance</v>
      </c>
      <c r="AB231" t="str">
        <f t="shared" ca="1" si="80"/>
        <v>Paid</v>
      </c>
      <c r="AC231" t="str">
        <f t="shared" ca="1" si="81"/>
        <v>Cash</v>
      </c>
      <c r="AD231" t="str">
        <f t="shared" ca="1" si="82"/>
        <v>No</v>
      </c>
      <c r="AE231" t="str">
        <f t="shared" ca="1" si="83"/>
        <v>No</v>
      </c>
      <c r="AF231" t="str">
        <f t="shared" ca="1" si="84"/>
        <v>Under Observation</v>
      </c>
      <c r="AG231" t="str">
        <f t="shared" ca="1" si="85"/>
        <v>Southwest</v>
      </c>
      <c r="AH231" t="str">
        <f t="shared" si="68"/>
        <v>November</v>
      </c>
      <c r="AI231">
        <f t="shared" si="69"/>
        <v>2019</v>
      </c>
      <c r="AJ231" t="str">
        <f t="shared" ca="1" si="86"/>
        <v>Occupied</v>
      </c>
      <c r="AK231">
        <f t="shared" ca="1" si="87"/>
        <v>1</v>
      </c>
    </row>
    <row r="232" spans="1:37" x14ac:dyDescent="0.3">
      <c r="A232" t="s">
        <v>3963</v>
      </c>
      <c r="B232">
        <v>22</v>
      </c>
      <c r="C232" t="s">
        <v>15</v>
      </c>
      <c r="D232" t="s">
        <v>38</v>
      </c>
      <c r="E232" t="s">
        <v>25</v>
      </c>
      <c r="F232" s="1">
        <v>45032</v>
      </c>
      <c r="G232" t="s">
        <v>507</v>
      </c>
      <c r="H232" t="s">
        <v>508</v>
      </c>
      <c r="I232" t="s">
        <v>51</v>
      </c>
      <c r="J232">
        <v>7859</v>
      </c>
      <c r="K232">
        <v>414</v>
      </c>
      <c r="L232" t="s">
        <v>21</v>
      </c>
      <c r="M232" s="1">
        <v>45060</v>
      </c>
      <c r="N232" t="s">
        <v>47</v>
      </c>
      <c r="O232" t="s">
        <v>23</v>
      </c>
      <c r="P232" t="str">
        <f t="shared" si="70"/>
        <v>P0231</v>
      </c>
      <c r="Q232" t="str">
        <f t="shared" si="66"/>
        <v>Nutrition</v>
      </c>
      <c r="R232">
        <f t="shared" si="67"/>
        <v>28</v>
      </c>
      <c r="S232" t="str">
        <f t="shared" ca="1" si="71"/>
        <v>No</v>
      </c>
      <c r="T232" t="str">
        <f t="shared" ca="1" si="72"/>
        <v>Severe</v>
      </c>
      <c r="U232" t="str">
        <f t="shared" ca="1" si="73"/>
        <v>General Ward</v>
      </c>
      <c r="V232" t="str">
        <f t="shared" si="74"/>
        <v>BED0231</v>
      </c>
      <c r="W232" t="str">
        <f t="shared" ca="1" si="75"/>
        <v>Private</v>
      </c>
      <c r="X232" t="str">
        <f t="shared" si="76"/>
        <v>NUR031</v>
      </c>
      <c r="Y232" t="str">
        <f t="shared" ca="1" si="77"/>
        <v>Night</v>
      </c>
      <c r="Z232" t="str">
        <f t="shared" ca="1" si="78"/>
        <v>MRI Scanner</v>
      </c>
      <c r="AA232" t="str">
        <f t="shared" ca="1" si="79"/>
        <v>Maintenance</v>
      </c>
      <c r="AB232" t="str">
        <f t="shared" ca="1" si="80"/>
        <v>Paid</v>
      </c>
      <c r="AC232" t="str">
        <f t="shared" ca="1" si="81"/>
        <v>Credit Card</v>
      </c>
      <c r="AD232" t="str">
        <f t="shared" ca="1" si="82"/>
        <v>No</v>
      </c>
      <c r="AE232" t="str">
        <f t="shared" ca="1" si="83"/>
        <v>No</v>
      </c>
      <c r="AF232" t="str">
        <f t="shared" ca="1" si="84"/>
        <v>Under Observation</v>
      </c>
      <c r="AG232" t="str">
        <f t="shared" ca="1" si="85"/>
        <v>West Coast</v>
      </c>
      <c r="AH232" t="str">
        <f t="shared" si="68"/>
        <v>April</v>
      </c>
      <c r="AI232">
        <f t="shared" si="69"/>
        <v>2023</v>
      </c>
      <c r="AJ232" t="str">
        <f t="shared" ca="1" si="86"/>
        <v>Occupied</v>
      </c>
      <c r="AK232">
        <f t="shared" ca="1" si="87"/>
        <v>2</v>
      </c>
    </row>
    <row r="233" spans="1:37" x14ac:dyDescent="0.3">
      <c r="A233" t="s">
        <v>4673</v>
      </c>
      <c r="B233">
        <v>29</v>
      </c>
      <c r="C233" t="s">
        <v>32</v>
      </c>
      <c r="D233" t="s">
        <v>83</v>
      </c>
      <c r="E233" t="s">
        <v>48</v>
      </c>
      <c r="F233" s="1">
        <v>43946</v>
      </c>
      <c r="G233" t="s">
        <v>509</v>
      </c>
      <c r="H233" t="s">
        <v>510</v>
      </c>
      <c r="I233" t="s">
        <v>57</v>
      </c>
      <c r="J233">
        <v>33162</v>
      </c>
      <c r="K233">
        <v>493</v>
      </c>
      <c r="L233" t="s">
        <v>21</v>
      </c>
      <c r="M233" s="1">
        <v>43949</v>
      </c>
      <c r="N233" t="s">
        <v>22</v>
      </c>
      <c r="O233" t="s">
        <v>31</v>
      </c>
      <c r="P233" t="str">
        <f t="shared" si="70"/>
        <v>P0232</v>
      </c>
      <c r="Q233" t="str">
        <f t="shared" si="66"/>
        <v>Pulmonology</v>
      </c>
      <c r="R233">
        <f t="shared" si="67"/>
        <v>3</v>
      </c>
      <c r="S233" t="str">
        <f t="shared" ca="1" si="71"/>
        <v>No</v>
      </c>
      <c r="T233" t="str">
        <f t="shared" ca="1" si="72"/>
        <v>Mild</v>
      </c>
      <c r="U233" t="str">
        <f t="shared" ca="1" si="73"/>
        <v>Private Ward</v>
      </c>
      <c r="V233" t="str">
        <f t="shared" si="74"/>
        <v>BED0232</v>
      </c>
      <c r="W233" t="str">
        <f t="shared" ca="1" si="75"/>
        <v>Private</v>
      </c>
      <c r="X233" t="str">
        <f t="shared" si="76"/>
        <v>NUR032</v>
      </c>
      <c r="Y233" t="str">
        <f t="shared" ca="1" si="77"/>
        <v>Night</v>
      </c>
      <c r="Z233" t="str">
        <f t="shared" ca="1" si="78"/>
        <v>ECG Machine</v>
      </c>
      <c r="AA233" t="str">
        <f t="shared" ca="1" si="79"/>
        <v>In Use</v>
      </c>
      <c r="AB233" t="str">
        <f t="shared" ca="1" si="80"/>
        <v>Pending</v>
      </c>
      <c r="AC233" t="str">
        <f t="shared" ca="1" si="81"/>
        <v>Debit Card</v>
      </c>
      <c r="AD233" t="str">
        <f t="shared" ca="1" si="82"/>
        <v>Yes</v>
      </c>
      <c r="AE233" t="str">
        <f t="shared" ca="1" si="83"/>
        <v>No</v>
      </c>
      <c r="AF233" t="str">
        <f t="shared" ca="1" si="84"/>
        <v>Transferred</v>
      </c>
      <c r="AG233" t="str">
        <f t="shared" ca="1" si="85"/>
        <v>West Coast</v>
      </c>
      <c r="AH233" t="str">
        <f t="shared" si="68"/>
        <v>April</v>
      </c>
      <c r="AI233">
        <f t="shared" si="69"/>
        <v>2020</v>
      </c>
      <c r="AJ233" t="str">
        <f t="shared" ca="1" si="86"/>
        <v>Vacant</v>
      </c>
      <c r="AK233">
        <f t="shared" ca="1" si="87"/>
        <v>4</v>
      </c>
    </row>
    <row r="234" spans="1:37" x14ac:dyDescent="0.3">
      <c r="A234" t="s">
        <v>4674</v>
      </c>
      <c r="B234">
        <v>30</v>
      </c>
      <c r="C234" t="s">
        <v>15</v>
      </c>
      <c r="D234" t="s">
        <v>33</v>
      </c>
      <c r="E234" t="s">
        <v>17</v>
      </c>
      <c r="F234" s="1">
        <v>44429</v>
      </c>
      <c r="G234" t="s">
        <v>511</v>
      </c>
      <c r="H234" t="s">
        <v>512</v>
      </c>
      <c r="I234" t="s">
        <v>57</v>
      </c>
      <c r="J234">
        <v>2879</v>
      </c>
      <c r="K234">
        <v>183</v>
      </c>
      <c r="L234" t="s">
        <v>21</v>
      </c>
      <c r="M234" s="1">
        <v>44436</v>
      </c>
      <c r="N234" t="s">
        <v>30</v>
      </c>
      <c r="O234" t="s">
        <v>23</v>
      </c>
      <c r="P234" t="str">
        <f t="shared" si="70"/>
        <v>P0233</v>
      </c>
      <c r="Q234" t="str">
        <f t="shared" si="66"/>
        <v>Oncology</v>
      </c>
      <c r="R234">
        <f t="shared" si="67"/>
        <v>7</v>
      </c>
      <c r="S234" t="str">
        <f t="shared" ca="1" si="71"/>
        <v>No</v>
      </c>
      <c r="T234" t="str">
        <f t="shared" ca="1" si="72"/>
        <v>Severe</v>
      </c>
      <c r="U234" t="str">
        <f t="shared" ca="1" si="73"/>
        <v>General Ward</v>
      </c>
      <c r="V234" t="str">
        <f t="shared" si="74"/>
        <v>BED0233</v>
      </c>
      <c r="W234" t="str">
        <f t="shared" ca="1" si="75"/>
        <v>General</v>
      </c>
      <c r="X234" t="str">
        <f t="shared" si="76"/>
        <v>NUR033</v>
      </c>
      <c r="Y234" t="str">
        <f t="shared" ca="1" si="77"/>
        <v>Night</v>
      </c>
      <c r="Z234" t="str">
        <f t="shared" ca="1" si="78"/>
        <v>ECG Machine</v>
      </c>
      <c r="AA234" t="str">
        <f t="shared" ca="1" si="79"/>
        <v>In Use</v>
      </c>
      <c r="AB234" t="str">
        <f t="shared" ca="1" si="80"/>
        <v>Partially Paid</v>
      </c>
      <c r="AC234" t="str">
        <f t="shared" ca="1" si="81"/>
        <v>Credit Card</v>
      </c>
      <c r="AD234" t="str">
        <f t="shared" ca="1" si="82"/>
        <v>No</v>
      </c>
      <c r="AE234" t="str">
        <f t="shared" ca="1" si="83"/>
        <v>No</v>
      </c>
      <c r="AF234" t="str">
        <f t="shared" ca="1" si="84"/>
        <v>Under Observation</v>
      </c>
      <c r="AG234" t="str">
        <f t="shared" ca="1" si="85"/>
        <v>West Coast</v>
      </c>
      <c r="AH234" t="str">
        <f t="shared" si="68"/>
        <v>August</v>
      </c>
      <c r="AI234">
        <f t="shared" si="69"/>
        <v>2021</v>
      </c>
      <c r="AJ234" t="str">
        <f t="shared" ca="1" si="86"/>
        <v>Occupied</v>
      </c>
      <c r="AK234">
        <f t="shared" ca="1" si="87"/>
        <v>2</v>
      </c>
    </row>
    <row r="235" spans="1:37" x14ac:dyDescent="0.3">
      <c r="A235" t="s">
        <v>4675</v>
      </c>
      <c r="B235">
        <v>22</v>
      </c>
      <c r="C235" t="s">
        <v>32</v>
      </c>
      <c r="D235" t="s">
        <v>38</v>
      </c>
      <c r="E235" t="s">
        <v>48</v>
      </c>
      <c r="F235" s="1">
        <v>44210</v>
      </c>
      <c r="G235" t="s">
        <v>513</v>
      </c>
      <c r="H235" t="s">
        <v>192</v>
      </c>
      <c r="I235" t="s">
        <v>36</v>
      </c>
      <c r="J235">
        <v>46493</v>
      </c>
      <c r="K235">
        <v>471</v>
      </c>
      <c r="L235" t="s">
        <v>42</v>
      </c>
      <c r="M235" s="1">
        <v>44223</v>
      </c>
      <c r="N235" t="s">
        <v>37</v>
      </c>
      <c r="O235" t="s">
        <v>31</v>
      </c>
      <c r="P235" t="str">
        <f t="shared" si="70"/>
        <v>P0234</v>
      </c>
      <c r="Q235" t="str">
        <f t="shared" si="66"/>
        <v>Pulmonology</v>
      </c>
      <c r="R235">
        <f t="shared" si="67"/>
        <v>13</v>
      </c>
      <c r="S235" t="str">
        <f t="shared" ca="1" si="71"/>
        <v>No</v>
      </c>
      <c r="T235" t="str">
        <f t="shared" ca="1" si="72"/>
        <v>Critical</v>
      </c>
      <c r="U235" t="str">
        <f t="shared" ca="1" si="73"/>
        <v>General Ward</v>
      </c>
      <c r="V235" t="str">
        <f t="shared" si="74"/>
        <v>BED0234</v>
      </c>
      <c r="W235" t="str">
        <f t="shared" ca="1" si="75"/>
        <v>Semi-Private</v>
      </c>
      <c r="X235" t="str">
        <f t="shared" si="76"/>
        <v>NUR034</v>
      </c>
      <c r="Y235" t="str">
        <f t="shared" ca="1" si="77"/>
        <v>Night</v>
      </c>
      <c r="Z235" t="str">
        <f t="shared" ca="1" si="78"/>
        <v>CT Scanner</v>
      </c>
      <c r="AA235" t="str">
        <f t="shared" ca="1" si="79"/>
        <v>Maintenance</v>
      </c>
      <c r="AB235" t="str">
        <f t="shared" ca="1" si="80"/>
        <v>Partially Paid</v>
      </c>
      <c r="AC235" t="str">
        <f t="shared" ca="1" si="81"/>
        <v>Credit Card</v>
      </c>
      <c r="AD235" t="str">
        <f t="shared" ca="1" si="82"/>
        <v>No</v>
      </c>
      <c r="AE235" t="str">
        <f t="shared" ca="1" si="83"/>
        <v>No</v>
      </c>
      <c r="AF235" t="str">
        <f t="shared" ca="1" si="84"/>
        <v>Transferred</v>
      </c>
      <c r="AG235" t="str">
        <f t="shared" ca="1" si="85"/>
        <v>Midwest</v>
      </c>
      <c r="AH235" t="str">
        <f t="shared" si="68"/>
        <v>January</v>
      </c>
      <c r="AI235">
        <f t="shared" si="69"/>
        <v>2021</v>
      </c>
      <c r="AJ235" t="str">
        <f t="shared" ca="1" si="86"/>
        <v>Occupied</v>
      </c>
      <c r="AK235">
        <f t="shared" ca="1" si="87"/>
        <v>2</v>
      </c>
    </row>
    <row r="236" spans="1:37" x14ac:dyDescent="0.3">
      <c r="A236" t="s">
        <v>4676</v>
      </c>
      <c r="B236">
        <v>34</v>
      </c>
      <c r="C236" t="s">
        <v>15</v>
      </c>
      <c r="D236" t="s">
        <v>44</v>
      </c>
      <c r="E236" t="s">
        <v>64</v>
      </c>
      <c r="F236" s="1">
        <v>44086</v>
      </c>
      <c r="G236" t="s">
        <v>514</v>
      </c>
      <c r="H236" t="s">
        <v>515</v>
      </c>
      <c r="I236" t="s">
        <v>36</v>
      </c>
      <c r="J236">
        <v>5259</v>
      </c>
      <c r="K236">
        <v>341</v>
      </c>
      <c r="L236" t="s">
        <v>42</v>
      </c>
      <c r="M236" s="1">
        <v>44100</v>
      </c>
      <c r="N236" t="s">
        <v>22</v>
      </c>
      <c r="O236" t="s">
        <v>43</v>
      </c>
      <c r="P236" t="str">
        <f t="shared" si="70"/>
        <v>P0235</v>
      </c>
      <c r="Q236" t="str">
        <f t="shared" si="66"/>
        <v>Cardiology</v>
      </c>
      <c r="R236">
        <f t="shared" si="67"/>
        <v>14</v>
      </c>
      <c r="S236" t="str">
        <f t="shared" ca="1" si="71"/>
        <v>No</v>
      </c>
      <c r="T236" t="str">
        <f t="shared" ca="1" si="72"/>
        <v>Mild</v>
      </c>
      <c r="U236" t="str">
        <f t="shared" ca="1" si="73"/>
        <v>Private Ward</v>
      </c>
      <c r="V236" t="str">
        <f t="shared" si="74"/>
        <v>BED0235</v>
      </c>
      <c r="W236" t="str">
        <f t="shared" ca="1" si="75"/>
        <v>General</v>
      </c>
      <c r="X236" t="str">
        <f t="shared" si="76"/>
        <v>NUR035</v>
      </c>
      <c r="Y236" t="str">
        <f t="shared" ca="1" si="77"/>
        <v>Evening</v>
      </c>
      <c r="Z236" t="str">
        <f t="shared" ca="1" si="78"/>
        <v>X-Ray</v>
      </c>
      <c r="AA236" t="str">
        <f t="shared" ca="1" si="79"/>
        <v>Maintenance</v>
      </c>
      <c r="AB236" t="str">
        <f t="shared" ca="1" si="80"/>
        <v>Partially Paid</v>
      </c>
      <c r="AC236" t="str">
        <f t="shared" ca="1" si="81"/>
        <v>Credit Card</v>
      </c>
      <c r="AD236" t="str">
        <f t="shared" ca="1" si="82"/>
        <v>No</v>
      </c>
      <c r="AE236" t="str">
        <f t="shared" ca="1" si="83"/>
        <v>No</v>
      </c>
      <c r="AF236" t="str">
        <f t="shared" ca="1" si="84"/>
        <v>Recovered</v>
      </c>
      <c r="AG236" t="str">
        <f t="shared" ca="1" si="85"/>
        <v>Southwest</v>
      </c>
      <c r="AH236" t="str">
        <f t="shared" si="68"/>
        <v>September</v>
      </c>
      <c r="AI236">
        <f t="shared" si="69"/>
        <v>2020</v>
      </c>
      <c r="AJ236" t="str">
        <f t="shared" ca="1" si="86"/>
        <v>Occupied</v>
      </c>
      <c r="AK236">
        <f t="shared" ca="1" si="87"/>
        <v>1</v>
      </c>
    </row>
    <row r="237" spans="1:37" x14ac:dyDescent="0.3">
      <c r="A237" t="s">
        <v>4604</v>
      </c>
      <c r="B237">
        <v>20</v>
      </c>
      <c r="C237" t="s">
        <v>15</v>
      </c>
      <c r="D237" t="s">
        <v>44</v>
      </c>
      <c r="E237" t="s">
        <v>76</v>
      </c>
      <c r="F237" s="1">
        <v>43917</v>
      </c>
      <c r="G237" t="s">
        <v>516</v>
      </c>
      <c r="H237" t="s">
        <v>517</v>
      </c>
      <c r="I237" t="s">
        <v>51</v>
      </c>
      <c r="J237">
        <v>2785</v>
      </c>
      <c r="K237">
        <v>164</v>
      </c>
      <c r="L237" t="s">
        <v>29</v>
      </c>
      <c r="M237" s="1">
        <v>43937</v>
      </c>
      <c r="N237" t="s">
        <v>37</v>
      </c>
      <c r="O237" t="s">
        <v>31</v>
      </c>
      <c r="P237" t="str">
        <f t="shared" si="70"/>
        <v>P0236</v>
      </c>
      <c r="Q237" t="str">
        <f t="shared" si="66"/>
        <v>Orthopedics</v>
      </c>
      <c r="R237">
        <f t="shared" si="67"/>
        <v>20</v>
      </c>
      <c r="S237" t="str">
        <f t="shared" ca="1" si="71"/>
        <v>No</v>
      </c>
      <c r="T237" t="str">
        <f t="shared" ca="1" si="72"/>
        <v>Moderate</v>
      </c>
      <c r="U237" t="str">
        <f t="shared" ca="1" si="73"/>
        <v>General Ward</v>
      </c>
      <c r="V237" t="str">
        <f t="shared" si="74"/>
        <v>BED0236</v>
      </c>
      <c r="W237" t="str">
        <f t="shared" ca="1" si="75"/>
        <v>ICU</v>
      </c>
      <c r="X237" t="str">
        <f t="shared" si="76"/>
        <v>NUR036</v>
      </c>
      <c r="Y237" t="str">
        <f t="shared" ca="1" si="77"/>
        <v>Evening</v>
      </c>
      <c r="Z237" t="str">
        <f t="shared" ca="1" si="78"/>
        <v>ECG Machine</v>
      </c>
      <c r="AA237" t="str">
        <f t="shared" ca="1" si="79"/>
        <v>In Use</v>
      </c>
      <c r="AB237" t="str">
        <f t="shared" ca="1" si="80"/>
        <v>Pending</v>
      </c>
      <c r="AC237" t="str">
        <f t="shared" ca="1" si="81"/>
        <v>Debit Card</v>
      </c>
      <c r="AD237" t="str">
        <f t="shared" ca="1" si="82"/>
        <v>No</v>
      </c>
      <c r="AE237" t="str">
        <f t="shared" ca="1" si="83"/>
        <v>No</v>
      </c>
      <c r="AF237" t="str">
        <f t="shared" ca="1" si="84"/>
        <v>Recovered</v>
      </c>
      <c r="AG237" t="str">
        <f t="shared" ca="1" si="85"/>
        <v>West Coast</v>
      </c>
      <c r="AH237" t="str">
        <f t="shared" si="68"/>
        <v>March</v>
      </c>
      <c r="AI237">
        <f t="shared" si="69"/>
        <v>2020</v>
      </c>
      <c r="AJ237" t="str">
        <f t="shared" ca="1" si="86"/>
        <v>Occupied</v>
      </c>
      <c r="AK237">
        <f t="shared" ca="1" si="87"/>
        <v>1</v>
      </c>
    </row>
    <row r="238" spans="1:37" x14ac:dyDescent="0.3">
      <c r="A238" t="s">
        <v>4677</v>
      </c>
      <c r="B238">
        <v>37</v>
      </c>
      <c r="C238" t="s">
        <v>32</v>
      </c>
      <c r="D238" t="s">
        <v>33</v>
      </c>
      <c r="E238" t="s">
        <v>76</v>
      </c>
      <c r="F238" s="1">
        <v>43672</v>
      </c>
      <c r="G238" t="s">
        <v>518</v>
      </c>
      <c r="H238" t="s">
        <v>519</v>
      </c>
      <c r="I238" t="s">
        <v>36</v>
      </c>
      <c r="J238">
        <v>13418</v>
      </c>
      <c r="K238">
        <v>102</v>
      </c>
      <c r="L238" t="s">
        <v>29</v>
      </c>
      <c r="M238" s="1">
        <v>43694</v>
      </c>
      <c r="N238" t="s">
        <v>47</v>
      </c>
      <c r="O238" t="s">
        <v>43</v>
      </c>
      <c r="P238" t="str">
        <f t="shared" si="70"/>
        <v>P0237</v>
      </c>
      <c r="Q238" t="str">
        <f t="shared" si="66"/>
        <v>Orthopedics</v>
      </c>
      <c r="R238">
        <f t="shared" si="67"/>
        <v>22</v>
      </c>
      <c r="S238" t="str">
        <f t="shared" ca="1" si="71"/>
        <v>No</v>
      </c>
      <c r="T238" t="str">
        <f t="shared" ca="1" si="72"/>
        <v>Mild</v>
      </c>
      <c r="U238" t="str">
        <f t="shared" ca="1" si="73"/>
        <v>ICU</v>
      </c>
      <c r="V238" t="str">
        <f t="shared" si="74"/>
        <v>BED0237</v>
      </c>
      <c r="W238" t="str">
        <f t="shared" ca="1" si="75"/>
        <v>General</v>
      </c>
      <c r="X238" t="str">
        <f t="shared" si="76"/>
        <v>NUR037</v>
      </c>
      <c r="Y238" t="str">
        <f t="shared" ca="1" si="77"/>
        <v>Morning</v>
      </c>
      <c r="Z238" t="str">
        <f t="shared" ca="1" si="78"/>
        <v>Ventilator</v>
      </c>
      <c r="AA238" t="str">
        <f t="shared" ca="1" si="79"/>
        <v>In Use</v>
      </c>
      <c r="AB238" t="str">
        <f t="shared" ca="1" si="80"/>
        <v>Partially Paid</v>
      </c>
      <c r="AC238" t="str">
        <f t="shared" ca="1" si="81"/>
        <v>Debit Card</v>
      </c>
      <c r="AD238" t="str">
        <f t="shared" ca="1" si="82"/>
        <v>No</v>
      </c>
      <c r="AE238" t="str">
        <f t="shared" ca="1" si="83"/>
        <v>No</v>
      </c>
      <c r="AF238" t="str">
        <f t="shared" ca="1" si="84"/>
        <v>Transferred</v>
      </c>
      <c r="AG238" t="str">
        <f t="shared" ca="1" si="85"/>
        <v>Southeast</v>
      </c>
      <c r="AH238" t="str">
        <f t="shared" si="68"/>
        <v>July</v>
      </c>
      <c r="AI238">
        <f t="shared" si="69"/>
        <v>2019</v>
      </c>
      <c r="AJ238" t="str">
        <f t="shared" ca="1" si="86"/>
        <v>Occupied</v>
      </c>
      <c r="AK238">
        <f t="shared" ca="1" si="87"/>
        <v>1</v>
      </c>
    </row>
    <row r="239" spans="1:37" x14ac:dyDescent="0.3">
      <c r="A239" t="s">
        <v>4678</v>
      </c>
      <c r="B239">
        <v>25</v>
      </c>
      <c r="C239" t="s">
        <v>32</v>
      </c>
      <c r="D239" t="s">
        <v>24</v>
      </c>
      <c r="E239" t="s">
        <v>17</v>
      </c>
      <c r="F239" s="1">
        <v>45267</v>
      </c>
      <c r="G239" t="s">
        <v>520</v>
      </c>
      <c r="H239" t="s">
        <v>521</v>
      </c>
      <c r="I239" t="s">
        <v>20</v>
      </c>
      <c r="J239">
        <v>36990</v>
      </c>
      <c r="K239">
        <v>356</v>
      </c>
      <c r="L239" t="s">
        <v>21</v>
      </c>
      <c r="M239" s="1">
        <v>45274</v>
      </c>
      <c r="N239" t="s">
        <v>37</v>
      </c>
      <c r="O239" t="s">
        <v>23</v>
      </c>
      <c r="P239" t="str">
        <f t="shared" si="70"/>
        <v>P0238</v>
      </c>
      <c r="Q239" t="str">
        <f t="shared" si="66"/>
        <v>Oncology</v>
      </c>
      <c r="R239">
        <f t="shared" si="67"/>
        <v>7</v>
      </c>
      <c r="S239" t="str">
        <f t="shared" ca="1" si="71"/>
        <v>No</v>
      </c>
      <c r="T239" t="str">
        <f t="shared" ca="1" si="72"/>
        <v>Mild</v>
      </c>
      <c r="U239" t="str">
        <f t="shared" ca="1" si="73"/>
        <v>ICU</v>
      </c>
      <c r="V239" t="str">
        <f t="shared" si="74"/>
        <v>BED0238</v>
      </c>
      <c r="W239" t="str">
        <f t="shared" ca="1" si="75"/>
        <v>Private</v>
      </c>
      <c r="X239" t="str">
        <f t="shared" si="76"/>
        <v>NUR038</v>
      </c>
      <c r="Y239" t="str">
        <f t="shared" ca="1" si="77"/>
        <v>Morning</v>
      </c>
      <c r="Z239" t="str">
        <f t="shared" ca="1" si="78"/>
        <v>Ultrasound</v>
      </c>
      <c r="AA239" t="str">
        <f t="shared" ca="1" si="79"/>
        <v>Maintenance</v>
      </c>
      <c r="AB239" t="str">
        <f t="shared" ca="1" si="80"/>
        <v>Paid</v>
      </c>
      <c r="AC239" t="str">
        <f t="shared" ca="1" si="81"/>
        <v>Cash</v>
      </c>
      <c r="AD239" t="str">
        <f t="shared" ca="1" si="82"/>
        <v>No</v>
      </c>
      <c r="AE239" t="str">
        <f t="shared" ca="1" si="83"/>
        <v>Yes</v>
      </c>
      <c r="AF239" t="str">
        <f t="shared" ca="1" si="84"/>
        <v>Transferred</v>
      </c>
      <c r="AG239" t="str">
        <f t="shared" ca="1" si="85"/>
        <v>West Coast</v>
      </c>
      <c r="AH239" t="str">
        <f t="shared" si="68"/>
        <v>December</v>
      </c>
      <c r="AI239">
        <f t="shared" si="69"/>
        <v>2023</v>
      </c>
      <c r="AJ239" t="str">
        <f t="shared" ca="1" si="86"/>
        <v>Vacant</v>
      </c>
      <c r="AK239">
        <f t="shared" ca="1" si="87"/>
        <v>2</v>
      </c>
    </row>
    <row r="240" spans="1:37" x14ac:dyDescent="0.3">
      <c r="A240" t="s">
        <v>4679</v>
      </c>
      <c r="B240">
        <v>45</v>
      </c>
      <c r="C240" t="s">
        <v>32</v>
      </c>
      <c r="D240" t="s">
        <v>16</v>
      </c>
      <c r="E240" t="s">
        <v>17</v>
      </c>
      <c r="F240" s="1">
        <v>44358</v>
      </c>
      <c r="G240" t="s">
        <v>522</v>
      </c>
      <c r="H240" t="s">
        <v>523</v>
      </c>
      <c r="I240" t="s">
        <v>36</v>
      </c>
      <c r="J240">
        <v>43567</v>
      </c>
      <c r="K240">
        <v>325</v>
      </c>
      <c r="L240" t="s">
        <v>21</v>
      </c>
      <c r="M240" s="1">
        <v>44380</v>
      </c>
      <c r="N240" t="s">
        <v>22</v>
      </c>
      <c r="O240" t="s">
        <v>23</v>
      </c>
      <c r="P240" t="str">
        <f t="shared" si="70"/>
        <v>P0239</v>
      </c>
      <c r="Q240" t="str">
        <f t="shared" si="66"/>
        <v>Oncology</v>
      </c>
      <c r="R240">
        <f t="shared" si="67"/>
        <v>22</v>
      </c>
      <c r="S240" t="str">
        <f t="shared" ca="1" si="71"/>
        <v>No</v>
      </c>
      <c r="T240" t="str">
        <f t="shared" ca="1" si="72"/>
        <v>Moderate</v>
      </c>
      <c r="U240" t="str">
        <f t="shared" ca="1" si="73"/>
        <v>General Ward</v>
      </c>
      <c r="V240" t="str">
        <f t="shared" si="74"/>
        <v>BED0239</v>
      </c>
      <c r="W240" t="str">
        <f t="shared" ca="1" si="75"/>
        <v>General</v>
      </c>
      <c r="X240" t="str">
        <f t="shared" si="76"/>
        <v>NUR039</v>
      </c>
      <c r="Y240" t="str">
        <f t="shared" ca="1" si="77"/>
        <v>Evening</v>
      </c>
      <c r="Z240" t="str">
        <f t="shared" ca="1" si="78"/>
        <v>Ultrasound</v>
      </c>
      <c r="AA240" t="str">
        <f t="shared" ca="1" si="79"/>
        <v>In Use</v>
      </c>
      <c r="AB240" t="str">
        <f t="shared" ca="1" si="80"/>
        <v>Pending</v>
      </c>
      <c r="AC240" t="str">
        <f t="shared" ca="1" si="81"/>
        <v>Cash</v>
      </c>
      <c r="AD240" t="str">
        <f t="shared" ca="1" si="82"/>
        <v>No</v>
      </c>
      <c r="AE240" t="str">
        <f t="shared" ca="1" si="83"/>
        <v>No</v>
      </c>
      <c r="AF240" t="str">
        <f t="shared" ca="1" si="84"/>
        <v>Under Observation</v>
      </c>
      <c r="AG240" t="str">
        <f t="shared" ca="1" si="85"/>
        <v>Northeast</v>
      </c>
      <c r="AH240" t="str">
        <f t="shared" si="68"/>
        <v>June</v>
      </c>
      <c r="AI240">
        <f t="shared" si="69"/>
        <v>2021</v>
      </c>
      <c r="AJ240" t="str">
        <f t="shared" ca="1" si="86"/>
        <v>Vacant</v>
      </c>
      <c r="AK240">
        <f t="shared" ca="1" si="87"/>
        <v>2</v>
      </c>
    </row>
    <row r="241" spans="1:37" x14ac:dyDescent="0.3">
      <c r="A241" t="s">
        <v>4680</v>
      </c>
      <c r="B241">
        <v>18</v>
      </c>
      <c r="C241" t="s">
        <v>15</v>
      </c>
      <c r="D241" t="s">
        <v>98</v>
      </c>
      <c r="E241" t="s">
        <v>39</v>
      </c>
      <c r="F241" s="1">
        <v>44603</v>
      </c>
      <c r="G241" t="s">
        <v>524</v>
      </c>
      <c r="H241" t="s">
        <v>525</v>
      </c>
      <c r="I241" t="s">
        <v>51</v>
      </c>
      <c r="J241">
        <v>35570</v>
      </c>
      <c r="K241">
        <v>497</v>
      </c>
      <c r="L241" t="s">
        <v>29</v>
      </c>
      <c r="M241" s="1">
        <v>44615</v>
      </c>
      <c r="N241" t="s">
        <v>30</v>
      </c>
      <c r="O241" t="s">
        <v>31</v>
      </c>
      <c r="P241" t="str">
        <f t="shared" si="70"/>
        <v>P0240</v>
      </c>
      <c r="Q241" t="str">
        <f t="shared" si="66"/>
        <v>Endocrinology</v>
      </c>
      <c r="R241">
        <f t="shared" si="67"/>
        <v>12</v>
      </c>
      <c r="S241" t="str">
        <f t="shared" ca="1" si="71"/>
        <v>No</v>
      </c>
      <c r="T241" t="str">
        <f t="shared" ca="1" si="72"/>
        <v>Critical</v>
      </c>
      <c r="U241" t="str">
        <f t="shared" ca="1" si="73"/>
        <v>Semi-Private</v>
      </c>
      <c r="V241" t="str">
        <f t="shared" si="74"/>
        <v>BED0240</v>
      </c>
      <c r="W241" t="str">
        <f t="shared" ca="1" si="75"/>
        <v>Private</v>
      </c>
      <c r="X241" t="str">
        <f t="shared" si="76"/>
        <v>NUR040</v>
      </c>
      <c r="Y241" t="str">
        <f t="shared" ca="1" si="77"/>
        <v>Evening</v>
      </c>
      <c r="Z241" t="str">
        <f t="shared" ca="1" si="78"/>
        <v>X-Ray</v>
      </c>
      <c r="AA241" t="str">
        <f t="shared" ca="1" si="79"/>
        <v>In Use</v>
      </c>
      <c r="AB241" t="str">
        <f t="shared" ca="1" si="80"/>
        <v>Paid</v>
      </c>
      <c r="AC241" t="str">
        <f t="shared" ca="1" si="81"/>
        <v>Credit Card</v>
      </c>
      <c r="AD241" t="str">
        <f t="shared" ca="1" si="82"/>
        <v>No</v>
      </c>
      <c r="AE241" t="str">
        <f t="shared" ca="1" si="83"/>
        <v>No</v>
      </c>
      <c r="AF241" t="str">
        <f t="shared" ca="1" si="84"/>
        <v>Under Observation</v>
      </c>
      <c r="AG241" t="str">
        <f t="shared" ca="1" si="85"/>
        <v>Southwest</v>
      </c>
      <c r="AH241" t="str">
        <f t="shared" si="68"/>
        <v>February</v>
      </c>
      <c r="AI241">
        <f t="shared" si="69"/>
        <v>2022</v>
      </c>
      <c r="AJ241" t="str">
        <f t="shared" ca="1" si="86"/>
        <v>Vacant</v>
      </c>
      <c r="AK241">
        <f t="shared" ca="1" si="87"/>
        <v>4</v>
      </c>
    </row>
    <row r="242" spans="1:37" x14ac:dyDescent="0.3">
      <c r="A242" t="s">
        <v>4681</v>
      </c>
      <c r="B242">
        <v>56</v>
      </c>
      <c r="C242" t="s">
        <v>15</v>
      </c>
      <c r="D242" t="s">
        <v>38</v>
      </c>
      <c r="E242" t="s">
        <v>76</v>
      </c>
      <c r="F242" s="1">
        <v>44086</v>
      </c>
      <c r="G242" t="s">
        <v>526</v>
      </c>
      <c r="H242" t="s">
        <v>527</v>
      </c>
      <c r="I242" t="s">
        <v>20</v>
      </c>
      <c r="J242">
        <v>6848</v>
      </c>
      <c r="K242">
        <v>421</v>
      </c>
      <c r="L242" t="s">
        <v>29</v>
      </c>
      <c r="M242" s="1">
        <v>44096</v>
      </c>
      <c r="N242" t="s">
        <v>37</v>
      </c>
      <c r="O242" t="s">
        <v>23</v>
      </c>
      <c r="P242" t="str">
        <f t="shared" si="70"/>
        <v>P0241</v>
      </c>
      <c r="Q242" t="str">
        <f t="shared" si="66"/>
        <v>Orthopedics</v>
      </c>
      <c r="R242">
        <f t="shared" si="67"/>
        <v>10</v>
      </c>
      <c r="S242" t="str">
        <f t="shared" ca="1" si="71"/>
        <v>No</v>
      </c>
      <c r="T242" t="str">
        <f t="shared" ca="1" si="72"/>
        <v>Moderate</v>
      </c>
      <c r="U242" t="str">
        <f t="shared" ca="1" si="73"/>
        <v>General Ward</v>
      </c>
      <c r="V242" t="str">
        <f t="shared" si="74"/>
        <v>BED0241</v>
      </c>
      <c r="W242" t="str">
        <f t="shared" ca="1" si="75"/>
        <v>Private</v>
      </c>
      <c r="X242" t="str">
        <f t="shared" si="76"/>
        <v>NUR041</v>
      </c>
      <c r="Y242" t="str">
        <f t="shared" ca="1" si="77"/>
        <v>Night</v>
      </c>
      <c r="Z242" t="str">
        <f t="shared" ca="1" si="78"/>
        <v>CT Scanner</v>
      </c>
      <c r="AA242" t="str">
        <f t="shared" ca="1" si="79"/>
        <v>In Use</v>
      </c>
      <c r="AB242" t="str">
        <f t="shared" ca="1" si="80"/>
        <v>Pending</v>
      </c>
      <c r="AC242" t="str">
        <f t="shared" ca="1" si="81"/>
        <v>Credit Card</v>
      </c>
      <c r="AD242" t="str">
        <f t="shared" ca="1" si="82"/>
        <v>No</v>
      </c>
      <c r="AE242" t="str">
        <f t="shared" ca="1" si="83"/>
        <v>No</v>
      </c>
      <c r="AF242" t="str">
        <f t="shared" ca="1" si="84"/>
        <v>Transferred</v>
      </c>
      <c r="AG242" t="str">
        <f t="shared" ca="1" si="85"/>
        <v>Southeast</v>
      </c>
      <c r="AH242" t="str">
        <f t="shared" si="68"/>
        <v>September</v>
      </c>
      <c r="AI242">
        <f t="shared" si="69"/>
        <v>2020</v>
      </c>
      <c r="AJ242" t="str">
        <f t="shared" ca="1" si="86"/>
        <v>Occupied</v>
      </c>
      <c r="AK242">
        <f t="shared" ca="1" si="87"/>
        <v>2</v>
      </c>
    </row>
    <row r="243" spans="1:37" x14ac:dyDescent="0.3">
      <c r="A243" t="s">
        <v>4682</v>
      </c>
      <c r="B243">
        <v>44</v>
      </c>
      <c r="C243" t="s">
        <v>15</v>
      </c>
      <c r="D243" t="s">
        <v>52</v>
      </c>
      <c r="E243" t="s">
        <v>48</v>
      </c>
      <c r="F243" s="1">
        <v>43976</v>
      </c>
      <c r="G243" t="s">
        <v>528</v>
      </c>
      <c r="H243" t="s">
        <v>529</v>
      </c>
      <c r="I243" t="s">
        <v>36</v>
      </c>
      <c r="J243">
        <v>4678</v>
      </c>
      <c r="K243">
        <v>488</v>
      </c>
      <c r="L243" t="s">
        <v>29</v>
      </c>
      <c r="M243" s="1">
        <v>43987</v>
      </c>
      <c r="N243" t="s">
        <v>67</v>
      </c>
      <c r="O243" t="s">
        <v>31</v>
      </c>
      <c r="P243" t="str">
        <f t="shared" si="70"/>
        <v>P0242</v>
      </c>
      <c r="Q243" t="str">
        <f t="shared" si="66"/>
        <v>Pulmonology</v>
      </c>
      <c r="R243">
        <f t="shared" si="67"/>
        <v>11</v>
      </c>
      <c r="S243" t="str">
        <f t="shared" ca="1" si="71"/>
        <v>No</v>
      </c>
      <c r="T243" t="str">
        <f t="shared" ca="1" si="72"/>
        <v>Severe</v>
      </c>
      <c r="U243" t="str">
        <f t="shared" ca="1" si="73"/>
        <v>Semi-Private</v>
      </c>
      <c r="V243" t="str">
        <f t="shared" si="74"/>
        <v>BED0242</v>
      </c>
      <c r="W243" t="str">
        <f t="shared" ca="1" si="75"/>
        <v>ICU</v>
      </c>
      <c r="X243" t="str">
        <f t="shared" si="76"/>
        <v>NUR042</v>
      </c>
      <c r="Y243" t="str">
        <f t="shared" ca="1" si="77"/>
        <v>Evening</v>
      </c>
      <c r="Z243" t="str">
        <f t="shared" ca="1" si="78"/>
        <v>X-Ray</v>
      </c>
      <c r="AA243" t="str">
        <f t="shared" ca="1" si="79"/>
        <v>Available</v>
      </c>
      <c r="AB243" t="str">
        <f t="shared" ca="1" si="80"/>
        <v>Pending</v>
      </c>
      <c r="AC243" t="str">
        <f t="shared" ca="1" si="81"/>
        <v>Bank Transfer</v>
      </c>
      <c r="AD243" t="str">
        <f t="shared" ca="1" si="82"/>
        <v>No</v>
      </c>
      <c r="AE243" t="str">
        <f t="shared" ca="1" si="83"/>
        <v>No</v>
      </c>
      <c r="AF243" t="str">
        <f t="shared" ca="1" si="84"/>
        <v>Under Observation</v>
      </c>
      <c r="AG243" t="str">
        <f t="shared" ca="1" si="85"/>
        <v>Midwest</v>
      </c>
      <c r="AH243" t="str">
        <f t="shared" si="68"/>
        <v>May</v>
      </c>
      <c r="AI243">
        <f t="shared" si="69"/>
        <v>2020</v>
      </c>
      <c r="AJ243" t="str">
        <f t="shared" ca="1" si="86"/>
        <v>Vacant</v>
      </c>
      <c r="AK243">
        <f t="shared" ca="1" si="87"/>
        <v>2</v>
      </c>
    </row>
    <row r="244" spans="1:37" x14ac:dyDescent="0.3">
      <c r="A244" t="s">
        <v>4683</v>
      </c>
      <c r="B244">
        <v>34</v>
      </c>
      <c r="C244" t="s">
        <v>15</v>
      </c>
      <c r="D244" t="s">
        <v>38</v>
      </c>
      <c r="E244" t="s">
        <v>64</v>
      </c>
      <c r="F244" s="1">
        <v>45194</v>
      </c>
      <c r="G244" t="s">
        <v>530</v>
      </c>
      <c r="H244" t="s">
        <v>531</v>
      </c>
      <c r="I244" t="s">
        <v>36</v>
      </c>
      <c r="J244">
        <v>35157</v>
      </c>
      <c r="K244">
        <v>328</v>
      </c>
      <c r="L244" t="s">
        <v>42</v>
      </c>
      <c r="M244" s="1">
        <v>45220</v>
      </c>
      <c r="N244" t="s">
        <v>47</v>
      </c>
      <c r="O244" t="s">
        <v>23</v>
      </c>
      <c r="P244" t="str">
        <f t="shared" si="70"/>
        <v>P0243</v>
      </c>
      <c r="Q244" t="str">
        <f t="shared" si="66"/>
        <v>Cardiology</v>
      </c>
      <c r="R244">
        <f t="shared" si="67"/>
        <v>26</v>
      </c>
      <c r="S244" t="str">
        <f t="shared" ca="1" si="71"/>
        <v>No</v>
      </c>
      <c r="T244" t="str">
        <f t="shared" ca="1" si="72"/>
        <v>Severe</v>
      </c>
      <c r="U244" t="str">
        <f t="shared" ca="1" si="73"/>
        <v>Emergency</v>
      </c>
      <c r="V244" t="str">
        <f t="shared" si="74"/>
        <v>BED0243</v>
      </c>
      <c r="W244" t="str">
        <f t="shared" ca="1" si="75"/>
        <v>General</v>
      </c>
      <c r="X244" t="str">
        <f t="shared" si="76"/>
        <v>NUR043</v>
      </c>
      <c r="Y244" t="str">
        <f t="shared" ca="1" si="77"/>
        <v>Morning</v>
      </c>
      <c r="Z244" t="str">
        <f t="shared" ca="1" si="78"/>
        <v>MRI Scanner</v>
      </c>
      <c r="AA244" t="str">
        <f t="shared" ca="1" si="79"/>
        <v>In Use</v>
      </c>
      <c r="AB244" t="str">
        <f t="shared" ca="1" si="80"/>
        <v>Pending</v>
      </c>
      <c r="AC244" t="str">
        <f t="shared" ca="1" si="81"/>
        <v>Insurance</v>
      </c>
      <c r="AD244" t="str">
        <f t="shared" ca="1" si="82"/>
        <v>Yes</v>
      </c>
      <c r="AE244" t="str">
        <f t="shared" ca="1" si="83"/>
        <v>No</v>
      </c>
      <c r="AF244" t="str">
        <f t="shared" ca="1" si="84"/>
        <v>Recovered</v>
      </c>
      <c r="AG244" t="str">
        <f t="shared" ca="1" si="85"/>
        <v>Southeast</v>
      </c>
      <c r="AH244" t="str">
        <f t="shared" si="68"/>
        <v>September</v>
      </c>
      <c r="AI244">
        <f t="shared" si="69"/>
        <v>2023</v>
      </c>
      <c r="AJ244" t="str">
        <f t="shared" ca="1" si="86"/>
        <v>Vacant</v>
      </c>
      <c r="AK244">
        <f t="shared" ca="1" si="87"/>
        <v>4</v>
      </c>
    </row>
    <row r="245" spans="1:37" x14ac:dyDescent="0.3">
      <c r="A245" t="s">
        <v>4684</v>
      </c>
      <c r="B245">
        <v>26</v>
      </c>
      <c r="C245" t="s">
        <v>15</v>
      </c>
      <c r="D245" t="s">
        <v>83</v>
      </c>
      <c r="E245" t="s">
        <v>25</v>
      </c>
      <c r="F245" s="1">
        <v>44734</v>
      </c>
      <c r="G245" t="s">
        <v>532</v>
      </c>
      <c r="H245" t="s">
        <v>533</v>
      </c>
      <c r="I245" t="s">
        <v>51</v>
      </c>
      <c r="J245">
        <v>34719</v>
      </c>
      <c r="K245">
        <v>317</v>
      </c>
      <c r="L245" t="s">
        <v>42</v>
      </c>
      <c r="M245" s="1">
        <v>44762</v>
      </c>
      <c r="N245" t="s">
        <v>67</v>
      </c>
      <c r="O245" t="s">
        <v>23</v>
      </c>
      <c r="P245" t="str">
        <f t="shared" si="70"/>
        <v>P0244</v>
      </c>
      <c r="Q245" t="str">
        <f t="shared" si="66"/>
        <v>Nutrition</v>
      </c>
      <c r="R245">
        <f t="shared" si="67"/>
        <v>28</v>
      </c>
      <c r="S245" t="str">
        <f t="shared" ca="1" si="71"/>
        <v>No</v>
      </c>
      <c r="T245" t="str">
        <f t="shared" ca="1" si="72"/>
        <v>Severe</v>
      </c>
      <c r="U245" t="str">
        <f t="shared" ca="1" si="73"/>
        <v>Emergency</v>
      </c>
      <c r="V245" t="str">
        <f t="shared" si="74"/>
        <v>BED0244</v>
      </c>
      <c r="W245" t="str">
        <f t="shared" ca="1" si="75"/>
        <v>Private</v>
      </c>
      <c r="X245" t="str">
        <f t="shared" si="76"/>
        <v>NUR044</v>
      </c>
      <c r="Y245" t="str">
        <f t="shared" ca="1" si="77"/>
        <v>Morning</v>
      </c>
      <c r="Z245" t="str">
        <f t="shared" ca="1" si="78"/>
        <v>Ventilator</v>
      </c>
      <c r="AA245" t="str">
        <f t="shared" ca="1" si="79"/>
        <v>Available</v>
      </c>
      <c r="AB245" t="str">
        <f t="shared" ca="1" si="80"/>
        <v>Partially Paid</v>
      </c>
      <c r="AC245" t="str">
        <f t="shared" ca="1" si="81"/>
        <v>Credit Card</v>
      </c>
      <c r="AD245" t="str">
        <f t="shared" ca="1" si="82"/>
        <v>No</v>
      </c>
      <c r="AE245" t="str">
        <f t="shared" ca="1" si="83"/>
        <v>No</v>
      </c>
      <c r="AF245" t="str">
        <f t="shared" ca="1" si="84"/>
        <v>Under Observation</v>
      </c>
      <c r="AG245" t="str">
        <f t="shared" ca="1" si="85"/>
        <v>Midwest</v>
      </c>
      <c r="AH245" t="str">
        <f t="shared" si="68"/>
        <v>June</v>
      </c>
      <c r="AI245">
        <f t="shared" si="69"/>
        <v>2022</v>
      </c>
      <c r="AJ245" t="str">
        <f t="shared" ca="1" si="86"/>
        <v>Occupied</v>
      </c>
      <c r="AK245">
        <f t="shared" ca="1" si="87"/>
        <v>1</v>
      </c>
    </row>
    <row r="246" spans="1:37" x14ac:dyDescent="0.3">
      <c r="A246" t="s">
        <v>4685</v>
      </c>
      <c r="B246">
        <v>32</v>
      </c>
      <c r="C246" t="s">
        <v>15</v>
      </c>
      <c r="D246" t="s">
        <v>38</v>
      </c>
      <c r="E246" t="s">
        <v>25</v>
      </c>
      <c r="F246" s="1">
        <v>43842</v>
      </c>
      <c r="G246" t="s">
        <v>534</v>
      </c>
      <c r="H246" t="s">
        <v>535</v>
      </c>
      <c r="I246" t="s">
        <v>36</v>
      </c>
      <c r="J246">
        <v>23775</v>
      </c>
      <c r="K246">
        <v>133</v>
      </c>
      <c r="L246" t="s">
        <v>42</v>
      </c>
      <c r="M246" s="1">
        <v>43849</v>
      </c>
      <c r="N246" t="s">
        <v>37</v>
      </c>
      <c r="O246" t="s">
        <v>23</v>
      </c>
      <c r="P246" t="str">
        <f t="shared" si="70"/>
        <v>P0245</v>
      </c>
      <c r="Q246" t="str">
        <f t="shared" si="66"/>
        <v>Nutrition</v>
      </c>
      <c r="R246">
        <f t="shared" si="67"/>
        <v>7</v>
      </c>
      <c r="S246" t="str">
        <f t="shared" ca="1" si="71"/>
        <v>No</v>
      </c>
      <c r="T246" t="str">
        <f t="shared" ca="1" si="72"/>
        <v>Moderate</v>
      </c>
      <c r="U246" t="str">
        <f t="shared" ca="1" si="73"/>
        <v>Private Ward</v>
      </c>
      <c r="V246" t="str">
        <f t="shared" si="74"/>
        <v>BED0245</v>
      </c>
      <c r="W246" t="str">
        <f t="shared" ca="1" si="75"/>
        <v>Private</v>
      </c>
      <c r="X246" t="str">
        <f t="shared" si="76"/>
        <v>NUR045</v>
      </c>
      <c r="Y246" t="str">
        <f t="shared" ca="1" si="77"/>
        <v>Morning</v>
      </c>
      <c r="Z246" t="str">
        <f t="shared" ca="1" si="78"/>
        <v>MRI Scanner</v>
      </c>
      <c r="AA246" t="str">
        <f t="shared" ca="1" si="79"/>
        <v>In Use</v>
      </c>
      <c r="AB246" t="str">
        <f t="shared" ca="1" si="80"/>
        <v>Paid</v>
      </c>
      <c r="AC246" t="str">
        <f t="shared" ca="1" si="81"/>
        <v>Cash</v>
      </c>
      <c r="AD246" t="str">
        <f t="shared" ca="1" si="82"/>
        <v>No</v>
      </c>
      <c r="AE246" t="str">
        <f t="shared" ca="1" si="83"/>
        <v>Yes</v>
      </c>
      <c r="AF246" t="str">
        <f t="shared" ca="1" si="84"/>
        <v>Recovered</v>
      </c>
      <c r="AG246" t="str">
        <f t="shared" ca="1" si="85"/>
        <v>Midwest</v>
      </c>
      <c r="AH246" t="str">
        <f t="shared" si="68"/>
        <v>January</v>
      </c>
      <c r="AI246">
        <f t="shared" si="69"/>
        <v>2020</v>
      </c>
      <c r="AJ246" t="str">
        <f t="shared" ca="1" si="86"/>
        <v>Vacant</v>
      </c>
      <c r="AK246">
        <f t="shared" ca="1" si="87"/>
        <v>1</v>
      </c>
    </row>
    <row r="247" spans="1:37" x14ac:dyDescent="0.3">
      <c r="A247" t="s">
        <v>4686</v>
      </c>
      <c r="B247">
        <v>64</v>
      </c>
      <c r="C247" t="s">
        <v>15</v>
      </c>
      <c r="D247" t="s">
        <v>83</v>
      </c>
      <c r="E247" t="s">
        <v>76</v>
      </c>
      <c r="F247" s="1">
        <v>44771</v>
      </c>
      <c r="G247" t="s">
        <v>536</v>
      </c>
      <c r="H247" t="s">
        <v>537</v>
      </c>
      <c r="I247" t="s">
        <v>51</v>
      </c>
      <c r="J247">
        <v>17732</v>
      </c>
      <c r="K247">
        <v>247</v>
      </c>
      <c r="L247" t="s">
        <v>21</v>
      </c>
      <c r="M247" s="1">
        <v>44780</v>
      </c>
      <c r="N247" t="s">
        <v>30</v>
      </c>
      <c r="O247" t="s">
        <v>23</v>
      </c>
      <c r="P247" t="str">
        <f t="shared" si="70"/>
        <v>P0246</v>
      </c>
      <c r="Q247" t="str">
        <f t="shared" si="66"/>
        <v>Orthopedics</v>
      </c>
      <c r="R247">
        <f t="shared" si="67"/>
        <v>9</v>
      </c>
      <c r="S247" t="str">
        <f t="shared" ca="1" si="71"/>
        <v>No</v>
      </c>
      <c r="T247" t="str">
        <f t="shared" ca="1" si="72"/>
        <v>Mild</v>
      </c>
      <c r="U247" t="str">
        <f t="shared" ca="1" si="73"/>
        <v>Semi-Private</v>
      </c>
      <c r="V247" t="str">
        <f t="shared" si="74"/>
        <v>BED0246</v>
      </c>
      <c r="W247" t="str">
        <f t="shared" ca="1" si="75"/>
        <v>General</v>
      </c>
      <c r="X247" t="str">
        <f t="shared" si="76"/>
        <v>NUR046</v>
      </c>
      <c r="Y247" t="str">
        <f t="shared" ca="1" si="77"/>
        <v>Night</v>
      </c>
      <c r="Z247" t="str">
        <f t="shared" ca="1" si="78"/>
        <v>Ultrasound</v>
      </c>
      <c r="AA247" t="str">
        <f t="shared" ca="1" si="79"/>
        <v>Available</v>
      </c>
      <c r="AB247" t="str">
        <f t="shared" ca="1" si="80"/>
        <v>Pending</v>
      </c>
      <c r="AC247" t="str">
        <f t="shared" ca="1" si="81"/>
        <v>Cash</v>
      </c>
      <c r="AD247" t="str">
        <f t="shared" ca="1" si="82"/>
        <v>No</v>
      </c>
      <c r="AE247" t="str">
        <f t="shared" ca="1" si="83"/>
        <v>No</v>
      </c>
      <c r="AF247" t="str">
        <f t="shared" ca="1" si="84"/>
        <v>Recovered</v>
      </c>
      <c r="AG247" t="str">
        <f t="shared" ca="1" si="85"/>
        <v>Southwest</v>
      </c>
      <c r="AH247" t="str">
        <f t="shared" si="68"/>
        <v>July</v>
      </c>
      <c r="AI247">
        <f t="shared" si="69"/>
        <v>2022</v>
      </c>
      <c r="AJ247" t="str">
        <f t="shared" ca="1" si="86"/>
        <v>Occupied</v>
      </c>
      <c r="AK247">
        <f t="shared" ca="1" si="87"/>
        <v>1</v>
      </c>
    </row>
    <row r="248" spans="1:37" x14ac:dyDescent="0.3">
      <c r="A248" t="s">
        <v>4687</v>
      </c>
      <c r="B248">
        <v>80</v>
      </c>
      <c r="C248" t="s">
        <v>15</v>
      </c>
      <c r="D248" t="s">
        <v>33</v>
      </c>
      <c r="E248" t="s">
        <v>48</v>
      </c>
      <c r="F248" s="1">
        <v>44977</v>
      </c>
      <c r="G248" t="s">
        <v>538</v>
      </c>
      <c r="H248" t="s">
        <v>539</v>
      </c>
      <c r="I248" t="s">
        <v>57</v>
      </c>
      <c r="J248">
        <v>3845</v>
      </c>
      <c r="K248">
        <v>158</v>
      </c>
      <c r="L248" t="s">
        <v>29</v>
      </c>
      <c r="M248" s="1">
        <v>44995</v>
      </c>
      <c r="N248" t="s">
        <v>47</v>
      </c>
      <c r="O248" t="s">
        <v>23</v>
      </c>
      <c r="P248" t="str">
        <f t="shared" si="70"/>
        <v>P0247</v>
      </c>
      <c r="Q248" t="str">
        <f t="shared" si="66"/>
        <v>Pulmonology</v>
      </c>
      <c r="R248">
        <f t="shared" si="67"/>
        <v>18</v>
      </c>
      <c r="S248" t="str">
        <f t="shared" ca="1" si="71"/>
        <v>No</v>
      </c>
      <c r="T248" t="str">
        <f t="shared" ca="1" si="72"/>
        <v>Critical</v>
      </c>
      <c r="U248" t="str">
        <f t="shared" ca="1" si="73"/>
        <v>Emergency</v>
      </c>
      <c r="V248" t="str">
        <f t="shared" si="74"/>
        <v>BED0247</v>
      </c>
      <c r="W248" t="str">
        <f t="shared" ca="1" si="75"/>
        <v>Semi-Private</v>
      </c>
      <c r="X248" t="str">
        <f t="shared" si="76"/>
        <v>NUR047</v>
      </c>
      <c r="Y248" t="str">
        <f t="shared" ca="1" si="77"/>
        <v>Night</v>
      </c>
      <c r="Z248" t="str">
        <f t="shared" ca="1" si="78"/>
        <v>CT Scanner</v>
      </c>
      <c r="AA248" t="str">
        <f t="shared" ca="1" si="79"/>
        <v>In Use</v>
      </c>
      <c r="AB248" t="str">
        <f t="shared" ca="1" si="80"/>
        <v>Pending</v>
      </c>
      <c r="AC248" t="str">
        <f t="shared" ca="1" si="81"/>
        <v>Cash</v>
      </c>
      <c r="AD248" t="str">
        <f t="shared" ca="1" si="82"/>
        <v>No</v>
      </c>
      <c r="AE248" t="str">
        <f t="shared" ca="1" si="83"/>
        <v>No</v>
      </c>
      <c r="AF248" t="str">
        <f t="shared" ca="1" si="84"/>
        <v>Transferred</v>
      </c>
      <c r="AG248" t="str">
        <f t="shared" ca="1" si="85"/>
        <v>Southwest</v>
      </c>
      <c r="AH248" t="str">
        <f t="shared" si="68"/>
        <v>February</v>
      </c>
      <c r="AI248">
        <f t="shared" si="69"/>
        <v>2023</v>
      </c>
      <c r="AJ248" t="str">
        <f t="shared" ca="1" si="86"/>
        <v>Occupied</v>
      </c>
      <c r="AK248">
        <f t="shared" ca="1" si="87"/>
        <v>4</v>
      </c>
    </row>
    <row r="249" spans="1:37" x14ac:dyDescent="0.3">
      <c r="A249" t="s">
        <v>4688</v>
      </c>
      <c r="B249">
        <v>80</v>
      </c>
      <c r="C249" t="s">
        <v>15</v>
      </c>
      <c r="D249" t="s">
        <v>33</v>
      </c>
      <c r="E249" t="s">
        <v>17</v>
      </c>
      <c r="F249" s="1">
        <v>44391</v>
      </c>
      <c r="G249" t="s">
        <v>540</v>
      </c>
      <c r="H249" t="s">
        <v>541</v>
      </c>
      <c r="I249" t="s">
        <v>20</v>
      </c>
      <c r="J249">
        <v>22402</v>
      </c>
      <c r="K249">
        <v>242</v>
      </c>
      <c r="L249" t="s">
        <v>42</v>
      </c>
      <c r="M249" s="1">
        <v>44401</v>
      </c>
      <c r="N249" t="s">
        <v>67</v>
      </c>
      <c r="O249" t="s">
        <v>31</v>
      </c>
      <c r="P249" t="str">
        <f t="shared" si="70"/>
        <v>P0248</v>
      </c>
      <c r="Q249" t="str">
        <f t="shared" si="66"/>
        <v>Oncology</v>
      </c>
      <c r="R249">
        <f t="shared" si="67"/>
        <v>10</v>
      </c>
      <c r="S249" t="str">
        <f t="shared" ca="1" si="71"/>
        <v>No</v>
      </c>
      <c r="T249" t="str">
        <f t="shared" ca="1" si="72"/>
        <v>Moderate</v>
      </c>
      <c r="U249" t="str">
        <f t="shared" ca="1" si="73"/>
        <v>Emergency</v>
      </c>
      <c r="V249" t="str">
        <f t="shared" si="74"/>
        <v>BED0248</v>
      </c>
      <c r="W249" t="str">
        <f t="shared" ca="1" si="75"/>
        <v>Semi-Private</v>
      </c>
      <c r="X249" t="str">
        <f t="shared" si="76"/>
        <v>NUR048</v>
      </c>
      <c r="Y249" t="str">
        <f t="shared" ca="1" si="77"/>
        <v>Night</v>
      </c>
      <c r="Z249" t="str">
        <f t="shared" ca="1" si="78"/>
        <v>CT Scanner</v>
      </c>
      <c r="AA249" t="str">
        <f t="shared" ca="1" si="79"/>
        <v>Maintenance</v>
      </c>
      <c r="AB249" t="str">
        <f t="shared" ca="1" si="80"/>
        <v>Paid</v>
      </c>
      <c r="AC249" t="str">
        <f t="shared" ca="1" si="81"/>
        <v>Credit Card</v>
      </c>
      <c r="AD249" t="str">
        <f t="shared" ca="1" si="82"/>
        <v>No</v>
      </c>
      <c r="AE249" t="str">
        <f t="shared" ca="1" si="83"/>
        <v>Yes</v>
      </c>
      <c r="AF249" t="str">
        <f t="shared" ca="1" si="84"/>
        <v>Under Observation</v>
      </c>
      <c r="AG249" t="str">
        <f t="shared" ca="1" si="85"/>
        <v>West Coast</v>
      </c>
      <c r="AH249" t="str">
        <f t="shared" si="68"/>
        <v>July</v>
      </c>
      <c r="AI249">
        <f t="shared" si="69"/>
        <v>2021</v>
      </c>
      <c r="AJ249" t="str">
        <f t="shared" ca="1" si="86"/>
        <v>Occupied</v>
      </c>
      <c r="AK249">
        <f t="shared" ca="1" si="87"/>
        <v>1</v>
      </c>
    </row>
    <row r="250" spans="1:37" x14ac:dyDescent="0.3">
      <c r="A250" t="s">
        <v>4689</v>
      </c>
      <c r="B250">
        <v>37</v>
      </c>
      <c r="C250" t="s">
        <v>32</v>
      </c>
      <c r="D250" t="s">
        <v>38</v>
      </c>
      <c r="E250" t="s">
        <v>64</v>
      </c>
      <c r="F250" s="1">
        <v>45399</v>
      </c>
      <c r="G250" t="s">
        <v>542</v>
      </c>
      <c r="H250" t="s">
        <v>543</v>
      </c>
      <c r="I250" t="s">
        <v>51</v>
      </c>
      <c r="J250">
        <v>23340</v>
      </c>
      <c r="K250">
        <v>151</v>
      </c>
      <c r="L250" t="s">
        <v>21</v>
      </c>
      <c r="M250" s="1">
        <v>45419</v>
      </c>
      <c r="N250" t="s">
        <v>37</v>
      </c>
      <c r="O250" t="s">
        <v>23</v>
      </c>
      <c r="P250" t="str">
        <f t="shared" si="70"/>
        <v>P0249</v>
      </c>
      <c r="Q250" t="str">
        <f t="shared" si="66"/>
        <v>Cardiology</v>
      </c>
      <c r="R250">
        <f t="shared" si="67"/>
        <v>20</v>
      </c>
      <c r="S250" t="str">
        <f t="shared" ca="1" si="71"/>
        <v>No</v>
      </c>
      <c r="T250" t="str">
        <f t="shared" ca="1" si="72"/>
        <v>Severe</v>
      </c>
      <c r="U250" t="str">
        <f t="shared" ca="1" si="73"/>
        <v>General Ward</v>
      </c>
      <c r="V250" t="str">
        <f t="shared" si="74"/>
        <v>BED0249</v>
      </c>
      <c r="W250" t="str">
        <f t="shared" ca="1" si="75"/>
        <v>General</v>
      </c>
      <c r="X250" t="str">
        <f t="shared" si="76"/>
        <v>NUR049</v>
      </c>
      <c r="Y250" t="str">
        <f t="shared" ca="1" si="77"/>
        <v>Evening</v>
      </c>
      <c r="Z250" t="str">
        <f t="shared" ca="1" si="78"/>
        <v>ECG Machine</v>
      </c>
      <c r="AA250" t="str">
        <f t="shared" ca="1" si="79"/>
        <v>Available</v>
      </c>
      <c r="AB250" t="str">
        <f t="shared" ca="1" si="80"/>
        <v>Paid</v>
      </c>
      <c r="AC250" t="str">
        <f t="shared" ca="1" si="81"/>
        <v>Credit Card</v>
      </c>
      <c r="AD250" t="str">
        <f t="shared" ca="1" si="82"/>
        <v>No</v>
      </c>
      <c r="AE250" t="str">
        <f t="shared" ca="1" si="83"/>
        <v>No</v>
      </c>
      <c r="AF250" t="str">
        <f t="shared" ca="1" si="84"/>
        <v>Transferred</v>
      </c>
      <c r="AG250" t="str">
        <f t="shared" ca="1" si="85"/>
        <v>Midwest</v>
      </c>
      <c r="AH250" t="str">
        <f t="shared" si="68"/>
        <v>April</v>
      </c>
      <c r="AI250">
        <f t="shared" si="69"/>
        <v>2024</v>
      </c>
      <c r="AJ250" t="str">
        <f t="shared" ca="1" si="86"/>
        <v>Occupied</v>
      </c>
      <c r="AK250">
        <f t="shared" ca="1" si="87"/>
        <v>1</v>
      </c>
    </row>
    <row r="251" spans="1:37" x14ac:dyDescent="0.3">
      <c r="A251" t="s">
        <v>4690</v>
      </c>
      <c r="B251">
        <v>52</v>
      </c>
      <c r="C251" t="s">
        <v>32</v>
      </c>
      <c r="D251" t="s">
        <v>24</v>
      </c>
      <c r="E251" t="s">
        <v>64</v>
      </c>
      <c r="F251" s="1">
        <v>44231</v>
      </c>
      <c r="G251" t="s">
        <v>544</v>
      </c>
      <c r="H251" t="s">
        <v>545</v>
      </c>
      <c r="I251" t="s">
        <v>20</v>
      </c>
      <c r="J251">
        <v>3042</v>
      </c>
      <c r="K251">
        <v>221</v>
      </c>
      <c r="L251" t="s">
        <v>21</v>
      </c>
      <c r="M251" s="1">
        <v>44255</v>
      </c>
      <c r="N251" t="s">
        <v>37</v>
      </c>
      <c r="O251" t="s">
        <v>43</v>
      </c>
      <c r="P251" t="str">
        <f t="shared" si="70"/>
        <v>P0250</v>
      </c>
      <c r="Q251" t="str">
        <f t="shared" si="66"/>
        <v>Cardiology</v>
      </c>
      <c r="R251">
        <f t="shared" si="67"/>
        <v>24</v>
      </c>
      <c r="S251" t="str">
        <f t="shared" ca="1" si="71"/>
        <v>No</v>
      </c>
      <c r="T251" t="str">
        <f t="shared" ca="1" si="72"/>
        <v>Moderate</v>
      </c>
      <c r="U251" t="str">
        <f t="shared" ca="1" si="73"/>
        <v>ICU</v>
      </c>
      <c r="V251" t="str">
        <f t="shared" si="74"/>
        <v>BED0250</v>
      </c>
      <c r="W251" t="str">
        <f t="shared" ca="1" si="75"/>
        <v>General</v>
      </c>
      <c r="X251" t="str">
        <f t="shared" si="76"/>
        <v>NUR050</v>
      </c>
      <c r="Y251" t="str">
        <f t="shared" ca="1" si="77"/>
        <v>Evening</v>
      </c>
      <c r="Z251" t="str">
        <f t="shared" ca="1" si="78"/>
        <v>X-Ray</v>
      </c>
      <c r="AA251" t="str">
        <f t="shared" ca="1" si="79"/>
        <v>Maintenance</v>
      </c>
      <c r="AB251" t="str">
        <f t="shared" ca="1" si="80"/>
        <v>Pending</v>
      </c>
      <c r="AC251" t="str">
        <f t="shared" ca="1" si="81"/>
        <v>Debit Card</v>
      </c>
      <c r="AD251" t="str">
        <f t="shared" ca="1" si="82"/>
        <v>No</v>
      </c>
      <c r="AE251" t="str">
        <f t="shared" ca="1" si="83"/>
        <v>No</v>
      </c>
      <c r="AF251" t="str">
        <f t="shared" ca="1" si="84"/>
        <v>Recovered</v>
      </c>
      <c r="AG251" t="str">
        <f t="shared" ca="1" si="85"/>
        <v>Midwest</v>
      </c>
      <c r="AH251" t="str">
        <f t="shared" si="68"/>
        <v>February</v>
      </c>
      <c r="AI251">
        <f t="shared" si="69"/>
        <v>2021</v>
      </c>
      <c r="AJ251" t="str">
        <f t="shared" ca="1" si="86"/>
        <v>Occupied</v>
      </c>
      <c r="AK251">
        <f t="shared" ca="1" si="87"/>
        <v>1</v>
      </c>
    </row>
    <row r="252" spans="1:37" x14ac:dyDescent="0.3">
      <c r="A252" t="s">
        <v>4691</v>
      </c>
      <c r="B252">
        <v>83</v>
      </c>
      <c r="C252" t="s">
        <v>32</v>
      </c>
      <c r="D252" t="s">
        <v>98</v>
      </c>
      <c r="E252" t="s">
        <v>39</v>
      </c>
      <c r="F252" s="1">
        <v>44441</v>
      </c>
      <c r="G252" t="s">
        <v>546</v>
      </c>
      <c r="H252" t="s">
        <v>547</v>
      </c>
      <c r="I252" t="s">
        <v>20</v>
      </c>
      <c r="J252">
        <v>41818</v>
      </c>
      <c r="K252">
        <v>223</v>
      </c>
      <c r="L252" t="s">
        <v>21</v>
      </c>
      <c r="M252" s="1">
        <v>44458</v>
      </c>
      <c r="N252" t="s">
        <v>22</v>
      </c>
      <c r="O252" t="s">
        <v>31</v>
      </c>
      <c r="P252" t="str">
        <f t="shared" si="70"/>
        <v>P0251</v>
      </c>
      <c r="Q252" t="str">
        <f t="shared" si="66"/>
        <v>Endocrinology</v>
      </c>
      <c r="R252">
        <f t="shared" si="67"/>
        <v>17</v>
      </c>
      <c r="S252" t="str">
        <f t="shared" ca="1" si="71"/>
        <v>No</v>
      </c>
      <c r="T252" t="str">
        <f t="shared" ca="1" si="72"/>
        <v>Critical</v>
      </c>
      <c r="U252" t="str">
        <f t="shared" ca="1" si="73"/>
        <v>Emergency</v>
      </c>
      <c r="V252" t="str">
        <f t="shared" si="74"/>
        <v>BED0251</v>
      </c>
      <c r="W252" t="str">
        <f t="shared" ca="1" si="75"/>
        <v>ICU</v>
      </c>
      <c r="X252" t="str">
        <f t="shared" si="76"/>
        <v>NUR001</v>
      </c>
      <c r="Y252" t="str">
        <f t="shared" ca="1" si="77"/>
        <v>Evening</v>
      </c>
      <c r="Z252" t="str">
        <f t="shared" ca="1" si="78"/>
        <v>ECG Machine</v>
      </c>
      <c r="AA252" t="str">
        <f t="shared" ca="1" si="79"/>
        <v>In Use</v>
      </c>
      <c r="AB252" t="str">
        <f t="shared" ca="1" si="80"/>
        <v>Paid</v>
      </c>
      <c r="AC252" t="str">
        <f t="shared" ca="1" si="81"/>
        <v>Credit Card</v>
      </c>
      <c r="AD252" t="str">
        <f t="shared" ca="1" si="82"/>
        <v>No</v>
      </c>
      <c r="AE252" t="str">
        <f t="shared" ca="1" si="83"/>
        <v>No</v>
      </c>
      <c r="AF252" t="str">
        <f t="shared" ca="1" si="84"/>
        <v>Under Observation</v>
      </c>
      <c r="AG252" t="str">
        <f t="shared" ca="1" si="85"/>
        <v>Midwest</v>
      </c>
      <c r="AH252" t="str">
        <f t="shared" si="68"/>
        <v>September</v>
      </c>
      <c r="AI252">
        <f t="shared" si="69"/>
        <v>2021</v>
      </c>
      <c r="AJ252" t="str">
        <f t="shared" ca="1" si="86"/>
        <v>Occupied</v>
      </c>
      <c r="AK252">
        <f t="shared" ca="1" si="87"/>
        <v>2</v>
      </c>
    </row>
    <row r="253" spans="1:37" x14ac:dyDescent="0.3">
      <c r="A253" t="s">
        <v>4692</v>
      </c>
      <c r="B253">
        <v>28</v>
      </c>
      <c r="C253" t="s">
        <v>32</v>
      </c>
      <c r="D253" t="s">
        <v>16</v>
      </c>
      <c r="E253" t="s">
        <v>76</v>
      </c>
      <c r="F253" s="1">
        <v>44814</v>
      </c>
      <c r="G253" t="s">
        <v>548</v>
      </c>
      <c r="H253" t="s">
        <v>549</v>
      </c>
      <c r="I253" t="s">
        <v>57</v>
      </c>
      <c r="J253">
        <v>49700</v>
      </c>
      <c r="K253">
        <v>359</v>
      </c>
      <c r="L253" t="s">
        <v>42</v>
      </c>
      <c r="M253" s="1">
        <v>44835</v>
      </c>
      <c r="N253" t="s">
        <v>22</v>
      </c>
      <c r="O253" t="s">
        <v>43</v>
      </c>
      <c r="P253" t="str">
        <f t="shared" si="70"/>
        <v>P0252</v>
      </c>
      <c r="Q253" t="str">
        <f t="shared" si="66"/>
        <v>Orthopedics</v>
      </c>
      <c r="R253">
        <f t="shared" si="67"/>
        <v>21</v>
      </c>
      <c r="S253" t="str">
        <f t="shared" ca="1" si="71"/>
        <v>No</v>
      </c>
      <c r="T253" t="str">
        <f t="shared" ca="1" si="72"/>
        <v>Severe</v>
      </c>
      <c r="U253" t="str">
        <f t="shared" ca="1" si="73"/>
        <v>Semi-Private</v>
      </c>
      <c r="V253" t="str">
        <f t="shared" si="74"/>
        <v>BED0252</v>
      </c>
      <c r="W253" t="str">
        <f t="shared" ca="1" si="75"/>
        <v>Private</v>
      </c>
      <c r="X253" t="str">
        <f t="shared" si="76"/>
        <v>NUR002</v>
      </c>
      <c r="Y253" t="str">
        <f t="shared" ca="1" si="77"/>
        <v>Evening</v>
      </c>
      <c r="Z253" t="str">
        <f t="shared" ca="1" si="78"/>
        <v>ECG Machine</v>
      </c>
      <c r="AA253" t="str">
        <f t="shared" ca="1" si="79"/>
        <v>In Use</v>
      </c>
      <c r="AB253" t="str">
        <f t="shared" ca="1" si="80"/>
        <v>Pending</v>
      </c>
      <c r="AC253" t="str">
        <f t="shared" ca="1" si="81"/>
        <v>Debit Card</v>
      </c>
      <c r="AD253" t="str">
        <f t="shared" ca="1" si="82"/>
        <v>No</v>
      </c>
      <c r="AE253" t="str">
        <f t="shared" ca="1" si="83"/>
        <v>No</v>
      </c>
      <c r="AF253" t="str">
        <f t="shared" ca="1" si="84"/>
        <v>Under Observation</v>
      </c>
      <c r="AG253" t="str">
        <f t="shared" ca="1" si="85"/>
        <v>Midwest</v>
      </c>
      <c r="AH253" t="str">
        <f t="shared" si="68"/>
        <v>September</v>
      </c>
      <c r="AI253">
        <f t="shared" si="69"/>
        <v>2022</v>
      </c>
      <c r="AJ253" t="str">
        <f t="shared" ca="1" si="86"/>
        <v>Occupied</v>
      </c>
      <c r="AK253">
        <f t="shared" ca="1" si="87"/>
        <v>2</v>
      </c>
    </row>
    <row r="254" spans="1:37" x14ac:dyDescent="0.3">
      <c r="A254" t="s">
        <v>4693</v>
      </c>
      <c r="B254">
        <v>63</v>
      </c>
      <c r="C254" t="s">
        <v>15</v>
      </c>
      <c r="D254" t="s">
        <v>24</v>
      </c>
      <c r="E254" t="s">
        <v>39</v>
      </c>
      <c r="F254" s="1">
        <v>44890</v>
      </c>
      <c r="G254" t="s">
        <v>550</v>
      </c>
      <c r="H254" t="s">
        <v>551</v>
      </c>
      <c r="I254" t="s">
        <v>20</v>
      </c>
      <c r="J254">
        <v>45157</v>
      </c>
      <c r="K254">
        <v>480</v>
      </c>
      <c r="L254" t="s">
        <v>42</v>
      </c>
      <c r="M254" s="1">
        <v>44915</v>
      </c>
      <c r="N254" t="s">
        <v>67</v>
      </c>
      <c r="O254" t="s">
        <v>23</v>
      </c>
      <c r="P254" t="str">
        <f t="shared" si="70"/>
        <v>P0253</v>
      </c>
      <c r="Q254" t="str">
        <f t="shared" si="66"/>
        <v>Endocrinology</v>
      </c>
      <c r="R254">
        <f t="shared" si="67"/>
        <v>25</v>
      </c>
      <c r="S254" t="str">
        <f t="shared" ca="1" si="71"/>
        <v>No</v>
      </c>
      <c r="T254" t="str">
        <f t="shared" ca="1" si="72"/>
        <v>Mild</v>
      </c>
      <c r="U254" t="str">
        <f t="shared" ca="1" si="73"/>
        <v>ICU</v>
      </c>
      <c r="V254" t="str">
        <f t="shared" si="74"/>
        <v>BED0253</v>
      </c>
      <c r="W254" t="str">
        <f t="shared" ca="1" si="75"/>
        <v>Private</v>
      </c>
      <c r="X254" t="str">
        <f t="shared" si="76"/>
        <v>NUR003</v>
      </c>
      <c r="Y254" t="str">
        <f t="shared" ca="1" si="77"/>
        <v>Morning</v>
      </c>
      <c r="Z254" t="str">
        <f t="shared" ca="1" si="78"/>
        <v>MRI Scanner</v>
      </c>
      <c r="AA254" t="str">
        <f t="shared" ca="1" si="79"/>
        <v>Maintenance</v>
      </c>
      <c r="AB254" t="str">
        <f t="shared" ca="1" si="80"/>
        <v>Pending</v>
      </c>
      <c r="AC254" t="str">
        <f t="shared" ca="1" si="81"/>
        <v>Insurance</v>
      </c>
      <c r="AD254" t="str">
        <f t="shared" ca="1" si="82"/>
        <v>Yes</v>
      </c>
      <c r="AE254" t="str">
        <f t="shared" ca="1" si="83"/>
        <v>No</v>
      </c>
      <c r="AF254" t="str">
        <f t="shared" ca="1" si="84"/>
        <v>Under Observation</v>
      </c>
      <c r="AG254" t="str">
        <f t="shared" ca="1" si="85"/>
        <v>West Coast</v>
      </c>
      <c r="AH254" t="str">
        <f t="shared" si="68"/>
        <v>November</v>
      </c>
      <c r="AI254">
        <f t="shared" si="69"/>
        <v>2022</v>
      </c>
      <c r="AJ254" t="str">
        <f t="shared" ca="1" si="86"/>
        <v>Vacant</v>
      </c>
      <c r="AK254">
        <f t="shared" ca="1" si="87"/>
        <v>2</v>
      </c>
    </row>
    <row r="255" spans="1:37" x14ac:dyDescent="0.3">
      <c r="A255" t="s">
        <v>4694</v>
      </c>
      <c r="B255">
        <v>85</v>
      </c>
      <c r="C255" t="s">
        <v>15</v>
      </c>
      <c r="D255" t="s">
        <v>98</v>
      </c>
      <c r="E255" t="s">
        <v>48</v>
      </c>
      <c r="F255" s="1">
        <v>45142</v>
      </c>
      <c r="G255" t="s">
        <v>552</v>
      </c>
      <c r="H255" t="s">
        <v>553</v>
      </c>
      <c r="I255" t="s">
        <v>57</v>
      </c>
      <c r="J255">
        <v>18832</v>
      </c>
      <c r="K255">
        <v>472</v>
      </c>
      <c r="L255" t="s">
        <v>29</v>
      </c>
      <c r="M255" s="1">
        <v>45150</v>
      </c>
      <c r="N255" t="s">
        <v>30</v>
      </c>
      <c r="O255" t="s">
        <v>43</v>
      </c>
      <c r="P255" t="str">
        <f t="shared" si="70"/>
        <v>P0254</v>
      </c>
      <c r="Q255" t="str">
        <f t="shared" si="66"/>
        <v>Pulmonology</v>
      </c>
      <c r="R255">
        <f t="shared" si="67"/>
        <v>8</v>
      </c>
      <c r="S255" t="str">
        <f t="shared" ca="1" si="71"/>
        <v>No</v>
      </c>
      <c r="T255" t="str">
        <f t="shared" ca="1" si="72"/>
        <v>Mild</v>
      </c>
      <c r="U255" t="str">
        <f t="shared" ca="1" si="73"/>
        <v>Private Ward</v>
      </c>
      <c r="V255" t="str">
        <f t="shared" si="74"/>
        <v>BED0254</v>
      </c>
      <c r="W255" t="str">
        <f t="shared" ca="1" si="75"/>
        <v>ICU</v>
      </c>
      <c r="X255" t="str">
        <f t="shared" si="76"/>
        <v>NUR004</v>
      </c>
      <c r="Y255" t="str">
        <f t="shared" ca="1" si="77"/>
        <v>Morning</v>
      </c>
      <c r="Z255" t="str">
        <f t="shared" ca="1" si="78"/>
        <v>MRI Scanner</v>
      </c>
      <c r="AA255" t="str">
        <f t="shared" ca="1" si="79"/>
        <v>Maintenance</v>
      </c>
      <c r="AB255" t="str">
        <f t="shared" ca="1" si="80"/>
        <v>Partially Paid</v>
      </c>
      <c r="AC255" t="str">
        <f t="shared" ca="1" si="81"/>
        <v>Debit Card</v>
      </c>
      <c r="AD255" t="str">
        <f t="shared" ca="1" si="82"/>
        <v>No</v>
      </c>
      <c r="AE255" t="str">
        <f t="shared" ca="1" si="83"/>
        <v>Yes</v>
      </c>
      <c r="AF255" t="str">
        <f t="shared" ca="1" si="84"/>
        <v>Recovered</v>
      </c>
      <c r="AG255" t="str">
        <f t="shared" ca="1" si="85"/>
        <v>Midwest</v>
      </c>
      <c r="AH255" t="str">
        <f t="shared" si="68"/>
        <v>August</v>
      </c>
      <c r="AI255">
        <f t="shared" si="69"/>
        <v>2023</v>
      </c>
      <c r="AJ255" t="str">
        <f t="shared" ca="1" si="86"/>
        <v>Occupied</v>
      </c>
      <c r="AK255">
        <f t="shared" ca="1" si="87"/>
        <v>1</v>
      </c>
    </row>
    <row r="256" spans="1:37" x14ac:dyDescent="0.3">
      <c r="A256" t="s">
        <v>4695</v>
      </c>
      <c r="B256">
        <v>37</v>
      </c>
      <c r="C256" t="s">
        <v>15</v>
      </c>
      <c r="D256" t="s">
        <v>98</v>
      </c>
      <c r="E256" t="s">
        <v>64</v>
      </c>
      <c r="F256" s="1">
        <v>44155</v>
      </c>
      <c r="G256" t="s">
        <v>554</v>
      </c>
      <c r="H256" t="s">
        <v>555</v>
      </c>
      <c r="I256" t="s">
        <v>36</v>
      </c>
      <c r="J256">
        <v>31732</v>
      </c>
      <c r="K256">
        <v>373</v>
      </c>
      <c r="L256" t="s">
        <v>42</v>
      </c>
      <c r="M256" s="1">
        <v>44171</v>
      </c>
      <c r="N256" t="s">
        <v>67</v>
      </c>
      <c r="O256" t="s">
        <v>23</v>
      </c>
      <c r="P256" t="str">
        <f t="shared" si="70"/>
        <v>P0255</v>
      </c>
      <c r="Q256" t="str">
        <f t="shared" si="66"/>
        <v>Cardiology</v>
      </c>
      <c r="R256">
        <f t="shared" si="67"/>
        <v>16</v>
      </c>
      <c r="S256" t="str">
        <f t="shared" ca="1" si="71"/>
        <v>No</v>
      </c>
      <c r="T256" t="str">
        <f t="shared" ca="1" si="72"/>
        <v>Moderate</v>
      </c>
      <c r="U256" t="str">
        <f t="shared" ca="1" si="73"/>
        <v>Private Ward</v>
      </c>
      <c r="V256" t="str">
        <f t="shared" si="74"/>
        <v>BED0255</v>
      </c>
      <c r="W256" t="str">
        <f t="shared" ca="1" si="75"/>
        <v>Private</v>
      </c>
      <c r="X256" t="str">
        <f t="shared" si="76"/>
        <v>NUR005</v>
      </c>
      <c r="Y256" t="str">
        <f t="shared" ca="1" si="77"/>
        <v>Morning</v>
      </c>
      <c r="Z256" t="str">
        <f t="shared" ca="1" si="78"/>
        <v>Ventilator</v>
      </c>
      <c r="AA256" t="str">
        <f t="shared" ca="1" si="79"/>
        <v>In Use</v>
      </c>
      <c r="AB256" t="str">
        <f t="shared" ca="1" si="80"/>
        <v>Pending</v>
      </c>
      <c r="AC256" t="str">
        <f t="shared" ca="1" si="81"/>
        <v>Insurance</v>
      </c>
      <c r="AD256" t="str">
        <f t="shared" ca="1" si="82"/>
        <v>No</v>
      </c>
      <c r="AE256" t="str">
        <f t="shared" ca="1" si="83"/>
        <v>No</v>
      </c>
      <c r="AF256" t="str">
        <f t="shared" ca="1" si="84"/>
        <v>Transferred</v>
      </c>
      <c r="AG256" t="str">
        <f t="shared" ca="1" si="85"/>
        <v>Southwest</v>
      </c>
      <c r="AH256" t="str">
        <f t="shared" si="68"/>
        <v>November</v>
      </c>
      <c r="AI256">
        <f t="shared" si="69"/>
        <v>2020</v>
      </c>
      <c r="AJ256" t="str">
        <f t="shared" ca="1" si="86"/>
        <v>Occupied</v>
      </c>
      <c r="AK256">
        <f t="shared" ca="1" si="87"/>
        <v>1</v>
      </c>
    </row>
    <row r="257" spans="1:37" x14ac:dyDescent="0.3">
      <c r="A257" t="s">
        <v>4696</v>
      </c>
      <c r="B257">
        <v>22</v>
      </c>
      <c r="C257" t="s">
        <v>15</v>
      </c>
      <c r="D257" t="s">
        <v>52</v>
      </c>
      <c r="E257" t="s">
        <v>39</v>
      </c>
      <c r="F257" s="1">
        <v>43761</v>
      </c>
      <c r="G257" t="s">
        <v>556</v>
      </c>
      <c r="H257" t="s">
        <v>557</v>
      </c>
      <c r="I257" t="s">
        <v>20</v>
      </c>
      <c r="J257">
        <v>42215</v>
      </c>
      <c r="K257">
        <v>370</v>
      </c>
      <c r="L257" t="s">
        <v>21</v>
      </c>
      <c r="M257" s="1">
        <v>43778</v>
      </c>
      <c r="N257" t="s">
        <v>22</v>
      </c>
      <c r="O257" t="s">
        <v>43</v>
      </c>
      <c r="P257" t="str">
        <f t="shared" si="70"/>
        <v>P0256</v>
      </c>
      <c r="Q257" t="str">
        <f t="shared" si="66"/>
        <v>Endocrinology</v>
      </c>
      <c r="R257">
        <f t="shared" si="67"/>
        <v>17</v>
      </c>
      <c r="S257" t="str">
        <f t="shared" ca="1" si="71"/>
        <v>No</v>
      </c>
      <c r="T257" t="str">
        <f t="shared" ca="1" si="72"/>
        <v>Moderate</v>
      </c>
      <c r="U257" t="str">
        <f t="shared" ca="1" si="73"/>
        <v>Private Ward</v>
      </c>
      <c r="V257" t="str">
        <f t="shared" si="74"/>
        <v>BED0256</v>
      </c>
      <c r="W257" t="str">
        <f t="shared" ca="1" si="75"/>
        <v>Semi-Private</v>
      </c>
      <c r="X257" t="str">
        <f t="shared" si="76"/>
        <v>NUR006</v>
      </c>
      <c r="Y257" t="str">
        <f t="shared" ca="1" si="77"/>
        <v>Night</v>
      </c>
      <c r="Z257" t="str">
        <f t="shared" ca="1" si="78"/>
        <v>ECG Machine</v>
      </c>
      <c r="AA257" t="str">
        <f t="shared" ca="1" si="79"/>
        <v>Available</v>
      </c>
      <c r="AB257" t="str">
        <f t="shared" ca="1" si="80"/>
        <v>Paid</v>
      </c>
      <c r="AC257" t="str">
        <f t="shared" ca="1" si="81"/>
        <v>Debit Card</v>
      </c>
      <c r="AD257" t="str">
        <f t="shared" ca="1" si="82"/>
        <v>No</v>
      </c>
      <c r="AE257" t="str">
        <f t="shared" ca="1" si="83"/>
        <v>No</v>
      </c>
      <c r="AF257" t="str">
        <f t="shared" ca="1" si="84"/>
        <v>Recovered</v>
      </c>
      <c r="AG257" t="str">
        <f t="shared" ca="1" si="85"/>
        <v>Northeast</v>
      </c>
      <c r="AH257" t="str">
        <f t="shared" si="68"/>
        <v>October</v>
      </c>
      <c r="AI257">
        <f t="shared" si="69"/>
        <v>2019</v>
      </c>
      <c r="AJ257" t="str">
        <f t="shared" ca="1" si="86"/>
        <v>Occupied</v>
      </c>
      <c r="AK257">
        <f t="shared" ca="1" si="87"/>
        <v>2</v>
      </c>
    </row>
    <row r="258" spans="1:37" x14ac:dyDescent="0.3">
      <c r="A258" t="s">
        <v>4697</v>
      </c>
      <c r="B258">
        <v>80</v>
      </c>
      <c r="C258" t="s">
        <v>32</v>
      </c>
      <c r="D258" t="s">
        <v>44</v>
      </c>
      <c r="E258" t="s">
        <v>76</v>
      </c>
      <c r="F258" s="1">
        <v>44121</v>
      </c>
      <c r="G258" t="s">
        <v>558</v>
      </c>
      <c r="H258" t="s">
        <v>559</v>
      </c>
      <c r="I258" t="s">
        <v>28</v>
      </c>
      <c r="J258">
        <v>12400</v>
      </c>
      <c r="K258">
        <v>141</v>
      </c>
      <c r="L258" t="s">
        <v>42</v>
      </c>
      <c r="M258" s="1">
        <v>44133</v>
      </c>
      <c r="N258" t="s">
        <v>37</v>
      </c>
      <c r="O258" t="s">
        <v>23</v>
      </c>
      <c r="P258" t="str">
        <f t="shared" si="70"/>
        <v>P0257</v>
      </c>
      <c r="Q258" t="str">
        <f t="shared" ref="Q258:Q321" si="88">IF(E258="Cancer","Oncology",IF(E258="Obesity","Nutrition",IF(E258="Diabetes","Endocrinology",IF(E258="Asthma","Pulmonology",IF(E258="Arthritis","Orthopedics",IF(E258="Hypertension","Cardiology","General Medicine"))))))</f>
        <v>Orthopedics</v>
      </c>
      <c r="R258">
        <f t="shared" ref="R258:R321" si="89">M258-F258</f>
        <v>12</v>
      </c>
      <c r="S258" t="str">
        <f t="shared" ca="1" si="71"/>
        <v>No</v>
      </c>
      <c r="T258" t="str">
        <f t="shared" ca="1" si="72"/>
        <v>Severe</v>
      </c>
      <c r="U258" t="str">
        <f t="shared" ca="1" si="73"/>
        <v>Semi-Private</v>
      </c>
      <c r="V258" t="str">
        <f t="shared" si="74"/>
        <v>BED0257</v>
      </c>
      <c r="W258" t="str">
        <f t="shared" ca="1" si="75"/>
        <v>Private</v>
      </c>
      <c r="X258" t="str">
        <f t="shared" si="76"/>
        <v>NUR007</v>
      </c>
      <c r="Y258" t="str">
        <f t="shared" ca="1" si="77"/>
        <v>Night</v>
      </c>
      <c r="Z258" t="str">
        <f t="shared" ca="1" si="78"/>
        <v>Ultrasound</v>
      </c>
      <c r="AA258" t="str">
        <f t="shared" ca="1" si="79"/>
        <v>Available</v>
      </c>
      <c r="AB258" t="str">
        <f t="shared" ca="1" si="80"/>
        <v>Paid</v>
      </c>
      <c r="AC258" t="str">
        <f t="shared" ca="1" si="81"/>
        <v>Insurance</v>
      </c>
      <c r="AD258" t="str">
        <f t="shared" ca="1" si="82"/>
        <v>No</v>
      </c>
      <c r="AE258" t="str">
        <f t="shared" ca="1" si="83"/>
        <v>No</v>
      </c>
      <c r="AF258" t="str">
        <f t="shared" ca="1" si="84"/>
        <v>Transferred</v>
      </c>
      <c r="AG258" t="str">
        <f t="shared" ca="1" si="85"/>
        <v>Southwest</v>
      </c>
      <c r="AH258" t="str">
        <f t="shared" ref="AH258:AH321" si="90">TEXT(F258,"MMMM")</f>
        <v>October</v>
      </c>
      <c r="AI258">
        <f t="shared" ref="AI258:AI321" si="91">YEAR(F258)</f>
        <v>2020</v>
      </c>
      <c r="AJ258" t="str">
        <f t="shared" ca="1" si="86"/>
        <v>Occupied</v>
      </c>
      <c r="AK258">
        <f t="shared" ca="1" si="87"/>
        <v>4</v>
      </c>
    </row>
    <row r="259" spans="1:37" x14ac:dyDescent="0.3">
      <c r="A259" t="s">
        <v>4698</v>
      </c>
      <c r="B259">
        <v>48</v>
      </c>
      <c r="C259" t="s">
        <v>32</v>
      </c>
      <c r="D259" t="s">
        <v>38</v>
      </c>
      <c r="E259" t="s">
        <v>76</v>
      </c>
      <c r="F259" s="1">
        <v>44922</v>
      </c>
      <c r="G259" t="s">
        <v>560</v>
      </c>
      <c r="H259" t="s">
        <v>561</v>
      </c>
      <c r="I259" t="s">
        <v>20</v>
      </c>
      <c r="J259">
        <v>1134</v>
      </c>
      <c r="K259">
        <v>343</v>
      </c>
      <c r="L259" t="s">
        <v>21</v>
      </c>
      <c r="M259" s="1">
        <v>44926</v>
      </c>
      <c r="N259" t="s">
        <v>47</v>
      </c>
      <c r="O259" t="s">
        <v>43</v>
      </c>
      <c r="P259" t="str">
        <f t="shared" ref="P259:P322" si="92">"P"&amp;TEXT(ROW()-1,"0000")</f>
        <v>P0258</v>
      </c>
      <c r="Q259" t="str">
        <f t="shared" si="88"/>
        <v>Orthopedics</v>
      </c>
      <c r="R259">
        <f t="shared" si="89"/>
        <v>4</v>
      </c>
      <c r="S259" t="str">
        <f t="shared" ref="S259:S322" ca="1" si="93">IF(RAND()&lt;0.1,"Yes","No")</f>
        <v>No</v>
      </c>
      <c r="T259" t="str">
        <f t="shared" ref="T259:T322" ca="1" si="94">CHOOSE(RANDBETWEEN(1,4),"Mild","Moderate","Severe","Critical")</f>
        <v>Severe</v>
      </c>
      <c r="U259" t="str">
        <f t="shared" ref="U259:U322" ca="1" si="95">CHOOSE(RANDBETWEEN(1,5),"General Ward","ICU","Emergency","Private Ward","Semi-Private")</f>
        <v>Semi-Private</v>
      </c>
      <c r="V259" t="str">
        <f t="shared" ref="V259:V322" si="96">"BED"&amp;TEXT(ROW()-1,"0000")</f>
        <v>BED0258</v>
      </c>
      <c r="W259" t="str">
        <f t="shared" ref="W259:W322" ca="1" si="97">CHOOSE(RANDBETWEEN(1,4),"General","Private","Semi-Private","ICU")</f>
        <v>Semi-Private</v>
      </c>
      <c r="X259" t="str">
        <f t="shared" ref="X259:X322" si="98">"NUR"&amp;TEXT(MOD(ROW()-2,50)+1,"000")</f>
        <v>NUR008</v>
      </c>
      <c r="Y259" t="str">
        <f t="shared" ref="Y259:Y322" ca="1" si="99">CHOOSE(RANDBETWEEN(1,3),"Morning","Evening","Night")</f>
        <v>Evening</v>
      </c>
      <c r="Z259" t="str">
        <f t="shared" ref="Z259:Z322" ca="1" si="100">CHOOSE(RANDBETWEEN(1,6),"MRI Scanner","CT Scanner","Ventilator","X-Ray","ECG Machine","Ultrasound")</f>
        <v>MRI Scanner</v>
      </c>
      <c r="AA259" t="str">
        <f t="shared" ref="AA259:AA322" ca="1" si="101">CHOOSE(RANDBETWEEN(1,3),"Available","In Use","Maintenance")</f>
        <v>In Use</v>
      </c>
      <c r="AB259" t="str">
        <f t="shared" ref="AB259:AB322" ca="1" si="102">CHOOSE(RANDBETWEEN(1,3),"Paid","Pending","Partially Paid")</f>
        <v>Partially Paid</v>
      </c>
      <c r="AC259" t="str">
        <f t="shared" ref="AC259:AC322" ca="1" si="103">CHOOSE(RANDBETWEEN(1,5),"Cash","Credit Card","Debit Card","Insurance","Bank Transfer")</f>
        <v>Insurance</v>
      </c>
      <c r="AD259" t="str">
        <f t="shared" ref="AD259:AD322" ca="1" si="104">IF(RAND()&lt;0.2,"Yes","No")</f>
        <v>No</v>
      </c>
      <c r="AE259" t="str">
        <f t="shared" ref="AE259:AE322" ca="1" si="105">IF(RAND()&lt;0.15,"Yes","No")</f>
        <v>No</v>
      </c>
      <c r="AF259" t="str">
        <f t="shared" ref="AF259:AF322" ca="1" si="106">CHOOSE(RANDBETWEEN(1,3),"Recovered","Transferred","Under Observation")</f>
        <v>Recovered</v>
      </c>
      <c r="AG259" t="str">
        <f t="shared" ref="AG259:AG322" ca="1" si="107">CHOOSE(RANDBETWEEN(1,5),"Northeast","Southeast","Midwest","Southwest","West Coast")</f>
        <v>Southwest</v>
      </c>
      <c r="AH259" t="str">
        <f t="shared" si="90"/>
        <v>December</v>
      </c>
      <c r="AI259">
        <f t="shared" si="91"/>
        <v>2022</v>
      </c>
      <c r="AJ259" t="str">
        <f t="shared" ref="AJ259:AJ322" ca="1" si="108">IF(RANDBETWEEN(1,100)&lt;=80,"Occupied","Vacant")</f>
        <v>Vacant</v>
      </c>
      <c r="AK259">
        <f t="shared" ref="AK259:AK322" ca="1" si="109">CHOOSE(RANDBETWEEN(1,3),1,2,4)</f>
        <v>1</v>
      </c>
    </row>
    <row r="260" spans="1:37" x14ac:dyDescent="0.3">
      <c r="A260" t="s">
        <v>4699</v>
      </c>
      <c r="B260">
        <v>29</v>
      </c>
      <c r="C260" t="s">
        <v>15</v>
      </c>
      <c r="D260" t="s">
        <v>83</v>
      </c>
      <c r="E260" t="s">
        <v>25</v>
      </c>
      <c r="F260" s="1">
        <v>45093</v>
      </c>
      <c r="G260" t="s">
        <v>562</v>
      </c>
      <c r="H260" t="s">
        <v>563</v>
      </c>
      <c r="I260" t="s">
        <v>20</v>
      </c>
      <c r="J260">
        <v>24340</v>
      </c>
      <c r="K260">
        <v>310</v>
      </c>
      <c r="L260" t="s">
        <v>29</v>
      </c>
      <c r="M260" s="1">
        <v>45121</v>
      </c>
      <c r="N260" t="s">
        <v>37</v>
      </c>
      <c r="O260" t="s">
        <v>31</v>
      </c>
      <c r="P260" t="str">
        <f t="shared" si="92"/>
        <v>P0259</v>
      </c>
      <c r="Q260" t="str">
        <f t="shared" si="88"/>
        <v>Nutrition</v>
      </c>
      <c r="R260">
        <f t="shared" si="89"/>
        <v>28</v>
      </c>
      <c r="S260" t="str">
        <f t="shared" ca="1" si="93"/>
        <v>No</v>
      </c>
      <c r="T260" t="str">
        <f t="shared" ca="1" si="94"/>
        <v>Severe</v>
      </c>
      <c r="U260" t="str">
        <f t="shared" ca="1" si="95"/>
        <v>Semi-Private</v>
      </c>
      <c r="V260" t="str">
        <f t="shared" si="96"/>
        <v>BED0259</v>
      </c>
      <c r="W260" t="str">
        <f t="shared" ca="1" si="97"/>
        <v>General</v>
      </c>
      <c r="X260" t="str">
        <f t="shared" si="98"/>
        <v>NUR009</v>
      </c>
      <c r="Y260" t="str">
        <f t="shared" ca="1" si="99"/>
        <v>Evening</v>
      </c>
      <c r="Z260" t="str">
        <f t="shared" ca="1" si="100"/>
        <v>MRI Scanner</v>
      </c>
      <c r="AA260" t="str">
        <f t="shared" ca="1" si="101"/>
        <v>Available</v>
      </c>
      <c r="AB260" t="str">
        <f t="shared" ca="1" si="102"/>
        <v>Pending</v>
      </c>
      <c r="AC260" t="str">
        <f t="shared" ca="1" si="103"/>
        <v>Credit Card</v>
      </c>
      <c r="AD260" t="str">
        <f t="shared" ca="1" si="104"/>
        <v>No</v>
      </c>
      <c r="AE260" t="str">
        <f t="shared" ca="1" si="105"/>
        <v>No</v>
      </c>
      <c r="AF260" t="str">
        <f t="shared" ca="1" si="106"/>
        <v>Under Observation</v>
      </c>
      <c r="AG260" t="str">
        <f t="shared" ca="1" si="107"/>
        <v>West Coast</v>
      </c>
      <c r="AH260" t="str">
        <f t="shared" si="90"/>
        <v>June</v>
      </c>
      <c r="AI260">
        <f t="shared" si="91"/>
        <v>2023</v>
      </c>
      <c r="AJ260" t="str">
        <f t="shared" ca="1" si="108"/>
        <v>Occupied</v>
      </c>
      <c r="AK260">
        <f t="shared" ca="1" si="109"/>
        <v>4</v>
      </c>
    </row>
    <row r="261" spans="1:37" x14ac:dyDescent="0.3">
      <c r="A261" t="s">
        <v>4700</v>
      </c>
      <c r="B261">
        <v>76</v>
      </c>
      <c r="C261" t="s">
        <v>15</v>
      </c>
      <c r="D261" t="s">
        <v>24</v>
      </c>
      <c r="E261" t="s">
        <v>76</v>
      </c>
      <c r="F261" s="1">
        <v>45236</v>
      </c>
      <c r="G261" t="s">
        <v>564</v>
      </c>
      <c r="H261" t="s">
        <v>565</v>
      </c>
      <c r="I261" t="s">
        <v>20</v>
      </c>
      <c r="J261">
        <v>39391</v>
      </c>
      <c r="K261">
        <v>319</v>
      </c>
      <c r="L261" t="s">
        <v>42</v>
      </c>
      <c r="M261" s="1">
        <v>45251</v>
      </c>
      <c r="N261" t="s">
        <v>37</v>
      </c>
      <c r="O261" t="s">
        <v>43</v>
      </c>
      <c r="P261" t="str">
        <f t="shared" si="92"/>
        <v>P0260</v>
      </c>
      <c r="Q261" t="str">
        <f t="shared" si="88"/>
        <v>Orthopedics</v>
      </c>
      <c r="R261">
        <f t="shared" si="89"/>
        <v>15</v>
      </c>
      <c r="S261" t="str">
        <f t="shared" ca="1" si="93"/>
        <v>No</v>
      </c>
      <c r="T261" t="str">
        <f t="shared" ca="1" si="94"/>
        <v>Mild</v>
      </c>
      <c r="U261" t="str">
        <f t="shared" ca="1" si="95"/>
        <v>Emergency</v>
      </c>
      <c r="V261" t="str">
        <f t="shared" si="96"/>
        <v>BED0260</v>
      </c>
      <c r="W261" t="str">
        <f t="shared" ca="1" si="97"/>
        <v>Private</v>
      </c>
      <c r="X261" t="str">
        <f t="shared" si="98"/>
        <v>NUR010</v>
      </c>
      <c r="Y261" t="str">
        <f t="shared" ca="1" si="99"/>
        <v>Morning</v>
      </c>
      <c r="Z261" t="str">
        <f t="shared" ca="1" si="100"/>
        <v>MRI Scanner</v>
      </c>
      <c r="AA261" t="str">
        <f t="shared" ca="1" si="101"/>
        <v>In Use</v>
      </c>
      <c r="AB261" t="str">
        <f t="shared" ca="1" si="102"/>
        <v>Paid</v>
      </c>
      <c r="AC261" t="str">
        <f t="shared" ca="1" si="103"/>
        <v>Debit Card</v>
      </c>
      <c r="AD261" t="str">
        <f t="shared" ca="1" si="104"/>
        <v>No</v>
      </c>
      <c r="AE261" t="str">
        <f t="shared" ca="1" si="105"/>
        <v>No</v>
      </c>
      <c r="AF261" t="str">
        <f t="shared" ca="1" si="106"/>
        <v>Under Observation</v>
      </c>
      <c r="AG261" t="str">
        <f t="shared" ca="1" si="107"/>
        <v>Midwest</v>
      </c>
      <c r="AH261" t="str">
        <f t="shared" si="90"/>
        <v>November</v>
      </c>
      <c r="AI261">
        <f t="shared" si="91"/>
        <v>2023</v>
      </c>
      <c r="AJ261" t="str">
        <f t="shared" ca="1" si="108"/>
        <v>Occupied</v>
      </c>
      <c r="AK261">
        <f t="shared" ca="1" si="109"/>
        <v>4</v>
      </c>
    </row>
    <row r="262" spans="1:37" x14ac:dyDescent="0.3">
      <c r="A262" t="s">
        <v>4701</v>
      </c>
      <c r="B262">
        <v>23</v>
      </c>
      <c r="C262" t="s">
        <v>32</v>
      </c>
      <c r="D262" t="s">
        <v>24</v>
      </c>
      <c r="E262" t="s">
        <v>64</v>
      </c>
      <c r="F262" s="1">
        <v>45286</v>
      </c>
      <c r="G262" t="s">
        <v>566</v>
      </c>
      <c r="H262" t="s">
        <v>567</v>
      </c>
      <c r="I262" t="s">
        <v>28</v>
      </c>
      <c r="J262">
        <v>17013</v>
      </c>
      <c r="K262">
        <v>121</v>
      </c>
      <c r="L262" t="s">
        <v>42</v>
      </c>
      <c r="M262" s="1">
        <v>45313</v>
      </c>
      <c r="N262" t="s">
        <v>47</v>
      </c>
      <c r="O262" t="s">
        <v>23</v>
      </c>
      <c r="P262" t="str">
        <f t="shared" si="92"/>
        <v>P0261</v>
      </c>
      <c r="Q262" t="str">
        <f t="shared" si="88"/>
        <v>Cardiology</v>
      </c>
      <c r="R262">
        <f t="shared" si="89"/>
        <v>27</v>
      </c>
      <c r="S262" t="str">
        <f t="shared" ca="1" si="93"/>
        <v>No</v>
      </c>
      <c r="T262" t="str">
        <f t="shared" ca="1" si="94"/>
        <v>Moderate</v>
      </c>
      <c r="U262" t="str">
        <f t="shared" ca="1" si="95"/>
        <v>General Ward</v>
      </c>
      <c r="V262" t="str">
        <f t="shared" si="96"/>
        <v>BED0261</v>
      </c>
      <c r="W262" t="str">
        <f t="shared" ca="1" si="97"/>
        <v>General</v>
      </c>
      <c r="X262" t="str">
        <f t="shared" si="98"/>
        <v>NUR011</v>
      </c>
      <c r="Y262" t="str">
        <f t="shared" ca="1" si="99"/>
        <v>Night</v>
      </c>
      <c r="Z262" t="str">
        <f t="shared" ca="1" si="100"/>
        <v>Ventilator</v>
      </c>
      <c r="AA262" t="str">
        <f t="shared" ca="1" si="101"/>
        <v>In Use</v>
      </c>
      <c r="AB262" t="str">
        <f t="shared" ca="1" si="102"/>
        <v>Partially Paid</v>
      </c>
      <c r="AC262" t="str">
        <f t="shared" ca="1" si="103"/>
        <v>Credit Card</v>
      </c>
      <c r="AD262" t="str">
        <f t="shared" ca="1" si="104"/>
        <v>No</v>
      </c>
      <c r="AE262" t="str">
        <f t="shared" ca="1" si="105"/>
        <v>No</v>
      </c>
      <c r="AF262" t="str">
        <f t="shared" ca="1" si="106"/>
        <v>Transferred</v>
      </c>
      <c r="AG262" t="str">
        <f t="shared" ca="1" si="107"/>
        <v>Southwest</v>
      </c>
      <c r="AH262" t="str">
        <f t="shared" si="90"/>
        <v>December</v>
      </c>
      <c r="AI262">
        <f t="shared" si="91"/>
        <v>2023</v>
      </c>
      <c r="AJ262" t="str">
        <f t="shared" ca="1" si="108"/>
        <v>Occupied</v>
      </c>
      <c r="AK262">
        <f t="shared" ca="1" si="109"/>
        <v>1</v>
      </c>
    </row>
    <row r="263" spans="1:37" x14ac:dyDescent="0.3">
      <c r="A263" t="s">
        <v>4702</v>
      </c>
      <c r="B263">
        <v>33</v>
      </c>
      <c r="C263" t="s">
        <v>15</v>
      </c>
      <c r="D263" t="s">
        <v>16</v>
      </c>
      <c r="E263" t="s">
        <v>48</v>
      </c>
      <c r="F263" s="1">
        <v>44967</v>
      </c>
      <c r="G263" t="s">
        <v>568</v>
      </c>
      <c r="H263" t="s">
        <v>569</v>
      </c>
      <c r="I263" t="s">
        <v>57</v>
      </c>
      <c r="J263">
        <v>14494</v>
      </c>
      <c r="K263">
        <v>166</v>
      </c>
      <c r="L263" t="s">
        <v>29</v>
      </c>
      <c r="M263" s="1">
        <v>44990</v>
      </c>
      <c r="N263" t="s">
        <v>47</v>
      </c>
      <c r="O263" t="s">
        <v>31</v>
      </c>
      <c r="P263" t="str">
        <f t="shared" si="92"/>
        <v>P0262</v>
      </c>
      <c r="Q263" t="str">
        <f t="shared" si="88"/>
        <v>Pulmonology</v>
      </c>
      <c r="R263">
        <f t="shared" si="89"/>
        <v>23</v>
      </c>
      <c r="S263" t="str">
        <f t="shared" ca="1" si="93"/>
        <v>No</v>
      </c>
      <c r="T263" t="str">
        <f t="shared" ca="1" si="94"/>
        <v>Mild</v>
      </c>
      <c r="U263" t="str">
        <f t="shared" ca="1" si="95"/>
        <v>Emergency</v>
      </c>
      <c r="V263" t="str">
        <f t="shared" si="96"/>
        <v>BED0262</v>
      </c>
      <c r="W263" t="str">
        <f t="shared" ca="1" si="97"/>
        <v>Semi-Private</v>
      </c>
      <c r="X263" t="str">
        <f t="shared" si="98"/>
        <v>NUR012</v>
      </c>
      <c r="Y263" t="str">
        <f t="shared" ca="1" si="99"/>
        <v>Night</v>
      </c>
      <c r="Z263" t="str">
        <f t="shared" ca="1" si="100"/>
        <v>CT Scanner</v>
      </c>
      <c r="AA263" t="str">
        <f t="shared" ca="1" si="101"/>
        <v>Maintenance</v>
      </c>
      <c r="AB263" t="str">
        <f t="shared" ca="1" si="102"/>
        <v>Partially Paid</v>
      </c>
      <c r="AC263" t="str">
        <f t="shared" ca="1" si="103"/>
        <v>Insurance</v>
      </c>
      <c r="AD263" t="str">
        <f t="shared" ca="1" si="104"/>
        <v>No</v>
      </c>
      <c r="AE263" t="str">
        <f t="shared" ca="1" si="105"/>
        <v>No</v>
      </c>
      <c r="AF263" t="str">
        <f t="shared" ca="1" si="106"/>
        <v>Transferred</v>
      </c>
      <c r="AG263" t="str">
        <f t="shared" ca="1" si="107"/>
        <v>Northeast</v>
      </c>
      <c r="AH263" t="str">
        <f t="shared" si="90"/>
        <v>February</v>
      </c>
      <c r="AI263">
        <f t="shared" si="91"/>
        <v>2023</v>
      </c>
      <c r="AJ263" t="str">
        <f t="shared" ca="1" si="108"/>
        <v>Occupied</v>
      </c>
      <c r="AK263">
        <f t="shared" ca="1" si="109"/>
        <v>1</v>
      </c>
    </row>
    <row r="264" spans="1:37" x14ac:dyDescent="0.3">
      <c r="A264" t="s">
        <v>4703</v>
      </c>
      <c r="B264">
        <v>34</v>
      </c>
      <c r="C264" t="s">
        <v>15</v>
      </c>
      <c r="D264" t="s">
        <v>38</v>
      </c>
      <c r="E264" t="s">
        <v>64</v>
      </c>
      <c r="F264" s="1">
        <v>44013</v>
      </c>
      <c r="G264" t="s">
        <v>570</v>
      </c>
      <c r="H264" t="s">
        <v>571</v>
      </c>
      <c r="I264" t="s">
        <v>36</v>
      </c>
      <c r="J264">
        <v>32679</v>
      </c>
      <c r="K264">
        <v>397</v>
      </c>
      <c r="L264" t="s">
        <v>29</v>
      </c>
      <c r="M264" s="1">
        <v>44022</v>
      </c>
      <c r="N264" t="s">
        <v>22</v>
      </c>
      <c r="O264" t="s">
        <v>23</v>
      </c>
      <c r="P264" t="str">
        <f t="shared" si="92"/>
        <v>P0263</v>
      </c>
      <c r="Q264" t="str">
        <f t="shared" si="88"/>
        <v>Cardiology</v>
      </c>
      <c r="R264">
        <f t="shared" si="89"/>
        <v>9</v>
      </c>
      <c r="S264" t="str">
        <f t="shared" ca="1" si="93"/>
        <v>No</v>
      </c>
      <c r="T264" t="str">
        <f t="shared" ca="1" si="94"/>
        <v>Mild</v>
      </c>
      <c r="U264" t="str">
        <f t="shared" ca="1" si="95"/>
        <v>General Ward</v>
      </c>
      <c r="V264" t="str">
        <f t="shared" si="96"/>
        <v>BED0263</v>
      </c>
      <c r="W264" t="str">
        <f t="shared" ca="1" si="97"/>
        <v>ICU</v>
      </c>
      <c r="X264" t="str">
        <f t="shared" si="98"/>
        <v>NUR013</v>
      </c>
      <c r="Y264" t="str">
        <f t="shared" ca="1" si="99"/>
        <v>Night</v>
      </c>
      <c r="Z264" t="str">
        <f t="shared" ca="1" si="100"/>
        <v>X-Ray</v>
      </c>
      <c r="AA264" t="str">
        <f t="shared" ca="1" si="101"/>
        <v>Maintenance</v>
      </c>
      <c r="AB264" t="str">
        <f t="shared" ca="1" si="102"/>
        <v>Pending</v>
      </c>
      <c r="AC264" t="str">
        <f t="shared" ca="1" si="103"/>
        <v>Bank Transfer</v>
      </c>
      <c r="AD264" t="str">
        <f t="shared" ca="1" si="104"/>
        <v>No</v>
      </c>
      <c r="AE264" t="str">
        <f t="shared" ca="1" si="105"/>
        <v>No</v>
      </c>
      <c r="AF264" t="str">
        <f t="shared" ca="1" si="106"/>
        <v>Transferred</v>
      </c>
      <c r="AG264" t="str">
        <f t="shared" ca="1" si="107"/>
        <v>Southeast</v>
      </c>
      <c r="AH264" t="str">
        <f t="shared" si="90"/>
        <v>July</v>
      </c>
      <c r="AI264">
        <f t="shared" si="91"/>
        <v>2020</v>
      </c>
      <c r="AJ264" t="str">
        <f t="shared" ca="1" si="108"/>
        <v>Occupied</v>
      </c>
      <c r="AK264">
        <f t="shared" ca="1" si="109"/>
        <v>1</v>
      </c>
    </row>
    <row r="265" spans="1:37" x14ac:dyDescent="0.3">
      <c r="A265" t="s">
        <v>4704</v>
      </c>
      <c r="B265">
        <v>44</v>
      </c>
      <c r="C265" t="s">
        <v>32</v>
      </c>
      <c r="D265" t="s">
        <v>44</v>
      </c>
      <c r="E265" t="s">
        <v>25</v>
      </c>
      <c r="F265" s="1">
        <v>45190</v>
      </c>
      <c r="G265" t="s">
        <v>572</v>
      </c>
      <c r="H265" t="s">
        <v>573</v>
      </c>
      <c r="I265" t="s">
        <v>51</v>
      </c>
      <c r="J265">
        <v>6232</v>
      </c>
      <c r="K265">
        <v>186</v>
      </c>
      <c r="L265" t="s">
        <v>29</v>
      </c>
      <c r="M265" s="1">
        <v>45194</v>
      </c>
      <c r="N265" t="s">
        <v>30</v>
      </c>
      <c r="O265" t="s">
        <v>31</v>
      </c>
      <c r="P265" t="str">
        <f t="shared" si="92"/>
        <v>P0264</v>
      </c>
      <c r="Q265" t="str">
        <f t="shared" si="88"/>
        <v>Nutrition</v>
      </c>
      <c r="R265">
        <f t="shared" si="89"/>
        <v>4</v>
      </c>
      <c r="S265" t="str">
        <f t="shared" ca="1" si="93"/>
        <v>No</v>
      </c>
      <c r="T265" t="str">
        <f t="shared" ca="1" si="94"/>
        <v>Mild</v>
      </c>
      <c r="U265" t="str">
        <f t="shared" ca="1" si="95"/>
        <v>Private Ward</v>
      </c>
      <c r="V265" t="str">
        <f t="shared" si="96"/>
        <v>BED0264</v>
      </c>
      <c r="W265" t="str">
        <f t="shared" ca="1" si="97"/>
        <v>Private</v>
      </c>
      <c r="X265" t="str">
        <f t="shared" si="98"/>
        <v>NUR014</v>
      </c>
      <c r="Y265" t="str">
        <f t="shared" ca="1" si="99"/>
        <v>Morning</v>
      </c>
      <c r="Z265" t="str">
        <f t="shared" ca="1" si="100"/>
        <v>CT Scanner</v>
      </c>
      <c r="AA265" t="str">
        <f t="shared" ca="1" si="101"/>
        <v>Available</v>
      </c>
      <c r="AB265" t="str">
        <f t="shared" ca="1" si="102"/>
        <v>Pending</v>
      </c>
      <c r="AC265" t="str">
        <f t="shared" ca="1" si="103"/>
        <v>Bank Transfer</v>
      </c>
      <c r="AD265" t="str">
        <f t="shared" ca="1" si="104"/>
        <v>No</v>
      </c>
      <c r="AE265" t="str">
        <f t="shared" ca="1" si="105"/>
        <v>No</v>
      </c>
      <c r="AF265" t="str">
        <f t="shared" ca="1" si="106"/>
        <v>Recovered</v>
      </c>
      <c r="AG265" t="str">
        <f t="shared" ca="1" si="107"/>
        <v>Northeast</v>
      </c>
      <c r="AH265" t="str">
        <f t="shared" si="90"/>
        <v>September</v>
      </c>
      <c r="AI265">
        <f t="shared" si="91"/>
        <v>2023</v>
      </c>
      <c r="AJ265" t="str">
        <f t="shared" ca="1" si="108"/>
        <v>Occupied</v>
      </c>
      <c r="AK265">
        <f t="shared" ca="1" si="109"/>
        <v>2</v>
      </c>
    </row>
    <row r="266" spans="1:37" x14ac:dyDescent="0.3">
      <c r="A266" t="s">
        <v>4705</v>
      </c>
      <c r="B266">
        <v>84</v>
      </c>
      <c r="C266" t="s">
        <v>15</v>
      </c>
      <c r="D266" t="s">
        <v>83</v>
      </c>
      <c r="E266" t="s">
        <v>39</v>
      </c>
      <c r="F266" s="1">
        <v>44160</v>
      </c>
      <c r="G266" t="s">
        <v>574</v>
      </c>
      <c r="H266" t="s">
        <v>575</v>
      </c>
      <c r="I266" t="s">
        <v>57</v>
      </c>
      <c r="J266">
        <v>22982</v>
      </c>
      <c r="K266">
        <v>320</v>
      </c>
      <c r="L266" t="s">
        <v>21</v>
      </c>
      <c r="M266" s="1">
        <v>44167</v>
      </c>
      <c r="N266" t="s">
        <v>30</v>
      </c>
      <c r="O266" t="s">
        <v>43</v>
      </c>
      <c r="P266" t="str">
        <f t="shared" si="92"/>
        <v>P0265</v>
      </c>
      <c r="Q266" t="str">
        <f t="shared" si="88"/>
        <v>Endocrinology</v>
      </c>
      <c r="R266">
        <f t="shared" si="89"/>
        <v>7</v>
      </c>
      <c r="S266" t="str">
        <f t="shared" ca="1" si="93"/>
        <v>No</v>
      </c>
      <c r="T266" t="str">
        <f t="shared" ca="1" si="94"/>
        <v>Moderate</v>
      </c>
      <c r="U266" t="str">
        <f t="shared" ca="1" si="95"/>
        <v>General Ward</v>
      </c>
      <c r="V266" t="str">
        <f t="shared" si="96"/>
        <v>BED0265</v>
      </c>
      <c r="W266" t="str">
        <f t="shared" ca="1" si="97"/>
        <v>Semi-Private</v>
      </c>
      <c r="X266" t="str">
        <f t="shared" si="98"/>
        <v>NUR015</v>
      </c>
      <c r="Y266" t="str">
        <f t="shared" ca="1" si="99"/>
        <v>Night</v>
      </c>
      <c r="Z266" t="str">
        <f t="shared" ca="1" si="100"/>
        <v>Ultrasound</v>
      </c>
      <c r="AA266" t="str">
        <f t="shared" ca="1" si="101"/>
        <v>Available</v>
      </c>
      <c r="AB266" t="str">
        <f t="shared" ca="1" si="102"/>
        <v>Paid</v>
      </c>
      <c r="AC266" t="str">
        <f t="shared" ca="1" si="103"/>
        <v>Cash</v>
      </c>
      <c r="AD266" t="str">
        <f t="shared" ca="1" si="104"/>
        <v>No</v>
      </c>
      <c r="AE266" t="str">
        <f t="shared" ca="1" si="105"/>
        <v>No</v>
      </c>
      <c r="AF266" t="str">
        <f t="shared" ca="1" si="106"/>
        <v>Recovered</v>
      </c>
      <c r="AG266" t="str">
        <f t="shared" ca="1" si="107"/>
        <v>West Coast</v>
      </c>
      <c r="AH266" t="str">
        <f t="shared" si="90"/>
        <v>November</v>
      </c>
      <c r="AI266">
        <f t="shared" si="91"/>
        <v>2020</v>
      </c>
      <c r="AJ266" t="str">
        <f t="shared" ca="1" si="108"/>
        <v>Occupied</v>
      </c>
      <c r="AK266">
        <f t="shared" ca="1" si="109"/>
        <v>4</v>
      </c>
    </row>
    <row r="267" spans="1:37" x14ac:dyDescent="0.3">
      <c r="A267" t="s">
        <v>4706</v>
      </c>
      <c r="B267">
        <v>25</v>
      </c>
      <c r="C267" t="s">
        <v>32</v>
      </c>
      <c r="D267" t="s">
        <v>24</v>
      </c>
      <c r="E267" t="s">
        <v>17</v>
      </c>
      <c r="F267" s="1">
        <v>44022</v>
      </c>
      <c r="G267" t="s">
        <v>576</v>
      </c>
      <c r="H267" t="s">
        <v>577</v>
      </c>
      <c r="I267" t="s">
        <v>36</v>
      </c>
      <c r="J267">
        <v>28214</v>
      </c>
      <c r="K267">
        <v>296</v>
      </c>
      <c r="L267" t="s">
        <v>21</v>
      </c>
      <c r="M267" s="1">
        <v>44030</v>
      </c>
      <c r="N267" t="s">
        <v>37</v>
      </c>
      <c r="O267" t="s">
        <v>43</v>
      </c>
      <c r="P267" t="str">
        <f t="shared" si="92"/>
        <v>P0266</v>
      </c>
      <c r="Q267" t="str">
        <f t="shared" si="88"/>
        <v>Oncology</v>
      </c>
      <c r="R267">
        <f t="shared" si="89"/>
        <v>8</v>
      </c>
      <c r="S267" t="str">
        <f t="shared" ca="1" si="93"/>
        <v>No</v>
      </c>
      <c r="T267" t="str">
        <f t="shared" ca="1" si="94"/>
        <v>Severe</v>
      </c>
      <c r="U267" t="str">
        <f t="shared" ca="1" si="95"/>
        <v>General Ward</v>
      </c>
      <c r="V267" t="str">
        <f t="shared" si="96"/>
        <v>BED0266</v>
      </c>
      <c r="W267" t="str">
        <f t="shared" ca="1" si="97"/>
        <v>ICU</v>
      </c>
      <c r="X267" t="str">
        <f t="shared" si="98"/>
        <v>NUR016</v>
      </c>
      <c r="Y267" t="str">
        <f t="shared" ca="1" si="99"/>
        <v>Night</v>
      </c>
      <c r="Z267" t="str">
        <f t="shared" ca="1" si="100"/>
        <v>Ultrasound</v>
      </c>
      <c r="AA267" t="str">
        <f t="shared" ca="1" si="101"/>
        <v>Maintenance</v>
      </c>
      <c r="AB267" t="str">
        <f t="shared" ca="1" si="102"/>
        <v>Partially Paid</v>
      </c>
      <c r="AC267" t="str">
        <f t="shared" ca="1" si="103"/>
        <v>Debit Card</v>
      </c>
      <c r="AD267" t="str">
        <f t="shared" ca="1" si="104"/>
        <v>No</v>
      </c>
      <c r="AE267" t="str">
        <f t="shared" ca="1" si="105"/>
        <v>Yes</v>
      </c>
      <c r="AF267" t="str">
        <f t="shared" ca="1" si="106"/>
        <v>Under Observation</v>
      </c>
      <c r="AG267" t="str">
        <f t="shared" ca="1" si="107"/>
        <v>Midwest</v>
      </c>
      <c r="AH267" t="str">
        <f t="shared" si="90"/>
        <v>July</v>
      </c>
      <c r="AI267">
        <f t="shared" si="91"/>
        <v>2020</v>
      </c>
      <c r="AJ267" t="str">
        <f t="shared" ca="1" si="108"/>
        <v>Occupied</v>
      </c>
      <c r="AK267">
        <f t="shared" ca="1" si="109"/>
        <v>1</v>
      </c>
    </row>
    <row r="268" spans="1:37" x14ac:dyDescent="0.3">
      <c r="A268" t="s">
        <v>4707</v>
      </c>
      <c r="B268">
        <v>42</v>
      </c>
      <c r="C268" t="s">
        <v>15</v>
      </c>
      <c r="D268" t="s">
        <v>16</v>
      </c>
      <c r="E268" t="s">
        <v>76</v>
      </c>
      <c r="F268" s="1">
        <v>44919</v>
      </c>
      <c r="G268" t="s">
        <v>578</v>
      </c>
      <c r="H268" t="s">
        <v>579</v>
      </c>
      <c r="I268" t="s">
        <v>57</v>
      </c>
      <c r="J268">
        <v>10646</v>
      </c>
      <c r="K268">
        <v>251</v>
      </c>
      <c r="L268" t="s">
        <v>29</v>
      </c>
      <c r="M268" s="1">
        <v>44932</v>
      </c>
      <c r="N268" t="s">
        <v>30</v>
      </c>
      <c r="O268" t="s">
        <v>23</v>
      </c>
      <c r="P268" t="str">
        <f t="shared" si="92"/>
        <v>P0267</v>
      </c>
      <c r="Q268" t="str">
        <f t="shared" si="88"/>
        <v>Orthopedics</v>
      </c>
      <c r="R268">
        <f t="shared" si="89"/>
        <v>13</v>
      </c>
      <c r="S268" t="str">
        <f t="shared" ca="1" si="93"/>
        <v>No</v>
      </c>
      <c r="T268" t="str">
        <f t="shared" ca="1" si="94"/>
        <v>Moderate</v>
      </c>
      <c r="U268" t="str">
        <f t="shared" ca="1" si="95"/>
        <v>Emergency</v>
      </c>
      <c r="V268" t="str">
        <f t="shared" si="96"/>
        <v>BED0267</v>
      </c>
      <c r="W268" t="str">
        <f t="shared" ca="1" si="97"/>
        <v>Semi-Private</v>
      </c>
      <c r="X268" t="str">
        <f t="shared" si="98"/>
        <v>NUR017</v>
      </c>
      <c r="Y268" t="str">
        <f t="shared" ca="1" si="99"/>
        <v>Night</v>
      </c>
      <c r="Z268" t="str">
        <f t="shared" ca="1" si="100"/>
        <v>ECG Machine</v>
      </c>
      <c r="AA268" t="str">
        <f t="shared" ca="1" si="101"/>
        <v>In Use</v>
      </c>
      <c r="AB268" t="str">
        <f t="shared" ca="1" si="102"/>
        <v>Paid</v>
      </c>
      <c r="AC268" t="str">
        <f t="shared" ca="1" si="103"/>
        <v>Cash</v>
      </c>
      <c r="AD268" t="str">
        <f t="shared" ca="1" si="104"/>
        <v>No</v>
      </c>
      <c r="AE268" t="str">
        <f t="shared" ca="1" si="105"/>
        <v>No</v>
      </c>
      <c r="AF268" t="str">
        <f t="shared" ca="1" si="106"/>
        <v>Under Observation</v>
      </c>
      <c r="AG268" t="str">
        <f t="shared" ca="1" si="107"/>
        <v>Southeast</v>
      </c>
      <c r="AH268" t="str">
        <f t="shared" si="90"/>
        <v>December</v>
      </c>
      <c r="AI268">
        <f t="shared" si="91"/>
        <v>2022</v>
      </c>
      <c r="AJ268" t="str">
        <f t="shared" ca="1" si="108"/>
        <v>Occupied</v>
      </c>
      <c r="AK268">
        <f t="shared" ca="1" si="109"/>
        <v>2</v>
      </c>
    </row>
    <row r="269" spans="1:37" x14ac:dyDescent="0.3">
      <c r="A269" t="s">
        <v>4708</v>
      </c>
      <c r="B269">
        <v>57</v>
      </c>
      <c r="C269" t="s">
        <v>15</v>
      </c>
      <c r="D269" t="s">
        <v>83</v>
      </c>
      <c r="E269" t="s">
        <v>76</v>
      </c>
      <c r="F269" s="1">
        <v>43743</v>
      </c>
      <c r="G269" t="s">
        <v>580</v>
      </c>
      <c r="H269" t="s">
        <v>581</v>
      </c>
      <c r="I269" t="s">
        <v>20</v>
      </c>
      <c r="J269">
        <v>35041</v>
      </c>
      <c r="K269">
        <v>299</v>
      </c>
      <c r="L269" t="s">
        <v>42</v>
      </c>
      <c r="M269" s="1">
        <v>43758</v>
      </c>
      <c r="N269" t="s">
        <v>67</v>
      </c>
      <c r="O269" t="s">
        <v>23</v>
      </c>
      <c r="P269" t="str">
        <f t="shared" si="92"/>
        <v>P0268</v>
      </c>
      <c r="Q269" t="str">
        <f t="shared" si="88"/>
        <v>Orthopedics</v>
      </c>
      <c r="R269">
        <f t="shared" si="89"/>
        <v>15</v>
      </c>
      <c r="S269" t="str">
        <f t="shared" ca="1" si="93"/>
        <v>No</v>
      </c>
      <c r="T269" t="str">
        <f t="shared" ca="1" si="94"/>
        <v>Moderate</v>
      </c>
      <c r="U269" t="str">
        <f t="shared" ca="1" si="95"/>
        <v>Private Ward</v>
      </c>
      <c r="V269" t="str">
        <f t="shared" si="96"/>
        <v>BED0268</v>
      </c>
      <c r="W269" t="str">
        <f t="shared" ca="1" si="97"/>
        <v>ICU</v>
      </c>
      <c r="X269" t="str">
        <f t="shared" si="98"/>
        <v>NUR018</v>
      </c>
      <c r="Y269" t="str">
        <f t="shared" ca="1" si="99"/>
        <v>Evening</v>
      </c>
      <c r="Z269" t="str">
        <f t="shared" ca="1" si="100"/>
        <v>Ventilator</v>
      </c>
      <c r="AA269" t="str">
        <f t="shared" ca="1" si="101"/>
        <v>Available</v>
      </c>
      <c r="AB269" t="str">
        <f t="shared" ca="1" si="102"/>
        <v>Partially Paid</v>
      </c>
      <c r="AC269" t="str">
        <f t="shared" ca="1" si="103"/>
        <v>Cash</v>
      </c>
      <c r="AD269" t="str">
        <f t="shared" ca="1" si="104"/>
        <v>Yes</v>
      </c>
      <c r="AE269" t="str">
        <f t="shared" ca="1" si="105"/>
        <v>No</v>
      </c>
      <c r="AF269" t="str">
        <f t="shared" ca="1" si="106"/>
        <v>Transferred</v>
      </c>
      <c r="AG269" t="str">
        <f t="shared" ca="1" si="107"/>
        <v>West Coast</v>
      </c>
      <c r="AH269" t="str">
        <f t="shared" si="90"/>
        <v>October</v>
      </c>
      <c r="AI269">
        <f t="shared" si="91"/>
        <v>2019</v>
      </c>
      <c r="AJ269" t="str">
        <f t="shared" ca="1" si="108"/>
        <v>Vacant</v>
      </c>
      <c r="AK269">
        <f t="shared" ca="1" si="109"/>
        <v>1</v>
      </c>
    </row>
    <row r="270" spans="1:37" x14ac:dyDescent="0.3">
      <c r="A270" t="s">
        <v>4709</v>
      </c>
      <c r="B270">
        <v>75</v>
      </c>
      <c r="C270" t="s">
        <v>32</v>
      </c>
      <c r="D270" t="s">
        <v>98</v>
      </c>
      <c r="E270" t="s">
        <v>76</v>
      </c>
      <c r="F270" s="1">
        <v>44633</v>
      </c>
      <c r="G270" t="s">
        <v>582</v>
      </c>
      <c r="H270" t="s">
        <v>583</v>
      </c>
      <c r="I270" t="s">
        <v>57</v>
      </c>
      <c r="J270">
        <v>45980</v>
      </c>
      <c r="K270">
        <v>101</v>
      </c>
      <c r="L270" t="s">
        <v>29</v>
      </c>
      <c r="M270" s="1">
        <v>44646</v>
      </c>
      <c r="N270" t="s">
        <v>37</v>
      </c>
      <c r="O270" t="s">
        <v>31</v>
      </c>
      <c r="P270" t="str">
        <f t="shared" si="92"/>
        <v>P0269</v>
      </c>
      <c r="Q270" t="str">
        <f t="shared" si="88"/>
        <v>Orthopedics</v>
      </c>
      <c r="R270">
        <f t="shared" si="89"/>
        <v>13</v>
      </c>
      <c r="S270" t="str">
        <f t="shared" ca="1" si="93"/>
        <v>No</v>
      </c>
      <c r="T270" t="str">
        <f t="shared" ca="1" si="94"/>
        <v>Moderate</v>
      </c>
      <c r="U270" t="str">
        <f t="shared" ca="1" si="95"/>
        <v>Emergency</v>
      </c>
      <c r="V270" t="str">
        <f t="shared" si="96"/>
        <v>BED0269</v>
      </c>
      <c r="W270" t="str">
        <f t="shared" ca="1" si="97"/>
        <v>General</v>
      </c>
      <c r="X270" t="str">
        <f t="shared" si="98"/>
        <v>NUR019</v>
      </c>
      <c r="Y270" t="str">
        <f t="shared" ca="1" si="99"/>
        <v>Evening</v>
      </c>
      <c r="Z270" t="str">
        <f t="shared" ca="1" si="100"/>
        <v>X-Ray</v>
      </c>
      <c r="AA270" t="str">
        <f t="shared" ca="1" si="101"/>
        <v>In Use</v>
      </c>
      <c r="AB270" t="str">
        <f t="shared" ca="1" si="102"/>
        <v>Paid</v>
      </c>
      <c r="AC270" t="str">
        <f t="shared" ca="1" si="103"/>
        <v>Credit Card</v>
      </c>
      <c r="AD270" t="str">
        <f t="shared" ca="1" si="104"/>
        <v>No</v>
      </c>
      <c r="AE270" t="str">
        <f t="shared" ca="1" si="105"/>
        <v>No</v>
      </c>
      <c r="AF270" t="str">
        <f t="shared" ca="1" si="106"/>
        <v>Recovered</v>
      </c>
      <c r="AG270" t="str">
        <f t="shared" ca="1" si="107"/>
        <v>Midwest</v>
      </c>
      <c r="AH270" t="str">
        <f t="shared" si="90"/>
        <v>March</v>
      </c>
      <c r="AI270">
        <f t="shared" si="91"/>
        <v>2022</v>
      </c>
      <c r="AJ270" t="str">
        <f t="shared" ca="1" si="108"/>
        <v>Occupied</v>
      </c>
      <c r="AK270">
        <f t="shared" ca="1" si="109"/>
        <v>2</v>
      </c>
    </row>
    <row r="271" spans="1:37" x14ac:dyDescent="0.3">
      <c r="A271" t="s">
        <v>4710</v>
      </c>
      <c r="B271">
        <v>24</v>
      </c>
      <c r="C271" t="s">
        <v>32</v>
      </c>
      <c r="D271" t="s">
        <v>44</v>
      </c>
      <c r="E271" t="s">
        <v>25</v>
      </c>
      <c r="F271" s="1">
        <v>43966</v>
      </c>
      <c r="G271" t="s">
        <v>584</v>
      </c>
      <c r="H271" t="s">
        <v>585</v>
      </c>
      <c r="I271" t="s">
        <v>51</v>
      </c>
      <c r="J271">
        <v>25164</v>
      </c>
      <c r="K271">
        <v>142</v>
      </c>
      <c r="L271" t="s">
        <v>42</v>
      </c>
      <c r="M271" s="1">
        <v>43992</v>
      </c>
      <c r="N271" t="s">
        <v>30</v>
      </c>
      <c r="O271" t="s">
        <v>23</v>
      </c>
      <c r="P271" t="str">
        <f t="shared" si="92"/>
        <v>P0270</v>
      </c>
      <c r="Q271" t="str">
        <f t="shared" si="88"/>
        <v>Nutrition</v>
      </c>
      <c r="R271">
        <f t="shared" si="89"/>
        <v>26</v>
      </c>
      <c r="S271" t="str">
        <f t="shared" ca="1" si="93"/>
        <v>No</v>
      </c>
      <c r="T271" t="str">
        <f t="shared" ca="1" si="94"/>
        <v>Mild</v>
      </c>
      <c r="U271" t="str">
        <f t="shared" ca="1" si="95"/>
        <v>Private Ward</v>
      </c>
      <c r="V271" t="str">
        <f t="shared" si="96"/>
        <v>BED0270</v>
      </c>
      <c r="W271" t="str">
        <f t="shared" ca="1" si="97"/>
        <v>Semi-Private</v>
      </c>
      <c r="X271" t="str">
        <f t="shared" si="98"/>
        <v>NUR020</v>
      </c>
      <c r="Y271" t="str">
        <f t="shared" ca="1" si="99"/>
        <v>Night</v>
      </c>
      <c r="Z271" t="str">
        <f t="shared" ca="1" si="100"/>
        <v>CT Scanner</v>
      </c>
      <c r="AA271" t="str">
        <f t="shared" ca="1" si="101"/>
        <v>Maintenance</v>
      </c>
      <c r="AB271" t="str">
        <f t="shared" ca="1" si="102"/>
        <v>Partially Paid</v>
      </c>
      <c r="AC271" t="str">
        <f t="shared" ca="1" si="103"/>
        <v>Credit Card</v>
      </c>
      <c r="AD271" t="str">
        <f t="shared" ca="1" si="104"/>
        <v>No</v>
      </c>
      <c r="AE271" t="str">
        <f t="shared" ca="1" si="105"/>
        <v>Yes</v>
      </c>
      <c r="AF271" t="str">
        <f t="shared" ca="1" si="106"/>
        <v>Recovered</v>
      </c>
      <c r="AG271" t="str">
        <f t="shared" ca="1" si="107"/>
        <v>Midwest</v>
      </c>
      <c r="AH271" t="str">
        <f t="shared" si="90"/>
        <v>May</v>
      </c>
      <c r="AI271">
        <f t="shared" si="91"/>
        <v>2020</v>
      </c>
      <c r="AJ271" t="str">
        <f t="shared" ca="1" si="108"/>
        <v>Occupied</v>
      </c>
      <c r="AK271">
        <f t="shared" ca="1" si="109"/>
        <v>2</v>
      </c>
    </row>
    <row r="272" spans="1:37" x14ac:dyDescent="0.3">
      <c r="A272" t="s">
        <v>4711</v>
      </c>
      <c r="B272">
        <v>43</v>
      </c>
      <c r="C272" t="s">
        <v>32</v>
      </c>
      <c r="D272" t="s">
        <v>52</v>
      </c>
      <c r="E272" t="s">
        <v>48</v>
      </c>
      <c r="F272" s="1">
        <v>44167</v>
      </c>
      <c r="G272" t="s">
        <v>586</v>
      </c>
      <c r="H272" t="s">
        <v>587</v>
      </c>
      <c r="I272" t="s">
        <v>51</v>
      </c>
      <c r="J272">
        <v>43670</v>
      </c>
      <c r="K272">
        <v>181</v>
      </c>
      <c r="L272" t="s">
        <v>42</v>
      </c>
      <c r="M272" s="1">
        <v>44188</v>
      </c>
      <c r="N272" t="s">
        <v>37</v>
      </c>
      <c r="O272" t="s">
        <v>23</v>
      </c>
      <c r="P272" t="str">
        <f t="shared" si="92"/>
        <v>P0271</v>
      </c>
      <c r="Q272" t="str">
        <f t="shared" si="88"/>
        <v>Pulmonology</v>
      </c>
      <c r="R272">
        <f t="shared" si="89"/>
        <v>21</v>
      </c>
      <c r="S272" t="str">
        <f t="shared" ca="1" si="93"/>
        <v>Yes</v>
      </c>
      <c r="T272" t="str">
        <f t="shared" ca="1" si="94"/>
        <v>Severe</v>
      </c>
      <c r="U272" t="str">
        <f t="shared" ca="1" si="95"/>
        <v>Private Ward</v>
      </c>
      <c r="V272" t="str">
        <f t="shared" si="96"/>
        <v>BED0271</v>
      </c>
      <c r="W272" t="str">
        <f t="shared" ca="1" si="97"/>
        <v>Semi-Private</v>
      </c>
      <c r="X272" t="str">
        <f t="shared" si="98"/>
        <v>NUR021</v>
      </c>
      <c r="Y272" t="str">
        <f t="shared" ca="1" si="99"/>
        <v>Morning</v>
      </c>
      <c r="Z272" t="str">
        <f t="shared" ca="1" si="100"/>
        <v>X-Ray</v>
      </c>
      <c r="AA272" t="str">
        <f t="shared" ca="1" si="101"/>
        <v>In Use</v>
      </c>
      <c r="AB272" t="str">
        <f t="shared" ca="1" si="102"/>
        <v>Partially Paid</v>
      </c>
      <c r="AC272" t="str">
        <f t="shared" ca="1" si="103"/>
        <v>Insurance</v>
      </c>
      <c r="AD272" t="str">
        <f t="shared" ca="1" si="104"/>
        <v>No</v>
      </c>
      <c r="AE272" t="str">
        <f t="shared" ca="1" si="105"/>
        <v>No</v>
      </c>
      <c r="AF272" t="str">
        <f t="shared" ca="1" si="106"/>
        <v>Under Observation</v>
      </c>
      <c r="AG272" t="str">
        <f t="shared" ca="1" si="107"/>
        <v>Southwest</v>
      </c>
      <c r="AH272" t="str">
        <f t="shared" si="90"/>
        <v>December</v>
      </c>
      <c r="AI272">
        <f t="shared" si="91"/>
        <v>2020</v>
      </c>
      <c r="AJ272" t="str">
        <f t="shared" ca="1" si="108"/>
        <v>Occupied</v>
      </c>
      <c r="AK272">
        <f t="shared" ca="1" si="109"/>
        <v>1</v>
      </c>
    </row>
    <row r="273" spans="1:37" x14ac:dyDescent="0.3">
      <c r="A273" t="s">
        <v>4712</v>
      </c>
      <c r="B273">
        <v>22</v>
      </c>
      <c r="C273" t="s">
        <v>15</v>
      </c>
      <c r="D273" t="s">
        <v>44</v>
      </c>
      <c r="E273" t="s">
        <v>48</v>
      </c>
      <c r="F273" s="1">
        <v>45299</v>
      </c>
      <c r="G273" t="s">
        <v>588</v>
      </c>
      <c r="H273" t="s">
        <v>589</v>
      </c>
      <c r="I273" t="s">
        <v>51</v>
      </c>
      <c r="J273">
        <v>33707</v>
      </c>
      <c r="K273">
        <v>282</v>
      </c>
      <c r="L273" t="s">
        <v>29</v>
      </c>
      <c r="M273" s="1">
        <v>45306</v>
      </c>
      <c r="N273" t="s">
        <v>37</v>
      </c>
      <c r="O273" t="s">
        <v>31</v>
      </c>
      <c r="P273" t="str">
        <f t="shared" si="92"/>
        <v>P0272</v>
      </c>
      <c r="Q273" t="str">
        <f t="shared" si="88"/>
        <v>Pulmonology</v>
      </c>
      <c r="R273">
        <f t="shared" si="89"/>
        <v>7</v>
      </c>
      <c r="S273" t="str">
        <f t="shared" ca="1" si="93"/>
        <v>No</v>
      </c>
      <c r="T273" t="str">
        <f t="shared" ca="1" si="94"/>
        <v>Critical</v>
      </c>
      <c r="U273" t="str">
        <f t="shared" ca="1" si="95"/>
        <v>Private Ward</v>
      </c>
      <c r="V273" t="str">
        <f t="shared" si="96"/>
        <v>BED0272</v>
      </c>
      <c r="W273" t="str">
        <f t="shared" ca="1" si="97"/>
        <v>Private</v>
      </c>
      <c r="X273" t="str">
        <f t="shared" si="98"/>
        <v>NUR022</v>
      </c>
      <c r="Y273" t="str">
        <f t="shared" ca="1" si="99"/>
        <v>Night</v>
      </c>
      <c r="Z273" t="str">
        <f t="shared" ca="1" si="100"/>
        <v>ECG Machine</v>
      </c>
      <c r="AA273" t="str">
        <f t="shared" ca="1" si="101"/>
        <v>In Use</v>
      </c>
      <c r="AB273" t="str">
        <f t="shared" ca="1" si="102"/>
        <v>Partially Paid</v>
      </c>
      <c r="AC273" t="str">
        <f t="shared" ca="1" si="103"/>
        <v>Bank Transfer</v>
      </c>
      <c r="AD273" t="str">
        <f t="shared" ca="1" si="104"/>
        <v>No</v>
      </c>
      <c r="AE273" t="str">
        <f t="shared" ca="1" si="105"/>
        <v>No</v>
      </c>
      <c r="AF273" t="str">
        <f t="shared" ca="1" si="106"/>
        <v>Transferred</v>
      </c>
      <c r="AG273" t="str">
        <f t="shared" ca="1" si="107"/>
        <v>West Coast</v>
      </c>
      <c r="AH273" t="str">
        <f t="shared" si="90"/>
        <v>January</v>
      </c>
      <c r="AI273">
        <f t="shared" si="91"/>
        <v>2024</v>
      </c>
      <c r="AJ273" t="str">
        <f t="shared" ca="1" si="108"/>
        <v>Occupied</v>
      </c>
      <c r="AK273">
        <f t="shared" ca="1" si="109"/>
        <v>2</v>
      </c>
    </row>
    <row r="274" spans="1:37" x14ac:dyDescent="0.3">
      <c r="A274" t="s">
        <v>401</v>
      </c>
      <c r="B274">
        <v>64</v>
      </c>
      <c r="C274" t="s">
        <v>32</v>
      </c>
      <c r="D274" t="s">
        <v>52</v>
      </c>
      <c r="E274" t="s">
        <v>76</v>
      </c>
      <c r="F274" s="1">
        <v>43693</v>
      </c>
      <c r="G274" t="s">
        <v>590</v>
      </c>
      <c r="H274" t="s">
        <v>591</v>
      </c>
      <c r="I274" t="s">
        <v>28</v>
      </c>
      <c r="J274">
        <v>5550</v>
      </c>
      <c r="K274">
        <v>302</v>
      </c>
      <c r="L274" t="s">
        <v>29</v>
      </c>
      <c r="M274" s="1">
        <v>43714</v>
      </c>
      <c r="N274" t="s">
        <v>30</v>
      </c>
      <c r="O274" t="s">
        <v>31</v>
      </c>
      <c r="P274" t="str">
        <f t="shared" si="92"/>
        <v>P0273</v>
      </c>
      <c r="Q274" t="str">
        <f t="shared" si="88"/>
        <v>Orthopedics</v>
      </c>
      <c r="R274">
        <f t="shared" si="89"/>
        <v>21</v>
      </c>
      <c r="S274" t="str">
        <f t="shared" ca="1" si="93"/>
        <v>No</v>
      </c>
      <c r="T274" t="str">
        <f t="shared" ca="1" si="94"/>
        <v>Critical</v>
      </c>
      <c r="U274" t="str">
        <f t="shared" ca="1" si="95"/>
        <v>Semi-Private</v>
      </c>
      <c r="V274" t="str">
        <f t="shared" si="96"/>
        <v>BED0273</v>
      </c>
      <c r="W274" t="str">
        <f t="shared" ca="1" si="97"/>
        <v>Semi-Private</v>
      </c>
      <c r="X274" t="str">
        <f t="shared" si="98"/>
        <v>NUR023</v>
      </c>
      <c r="Y274" t="str">
        <f t="shared" ca="1" si="99"/>
        <v>Morning</v>
      </c>
      <c r="Z274" t="str">
        <f t="shared" ca="1" si="100"/>
        <v>X-Ray</v>
      </c>
      <c r="AA274" t="str">
        <f t="shared" ca="1" si="101"/>
        <v>In Use</v>
      </c>
      <c r="AB274" t="str">
        <f t="shared" ca="1" si="102"/>
        <v>Pending</v>
      </c>
      <c r="AC274" t="str">
        <f t="shared" ca="1" si="103"/>
        <v>Credit Card</v>
      </c>
      <c r="AD274" t="str">
        <f t="shared" ca="1" si="104"/>
        <v>No</v>
      </c>
      <c r="AE274" t="str">
        <f t="shared" ca="1" si="105"/>
        <v>No</v>
      </c>
      <c r="AF274" t="str">
        <f t="shared" ca="1" si="106"/>
        <v>Transferred</v>
      </c>
      <c r="AG274" t="str">
        <f t="shared" ca="1" si="107"/>
        <v>Northeast</v>
      </c>
      <c r="AH274" t="str">
        <f t="shared" si="90"/>
        <v>August</v>
      </c>
      <c r="AI274">
        <f t="shared" si="91"/>
        <v>2019</v>
      </c>
      <c r="AJ274" t="str">
        <f t="shared" ca="1" si="108"/>
        <v>Occupied</v>
      </c>
      <c r="AK274">
        <f t="shared" ca="1" si="109"/>
        <v>4</v>
      </c>
    </row>
    <row r="275" spans="1:37" x14ac:dyDescent="0.3">
      <c r="A275" t="s">
        <v>4713</v>
      </c>
      <c r="B275">
        <v>66</v>
      </c>
      <c r="C275" t="s">
        <v>32</v>
      </c>
      <c r="D275" t="s">
        <v>44</v>
      </c>
      <c r="E275" t="s">
        <v>76</v>
      </c>
      <c r="F275" s="1">
        <v>45008</v>
      </c>
      <c r="G275" t="s">
        <v>592</v>
      </c>
      <c r="H275" t="s">
        <v>593</v>
      </c>
      <c r="I275" t="s">
        <v>20</v>
      </c>
      <c r="J275">
        <v>49078</v>
      </c>
      <c r="K275">
        <v>389</v>
      </c>
      <c r="L275" t="s">
        <v>42</v>
      </c>
      <c r="M275" s="1">
        <v>45035</v>
      </c>
      <c r="N275" t="s">
        <v>47</v>
      </c>
      <c r="O275" t="s">
        <v>43</v>
      </c>
      <c r="P275" t="str">
        <f t="shared" si="92"/>
        <v>P0274</v>
      </c>
      <c r="Q275" t="str">
        <f t="shared" si="88"/>
        <v>Orthopedics</v>
      </c>
      <c r="R275">
        <f t="shared" si="89"/>
        <v>27</v>
      </c>
      <c r="S275" t="str">
        <f t="shared" ca="1" si="93"/>
        <v>No</v>
      </c>
      <c r="T275" t="str">
        <f t="shared" ca="1" si="94"/>
        <v>Severe</v>
      </c>
      <c r="U275" t="str">
        <f t="shared" ca="1" si="95"/>
        <v>General Ward</v>
      </c>
      <c r="V275" t="str">
        <f t="shared" si="96"/>
        <v>BED0274</v>
      </c>
      <c r="W275" t="str">
        <f t="shared" ca="1" si="97"/>
        <v>Semi-Private</v>
      </c>
      <c r="X275" t="str">
        <f t="shared" si="98"/>
        <v>NUR024</v>
      </c>
      <c r="Y275" t="str">
        <f t="shared" ca="1" si="99"/>
        <v>Night</v>
      </c>
      <c r="Z275" t="str">
        <f t="shared" ca="1" si="100"/>
        <v>ECG Machine</v>
      </c>
      <c r="AA275" t="str">
        <f t="shared" ca="1" si="101"/>
        <v>In Use</v>
      </c>
      <c r="AB275" t="str">
        <f t="shared" ca="1" si="102"/>
        <v>Paid</v>
      </c>
      <c r="AC275" t="str">
        <f t="shared" ca="1" si="103"/>
        <v>Cash</v>
      </c>
      <c r="AD275" t="str">
        <f t="shared" ca="1" si="104"/>
        <v>No</v>
      </c>
      <c r="AE275" t="str">
        <f t="shared" ca="1" si="105"/>
        <v>Yes</v>
      </c>
      <c r="AF275" t="str">
        <f t="shared" ca="1" si="106"/>
        <v>Transferred</v>
      </c>
      <c r="AG275" t="str">
        <f t="shared" ca="1" si="107"/>
        <v>West Coast</v>
      </c>
      <c r="AH275" t="str">
        <f t="shared" si="90"/>
        <v>March</v>
      </c>
      <c r="AI275">
        <f t="shared" si="91"/>
        <v>2023</v>
      </c>
      <c r="AJ275" t="str">
        <f t="shared" ca="1" si="108"/>
        <v>Occupied</v>
      </c>
      <c r="AK275">
        <f t="shared" ca="1" si="109"/>
        <v>2</v>
      </c>
    </row>
    <row r="276" spans="1:37" x14ac:dyDescent="0.3">
      <c r="A276" t="s">
        <v>4714</v>
      </c>
      <c r="B276">
        <v>19</v>
      </c>
      <c r="C276" t="s">
        <v>15</v>
      </c>
      <c r="D276" t="s">
        <v>38</v>
      </c>
      <c r="E276" t="s">
        <v>25</v>
      </c>
      <c r="F276" s="1">
        <v>43850</v>
      </c>
      <c r="G276" t="s">
        <v>594</v>
      </c>
      <c r="H276" t="s">
        <v>595</v>
      </c>
      <c r="I276" t="s">
        <v>51</v>
      </c>
      <c r="J276">
        <v>23688</v>
      </c>
      <c r="K276">
        <v>481</v>
      </c>
      <c r="L276" t="s">
        <v>29</v>
      </c>
      <c r="M276" s="1">
        <v>43872</v>
      </c>
      <c r="N276" t="s">
        <v>30</v>
      </c>
      <c r="O276" t="s">
        <v>23</v>
      </c>
      <c r="P276" t="str">
        <f t="shared" si="92"/>
        <v>P0275</v>
      </c>
      <c r="Q276" t="str">
        <f t="shared" si="88"/>
        <v>Nutrition</v>
      </c>
      <c r="R276">
        <f t="shared" si="89"/>
        <v>22</v>
      </c>
      <c r="S276" t="str">
        <f t="shared" ca="1" si="93"/>
        <v>No</v>
      </c>
      <c r="T276" t="str">
        <f t="shared" ca="1" si="94"/>
        <v>Severe</v>
      </c>
      <c r="U276" t="str">
        <f t="shared" ca="1" si="95"/>
        <v>ICU</v>
      </c>
      <c r="V276" t="str">
        <f t="shared" si="96"/>
        <v>BED0275</v>
      </c>
      <c r="W276" t="str">
        <f t="shared" ca="1" si="97"/>
        <v>General</v>
      </c>
      <c r="X276" t="str">
        <f t="shared" si="98"/>
        <v>NUR025</v>
      </c>
      <c r="Y276" t="str">
        <f t="shared" ca="1" si="99"/>
        <v>Evening</v>
      </c>
      <c r="Z276" t="str">
        <f t="shared" ca="1" si="100"/>
        <v>Ultrasound</v>
      </c>
      <c r="AA276" t="str">
        <f t="shared" ca="1" si="101"/>
        <v>In Use</v>
      </c>
      <c r="AB276" t="str">
        <f t="shared" ca="1" si="102"/>
        <v>Partially Paid</v>
      </c>
      <c r="AC276" t="str">
        <f t="shared" ca="1" si="103"/>
        <v>Cash</v>
      </c>
      <c r="AD276" t="str">
        <f t="shared" ca="1" si="104"/>
        <v>No</v>
      </c>
      <c r="AE276" t="str">
        <f t="shared" ca="1" si="105"/>
        <v>No</v>
      </c>
      <c r="AF276" t="str">
        <f t="shared" ca="1" si="106"/>
        <v>Transferred</v>
      </c>
      <c r="AG276" t="str">
        <f t="shared" ca="1" si="107"/>
        <v>Midwest</v>
      </c>
      <c r="AH276" t="str">
        <f t="shared" si="90"/>
        <v>January</v>
      </c>
      <c r="AI276">
        <f t="shared" si="91"/>
        <v>2020</v>
      </c>
      <c r="AJ276" t="str">
        <f t="shared" ca="1" si="108"/>
        <v>Occupied</v>
      </c>
      <c r="AK276">
        <f t="shared" ca="1" si="109"/>
        <v>2</v>
      </c>
    </row>
    <row r="277" spans="1:37" x14ac:dyDescent="0.3">
      <c r="A277" t="s">
        <v>4715</v>
      </c>
      <c r="B277">
        <v>79</v>
      </c>
      <c r="C277" t="s">
        <v>32</v>
      </c>
      <c r="D277" t="s">
        <v>16</v>
      </c>
      <c r="E277" t="s">
        <v>39</v>
      </c>
      <c r="F277" s="1">
        <v>45314</v>
      </c>
      <c r="G277" t="s">
        <v>596</v>
      </c>
      <c r="H277" t="s">
        <v>597</v>
      </c>
      <c r="I277" t="s">
        <v>51</v>
      </c>
      <c r="J277">
        <v>17720</v>
      </c>
      <c r="K277">
        <v>275</v>
      </c>
      <c r="L277" t="s">
        <v>42</v>
      </c>
      <c r="M277" s="1">
        <v>45344</v>
      </c>
      <c r="N277" t="s">
        <v>22</v>
      </c>
      <c r="O277" t="s">
        <v>43</v>
      </c>
      <c r="P277" t="str">
        <f t="shared" si="92"/>
        <v>P0276</v>
      </c>
      <c r="Q277" t="str">
        <f t="shared" si="88"/>
        <v>Endocrinology</v>
      </c>
      <c r="R277">
        <f t="shared" si="89"/>
        <v>30</v>
      </c>
      <c r="S277" t="str">
        <f t="shared" ca="1" si="93"/>
        <v>No</v>
      </c>
      <c r="T277" t="str">
        <f t="shared" ca="1" si="94"/>
        <v>Moderate</v>
      </c>
      <c r="U277" t="str">
        <f t="shared" ca="1" si="95"/>
        <v>General Ward</v>
      </c>
      <c r="V277" t="str">
        <f t="shared" si="96"/>
        <v>BED0276</v>
      </c>
      <c r="W277" t="str">
        <f t="shared" ca="1" si="97"/>
        <v>General</v>
      </c>
      <c r="X277" t="str">
        <f t="shared" si="98"/>
        <v>NUR026</v>
      </c>
      <c r="Y277" t="str">
        <f t="shared" ca="1" si="99"/>
        <v>Evening</v>
      </c>
      <c r="Z277" t="str">
        <f t="shared" ca="1" si="100"/>
        <v>Ventilator</v>
      </c>
      <c r="AA277" t="str">
        <f t="shared" ca="1" si="101"/>
        <v>In Use</v>
      </c>
      <c r="AB277" t="str">
        <f t="shared" ca="1" si="102"/>
        <v>Partially Paid</v>
      </c>
      <c r="AC277" t="str">
        <f t="shared" ca="1" si="103"/>
        <v>Cash</v>
      </c>
      <c r="AD277" t="str">
        <f t="shared" ca="1" si="104"/>
        <v>No</v>
      </c>
      <c r="AE277" t="str">
        <f t="shared" ca="1" si="105"/>
        <v>Yes</v>
      </c>
      <c r="AF277" t="str">
        <f t="shared" ca="1" si="106"/>
        <v>Recovered</v>
      </c>
      <c r="AG277" t="str">
        <f t="shared" ca="1" si="107"/>
        <v>Southwest</v>
      </c>
      <c r="AH277" t="str">
        <f t="shared" si="90"/>
        <v>January</v>
      </c>
      <c r="AI277">
        <f t="shared" si="91"/>
        <v>2024</v>
      </c>
      <c r="AJ277" t="str">
        <f t="shared" ca="1" si="108"/>
        <v>Occupied</v>
      </c>
      <c r="AK277">
        <f t="shared" ca="1" si="109"/>
        <v>1</v>
      </c>
    </row>
    <row r="278" spans="1:37" x14ac:dyDescent="0.3">
      <c r="A278" t="s">
        <v>4716</v>
      </c>
      <c r="B278">
        <v>76</v>
      </c>
      <c r="C278" t="s">
        <v>15</v>
      </c>
      <c r="D278" t="s">
        <v>16</v>
      </c>
      <c r="E278" t="s">
        <v>48</v>
      </c>
      <c r="F278" s="1">
        <v>44915</v>
      </c>
      <c r="G278" t="s">
        <v>598</v>
      </c>
      <c r="H278" t="s">
        <v>599</v>
      </c>
      <c r="I278" t="s">
        <v>51</v>
      </c>
      <c r="J278">
        <v>27361</v>
      </c>
      <c r="K278">
        <v>231</v>
      </c>
      <c r="L278" t="s">
        <v>29</v>
      </c>
      <c r="M278" s="1">
        <v>44928</v>
      </c>
      <c r="N278" t="s">
        <v>22</v>
      </c>
      <c r="O278" t="s">
        <v>23</v>
      </c>
      <c r="P278" t="str">
        <f t="shared" si="92"/>
        <v>P0277</v>
      </c>
      <c r="Q278" t="str">
        <f t="shared" si="88"/>
        <v>Pulmonology</v>
      </c>
      <c r="R278">
        <f t="shared" si="89"/>
        <v>13</v>
      </c>
      <c r="S278" t="str">
        <f t="shared" ca="1" si="93"/>
        <v>No</v>
      </c>
      <c r="T278" t="str">
        <f t="shared" ca="1" si="94"/>
        <v>Mild</v>
      </c>
      <c r="U278" t="str">
        <f t="shared" ca="1" si="95"/>
        <v>Semi-Private</v>
      </c>
      <c r="V278" t="str">
        <f t="shared" si="96"/>
        <v>BED0277</v>
      </c>
      <c r="W278" t="str">
        <f t="shared" ca="1" si="97"/>
        <v>Semi-Private</v>
      </c>
      <c r="X278" t="str">
        <f t="shared" si="98"/>
        <v>NUR027</v>
      </c>
      <c r="Y278" t="str">
        <f t="shared" ca="1" si="99"/>
        <v>Morning</v>
      </c>
      <c r="Z278" t="str">
        <f t="shared" ca="1" si="100"/>
        <v>Ultrasound</v>
      </c>
      <c r="AA278" t="str">
        <f t="shared" ca="1" si="101"/>
        <v>Maintenance</v>
      </c>
      <c r="AB278" t="str">
        <f t="shared" ca="1" si="102"/>
        <v>Partially Paid</v>
      </c>
      <c r="AC278" t="str">
        <f t="shared" ca="1" si="103"/>
        <v>Cash</v>
      </c>
      <c r="AD278" t="str">
        <f t="shared" ca="1" si="104"/>
        <v>Yes</v>
      </c>
      <c r="AE278" t="str">
        <f t="shared" ca="1" si="105"/>
        <v>Yes</v>
      </c>
      <c r="AF278" t="str">
        <f t="shared" ca="1" si="106"/>
        <v>Transferred</v>
      </c>
      <c r="AG278" t="str">
        <f t="shared" ca="1" si="107"/>
        <v>Midwest</v>
      </c>
      <c r="AH278" t="str">
        <f t="shared" si="90"/>
        <v>December</v>
      </c>
      <c r="AI278">
        <f t="shared" si="91"/>
        <v>2022</v>
      </c>
      <c r="AJ278" t="str">
        <f t="shared" ca="1" si="108"/>
        <v>Occupied</v>
      </c>
      <c r="AK278">
        <f t="shared" ca="1" si="109"/>
        <v>1</v>
      </c>
    </row>
    <row r="279" spans="1:37" x14ac:dyDescent="0.3">
      <c r="A279" t="s">
        <v>4717</v>
      </c>
      <c r="B279">
        <v>37</v>
      </c>
      <c r="C279" t="s">
        <v>32</v>
      </c>
      <c r="D279" t="s">
        <v>24</v>
      </c>
      <c r="E279" t="s">
        <v>25</v>
      </c>
      <c r="F279" s="1">
        <v>44418</v>
      </c>
      <c r="G279" t="s">
        <v>600</v>
      </c>
      <c r="H279" t="s">
        <v>601</v>
      </c>
      <c r="I279" t="s">
        <v>51</v>
      </c>
      <c r="J279">
        <v>39266</v>
      </c>
      <c r="K279">
        <v>350</v>
      </c>
      <c r="L279" t="s">
        <v>42</v>
      </c>
      <c r="M279" s="1">
        <v>44442</v>
      </c>
      <c r="N279" t="s">
        <v>30</v>
      </c>
      <c r="O279" t="s">
        <v>23</v>
      </c>
      <c r="P279" t="str">
        <f t="shared" si="92"/>
        <v>P0278</v>
      </c>
      <c r="Q279" t="str">
        <f t="shared" si="88"/>
        <v>Nutrition</v>
      </c>
      <c r="R279">
        <f t="shared" si="89"/>
        <v>24</v>
      </c>
      <c r="S279" t="str">
        <f t="shared" ca="1" si="93"/>
        <v>No</v>
      </c>
      <c r="T279" t="str">
        <f t="shared" ca="1" si="94"/>
        <v>Moderate</v>
      </c>
      <c r="U279" t="str">
        <f t="shared" ca="1" si="95"/>
        <v>Private Ward</v>
      </c>
      <c r="V279" t="str">
        <f t="shared" si="96"/>
        <v>BED0278</v>
      </c>
      <c r="W279" t="str">
        <f t="shared" ca="1" si="97"/>
        <v>Semi-Private</v>
      </c>
      <c r="X279" t="str">
        <f t="shared" si="98"/>
        <v>NUR028</v>
      </c>
      <c r="Y279" t="str">
        <f t="shared" ca="1" si="99"/>
        <v>Night</v>
      </c>
      <c r="Z279" t="str">
        <f t="shared" ca="1" si="100"/>
        <v>Ventilator</v>
      </c>
      <c r="AA279" t="str">
        <f t="shared" ca="1" si="101"/>
        <v>In Use</v>
      </c>
      <c r="AB279" t="str">
        <f t="shared" ca="1" si="102"/>
        <v>Pending</v>
      </c>
      <c r="AC279" t="str">
        <f t="shared" ca="1" si="103"/>
        <v>Credit Card</v>
      </c>
      <c r="AD279" t="str">
        <f t="shared" ca="1" si="104"/>
        <v>No</v>
      </c>
      <c r="AE279" t="str">
        <f t="shared" ca="1" si="105"/>
        <v>Yes</v>
      </c>
      <c r="AF279" t="str">
        <f t="shared" ca="1" si="106"/>
        <v>Under Observation</v>
      </c>
      <c r="AG279" t="str">
        <f t="shared" ca="1" si="107"/>
        <v>Northeast</v>
      </c>
      <c r="AH279" t="str">
        <f t="shared" si="90"/>
        <v>August</v>
      </c>
      <c r="AI279">
        <f t="shared" si="91"/>
        <v>2021</v>
      </c>
      <c r="AJ279" t="str">
        <f t="shared" ca="1" si="108"/>
        <v>Occupied</v>
      </c>
      <c r="AK279">
        <f t="shared" ca="1" si="109"/>
        <v>4</v>
      </c>
    </row>
    <row r="280" spans="1:37" x14ac:dyDescent="0.3">
      <c r="A280" t="s">
        <v>4718</v>
      </c>
      <c r="B280">
        <v>62</v>
      </c>
      <c r="C280" t="s">
        <v>15</v>
      </c>
      <c r="D280" t="s">
        <v>98</v>
      </c>
      <c r="E280" t="s">
        <v>76</v>
      </c>
      <c r="F280" s="1">
        <v>44158</v>
      </c>
      <c r="G280" t="s">
        <v>602</v>
      </c>
      <c r="H280" t="s">
        <v>603</v>
      </c>
      <c r="I280" t="s">
        <v>36</v>
      </c>
      <c r="J280">
        <v>32868</v>
      </c>
      <c r="K280">
        <v>114</v>
      </c>
      <c r="L280" t="s">
        <v>29</v>
      </c>
      <c r="M280" s="1">
        <v>44163</v>
      </c>
      <c r="N280" t="s">
        <v>22</v>
      </c>
      <c r="O280" t="s">
        <v>31</v>
      </c>
      <c r="P280" t="str">
        <f t="shared" si="92"/>
        <v>P0279</v>
      </c>
      <c r="Q280" t="str">
        <f t="shared" si="88"/>
        <v>Orthopedics</v>
      </c>
      <c r="R280">
        <f t="shared" si="89"/>
        <v>5</v>
      </c>
      <c r="S280" t="str">
        <f t="shared" ca="1" si="93"/>
        <v>Yes</v>
      </c>
      <c r="T280" t="str">
        <f t="shared" ca="1" si="94"/>
        <v>Mild</v>
      </c>
      <c r="U280" t="str">
        <f t="shared" ca="1" si="95"/>
        <v>ICU</v>
      </c>
      <c r="V280" t="str">
        <f t="shared" si="96"/>
        <v>BED0279</v>
      </c>
      <c r="W280" t="str">
        <f t="shared" ca="1" si="97"/>
        <v>ICU</v>
      </c>
      <c r="X280" t="str">
        <f t="shared" si="98"/>
        <v>NUR029</v>
      </c>
      <c r="Y280" t="str">
        <f t="shared" ca="1" si="99"/>
        <v>Night</v>
      </c>
      <c r="Z280" t="str">
        <f t="shared" ca="1" si="100"/>
        <v>X-Ray</v>
      </c>
      <c r="AA280" t="str">
        <f t="shared" ca="1" si="101"/>
        <v>Available</v>
      </c>
      <c r="AB280" t="str">
        <f t="shared" ca="1" si="102"/>
        <v>Partially Paid</v>
      </c>
      <c r="AC280" t="str">
        <f t="shared" ca="1" si="103"/>
        <v>Credit Card</v>
      </c>
      <c r="AD280" t="str">
        <f t="shared" ca="1" si="104"/>
        <v>No</v>
      </c>
      <c r="AE280" t="str">
        <f t="shared" ca="1" si="105"/>
        <v>No</v>
      </c>
      <c r="AF280" t="str">
        <f t="shared" ca="1" si="106"/>
        <v>Under Observation</v>
      </c>
      <c r="AG280" t="str">
        <f t="shared" ca="1" si="107"/>
        <v>West Coast</v>
      </c>
      <c r="AH280" t="str">
        <f t="shared" si="90"/>
        <v>November</v>
      </c>
      <c r="AI280">
        <f t="shared" si="91"/>
        <v>2020</v>
      </c>
      <c r="AJ280" t="str">
        <f t="shared" ca="1" si="108"/>
        <v>Occupied</v>
      </c>
      <c r="AK280">
        <f t="shared" ca="1" si="109"/>
        <v>1</v>
      </c>
    </row>
    <row r="281" spans="1:37" x14ac:dyDescent="0.3">
      <c r="A281" t="s">
        <v>604</v>
      </c>
      <c r="B281">
        <v>80</v>
      </c>
      <c r="C281" t="s">
        <v>15</v>
      </c>
      <c r="D281" t="s">
        <v>33</v>
      </c>
      <c r="E281" t="s">
        <v>48</v>
      </c>
      <c r="F281" s="1">
        <v>43871</v>
      </c>
      <c r="G281" t="s">
        <v>605</v>
      </c>
      <c r="H281" t="s">
        <v>606</v>
      </c>
      <c r="I281" t="s">
        <v>20</v>
      </c>
      <c r="J281">
        <v>22032</v>
      </c>
      <c r="K281">
        <v>262</v>
      </c>
      <c r="L281" t="s">
        <v>29</v>
      </c>
      <c r="M281" s="1">
        <v>43890</v>
      </c>
      <c r="N281" t="s">
        <v>30</v>
      </c>
      <c r="O281" t="s">
        <v>23</v>
      </c>
      <c r="P281" t="str">
        <f t="shared" si="92"/>
        <v>P0280</v>
      </c>
      <c r="Q281" t="str">
        <f t="shared" si="88"/>
        <v>Pulmonology</v>
      </c>
      <c r="R281">
        <f t="shared" si="89"/>
        <v>19</v>
      </c>
      <c r="S281" t="str">
        <f t="shared" ca="1" si="93"/>
        <v>Yes</v>
      </c>
      <c r="T281" t="str">
        <f t="shared" ca="1" si="94"/>
        <v>Mild</v>
      </c>
      <c r="U281" t="str">
        <f t="shared" ca="1" si="95"/>
        <v>Semi-Private</v>
      </c>
      <c r="V281" t="str">
        <f t="shared" si="96"/>
        <v>BED0280</v>
      </c>
      <c r="W281" t="str">
        <f t="shared" ca="1" si="97"/>
        <v>General</v>
      </c>
      <c r="X281" t="str">
        <f t="shared" si="98"/>
        <v>NUR030</v>
      </c>
      <c r="Y281" t="str">
        <f t="shared" ca="1" si="99"/>
        <v>Morning</v>
      </c>
      <c r="Z281" t="str">
        <f t="shared" ca="1" si="100"/>
        <v>CT Scanner</v>
      </c>
      <c r="AA281" t="str">
        <f t="shared" ca="1" si="101"/>
        <v>In Use</v>
      </c>
      <c r="AB281" t="str">
        <f t="shared" ca="1" si="102"/>
        <v>Partially Paid</v>
      </c>
      <c r="AC281" t="str">
        <f t="shared" ca="1" si="103"/>
        <v>Credit Card</v>
      </c>
      <c r="AD281" t="str">
        <f t="shared" ca="1" si="104"/>
        <v>No</v>
      </c>
      <c r="AE281" t="str">
        <f t="shared" ca="1" si="105"/>
        <v>Yes</v>
      </c>
      <c r="AF281" t="str">
        <f t="shared" ca="1" si="106"/>
        <v>Under Observation</v>
      </c>
      <c r="AG281" t="str">
        <f t="shared" ca="1" si="107"/>
        <v>Southeast</v>
      </c>
      <c r="AH281" t="str">
        <f t="shared" si="90"/>
        <v>February</v>
      </c>
      <c r="AI281">
        <f t="shared" si="91"/>
        <v>2020</v>
      </c>
      <c r="AJ281" t="str">
        <f t="shared" ca="1" si="108"/>
        <v>Occupied</v>
      </c>
      <c r="AK281">
        <f t="shared" ca="1" si="109"/>
        <v>1</v>
      </c>
    </row>
    <row r="282" spans="1:37" x14ac:dyDescent="0.3">
      <c r="A282" t="s">
        <v>4719</v>
      </c>
      <c r="B282">
        <v>49</v>
      </c>
      <c r="C282" t="s">
        <v>32</v>
      </c>
      <c r="D282" t="s">
        <v>24</v>
      </c>
      <c r="E282" t="s">
        <v>39</v>
      </c>
      <c r="F282" s="1">
        <v>43620</v>
      </c>
      <c r="G282" t="s">
        <v>607</v>
      </c>
      <c r="H282" t="s">
        <v>608</v>
      </c>
      <c r="I282" t="s">
        <v>20</v>
      </c>
      <c r="J282">
        <v>43166</v>
      </c>
      <c r="K282">
        <v>428</v>
      </c>
      <c r="L282" t="s">
        <v>42</v>
      </c>
      <c r="M282" s="1">
        <v>43633</v>
      </c>
      <c r="N282" t="s">
        <v>30</v>
      </c>
      <c r="O282" t="s">
        <v>43</v>
      </c>
      <c r="P282" t="str">
        <f t="shared" si="92"/>
        <v>P0281</v>
      </c>
      <c r="Q282" t="str">
        <f t="shared" si="88"/>
        <v>Endocrinology</v>
      </c>
      <c r="R282">
        <f t="shared" si="89"/>
        <v>13</v>
      </c>
      <c r="S282" t="str">
        <f t="shared" ca="1" si="93"/>
        <v>No</v>
      </c>
      <c r="T282" t="str">
        <f t="shared" ca="1" si="94"/>
        <v>Severe</v>
      </c>
      <c r="U282" t="str">
        <f t="shared" ca="1" si="95"/>
        <v>Private Ward</v>
      </c>
      <c r="V282" t="str">
        <f t="shared" si="96"/>
        <v>BED0281</v>
      </c>
      <c r="W282" t="str">
        <f t="shared" ca="1" si="97"/>
        <v>Private</v>
      </c>
      <c r="X282" t="str">
        <f t="shared" si="98"/>
        <v>NUR031</v>
      </c>
      <c r="Y282" t="str">
        <f t="shared" ca="1" si="99"/>
        <v>Morning</v>
      </c>
      <c r="Z282" t="str">
        <f t="shared" ca="1" si="100"/>
        <v>Ventilator</v>
      </c>
      <c r="AA282" t="str">
        <f t="shared" ca="1" si="101"/>
        <v>Available</v>
      </c>
      <c r="AB282" t="str">
        <f t="shared" ca="1" si="102"/>
        <v>Pending</v>
      </c>
      <c r="AC282" t="str">
        <f t="shared" ca="1" si="103"/>
        <v>Insurance</v>
      </c>
      <c r="AD282" t="str">
        <f t="shared" ca="1" si="104"/>
        <v>Yes</v>
      </c>
      <c r="AE282" t="str">
        <f t="shared" ca="1" si="105"/>
        <v>No</v>
      </c>
      <c r="AF282" t="str">
        <f t="shared" ca="1" si="106"/>
        <v>Recovered</v>
      </c>
      <c r="AG282" t="str">
        <f t="shared" ca="1" si="107"/>
        <v>Northeast</v>
      </c>
      <c r="AH282" t="str">
        <f t="shared" si="90"/>
        <v>June</v>
      </c>
      <c r="AI282">
        <f t="shared" si="91"/>
        <v>2019</v>
      </c>
      <c r="AJ282" t="str">
        <f t="shared" ca="1" si="108"/>
        <v>Occupied</v>
      </c>
      <c r="AK282">
        <f t="shared" ca="1" si="109"/>
        <v>2</v>
      </c>
    </row>
    <row r="283" spans="1:37" x14ac:dyDescent="0.3">
      <c r="A283" t="s">
        <v>4720</v>
      </c>
      <c r="B283">
        <v>66</v>
      </c>
      <c r="C283" t="s">
        <v>32</v>
      </c>
      <c r="D283" t="s">
        <v>38</v>
      </c>
      <c r="E283" t="s">
        <v>25</v>
      </c>
      <c r="F283" s="1">
        <v>45193</v>
      </c>
      <c r="G283" t="s">
        <v>609</v>
      </c>
      <c r="H283" t="s">
        <v>610</v>
      </c>
      <c r="I283" t="s">
        <v>20</v>
      </c>
      <c r="J283">
        <v>1871</v>
      </c>
      <c r="K283">
        <v>234</v>
      </c>
      <c r="L283" t="s">
        <v>29</v>
      </c>
      <c r="M283" s="1">
        <v>45210</v>
      </c>
      <c r="N283" t="s">
        <v>47</v>
      </c>
      <c r="O283" t="s">
        <v>31</v>
      </c>
      <c r="P283" t="str">
        <f t="shared" si="92"/>
        <v>P0282</v>
      </c>
      <c r="Q283" t="str">
        <f t="shared" si="88"/>
        <v>Nutrition</v>
      </c>
      <c r="R283">
        <f t="shared" si="89"/>
        <v>17</v>
      </c>
      <c r="S283" t="str">
        <f t="shared" ca="1" si="93"/>
        <v>No</v>
      </c>
      <c r="T283" t="str">
        <f t="shared" ca="1" si="94"/>
        <v>Moderate</v>
      </c>
      <c r="U283" t="str">
        <f t="shared" ca="1" si="95"/>
        <v>Emergency</v>
      </c>
      <c r="V283" t="str">
        <f t="shared" si="96"/>
        <v>BED0282</v>
      </c>
      <c r="W283" t="str">
        <f t="shared" ca="1" si="97"/>
        <v>General</v>
      </c>
      <c r="X283" t="str">
        <f t="shared" si="98"/>
        <v>NUR032</v>
      </c>
      <c r="Y283" t="str">
        <f t="shared" ca="1" si="99"/>
        <v>Evening</v>
      </c>
      <c r="Z283" t="str">
        <f t="shared" ca="1" si="100"/>
        <v>Ultrasound</v>
      </c>
      <c r="AA283" t="str">
        <f t="shared" ca="1" si="101"/>
        <v>Maintenance</v>
      </c>
      <c r="AB283" t="str">
        <f t="shared" ca="1" si="102"/>
        <v>Pending</v>
      </c>
      <c r="AC283" t="str">
        <f t="shared" ca="1" si="103"/>
        <v>Credit Card</v>
      </c>
      <c r="AD283" t="str">
        <f t="shared" ca="1" si="104"/>
        <v>Yes</v>
      </c>
      <c r="AE283" t="str">
        <f t="shared" ca="1" si="105"/>
        <v>No</v>
      </c>
      <c r="AF283" t="str">
        <f t="shared" ca="1" si="106"/>
        <v>Transferred</v>
      </c>
      <c r="AG283" t="str">
        <f t="shared" ca="1" si="107"/>
        <v>West Coast</v>
      </c>
      <c r="AH283" t="str">
        <f t="shared" si="90"/>
        <v>September</v>
      </c>
      <c r="AI283">
        <f t="shared" si="91"/>
        <v>2023</v>
      </c>
      <c r="AJ283" t="str">
        <f t="shared" ca="1" si="108"/>
        <v>Occupied</v>
      </c>
      <c r="AK283">
        <f t="shared" ca="1" si="109"/>
        <v>1</v>
      </c>
    </row>
    <row r="284" spans="1:37" x14ac:dyDescent="0.3">
      <c r="A284" t="s">
        <v>4721</v>
      </c>
      <c r="B284">
        <v>50</v>
      </c>
      <c r="C284" t="s">
        <v>15</v>
      </c>
      <c r="D284" t="s">
        <v>16</v>
      </c>
      <c r="E284" t="s">
        <v>39</v>
      </c>
      <c r="F284" s="1">
        <v>44424</v>
      </c>
      <c r="G284" t="s">
        <v>611</v>
      </c>
      <c r="H284" t="s">
        <v>612</v>
      </c>
      <c r="I284" t="s">
        <v>20</v>
      </c>
      <c r="J284">
        <v>50254</v>
      </c>
      <c r="K284">
        <v>210</v>
      </c>
      <c r="L284" t="s">
        <v>42</v>
      </c>
      <c r="M284" s="1">
        <v>44428</v>
      </c>
      <c r="N284" t="s">
        <v>37</v>
      </c>
      <c r="O284" t="s">
        <v>31</v>
      </c>
      <c r="P284" t="str">
        <f t="shared" si="92"/>
        <v>P0283</v>
      </c>
      <c r="Q284" t="str">
        <f t="shared" si="88"/>
        <v>Endocrinology</v>
      </c>
      <c r="R284">
        <f t="shared" si="89"/>
        <v>4</v>
      </c>
      <c r="S284" t="str">
        <f t="shared" ca="1" si="93"/>
        <v>No</v>
      </c>
      <c r="T284" t="str">
        <f t="shared" ca="1" si="94"/>
        <v>Mild</v>
      </c>
      <c r="U284" t="str">
        <f t="shared" ca="1" si="95"/>
        <v>General Ward</v>
      </c>
      <c r="V284" t="str">
        <f t="shared" si="96"/>
        <v>BED0283</v>
      </c>
      <c r="W284" t="str">
        <f t="shared" ca="1" si="97"/>
        <v>ICU</v>
      </c>
      <c r="X284" t="str">
        <f t="shared" si="98"/>
        <v>NUR033</v>
      </c>
      <c r="Y284" t="str">
        <f t="shared" ca="1" si="99"/>
        <v>Evening</v>
      </c>
      <c r="Z284" t="str">
        <f t="shared" ca="1" si="100"/>
        <v>Ultrasound</v>
      </c>
      <c r="AA284" t="str">
        <f t="shared" ca="1" si="101"/>
        <v>Maintenance</v>
      </c>
      <c r="AB284" t="str">
        <f t="shared" ca="1" si="102"/>
        <v>Pending</v>
      </c>
      <c r="AC284" t="str">
        <f t="shared" ca="1" si="103"/>
        <v>Debit Card</v>
      </c>
      <c r="AD284" t="str">
        <f t="shared" ca="1" si="104"/>
        <v>No</v>
      </c>
      <c r="AE284" t="str">
        <f t="shared" ca="1" si="105"/>
        <v>No</v>
      </c>
      <c r="AF284" t="str">
        <f t="shared" ca="1" si="106"/>
        <v>Under Observation</v>
      </c>
      <c r="AG284" t="str">
        <f t="shared" ca="1" si="107"/>
        <v>Southwest</v>
      </c>
      <c r="AH284" t="str">
        <f t="shared" si="90"/>
        <v>August</v>
      </c>
      <c r="AI284">
        <f t="shared" si="91"/>
        <v>2021</v>
      </c>
      <c r="AJ284" t="str">
        <f t="shared" ca="1" si="108"/>
        <v>Occupied</v>
      </c>
      <c r="AK284">
        <f t="shared" ca="1" si="109"/>
        <v>4</v>
      </c>
    </row>
    <row r="285" spans="1:37" x14ac:dyDescent="0.3">
      <c r="A285" t="s">
        <v>4722</v>
      </c>
      <c r="B285">
        <v>39</v>
      </c>
      <c r="C285" t="s">
        <v>15</v>
      </c>
      <c r="D285" t="s">
        <v>52</v>
      </c>
      <c r="E285" t="s">
        <v>76</v>
      </c>
      <c r="F285" s="1">
        <v>44018</v>
      </c>
      <c r="G285" t="s">
        <v>613</v>
      </c>
      <c r="H285" t="s">
        <v>614</v>
      </c>
      <c r="I285" t="s">
        <v>36</v>
      </c>
      <c r="J285">
        <v>23160</v>
      </c>
      <c r="K285">
        <v>333</v>
      </c>
      <c r="L285" t="s">
        <v>42</v>
      </c>
      <c r="M285" s="1">
        <v>44034</v>
      </c>
      <c r="N285" t="s">
        <v>47</v>
      </c>
      <c r="O285" t="s">
        <v>31</v>
      </c>
      <c r="P285" t="str">
        <f t="shared" si="92"/>
        <v>P0284</v>
      </c>
      <c r="Q285" t="str">
        <f t="shared" si="88"/>
        <v>Orthopedics</v>
      </c>
      <c r="R285">
        <f t="shared" si="89"/>
        <v>16</v>
      </c>
      <c r="S285" t="str">
        <f t="shared" ca="1" si="93"/>
        <v>No</v>
      </c>
      <c r="T285" t="str">
        <f t="shared" ca="1" si="94"/>
        <v>Mild</v>
      </c>
      <c r="U285" t="str">
        <f t="shared" ca="1" si="95"/>
        <v>Private Ward</v>
      </c>
      <c r="V285" t="str">
        <f t="shared" si="96"/>
        <v>BED0284</v>
      </c>
      <c r="W285" t="str">
        <f t="shared" ca="1" si="97"/>
        <v>Private</v>
      </c>
      <c r="X285" t="str">
        <f t="shared" si="98"/>
        <v>NUR034</v>
      </c>
      <c r="Y285" t="str">
        <f t="shared" ca="1" si="99"/>
        <v>Evening</v>
      </c>
      <c r="Z285" t="str">
        <f t="shared" ca="1" si="100"/>
        <v>Ultrasound</v>
      </c>
      <c r="AA285" t="str">
        <f t="shared" ca="1" si="101"/>
        <v>Maintenance</v>
      </c>
      <c r="AB285" t="str">
        <f t="shared" ca="1" si="102"/>
        <v>Partially Paid</v>
      </c>
      <c r="AC285" t="str">
        <f t="shared" ca="1" si="103"/>
        <v>Cash</v>
      </c>
      <c r="AD285" t="str">
        <f t="shared" ca="1" si="104"/>
        <v>No</v>
      </c>
      <c r="AE285" t="str">
        <f t="shared" ca="1" si="105"/>
        <v>Yes</v>
      </c>
      <c r="AF285" t="str">
        <f t="shared" ca="1" si="106"/>
        <v>Transferred</v>
      </c>
      <c r="AG285" t="str">
        <f t="shared" ca="1" si="107"/>
        <v>Northeast</v>
      </c>
      <c r="AH285" t="str">
        <f t="shared" si="90"/>
        <v>July</v>
      </c>
      <c r="AI285">
        <f t="shared" si="91"/>
        <v>2020</v>
      </c>
      <c r="AJ285" t="str">
        <f t="shared" ca="1" si="108"/>
        <v>Occupied</v>
      </c>
      <c r="AK285">
        <f t="shared" ca="1" si="109"/>
        <v>1</v>
      </c>
    </row>
    <row r="286" spans="1:37" x14ac:dyDescent="0.3">
      <c r="A286" t="s">
        <v>4723</v>
      </c>
      <c r="B286">
        <v>31</v>
      </c>
      <c r="C286" t="s">
        <v>32</v>
      </c>
      <c r="D286" t="s">
        <v>16</v>
      </c>
      <c r="E286" t="s">
        <v>39</v>
      </c>
      <c r="F286" s="1">
        <v>44902</v>
      </c>
      <c r="G286" t="s">
        <v>615</v>
      </c>
      <c r="H286" t="s">
        <v>616</v>
      </c>
      <c r="I286" t="s">
        <v>36</v>
      </c>
      <c r="J286">
        <v>11469</v>
      </c>
      <c r="K286">
        <v>391</v>
      </c>
      <c r="L286" t="s">
        <v>42</v>
      </c>
      <c r="M286" s="1">
        <v>44924</v>
      </c>
      <c r="N286" t="s">
        <v>22</v>
      </c>
      <c r="O286" t="s">
        <v>43</v>
      </c>
      <c r="P286" t="str">
        <f t="shared" si="92"/>
        <v>P0285</v>
      </c>
      <c r="Q286" t="str">
        <f t="shared" si="88"/>
        <v>Endocrinology</v>
      </c>
      <c r="R286">
        <f t="shared" si="89"/>
        <v>22</v>
      </c>
      <c r="S286" t="str">
        <f t="shared" ca="1" si="93"/>
        <v>No</v>
      </c>
      <c r="T286" t="str">
        <f t="shared" ca="1" si="94"/>
        <v>Critical</v>
      </c>
      <c r="U286" t="str">
        <f t="shared" ca="1" si="95"/>
        <v>Emergency</v>
      </c>
      <c r="V286" t="str">
        <f t="shared" si="96"/>
        <v>BED0285</v>
      </c>
      <c r="W286" t="str">
        <f t="shared" ca="1" si="97"/>
        <v>ICU</v>
      </c>
      <c r="X286" t="str">
        <f t="shared" si="98"/>
        <v>NUR035</v>
      </c>
      <c r="Y286" t="str">
        <f t="shared" ca="1" si="99"/>
        <v>Night</v>
      </c>
      <c r="Z286" t="str">
        <f t="shared" ca="1" si="100"/>
        <v>MRI Scanner</v>
      </c>
      <c r="AA286" t="str">
        <f t="shared" ca="1" si="101"/>
        <v>In Use</v>
      </c>
      <c r="AB286" t="str">
        <f t="shared" ca="1" si="102"/>
        <v>Paid</v>
      </c>
      <c r="AC286" t="str">
        <f t="shared" ca="1" si="103"/>
        <v>Debit Card</v>
      </c>
      <c r="AD286" t="str">
        <f t="shared" ca="1" si="104"/>
        <v>No</v>
      </c>
      <c r="AE286" t="str">
        <f t="shared" ca="1" si="105"/>
        <v>No</v>
      </c>
      <c r="AF286" t="str">
        <f t="shared" ca="1" si="106"/>
        <v>Under Observation</v>
      </c>
      <c r="AG286" t="str">
        <f t="shared" ca="1" si="107"/>
        <v>West Coast</v>
      </c>
      <c r="AH286" t="str">
        <f t="shared" si="90"/>
        <v>December</v>
      </c>
      <c r="AI286">
        <f t="shared" si="91"/>
        <v>2022</v>
      </c>
      <c r="AJ286" t="str">
        <f t="shared" ca="1" si="108"/>
        <v>Occupied</v>
      </c>
      <c r="AK286">
        <f t="shared" ca="1" si="109"/>
        <v>2</v>
      </c>
    </row>
    <row r="287" spans="1:37" x14ac:dyDescent="0.3">
      <c r="A287" t="s">
        <v>4724</v>
      </c>
      <c r="B287">
        <v>84</v>
      </c>
      <c r="C287" t="s">
        <v>15</v>
      </c>
      <c r="D287" t="s">
        <v>52</v>
      </c>
      <c r="E287" t="s">
        <v>17</v>
      </c>
      <c r="F287" s="1">
        <v>45289</v>
      </c>
      <c r="G287" t="s">
        <v>617</v>
      </c>
      <c r="H287" t="s">
        <v>618</v>
      </c>
      <c r="I287" t="s">
        <v>36</v>
      </c>
      <c r="J287">
        <v>35435</v>
      </c>
      <c r="K287">
        <v>458</v>
      </c>
      <c r="L287" t="s">
        <v>42</v>
      </c>
      <c r="M287" s="1">
        <v>45307</v>
      </c>
      <c r="N287" t="s">
        <v>30</v>
      </c>
      <c r="O287" t="s">
        <v>43</v>
      </c>
      <c r="P287" t="str">
        <f t="shared" si="92"/>
        <v>P0286</v>
      </c>
      <c r="Q287" t="str">
        <f t="shared" si="88"/>
        <v>Oncology</v>
      </c>
      <c r="R287">
        <f t="shared" si="89"/>
        <v>18</v>
      </c>
      <c r="S287" t="str">
        <f t="shared" ca="1" si="93"/>
        <v>No</v>
      </c>
      <c r="T287" t="str">
        <f t="shared" ca="1" si="94"/>
        <v>Moderate</v>
      </c>
      <c r="U287" t="str">
        <f t="shared" ca="1" si="95"/>
        <v>Private Ward</v>
      </c>
      <c r="V287" t="str">
        <f t="shared" si="96"/>
        <v>BED0286</v>
      </c>
      <c r="W287" t="str">
        <f t="shared" ca="1" si="97"/>
        <v>Private</v>
      </c>
      <c r="X287" t="str">
        <f t="shared" si="98"/>
        <v>NUR036</v>
      </c>
      <c r="Y287" t="str">
        <f t="shared" ca="1" si="99"/>
        <v>Morning</v>
      </c>
      <c r="Z287" t="str">
        <f t="shared" ca="1" si="100"/>
        <v>ECG Machine</v>
      </c>
      <c r="AA287" t="str">
        <f t="shared" ca="1" si="101"/>
        <v>Maintenance</v>
      </c>
      <c r="AB287" t="str">
        <f t="shared" ca="1" si="102"/>
        <v>Partially Paid</v>
      </c>
      <c r="AC287" t="str">
        <f t="shared" ca="1" si="103"/>
        <v>Debit Card</v>
      </c>
      <c r="AD287" t="str">
        <f t="shared" ca="1" si="104"/>
        <v>Yes</v>
      </c>
      <c r="AE287" t="str">
        <f t="shared" ca="1" si="105"/>
        <v>No</v>
      </c>
      <c r="AF287" t="str">
        <f t="shared" ca="1" si="106"/>
        <v>Under Observation</v>
      </c>
      <c r="AG287" t="str">
        <f t="shared" ca="1" si="107"/>
        <v>Southeast</v>
      </c>
      <c r="AH287" t="str">
        <f t="shared" si="90"/>
        <v>December</v>
      </c>
      <c r="AI287">
        <f t="shared" si="91"/>
        <v>2023</v>
      </c>
      <c r="AJ287" t="str">
        <f t="shared" ca="1" si="108"/>
        <v>Occupied</v>
      </c>
      <c r="AK287">
        <f t="shared" ca="1" si="109"/>
        <v>2</v>
      </c>
    </row>
    <row r="288" spans="1:37" x14ac:dyDescent="0.3">
      <c r="A288" t="s">
        <v>4725</v>
      </c>
      <c r="B288">
        <v>71</v>
      </c>
      <c r="C288" t="s">
        <v>15</v>
      </c>
      <c r="D288" t="s">
        <v>98</v>
      </c>
      <c r="E288" t="s">
        <v>17</v>
      </c>
      <c r="F288" s="1">
        <v>44973</v>
      </c>
      <c r="G288" t="s">
        <v>619</v>
      </c>
      <c r="H288" t="s">
        <v>620</v>
      </c>
      <c r="I288" t="s">
        <v>51</v>
      </c>
      <c r="J288">
        <v>26140</v>
      </c>
      <c r="K288">
        <v>195</v>
      </c>
      <c r="L288" t="s">
        <v>21</v>
      </c>
      <c r="M288" s="1">
        <v>44982</v>
      </c>
      <c r="N288" t="s">
        <v>22</v>
      </c>
      <c r="O288" t="s">
        <v>43</v>
      </c>
      <c r="P288" t="str">
        <f t="shared" si="92"/>
        <v>P0287</v>
      </c>
      <c r="Q288" t="str">
        <f t="shared" si="88"/>
        <v>Oncology</v>
      </c>
      <c r="R288">
        <f t="shared" si="89"/>
        <v>9</v>
      </c>
      <c r="S288" t="str">
        <f t="shared" ca="1" si="93"/>
        <v>No</v>
      </c>
      <c r="T288" t="str">
        <f t="shared" ca="1" si="94"/>
        <v>Critical</v>
      </c>
      <c r="U288" t="str">
        <f t="shared" ca="1" si="95"/>
        <v>Emergency</v>
      </c>
      <c r="V288" t="str">
        <f t="shared" si="96"/>
        <v>BED0287</v>
      </c>
      <c r="W288" t="str">
        <f t="shared" ca="1" si="97"/>
        <v>Private</v>
      </c>
      <c r="X288" t="str">
        <f t="shared" si="98"/>
        <v>NUR037</v>
      </c>
      <c r="Y288" t="str">
        <f t="shared" ca="1" si="99"/>
        <v>Evening</v>
      </c>
      <c r="Z288" t="str">
        <f t="shared" ca="1" si="100"/>
        <v>X-Ray</v>
      </c>
      <c r="AA288" t="str">
        <f t="shared" ca="1" si="101"/>
        <v>Available</v>
      </c>
      <c r="AB288" t="str">
        <f t="shared" ca="1" si="102"/>
        <v>Partially Paid</v>
      </c>
      <c r="AC288" t="str">
        <f t="shared" ca="1" si="103"/>
        <v>Bank Transfer</v>
      </c>
      <c r="AD288" t="str">
        <f t="shared" ca="1" si="104"/>
        <v>No</v>
      </c>
      <c r="AE288" t="str">
        <f t="shared" ca="1" si="105"/>
        <v>No</v>
      </c>
      <c r="AF288" t="str">
        <f t="shared" ca="1" si="106"/>
        <v>Transferred</v>
      </c>
      <c r="AG288" t="str">
        <f t="shared" ca="1" si="107"/>
        <v>Northeast</v>
      </c>
      <c r="AH288" t="str">
        <f t="shared" si="90"/>
        <v>February</v>
      </c>
      <c r="AI288">
        <f t="shared" si="91"/>
        <v>2023</v>
      </c>
      <c r="AJ288" t="str">
        <f t="shared" ca="1" si="108"/>
        <v>Vacant</v>
      </c>
      <c r="AK288">
        <f t="shared" ca="1" si="109"/>
        <v>1</v>
      </c>
    </row>
    <row r="289" spans="1:37" x14ac:dyDescent="0.3">
      <c r="A289" t="s">
        <v>4726</v>
      </c>
      <c r="B289">
        <v>79</v>
      </c>
      <c r="C289" t="s">
        <v>15</v>
      </c>
      <c r="D289" t="s">
        <v>83</v>
      </c>
      <c r="E289" t="s">
        <v>17</v>
      </c>
      <c r="F289" s="1">
        <v>44693</v>
      </c>
      <c r="G289" t="s">
        <v>621</v>
      </c>
      <c r="H289" t="s">
        <v>622</v>
      </c>
      <c r="I289" t="s">
        <v>51</v>
      </c>
      <c r="J289">
        <v>21297</v>
      </c>
      <c r="K289">
        <v>214</v>
      </c>
      <c r="L289" t="s">
        <v>29</v>
      </c>
      <c r="M289" s="1">
        <v>44697</v>
      </c>
      <c r="N289" t="s">
        <v>22</v>
      </c>
      <c r="O289" t="s">
        <v>43</v>
      </c>
      <c r="P289" t="str">
        <f t="shared" si="92"/>
        <v>P0288</v>
      </c>
      <c r="Q289" t="str">
        <f t="shared" si="88"/>
        <v>Oncology</v>
      </c>
      <c r="R289">
        <f t="shared" si="89"/>
        <v>4</v>
      </c>
      <c r="S289" t="str">
        <f t="shared" ca="1" si="93"/>
        <v>No</v>
      </c>
      <c r="T289" t="str">
        <f t="shared" ca="1" si="94"/>
        <v>Severe</v>
      </c>
      <c r="U289" t="str">
        <f t="shared" ca="1" si="95"/>
        <v>ICU</v>
      </c>
      <c r="V289" t="str">
        <f t="shared" si="96"/>
        <v>BED0288</v>
      </c>
      <c r="W289" t="str">
        <f t="shared" ca="1" si="97"/>
        <v>Private</v>
      </c>
      <c r="X289" t="str">
        <f t="shared" si="98"/>
        <v>NUR038</v>
      </c>
      <c r="Y289" t="str">
        <f t="shared" ca="1" si="99"/>
        <v>Night</v>
      </c>
      <c r="Z289" t="str">
        <f t="shared" ca="1" si="100"/>
        <v>ECG Machine</v>
      </c>
      <c r="AA289" t="str">
        <f t="shared" ca="1" si="101"/>
        <v>Maintenance</v>
      </c>
      <c r="AB289" t="str">
        <f t="shared" ca="1" si="102"/>
        <v>Partially Paid</v>
      </c>
      <c r="AC289" t="str">
        <f t="shared" ca="1" si="103"/>
        <v>Credit Card</v>
      </c>
      <c r="AD289" t="str">
        <f t="shared" ca="1" si="104"/>
        <v>No</v>
      </c>
      <c r="AE289" t="str">
        <f t="shared" ca="1" si="105"/>
        <v>No</v>
      </c>
      <c r="AF289" t="str">
        <f t="shared" ca="1" si="106"/>
        <v>Under Observation</v>
      </c>
      <c r="AG289" t="str">
        <f t="shared" ca="1" si="107"/>
        <v>Northeast</v>
      </c>
      <c r="AH289" t="str">
        <f t="shared" si="90"/>
        <v>May</v>
      </c>
      <c r="AI289">
        <f t="shared" si="91"/>
        <v>2022</v>
      </c>
      <c r="AJ289" t="str">
        <f t="shared" ca="1" si="108"/>
        <v>Occupied</v>
      </c>
      <c r="AK289">
        <f t="shared" ca="1" si="109"/>
        <v>2</v>
      </c>
    </row>
    <row r="290" spans="1:37" x14ac:dyDescent="0.3">
      <c r="A290" t="s">
        <v>4727</v>
      </c>
      <c r="B290">
        <v>56</v>
      </c>
      <c r="C290" t="s">
        <v>15</v>
      </c>
      <c r="D290" t="s">
        <v>38</v>
      </c>
      <c r="E290" t="s">
        <v>76</v>
      </c>
      <c r="F290" s="1">
        <v>45189</v>
      </c>
      <c r="G290" t="s">
        <v>143</v>
      </c>
      <c r="H290" t="s">
        <v>623</v>
      </c>
      <c r="I290" t="s">
        <v>51</v>
      </c>
      <c r="J290">
        <v>8422</v>
      </c>
      <c r="K290">
        <v>409</v>
      </c>
      <c r="L290" t="s">
        <v>29</v>
      </c>
      <c r="M290" s="1">
        <v>45194</v>
      </c>
      <c r="N290" t="s">
        <v>22</v>
      </c>
      <c r="O290" t="s">
        <v>31</v>
      </c>
      <c r="P290" t="str">
        <f t="shared" si="92"/>
        <v>P0289</v>
      </c>
      <c r="Q290" t="str">
        <f t="shared" si="88"/>
        <v>Orthopedics</v>
      </c>
      <c r="R290">
        <f t="shared" si="89"/>
        <v>5</v>
      </c>
      <c r="S290" t="str">
        <f t="shared" ca="1" si="93"/>
        <v>No</v>
      </c>
      <c r="T290" t="str">
        <f t="shared" ca="1" si="94"/>
        <v>Moderate</v>
      </c>
      <c r="U290" t="str">
        <f t="shared" ca="1" si="95"/>
        <v>Emergency</v>
      </c>
      <c r="V290" t="str">
        <f t="shared" si="96"/>
        <v>BED0289</v>
      </c>
      <c r="W290" t="str">
        <f t="shared" ca="1" si="97"/>
        <v>Private</v>
      </c>
      <c r="X290" t="str">
        <f t="shared" si="98"/>
        <v>NUR039</v>
      </c>
      <c r="Y290" t="str">
        <f t="shared" ca="1" si="99"/>
        <v>Evening</v>
      </c>
      <c r="Z290" t="str">
        <f t="shared" ca="1" si="100"/>
        <v>Ultrasound</v>
      </c>
      <c r="AA290" t="str">
        <f t="shared" ca="1" si="101"/>
        <v>In Use</v>
      </c>
      <c r="AB290" t="str">
        <f t="shared" ca="1" si="102"/>
        <v>Partially Paid</v>
      </c>
      <c r="AC290" t="str">
        <f t="shared" ca="1" si="103"/>
        <v>Insurance</v>
      </c>
      <c r="AD290" t="str">
        <f t="shared" ca="1" si="104"/>
        <v>No</v>
      </c>
      <c r="AE290" t="str">
        <f t="shared" ca="1" si="105"/>
        <v>No</v>
      </c>
      <c r="AF290" t="str">
        <f t="shared" ca="1" si="106"/>
        <v>Under Observation</v>
      </c>
      <c r="AG290" t="str">
        <f t="shared" ca="1" si="107"/>
        <v>Midwest</v>
      </c>
      <c r="AH290" t="str">
        <f t="shared" si="90"/>
        <v>September</v>
      </c>
      <c r="AI290">
        <f t="shared" si="91"/>
        <v>2023</v>
      </c>
      <c r="AJ290" t="str">
        <f t="shared" ca="1" si="108"/>
        <v>Occupied</v>
      </c>
      <c r="AK290">
        <f t="shared" ca="1" si="109"/>
        <v>4</v>
      </c>
    </row>
    <row r="291" spans="1:37" x14ac:dyDescent="0.3">
      <c r="A291" t="s">
        <v>4728</v>
      </c>
      <c r="B291">
        <v>36</v>
      </c>
      <c r="C291" t="s">
        <v>15</v>
      </c>
      <c r="D291" t="s">
        <v>98</v>
      </c>
      <c r="E291" t="s">
        <v>25</v>
      </c>
      <c r="F291" s="1">
        <v>43841</v>
      </c>
      <c r="G291" t="s">
        <v>624</v>
      </c>
      <c r="H291" t="s">
        <v>625</v>
      </c>
      <c r="I291" t="s">
        <v>57</v>
      </c>
      <c r="J291">
        <v>23893</v>
      </c>
      <c r="K291">
        <v>268</v>
      </c>
      <c r="L291" t="s">
        <v>29</v>
      </c>
      <c r="M291" s="1">
        <v>43846</v>
      </c>
      <c r="N291" t="s">
        <v>37</v>
      </c>
      <c r="O291" t="s">
        <v>23</v>
      </c>
      <c r="P291" t="str">
        <f t="shared" si="92"/>
        <v>P0290</v>
      </c>
      <c r="Q291" t="str">
        <f t="shared" si="88"/>
        <v>Nutrition</v>
      </c>
      <c r="R291">
        <f t="shared" si="89"/>
        <v>5</v>
      </c>
      <c r="S291" t="str">
        <f t="shared" ca="1" si="93"/>
        <v>No</v>
      </c>
      <c r="T291" t="str">
        <f t="shared" ca="1" si="94"/>
        <v>Mild</v>
      </c>
      <c r="U291" t="str">
        <f t="shared" ca="1" si="95"/>
        <v>Semi-Private</v>
      </c>
      <c r="V291" t="str">
        <f t="shared" si="96"/>
        <v>BED0290</v>
      </c>
      <c r="W291" t="str">
        <f t="shared" ca="1" si="97"/>
        <v>Private</v>
      </c>
      <c r="X291" t="str">
        <f t="shared" si="98"/>
        <v>NUR040</v>
      </c>
      <c r="Y291" t="str">
        <f t="shared" ca="1" si="99"/>
        <v>Morning</v>
      </c>
      <c r="Z291" t="str">
        <f t="shared" ca="1" si="100"/>
        <v>ECG Machine</v>
      </c>
      <c r="AA291" t="str">
        <f t="shared" ca="1" si="101"/>
        <v>Available</v>
      </c>
      <c r="AB291" t="str">
        <f t="shared" ca="1" si="102"/>
        <v>Pending</v>
      </c>
      <c r="AC291" t="str">
        <f t="shared" ca="1" si="103"/>
        <v>Cash</v>
      </c>
      <c r="AD291" t="str">
        <f t="shared" ca="1" si="104"/>
        <v>No</v>
      </c>
      <c r="AE291" t="str">
        <f t="shared" ca="1" si="105"/>
        <v>No</v>
      </c>
      <c r="AF291" t="str">
        <f t="shared" ca="1" si="106"/>
        <v>Transferred</v>
      </c>
      <c r="AG291" t="str">
        <f t="shared" ca="1" si="107"/>
        <v>Southeast</v>
      </c>
      <c r="AH291" t="str">
        <f t="shared" si="90"/>
        <v>January</v>
      </c>
      <c r="AI291">
        <f t="shared" si="91"/>
        <v>2020</v>
      </c>
      <c r="AJ291" t="str">
        <f t="shared" ca="1" si="108"/>
        <v>Occupied</v>
      </c>
      <c r="AK291">
        <f t="shared" ca="1" si="109"/>
        <v>1</v>
      </c>
    </row>
    <row r="292" spans="1:37" x14ac:dyDescent="0.3">
      <c r="A292" t="s">
        <v>4729</v>
      </c>
      <c r="B292">
        <v>38</v>
      </c>
      <c r="C292" t="s">
        <v>15</v>
      </c>
      <c r="D292" t="s">
        <v>98</v>
      </c>
      <c r="E292" t="s">
        <v>25</v>
      </c>
      <c r="F292" s="1">
        <v>44650</v>
      </c>
      <c r="G292" t="s">
        <v>626</v>
      </c>
      <c r="H292" t="s">
        <v>627</v>
      </c>
      <c r="I292" t="s">
        <v>20</v>
      </c>
      <c r="J292">
        <v>8171</v>
      </c>
      <c r="K292">
        <v>279</v>
      </c>
      <c r="L292" t="s">
        <v>42</v>
      </c>
      <c r="M292" s="1">
        <v>44677</v>
      </c>
      <c r="N292" t="s">
        <v>30</v>
      </c>
      <c r="O292" t="s">
        <v>31</v>
      </c>
      <c r="P292" t="str">
        <f t="shared" si="92"/>
        <v>P0291</v>
      </c>
      <c r="Q292" t="str">
        <f t="shared" si="88"/>
        <v>Nutrition</v>
      </c>
      <c r="R292">
        <f t="shared" si="89"/>
        <v>27</v>
      </c>
      <c r="S292" t="str">
        <f t="shared" ca="1" si="93"/>
        <v>No</v>
      </c>
      <c r="T292" t="str">
        <f t="shared" ca="1" si="94"/>
        <v>Critical</v>
      </c>
      <c r="U292" t="str">
        <f t="shared" ca="1" si="95"/>
        <v>ICU</v>
      </c>
      <c r="V292" t="str">
        <f t="shared" si="96"/>
        <v>BED0291</v>
      </c>
      <c r="W292" t="str">
        <f t="shared" ca="1" si="97"/>
        <v>ICU</v>
      </c>
      <c r="X292" t="str">
        <f t="shared" si="98"/>
        <v>NUR041</v>
      </c>
      <c r="Y292" t="str">
        <f t="shared" ca="1" si="99"/>
        <v>Morning</v>
      </c>
      <c r="Z292" t="str">
        <f t="shared" ca="1" si="100"/>
        <v>MRI Scanner</v>
      </c>
      <c r="AA292" t="str">
        <f t="shared" ca="1" si="101"/>
        <v>In Use</v>
      </c>
      <c r="AB292" t="str">
        <f t="shared" ca="1" si="102"/>
        <v>Paid</v>
      </c>
      <c r="AC292" t="str">
        <f t="shared" ca="1" si="103"/>
        <v>Cash</v>
      </c>
      <c r="AD292" t="str">
        <f t="shared" ca="1" si="104"/>
        <v>No</v>
      </c>
      <c r="AE292" t="str">
        <f t="shared" ca="1" si="105"/>
        <v>No</v>
      </c>
      <c r="AF292" t="str">
        <f t="shared" ca="1" si="106"/>
        <v>Transferred</v>
      </c>
      <c r="AG292" t="str">
        <f t="shared" ca="1" si="107"/>
        <v>Southeast</v>
      </c>
      <c r="AH292" t="str">
        <f t="shared" si="90"/>
        <v>March</v>
      </c>
      <c r="AI292">
        <f t="shared" si="91"/>
        <v>2022</v>
      </c>
      <c r="AJ292" t="str">
        <f t="shared" ca="1" si="108"/>
        <v>Occupied</v>
      </c>
      <c r="AK292">
        <f t="shared" ca="1" si="109"/>
        <v>4</v>
      </c>
    </row>
    <row r="293" spans="1:37" x14ac:dyDescent="0.3">
      <c r="A293" t="s">
        <v>4730</v>
      </c>
      <c r="B293">
        <v>21</v>
      </c>
      <c r="C293" t="s">
        <v>15</v>
      </c>
      <c r="D293" t="s">
        <v>44</v>
      </c>
      <c r="E293" t="s">
        <v>76</v>
      </c>
      <c r="F293" s="1">
        <v>43962</v>
      </c>
      <c r="G293" t="s">
        <v>628</v>
      </c>
      <c r="H293" t="s">
        <v>629</v>
      </c>
      <c r="I293" t="s">
        <v>51</v>
      </c>
      <c r="J293">
        <v>23457</v>
      </c>
      <c r="K293">
        <v>322</v>
      </c>
      <c r="L293" t="s">
        <v>42</v>
      </c>
      <c r="M293" s="1">
        <v>43971</v>
      </c>
      <c r="N293" t="s">
        <v>67</v>
      </c>
      <c r="O293" t="s">
        <v>23</v>
      </c>
      <c r="P293" t="str">
        <f t="shared" si="92"/>
        <v>P0292</v>
      </c>
      <c r="Q293" t="str">
        <f t="shared" si="88"/>
        <v>Orthopedics</v>
      </c>
      <c r="R293">
        <f t="shared" si="89"/>
        <v>9</v>
      </c>
      <c r="S293" t="str">
        <f t="shared" ca="1" si="93"/>
        <v>No</v>
      </c>
      <c r="T293" t="str">
        <f t="shared" ca="1" si="94"/>
        <v>Critical</v>
      </c>
      <c r="U293" t="str">
        <f t="shared" ca="1" si="95"/>
        <v>General Ward</v>
      </c>
      <c r="V293" t="str">
        <f t="shared" si="96"/>
        <v>BED0292</v>
      </c>
      <c r="W293" t="str">
        <f t="shared" ca="1" si="97"/>
        <v>Semi-Private</v>
      </c>
      <c r="X293" t="str">
        <f t="shared" si="98"/>
        <v>NUR042</v>
      </c>
      <c r="Y293" t="str">
        <f t="shared" ca="1" si="99"/>
        <v>Night</v>
      </c>
      <c r="Z293" t="str">
        <f t="shared" ca="1" si="100"/>
        <v>Ventilator</v>
      </c>
      <c r="AA293" t="str">
        <f t="shared" ca="1" si="101"/>
        <v>Available</v>
      </c>
      <c r="AB293" t="str">
        <f t="shared" ca="1" si="102"/>
        <v>Partially Paid</v>
      </c>
      <c r="AC293" t="str">
        <f t="shared" ca="1" si="103"/>
        <v>Bank Transfer</v>
      </c>
      <c r="AD293" t="str">
        <f t="shared" ca="1" si="104"/>
        <v>No</v>
      </c>
      <c r="AE293" t="str">
        <f t="shared" ca="1" si="105"/>
        <v>No</v>
      </c>
      <c r="AF293" t="str">
        <f t="shared" ca="1" si="106"/>
        <v>Recovered</v>
      </c>
      <c r="AG293" t="str">
        <f t="shared" ca="1" si="107"/>
        <v>West Coast</v>
      </c>
      <c r="AH293" t="str">
        <f t="shared" si="90"/>
        <v>May</v>
      </c>
      <c r="AI293">
        <f t="shared" si="91"/>
        <v>2020</v>
      </c>
      <c r="AJ293" t="str">
        <f t="shared" ca="1" si="108"/>
        <v>Vacant</v>
      </c>
      <c r="AK293">
        <f t="shared" ca="1" si="109"/>
        <v>4</v>
      </c>
    </row>
    <row r="294" spans="1:37" x14ac:dyDescent="0.3">
      <c r="A294" t="s">
        <v>4731</v>
      </c>
      <c r="B294">
        <v>55</v>
      </c>
      <c r="C294" t="s">
        <v>32</v>
      </c>
      <c r="D294" t="s">
        <v>38</v>
      </c>
      <c r="E294" t="s">
        <v>17</v>
      </c>
      <c r="F294" s="1">
        <v>44581</v>
      </c>
      <c r="G294" t="s">
        <v>630</v>
      </c>
      <c r="H294" t="s">
        <v>631</v>
      </c>
      <c r="I294" t="s">
        <v>57</v>
      </c>
      <c r="J294">
        <v>25787</v>
      </c>
      <c r="K294">
        <v>205</v>
      </c>
      <c r="L294" t="s">
        <v>29</v>
      </c>
      <c r="M294" s="1">
        <v>44608</v>
      </c>
      <c r="N294" t="s">
        <v>22</v>
      </c>
      <c r="O294" t="s">
        <v>23</v>
      </c>
      <c r="P294" t="str">
        <f t="shared" si="92"/>
        <v>P0293</v>
      </c>
      <c r="Q294" t="str">
        <f t="shared" si="88"/>
        <v>Oncology</v>
      </c>
      <c r="R294">
        <f t="shared" si="89"/>
        <v>27</v>
      </c>
      <c r="S294" t="str">
        <f t="shared" ca="1" si="93"/>
        <v>No</v>
      </c>
      <c r="T294" t="str">
        <f t="shared" ca="1" si="94"/>
        <v>Critical</v>
      </c>
      <c r="U294" t="str">
        <f t="shared" ca="1" si="95"/>
        <v>Semi-Private</v>
      </c>
      <c r="V294" t="str">
        <f t="shared" si="96"/>
        <v>BED0293</v>
      </c>
      <c r="W294" t="str">
        <f t="shared" ca="1" si="97"/>
        <v>Semi-Private</v>
      </c>
      <c r="X294" t="str">
        <f t="shared" si="98"/>
        <v>NUR043</v>
      </c>
      <c r="Y294" t="str">
        <f t="shared" ca="1" si="99"/>
        <v>Evening</v>
      </c>
      <c r="Z294" t="str">
        <f t="shared" ca="1" si="100"/>
        <v>MRI Scanner</v>
      </c>
      <c r="AA294" t="str">
        <f t="shared" ca="1" si="101"/>
        <v>Maintenance</v>
      </c>
      <c r="AB294" t="str">
        <f t="shared" ca="1" si="102"/>
        <v>Partially Paid</v>
      </c>
      <c r="AC294" t="str">
        <f t="shared" ca="1" si="103"/>
        <v>Cash</v>
      </c>
      <c r="AD294" t="str">
        <f t="shared" ca="1" si="104"/>
        <v>Yes</v>
      </c>
      <c r="AE294" t="str">
        <f t="shared" ca="1" si="105"/>
        <v>No</v>
      </c>
      <c r="AF294" t="str">
        <f t="shared" ca="1" si="106"/>
        <v>Recovered</v>
      </c>
      <c r="AG294" t="str">
        <f t="shared" ca="1" si="107"/>
        <v>West Coast</v>
      </c>
      <c r="AH294" t="str">
        <f t="shared" si="90"/>
        <v>January</v>
      </c>
      <c r="AI294">
        <f t="shared" si="91"/>
        <v>2022</v>
      </c>
      <c r="AJ294" t="str">
        <f t="shared" ca="1" si="108"/>
        <v>Occupied</v>
      </c>
      <c r="AK294">
        <f t="shared" ca="1" si="109"/>
        <v>4</v>
      </c>
    </row>
    <row r="295" spans="1:37" x14ac:dyDescent="0.3">
      <c r="A295" t="s">
        <v>4732</v>
      </c>
      <c r="B295">
        <v>79</v>
      </c>
      <c r="C295" t="s">
        <v>32</v>
      </c>
      <c r="D295" t="s">
        <v>33</v>
      </c>
      <c r="E295" t="s">
        <v>64</v>
      </c>
      <c r="F295" s="1">
        <v>43782</v>
      </c>
      <c r="G295" t="s">
        <v>632</v>
      </c>
      <c r="H295" t="s">
        <v>633</v>
      </c>
      <c r="I295" t="s">
        <v>20</v>
      </c>
      <c r="J295">
        <v>28526</v>
      </c>
      <c r="K295">
        <v>243</v>
      </c>
      <c r="L295" t="s">
        <v>21</v>
      </c>
      <c r="M295" s="1">
        <v>43793</v>
      </c>
      <c r="N295" t="s">
        <v>37</v>
      </c>
      <c r="O295" t="s">
        <v>43</v>
      </c>
      <c r="P295" t="str">
        <f t="shared" si="92"/>
        <v>P0294</v>
      </c>
      <c r="Q295" t="str">
        <f t="shared" si="88"/>
        <v>Cardiology</v>
      </c>
      <c r="R295">
        <f t="shared" si="89"/>
        <v>11</v>
      </c>
      <c r="S295" t="str">
        <f t="shared" ca="1" si="93"/>
        <v>No</v>
      </c>
      <c r="T295" t="str">
        <f t="shared" ca="1" si="94"/>
        <v>Moderate</v>
      </c>
      <c r="U295" t="str">
        <f t="shared" ca="1" si="95"/>
        <v>General Ward</v>
      </c>
      <c r="V295" t="str">
        <f t="shared" si="96"/>
        <v>BED0294</v>
      </c>
      <c r="W295" t="str">
        <f t="shared" ca="1" si="97"/>
        <v>Private</v>
      </c>
      <c r="X295" t="str">
        <f t="shared" si="98"/>
        <v>NUR044</v>
      </c>
      <c r="Y295" t="str">
        <f t="shared" ca="1" si="99"/>
        <v>Morning</v>
      </c>
      <c r="Z295" t="str">
        <f t="shared" ca="1" si="100"/>
        <v>ECG Machine</v>
      </c>
      <c r="AA295" t="str">
        <f t="shared" ca="1" si="101"/>
        <v>Maintenance</v>
      </c>
      <c r="AB295" t="str">
        <f t="shared" ca="1" si="102"/>
        <v>Partially Paid</v>
      </c>
      <c r="AC295" t="str">
        <f t="shared" ca="1" si="103"/>
        <v>Bank Transfer</v>
      </c>
      <c r="AD295" t="str">
        <f t="shared" ca="1" si="104"/>
        <v>No</v>
      </c>
      <c r="AE295" t="str">
        <f t="shared" ca="1" si="105"/>
        <v>No</v>
      </c>
      <c r="AF295" t="str">
        <f t="shared" ca="1" si="106"/>
        <v>Recovered</v>
      </c>
      <c r="AG295" t="str">
        <f t="shared" ca="1" si="107"/>
        <v>Midwest</v>
      </c>
      <c r="AH295" t="str">
        <f t="shared" si="90"/>
        <v>November</v>
      </c>
      <c r="AI295">
        <f t="shared" si="91"/>
        <v>2019</v>
      </c>
      <c r="AJ295" t="str">
        <f t="shared" ca="1" si="108"/>
        <v>Occupied</v>
      </c>
      <c r="AK295">
        <f t="shared" ca="1" si="109"/>
        <v>2</v>
      </c>
    </row>
    <row r="296" spans="1:37" x14ac:dyDescent="0.3">
      <c r="A296" t="s">
        <v>4733</v>
      </c>
      <c r="B296">
        <v>55</v>
      </c>
      <c r="C296" t="s">
        <v>15</v>
      </c>
      <c r="D296" t="s">
        <v>52</v>
      </c>
      <c r="E296" t="s">
        <v>76</v>
      </c>
      <c r="F296" s="1">
        <v>44230</v>
      </c>
      <c r="G296" t="s">
        <v>634</v>
      </c>
      <c r="H296" t="s">
        <v>635</v>
      </c>
      <c r="I296" t="s">
        <v>51</v>
      </c>
      <c r="J296">
        <v>17183</v>
      </c>
      <c r="K296">
        <v>408</v>
      </c>
      <c r="L296" t="s">
        <v>29</v>
      </c>
      <c r="M296" s="1">
        <v>44247</v>
      </c>
      <c r="N296" t="s">
        <v>67</v>
      </c>
      <c r="O296" t="s">
        <v>43</v>
      </c>
      <c r="P296" t="str">
        <f t="shared" si="92"/>
        <v>P0295</v>
      </c>
      <c r="Q296" t="str">
        <f t="shared" si="88"/>
        <v>Orthopedics</v>
      </c>
      <c r="R296">
        <f t="shared" si="89"/>
        <v>17</v>
      </c>
      <c r="S296" t="str">
        <f t="shared" ca="1" si="93"/>
        <v>No</v>
      </c>
      <c r="T296" t="str">
        <f t="shared" ca="1" si="94"/>
        <v>Mild</v>
      </c>
      <c r="U296" t="str">
        <f t="shared" ca="1" si="95"/>
        <v>General Ward</v>
      </c>
      <c r="V296" t="str">
        <f t="shared" si="96"/>
        <v>BED0295</v>
      </c>
      <c r="W296" t="str">
        <f t="shared" ca="1" si="97"/>
        <v>ICU</v>
      </c>
      <c r="X296" t="str">
        <f t="shared" si="98"/>
        <v>NUR045</v>
      </c>
      <c r="Y296" t="str">
        <f t="shared" ca="1" si="99"/>
        <v>Morning</v>
      </c>
      <c r="Z296" t="str">
        <f t="shared" ca="1" si="100"/>
        <v>Ultrasound</v>
      </c>
      <c r="AA296" t="str">
        <f t="shared" ca="1" si="101"/>
        <v>Available</v>
      </c>
      <c r="AB296" t="str">
        <f t="shared" ca="1" si="102"/>
        <v>Paid</v>
      </c>
      <c r="AC296" t="str">
        <f t="shared" ca="1" si="103"/>
        <v>Cash</v>
      </c>
      <c r="AD296" t="str">
        <f t="shared" ca="1" si="104"/>
        <v>No</v>
      </c>
      <c r="AE296" t="str">
        <f t="shared" ca="1" si="105"/>
        <v>No</v>
      </c>
      <c r="AF296" t="str">
        <f t="shared" ca="1" si="106"/>
        <v>Under Observation</v>
      </c>
      <c r="AG296" t="str">
        <f t="shared" ca="1" si="107"/>
        <v>Northeast</v>
      </c>
      <c r="AH296" t="str">
        <f t="shared" si="90"/>
        <v>February</v>
      </c>
      <c r="AI296">
        <f t="shared" si="91"/>
        <v>2021</v>
      </c>
      <c r="AJ296" t="str">
        <f t="shared" ca="1" si="108"/>
        <v>Occupied</v>
      </c>
      <c r="AK296">
        <f t="shared" ca="1" si="109"/>
        <v>1</v>
      </c>
    </row>
    <row r="297" spans="1:37" x14ac:dyDescent="0.3">
      <c r="A297" t="s">
        <v>4734</v>
      </c>
      <c r="B297">
        <v>24</v>
      </c>
      <c r="C297" t="s">
        <v>15</v>
      </c>
      <c r="D297" t="s">
        <v>44</v>
      </c>
      <c r="E297" t="s">
        <v>48</v>
      </c>
      <c r="F297" s="1">
        <v>44128</v>
      </c>
      <c r="G297" t="s">
        <v>636</v>
      </c>
      <c r="H297" t="s">
        <v>637</v>
      </c>
      <c r="I297" t="s">
        <v>57</v>
      </c>
      <c r="J297">
        <v>20980</v>
      </c>
      <c r="K297">
        <v>106</v>
      </c>
      <c r="L297" t="s">
        <v>42</v>
      </c>
      <c r="M297" s="1">
        <v>44150</v>
      </c>
      <c r="N297" t="s">
        <v>37</v>
      </c>
      <c r="O297" t="s">
        <v>31</v>
      </c>
      <c r="P297" t="str">
        <f t="shared" si="92"/>
        <v>P0296</v>
      </c>
      <c r="Q297" t="str">
        <f t="shared" si="88"/>
        <v>Pulmonology</v>
      </c>
      <c r="R297">
        <f t="shared" si="89"/>
        <v>22</v>
      </c>
      <c r="S297" t="str">
        <f t="shared" ca="1" si="93"/>
        <v>No</v>
      </c>
      <c r="T297" t="str">
        <f t="shared" ca="1" si="94"/>
        <v>Severe</v>
      </c>
      <c r="U297" t="str">
        <f t="shared" ca="1" si="95"/>
        <v>Private Ward</v>
      </c>
      <c r="V297" t="str">
        <f t="shared" si="96"/>
        <v>BED0296</v>
      </c>
      <c r="W297" t="str">
        <f t="shared" ca="1" si="97"/>
        <v>General</v>
      </c>
      <c r="X297" t="str">
        <f t="shared" si="98"/>
        <v>NUR046</v>
      </c>
      <c r="Y297" t="str">
        <f t="shared" ca="1" si="99"/>
        <v>Evening</v>
      </c>
      <c r="Z297" t="str">
        <f t="shared" ca="1" si="100"/>
        <v>Ultrasound</v>
      </c>
      <c r="AA297" t="str">
        <f t="shared" ca="1" si="101"/>
        <v>In Use</v>
      </c>
      <c r="AB297" t="str">
        <f t="shared" ca="1" si="102"/>
        <v>Partially Paid</v>
      </c>
      <c r="AC297" t="str">
        <f t="shared" ca="1" si="103"/>
        <v>Credit Card</v>
      </c>
      <c r="AD297" t="str">
        <f t="shared" ca="1" si="104"/>
        <v>No</v>
      </c>
      <c r="AE297" t="str">
        <f t="shared" ca="1" si="105"/>
        <v>No</v>
      </c>
      <c r="AF297" t="str">
        <f t="shared" ca="1" si="106"/>
        <v>Recovered</v>
      </c>
      <c r="AG297" t="str">
        <f t="shared" ca="1" si="107"/>
        <v>West Coast</v>
      </c>
      <c r="AH297" t="str">
        <f t="shared" si="90"/>
        <v>October</v>
      </c>
      <c r="AI297">
        <f t="shared" si="91"/>
        <v>2020</v>
      </c>
      <c r="AJ297" t="str">
        <f t="shared" ca="1" si="108"/>
        <v>Occupied</v>
      </c>
      <c r="AK297">
        <f t="shared" ca="1" si="109"/>
        <v>2</v>
      </c>
    </row>
    <row r="298" spans="1:37" x14ac:dyDescent="0.3">
      <c r="A298" t="s">
        <v>4735</v>
      </c>
      <c r="B298">
        <v>39</v>
      </c>
      <c r="C298" t="s">
        <v>32</v>
      </c>
      <c r="D298" t="s">
        <v>38</v>
      </c>
      <c r="E298" t="s">
        <v>64</v>
      </c>
      <c r="F298" s="1">
        <v>44837</v>
      </c>
      <c r="G298" t="s">
        <v>638</v>
      </c>
      <c r="H298" t="s">
        <v>639</v>
      </c>
      <c r="I298" t="s">
        <v>28</v>
      </c>
      <c r="J298">
        <v>4243</v>
      </c>
      <c r="K298">
        <v>138</v>
      </c>
      <c r="L298" t="s">
        <v>21</v>
      </c>
      <c r="M298" s="1">
        <v>44840</v>
      </c>
      <c r="N298" t="s">
        <v>30</v>
      </c>
      <c r="O298" t="s">
        <v>43</v>
      </c>
      <c r="P298" t="str">
        <f t="shared" si="92"/>
        <v>P0297</v>
      </c>
      <c r="Q298" t="str">
        <f t="shared" si="88"/>
        <v>Cardiology</v>
      </c>
      <c r="R298">
        <f t="shared" si="89"/>
        <v>3</v>
      </c>
      <c r="S298" t="str">
        <f t="shared" ca="1" si="93"/>
        <v>No</v>
      </c>
      <c r="T298" t="str">
        <f t="shared" ca="1" si="94"/>
        <v>Critical</v>
      </c>
      <c r="U298" t="str">
        <f t="shared" ca="1" si="95"/>
        <v>General Ward</v>
      </c>
      <c r="V298" t="str">
        <f t="shared" si="96"/>
        <v>BED0297</v>
      </c>
      <c r="W298" t="str">
        <f t="shared" ca="1" si="97"/>
        <v>General</v>
      </c>
      <c r="X298" t="str">
        <f t="shared" si="98"/>
        <v>NUR047</v>
      </c>
      <c r="Y298" t="str">
        <f t="shared" ca="1" si="99"/>
        <v>Morning</v>
      </c>
      <c r="Z298" t="str">
        <f t="shared" ca="1" si="100"/>
        <v>Ventilator</v>
      </c>
      <c r="AA298" t="str">
        <f t="shared" ca="1" si="101"/>
        <v>Maintenance</v>
      </c>
      <c r="AB298" t="str">
        <f t="shared" ca="1" si="102"/>
        <v>Paid</v>
      </c>
      <c r="AC298" t="str">
        <f t="shared" ca="1" si="103"/>
        <v>Insurance</v>
      </c>
      <c r="AD298" t="str">
        <f t="shared" ca="1" si="104"/>
        <v>Yes</v>
      </c>
      <c r="AE298" t="str">
        <f t="shared" ca="1" si="105"/>
        <v>No</v>
      </c>
      <c r="AF298" t="str">
        <f t="shared" ca="1" si="106"/>
        <v>Recovered</v>
      </c>
      <c r="AG298" t="str">
        <f t="shared" ca="1" si="107"/>
        <v>West Coast</v>
      </c>
      <c r="AH298" t="str">
        <f t="shared" si="90"/>
        <v>October</v>
      </c>
      <c r="AI298">
        <f t="shared" si="91"/>
        <v>2022</v>
      </c>
      <c r="AJ298" t="str">
        <f t="shared" ca="1" si="108"/>
        <v>Occupied</v>
      </c>
      <c r="AK298">
        <f t="shared" ca="1" si="109"/>
        <v>2</v>
      </c>
    </row>
    <row r="299" spans="1:37" x14ac:dyDescent="0.3">
      <c r="A299" t="s">
        <v>4736</v>
      </c>
      <c r="B299">
        <v>63</v>
      </c>
      <c r="C299" t="s">
        <v>32</v>
      </c>
      <c r="D299" t="s">
        <v>83</v>
      </c>
      <c r="E299" t="s">
        <v>17</v>
      </c>
      <c r="F299" s="1">
        <v>45284</v>
      </c>
      <c r="G299" t="s">
        <v>640</v>
      </c>
      <c r="H299" t="s">
        <v>641</v>
      </c>
      <c r="I299" t="s">
        <v>57</v>
      </c>
      <c r="J299">
        <v>40138</v>
      </c>
      <c r="K299">
        <v>467</v>
      </c>
      <c r="L299" t="s">
        <v>42</v>
      </c>
      <c r="M299" s="1">
        <v>45293</v>
      </c>
      <c r="N299" t="s">
        <v>30</v>
      </c>
      <c r="O299" t="s">
        <v>23</v>
      </c>
      <c r="P299" t="str">
        <f t="shared" si="92"/>
        <v>P0298</v>
      </c>
      <c r="Q299" t="str">
        <f t="shared" si="88"/>
        <v>Oncology</v>
      </c>
      <c r="R299">
        <f t="shared" si="89"/>
        <v>9</v>
      </c>
      <c r="S299" t="str">
        <f t="shared" ca="1" si="93"/>
        <v>No</v>
      </c>
      <c r="T299" t="str">
        <f t="shared" ca="1" si="94"/>
        <v>Severe</v>
      </c>
      <c r="U299" t="str">
        <f t="shared" ca="1" si="95"/>
        <v>Semi-Private</v>
      </c>
      <c r="V299" t="str">
        <f t="shared" si="96"/>
        <v>BED0298</v>
      </c>
      <c r="W299" t="str">
        <f t="shared" ca="1" si="97"/>
        <v>Private</v>
      </c>
      <c r="X299" t="str">
        <f t="shared" si="98"/>
        <v>NUR048</v>
      </c>
      <c r="Y299" t="str">
        <f t="shared" ca="1" si="99"/>
        <v>Evening</v>
      </c>
      <c r="Z299" t="str">
        <f t="shared" ca="1" si="100"/>
        <v>Ventilator</v>
      </c>
      <c r="AA299" t="str">
        <f t="shared" ca="1" si="101"/>
        <v>In Use</v>
      </c>
      <c r="AB299" t="str">
        <f t="shared" ca="1" si="102"/>
        <v>Pending</v>
      </c>
      <c r="AC299" t="str">
        <f t="shared" ca="1" si="103"/>
        <v>Debit Card</v>
      </c>
      <c r="AD299" t="str">
        <f t="shared" ca="1" si="104"/>
        <v>Yes</v>
      </c>
      <c r="AE299" t="str">
        <f t="shared" ca="1" si="105"/>
        <v>No</v>
      </c>
      <c r="AF299" t="str">
        <f t="shared" ca="1" si="106"/>
        <v>Under Observation</v>
      </c>
      <c r="AG299" t="str">
        <f t="shared" ca="1" si="107"/>
        <v>West Coast</v>
      </c>
      <c r="AH299" t="str">
        <f t="shared" si="90"/>
        <v>December</v>
      </c>
      <c r="AI299">
        <f t="shared" si="91"/>
        <v>2023</v>
      </c>
      <c r="AJ299" t="str">
        <f t="shared" ca="1" si="108"/>
        <v>Occupied</v>
      </c>
      <c r="AK299">
        <f t="shared" ca="1" si="109"/>
        <v>1</v>
      </c>
    </row>
    <row r="300" spans="1:37" x14ac:dyDescent="0.3">
      <c r="A300" t="s">
        <v>4737</v>
      </c>
      <c r="B300">
        <v>26</v>
      </c>
      <c r="C300" t="s">
        <v>15</v>
      </c>
      <c r="D300" t="s">
        <v>52</v>
      </c>
      <c r="E300" t="s">
        <v>48</v>
      </c>
      <c r="F300" s="1">
        <v>45248</v>
      </c>
      <c r="G300" t="s">
        <v>642</v>
      </c>
      <c r="H300" t="s">
        <v>643</v>
      </c>
      <c r="I300" t="s">
        <v>28</v>
      </c>
      <c r="J300">
        <v>30676</v>
      </c>
      <c r="K300">
        <v>290</v>
      </c>
      <c r="L300" t="s">
        <v>42</v>
      </c>
      <c r="M300" s="1">
        <v>45256</v>
      </c>
      <c r="N300" t="s">
        <v>30</v>
      </c>
      <c r="O300" t="s">
        <v>23</v>
      </c>
      <c r="P300" t="str">
        <f t="shared" si="92"/>
        <v>P0299</v>
      </c>
      <c r="Q300" t="str">
        <f t="shared" si="88"/>
        <v>Pulmonology</v>
      </c>
      <c r="R300">
        <f t="shared" si="89"/>
        <v>8</v>
      </c>
      <c r="S300" t="str">
        <f t="shared" ca="1" si="93"/>
        <v>No</v>
      </c>
      <c r="T300" t="str">
        <f t="shared" ca="1" si="94"/>
        <v>Moderate</v>
      </c>
      <c r="U300" t="str">
        <f t="shared" ca="1" si="95"/>
        <v>General Ward</v>
      </c>
      <c r="V300" t="str">
        <f t="shared" si="96"/>
        <v>BED0299</v>
      </c>
      <c r="W300" t="str">
        <f t="shared" ca="1" si="97"/>
        <v>ICU</v>
      </c>
      <c r="X300" t="str">
        <f t="shared" si="98"/>
        <v>NUR049</v>
      </c>
      <c r="Y300" t="str">
        <f t="shared" ca="1" si="99"/>
        <v>Night</v>
      </c>
      <c r="Z300" t="str">
        <f t="shared" ca="1" si="100"/>
        <v>Ventilator</v>
      </c>
      <c r="AA300" t="str">
        <f t="shared" ca="1" si="101"/>
        <v>Maintenance</v>
      </c>
      <c r="AB300" t="str">
        <f t="shared" ca="1" si="102"/>
        <v>Paid</v>
      </c>
      <c r="AC300" t="str">
        <f t="shared" ca="1" si="103"/>
        <v>Insurance</v>
      </c>
      <c r="AD300" t="str">
        <f t="shared" ca="1" si="104"/>
        <v>No</v>
      </c>
      <c r="AE300" t="str">
        <f t="shared" ca="1" si="105"/>
        <v>No</v>
      </c>
      <c r="AF300" t="str">
        <f t="shared" ca="1" si="106"/>
        <v>Under Observation</v>
      </c>
      <c r="AG300" t="str">
        <f t="shared" ca="1" si="107"/>
        <v>Northeast</v>
      </c>
      <c r="AH300" t="str">
        <f t="shared" si="90"/>
        <v>November</v>
      </c>
      <c r="AI300">
        <f t="shared" si="91"/>
        <v>2023</v>
      </c>
      <c r="AJ300" t="str">
        <f t="shared" ca="1" si="108"/>
        <v>Occupied</v>
      </c>
      <c r="AK300">
        <f t="shared" ca="1" si="109"/>
        <v>2</v>
      </c>
    </row>
    <row r="301" spans="1:37" x14ac:dyDescent="0.3">
      <c r="A301" t="s">
        <v>4738</v>
      </c>
      <c r="B301">
        <v>76</v>
      </c>
      <c r="C301" t="s">
        <v>32</v>
      </c>
      <c r="D301" t="s">
        <v>44</v>
      </c>
      <c r="E301" t="s">
        <v>64</v>
      </c>
      <c r="F301" s="1">
        <v>45363</v>
      </c>
      <c r="G301" t="s">
        <v>644</v>
      </c>
      <c r="H301" t="s">
        <v>645</v>
      </c>
      <c r="I301" t="s">
        <v>36</v>
      </c>
      <c r="J301">
        <v>45595</v>
      </c>
      <c r="K301">
        <v>192</v>
      </c>
      <c r="L301" t="s">
        <v>21</v>
      </c>
      <c r="M301" s="1">
        <v>45391</v>
      </c>
      <c r="N301" t="s">
        <v>22</v>
      </c>
      <c r="O301" t="s">
        <v>43</v>
      </c>
      <c r="P301" t="str">
        <f t="shared" si="92"/>
        <v>P0300</v>
      </c>
      <c r="Q301" t="str">
        <f t="shared" si="88"/>
        <v>Cardiology</v>
      </c>
      <c r="R301">
        <f t="shared" si="89"/>
        <v>28</v>
      </c>
      <c r="S301" t="str">
        <f t="shared" ca="1" si="93"/>
        <v>No</v>
      </c>
      <c r="T301" t="str">
        <f t="shared" ca="1" si="94"/>
        <v>Critical</v>
      </c>
      <c r="U301" t="str">
        <f t="shared" ca="1" si="95"/>
        <v>ICU</v>
      </c>
      <c r="V301" t="str">
        <f t="shared" si="96"/>
        <v>BED0300</v>
      </c>
      <c r="W301" t="str">
        <f t="shared" ca="1" si="97"/>
        <v>General</v>
      </c>
      <c r="X301" t="str">
        <f t="shared" si="98"/>
        <v>NUR050</v>
      </c>
      <c r="Y301" t="str">
        <f t="shared" ca="1" si="99"/>
        <v>Morning</v>
      </c>
      <c r="Z301" t="str">
        <f t="shared" ca="1" si="100"/>
        <v>ECG Machine</v>
      </c>
      <c r="AA301" t="str">
        <f t="shared" ca="1" si="101"/>
        <v>In Use</v>
      </c>
      <c r="AB301" t="str">
        <f t="shared" ca="1" si="102"/>
        <v>Paid</v>
      </c>
      <c r="AC301" t="str">
        <f t="shared" ca="1" si="103"/>
        <v>Insurance</v>
      </c>
      <c r="AD301" t="str">
        <f t="shared" ca="1" si="104"/>
        <v>No</v>
      </c>
      <c r="AE301" t="str">
        <f t="shared" ca="1" si="105"/>
        <v>No</v>
      </c>
      <c r="AF301" t="str">
        <f t="shared" ca="1" si="106"/>
        <v>Under Observation</v>
      </c>
      <c r="AG301" t="str">
        <f t="shared" ca="1" si="107"/>
        <v>Southeast</v>
      </c>
      <c r="AH301" t="str">
        <f t="shared" si="90"/>
        <v>March</v>
      </c>
      <c r="AI301">
        <f t="shared" si="91"/>
        <v>2024</v>
      </c>
      <c r="AJ301" t="str">
        <f t="shared" ca="1" si="108"/>
        <v>Occupied</v>
      </c>
      <c r="AK301">
        <f t="shared" ca="1" si="109"/>
        <v>4</v>
      </c>
    </row>
    <row r="302" spans="1:37" x14ac:dyDescent="0.3">
      <c r="A302" t="s">
        <v>4739</v>
      </c>
      <c r="B302">
        <v>69</v>
      </c>
      <c r="C302" t="s">
        <v>15</v>
      </c>
      <c r="D302" t="s">
        <v>24</v>
      </c>
      <c r="E302" t="s">
        <v>17</v>
      </c>
      <c r="F302" s="1">
        <v>45028</v>
      </c>
      <c r="G302" t="s">
        <v>646</v>
      </c>
      <c r="H302" t="s">
        <v>647</v>
      </c>
      <c r="I302" t="s">
        <v>28</v>
      </c>
      <c r="J302">
        <v>29077</v>
      </c>
      <c r="K302">
        <v>135</v>
      </c>
      <c r="L302" t="s">
        <v>21</v>
      </c>
      <c r="M302" s="1">
        <v>45053</v>
      </c>
      <c r="N302" t="s">
        <v>30</v>
      </c>
      <c r="O302" t="s">
        <v>43</v>
      </c>
      <c r="P302" t="str">
        <f t="shared" si="92"/>
        <v>P0301</v>
      </c>
      <c r="Q302" t="str">
        <f t="shared" si="88"/>
        <v>Oncology</v>
      </c>
      <c r="R302">
        <f t="shared" si="89"/>
        <v>25</v>
      </c>
      <c r="S302" t="str">
        <f t="shared" ca="1" si="93"/>
        <v>No</v>
      </c>
      <c r="T302" t="str">
        <f t="shared" ca="1" si="94"/>
        <v>Critical</v>
      </c>
      <c r="U302" t="str">
        <f t="shared" ca="1" si="95"/>
        <v>ICU</v>
      </c>
      <c r="V302" t="str">
        <f t="shared" si="96"/>
        <v>BED0301</v>
      </c>
      <c r="W302" t="str">
        <f t="shared" ca="1" si="97"/>
        <v>Private</v>
      </c>
      <c r="X302" t="str">
        <f t="shared" si="98"/>
        <v>NUR001</v>
      </c>
      <c r="Y302" t="str">
        <f t="shared" ca="1" si="99"/>
        <v>Night</v>
      </c>
      <c r="Z302" t="str">
        <f t="shared" ca="1" si="100"/>
        <v>MRI Scanner</v>
      </c>
      <c r="AA302" t="str">
        <f t="shared" ca="1" si="101"/>
        <v>Available</v>
      </c>
      <c r="AB302" t="str">
        <f t="shared" ca="1" si="102"/>
        <v>Pending</v>
      </c>
      <c r="AC302" t="str">
        <f t="shared" ca="1" si="103"/>
        <v>Credit Card</v>
      </c>
      <c r="AD302" t="str">
        <f t="shared" ca="1" si="104"/>
        <v>No</v>
      </c>
      <c r="AE302" t="str">
        <f t="shared" ca="1" si="105"/>
        <v>No</v>
      </c>
      <c r="AF302" t="str">
        <f t="shared" ca="1" si="106"/>
        <v>Recovered</v>
      </c>
      <c r="AG302" t="str">
        <f t="shared" ca="1" si="107"/>
        <v>Southeast</v>
      </c>
      <c r="AH302" t="str">
        <f t="shared" si="90"/>
        <v>April</v>
      </c>
      <c r="AI302">
        <f t="shared" si="91"/>
        <v>2023</v>
      </c>
      <c r="AJ302" t="str">
        <f t="shared" ca="1" si="108"/>
        <v>Occupied</v>
      </c>
      <c r="AK302">
        <f t="shared" ca="1" si="109"/>
        <v>2</v>
      </c>
    </row>
    <row r="303" spans="1:37" x14ac:dyDescent="0.3">
      <c r="A303" t="s">
        <v>4740</v>
      </c>
      <c r="B303">
        <v>38</v>
      </c>
      <c r="C303" t="s">
        <v>32</v>
      </c>
      <c r="D303" t="s">
        <v>38</v>
      </c>
      <c r="E303" t="s">
        <v>25</v>
      </c>
      <c r="F303" s="1">
        <v>44363</v>
      </c>
      <c r="G303" t="s">
        <v>648</v>
      </c>
      <c r="H303" t="s">
        <v>649</v>
      </c>
      <c r="I303" t="s">
        <v>57</v>
      </c>
      <c r="J303">
        <v>5224</v>
      </c>
      <c r="K303">
        <v>255</v>
      </c>
      <c r="L303" t="s">
        <v>29</v>
      </c>
      <c r="M303" s="1">
        <v>44388</v>
      </c>
      <c r="N303" t="s">
        <v>22</v>
      </c>
      <c r="O303" t="s">
        <v>43</v>
      </c>
      <c r="P303" t="str">
        <f t="shared" si="92"/>
        <v>P0302</v>
      </c>
      <c r="Q303" t="str">
        <f t="shared" si="88"/>
        <v>Nutrition</v>
      </c>
      <c r="R303">
        <f t="shared" si="89"/>
        <v>25</v>
      </c>
      <c r="S303" t="str">
        <f t="shared" ca="1" si="93"/>
        <v>No</v>
      </c>
      <c r="T303" t="str">
        <f t="shared" ca="1" si="94"/>
        <v>Mild</v>
      </c>
      <c r="U303" t="str">
        <f t="shared" ca="1" si="95"/>
        <v>Private Ward</v>
      </c>
      <c r="V303" t="str">
        <f t="shared" si="96"/>
        <v>BED0302</v>
      </c>
      <c r="W303" t="str">
        <f t="shared" ca="1" si="97"/>
        <v>General</v>
      </c>
      <c r="X303" t="str">
        <f t="shared" si="98"/>
        <v>NUR002</v>
      </c>
      <c r="Y303" t="str">
        <f t="shared" ca="1" si="99"/>
        <v>Evening</v>
      </c>
      <c r="Z303" t="str">
        <f t="shared" ca="1" si="100"/>
        <v>ECG Machine</v>
      </c>
      <c r="AA303" t="str">
        <f t="shared" ca="1" si="101"/>
        <v>Available</v>
      </c>
      <c r="AB303" t="str">
        <f t="shared" ca="1" si="102"/>
        <v>Paid</v>
      </c>
      <c r="AC303" t="str">
        <f t="shared" ca="1" si="103"/>
        <v>Credit Card</v>
      </c>
      <c r="AD303" t="str">
        <f t="shared" ca="1" si="104"/>
        <v>No</v>
      </c>
      <c r="AE303" t="str">
        <f t="shared" ca="1" si="105"/>
        <v>No</v>
      </c>
      <c r="AF303" t="str">
        <f t="shared" ca="1" si="106"/>
        <v>Recovered</v>
      </c>
      <c r="AG303" t="str">
        <f t="shared" ca="1" si="107"/>
        <v>Northeast</v>
      </c>
      <c r="AH303" t="str">
        <f t="shared" si="90"/>
        <v>June</v>
      </c>
      <c r="AI303">
        <f t="shared" si="91"/>
        <v>2021</v>
      </c>
      <c r="AJ303" t="str">
        <f t="shared" ca="1" si="108"/>
        <v>Vacant</v>
      </c>
      <c r="AK303">
        <f t="shared" ca="1" si="109"/>
        <v>1</v>
      </c>
    </row>
    <row r="304" spans="1:37" x14ac:dyDescent="0.3">
      <c r="A304" t="s">
        <v>4741</v>
      </c>
      <c r="B304">
        <v>19</v>
      </c>
      <c r="C304" t="s">
        <v>15</v>
      </c>
      <c r="D304" t="s">
        <v>52</v>
      </c>
      <c r="E304" t="s">
        <v>64</v>
      </c>
      <c r="F304" s="1">
        <v>44524</v>
      </c>
      <c r="G304" t="s">
        <v>650</v>
      </c>
      <c r="H304" t="s">
        <v>651</v>
      </c>
      <c r="I304" t="s">
        <v>20</v>
      </c>
      <c r="J304">
        <v>41841</v>
      </c>
      <c r="K304">
        <v>176</v>
      </c>
      <c r="L304" t="s">
        <v>42</v>
      </c>
      <c r="M304" s="1">
        <v>44543</v>
      </c>
      <c r="N304" t="s">
        <v>47</v>
      </c>
      <c r="O304" t="s">
        <v>43</v>
      </c>
      <c r="P304" t="str">
        <f t="shared" si="92"/>
        <v>P0303</v>
      </c>
      <c r="Q304" t="str">
        <f t="shared" si="88"/>
        <v>Cardiology</v>
      </c>
      <c r="R304">
        <f t="shared" si="89"/>
        <v>19</v>
      </c>
      <c r="S304" t="str">
        <f t="shared" ca="1" si="93"/>
        <v>No</v>
      </c>
      <c r="T304" t="str">
        <f t="shared" ca="1" si="94"/>
        <v>Mild</v>
      </c>
      <c r="U304" t="str">
        <f t="shared" ca="1" si="95"/>
        <v>ICU</v>
      </c>
      <c r="V304" t="str">
        <f t="shared" si="96"/>
        <v>BED0303</v>
      </c>
      <c r="W304" t="str">
        <f t="shared" ca="1" si="97"/>
        <v>General</v>
      </c>
      <c r="X304" t="str">
        <f t="shared" si="98"/>
        <v>NUR003</v>
      </c>
      <c r="Y304" t="str">
        <f t="shared" ca="1" si="99"/>
        <v>Night</v>
      </c>
      <c r="Z304" t="str">
        <f t="shared" ca="1" si="100"/>
        <v>MRI Scanner</v>
      </c>
      <c r="AA304" t="str">
        <f t="shared" ca="1" si="101"/>
        <v>Maintenance</v>
      </c>
      <c r="AB304" t="str">
        <f t="shared" ca="1" si="102"/>
        <v>Pending</v>
      </c>
      <c r="AC304" t="str">
        <f t="shared" ca="1" si="103"/>
        <v>Insurance</v>
      </c>
      <c r="AD304" t="str">
        <f t="shared" ca="1" si="104"/>
        <v>Yes</v>
      </c>
      <c r="AE304" t="str">
        <f t="shared" ca="1" si="105"/>
        <v>No</v>
      </c>
      <c r="AF304" t="str">
        <f t="shared" ca="1" si="106"/>
        <v>Transferred</v>
      </c>
      <c r="AG304" t="str">
        <f t="shared" ca="1" si="107"/>
        <v>Southeast</v>
      </c>
      <c r="AH304" t="str">
        <f t="shared" si="90"/>
        <v>November</v>
      </c>
      <c r="AI304">
        <f t="shared" si="91"/>
        <v>2021</v>
      </c>
      <c r="AJ304" t="str">
        <f t="shared" ca="1" si="108"/>
        <v>Vacant</v>
      </c>
      <c r="AK304">
        <f t="shared" ca="1" si="109"/>
        <v>2</v>
      </c>
    </row>
    <row r="305" spans="1:37" x14ac:dyDescent="0.3">
      <c r="A305" t="s">
        <v>4742</v>
      </c>
      <c r="B305">
        <v>61</v>
      </c>
      <c r="C305" t="s">
        <v>15</v>
      </c>
      <c r="D305" t="s">
        <v>16</v>
      </c>
      <c r="E305" t="s">
        <v>25</v>
      </c>
      <c r="F305" s="1">
        <v>44018</v>
      </c>
      <c r="G305" t="s">
        <v>652</v>
      </c>
      <c r="H305" t="s">
        <v>653</v>
      </c>
      <c r="I305" t="s">
        <v>20</v>
      </c>
      <c r="J305">
        <v>26505</v>
      </c>
      <c r="K305">
        <v>287</v>
      </c>
      <c r="L305" t="s">
        <v>29</v>
      </c>
      <c r="M305" s="1">
        <v>44034</v>
      </c>
      <c r="N305" t="s">
        <v>37</v>
      </c>
      <c r="O305" t="s">
        <v>23</v>
      </c>
      <c r="P305" t="str">
        <f t="shared" si="92"/>
        <v>P0304</v>
      </c>
      <c r="Q305" t="str">
        <f t="shared" si="88"/>
        <v>Nutrition</v>
      </c>
      <c r="R305">
        <f t="shared" si="89"/>
        <v>16</v>
      </c>
      <c r="S305" t="str">
        <f t="shared" ca="1" si="93"/>
        <v>No</v>
      </c>
      <c r="T305" t="str">
        <f t="shared" ca="1" si="94"/>
        <v>Moderate</v>
      </c>
      <c r="U305" t="str">
        <f t="shared" ca="1" si="95"/>
        <v>ICU</v>
      </c>
      <c r="V305" t="str">
        <f t="shared" si="96"/>
        <v>BED0304</v>
      </c>
      <c r="W305" t="str">
        <f t="shared" ca="1" si="97"/>
        <v>Private</v>
      </c>
      <c r="X305" t="str">
        <f t="shared" si="98"/>
        <v>NUR004</v>
      </c>
      <c r="Y305" t="str">
        <f t="shared" ca="1" si="99"/>
        <v>Morning</v>
      </c>
      <c r="Z305" t="str">
        <f t="shared" ca="1" si="100"/>
        <v>Ventilator</v>
      </c>
      <c r="AA305" t="str">
        <f t="shared" ca="1" si="101"/>
        <v>In Use</v>
      </c>
      <c r="AB305" t="str">
        <f t="shared" ca="1" si="102"/>
        <v>Pending</v>
      </c>
      <c r="AC305" t="str">
        <f t="shared" ca="1" si="103"/>
        <v>Credit Card</v>
      </c>
      <c r="AD305" t="str">
        <f t="shared" ca="1" si="104"/>
        <v>No</v>
      </c>
      <c r="AE305" t="str">
        <f t="shared" ca="1" si="105"/>
        <v>No</v>
      </c>
      <c r="AF305" t="str">
        <f t="shared" ca="1" si="106"/>
        <v>Under Observation</v>
      </c>
      <c r="AG305" t="str">
        <f t="shared" ca="1" si="107"/>
        <v>West Coast</v>
      </c>
      <c r="AH305" t="str">
        <f t="shared" si="90"/>
        <v>July</v>
      </c>
      <c r="AI305">
        <f t="shared" si="91"/>
        <v>2020</v>
      </c>
      <c r="AJ305" t="str">
        <f t="shared" ca="1" si="108"/>
        <v>Occupied</v>
      </c>
      <c r="AK305">
        <f t="shared" ca="1" si="109"/>
        <v>2</v>
      </c>
    </row>
    <row r="306" spans="1:37" x14ac:dyDescent="0.3">
      <c r="A306" t="s">
        <v>4743</v>
      </c>
      <c r="B306">
        <v>42</v>
      </c>
      <c r="C306" t="s">
        <v>32</v>
      </c>
      <c r="D306" t="s">
        <v>52</v>
      </c>
      <c r="E306" t="s">
        <v>76</v>
      </c>
      <c r="F306" s="1">
        <v>44738</v>
      </c>
      <c r="G306" t="s">
        <v>654</v>
      </c>
      <c r="H306" t="s">
        <v>655</v>
      </c>
      <c r="I306" t="s">
        <v>57</v>
      </c>
      <c r="J306">
        <v>7946</v>
      </c>
      <c r="K306">
        <v>111</v>
      </c>
      <c r="L306" t="s">
        <v>42</v>
      </c>
      <c r="M306" s="1">
        <v>44743</v>
      </c>
      <c r="N306" t="s">
        <v>30</v>
      </c>
      <c r="O306" t="s">
        <v>31</v>
      </c>
      <c r="P306" t="str">
        <f t="shared" si="92"/>
        <v>P0305</v>
      </c>
      <c r="Q306" t="str">
        <f t="shared" si="88"/>
        <v>Orthopedics</v>
      </c>
      <c r="R306">
        <f t="shared" si="89"/>
        <v>5</v>
      </c>
      <c r="S306" t="str">
        <f t="shared" ca="1" si="93"/>
        <v>No</v>
      </c>
      <c r="T306" t="str">
        <f t="shared" ca="1" si="94"/>
        <v>Severe</v>
      </c>
      <c r="U306" t="str">
        <f t="shared" ca="1" si="95"/>
        <v>General Ward</v>
      </c>
      <c r="V306" t="str">
        <f t="shared" si="96"/>
        <v>BED0305</v>
      </c>
      <c r="W306" t="str">
        <f t="shared" ca="1" si="97"/>
        <v>ICU</v>
      </c>
      <c r="X306" t="str">
        <f t="shared" si="98"/>
        <v>NUR005</v>
      </c>
      <c r="Y306" t="str">
        <f t="shared" ca="1" si="99"/>
        <v>Night</v>
      </c>
      <c r="Z306" t="str">
        <f t="shared" ca="1" si="100"/>
        <v>Ventilator</v>
      </c>
      <c r="AA306" t="str">
        <f t="shared" ca="1" si="101"/>
        <v>In Use</v>
      </c>
      <c r="AB306" t="str">
        <f t="shared" ca="1" si="102"/>
        <v>Partially Paid</v>
      </c>
      <c r="AC306" t="str">
        <f t="shared" ca="1" si="103"/>
        <v>Cash</v>
      </c>
      <c r="AD306" t="str">
        <f t="shared" ca="1" si="104"/>
        <v>No</v>
      </c>
      <c r="AE306" t="str">
        <f t="shared" ca="1" si="105"/>
        <v>No</v>
      </c>
      <c r="AF306" t="str">
        <f t="shared" ca="1" si="106"/>
        <v>Under Observation</v>
      </c>
      <c r="AG306" t="str">
        <f t="shared" ca="1" si="107"/>
        <v>Southwest</v>
      </c>
      <c r="AH306" t="str">
        <f t="shared" si="90"/>
        <v>June</v>
      </c>
      <c r="AI306">
        <f t="shared" si="91"/>
        <v>2022</v>
      </c>
      <c r="AJ306" t="str">
        <f t="shared" ca="1" si="108"/>
        <v>Occupied</v>
      </c>
      <c r="AK306">
        <f t="shared" ca="1" si="109"/>
        <v>2</v>
      </c>
    </row>
    <row r="307" spans="1:37" x14ac:dyDescent="0.3">
      <c r="A307" t="s">
        <v>4744</v>
      </c>
      <c r="B307">
        <v>57</v>
      </c>
      <c r="C307" t="s">
        <v>15</v>
      </c>
      <c r="D307" t="s">
        <v>52</v>
      </c>
      <c r="E307" t="s">
        <v>39</v>
      </c>
      <c r="F307" s="1">
        <v>44033</v>
      </c>
      <c r="G307" t="s">
        <v>656</v>
      </c>
      <c r="H307" t="s">
        <v>657</v>
      </c>
      <c r="I307" t="s">
        <v>57</v>
      </c>
      <c r="J307">
        <v>18689</v>
      </c>
      <c r="K307">
        <v>133</v>
      </c>
      <c r="L307" t="s">
        <v>21</v>
      </c>
      <c r="M307" s="1">
        <v>44043</v>
      </c>
      <c r="N307" t="s">
        <v>67</v>
      </c>
      <c r="O307" t="s">
        <v>23</v>
      </c>
      <c r="P307" t="str">
        <f t="shared" si="92"/>
        <v>P0306</v>
      </c>
      <c r="Q307" t="str">
        <f t="shared" si="88"/>
        <v>Endocrinology</v>
      </c>
      <c r="R307">
        <f t="shared" si="89"/>
        <v>10</v>
      </c>
      <c r="S307" t="str">
        <f t="shared" ca="1" si="93"/>
        <v>No</v>
      </c>
      <c r="T307" t="str">
        <f t="shared" ca="1" si="94"/>
        <v>Severe</v>
      </c>
      <c r="U307" t="str">
        <f t="shared" ca="1" si="95"/>
        <v>General Ward</v>
      </c>
      <c r="V307" t="str">
        <f t="shared" si="96"/>
        <v>BED0306</v>
      </c>
      <c r="W307" t="str">
        <f t="shared" ca="1" si="97"/>
        <v>ICU</v>
      </c>
      <c r="X307" t="str">
        <f t="shared" si="98"/>
        <v>NUR006</v>
      </c>
      <c r="Y307" t="str">
        <f t="shared" ca="1" si="99"/>
        <v>Evening</v>
      </c>
      <c r="Z307" t="str">
        <f t="shared" ca="1" si="100"/>
        <v>ECG Machine</v>
      </c>
      <c r="AA307" t="str">
        <f t="shared" ca="1" si="101"/>
        <v>Available</v>
      </c>
      <c r="AB307" t="str">
        <f t="shared" ca="1" si="102"/>
        <v>Partially Paid</v>
      </c>
      <c r="AC307" t="str">
        <f t="shared" ca="1" si="103"/>
        <v>Credit Card</v>
      </c>
      <c r="AD307" t="str">
        <f t="shared" ca="1" si="104"/>
        <v>No</v>
      </c>
      <c r="AE307" t="str">
        <f t="shared" ca="1" si="105"/>
        <v>No</v>
      </c>
      <c r="AF307" t="str">
        <f t="shared" ca="1" si="106"/>
        <v>Recovered</v>
      </c>
      <c r="AG307" t="str">
        <f t="shared" ca="1" si="107"/>
        <v>Midwest</v>
      </c>
      <c r="AH307" t="str">
        <f t="shared" si="90"/>
        <v>July</v>
      </c>
      <c r="AI307">
        <f t="shared" si="91"/>
        <v>2020</v>
      </c>
      <c r="AJ307" t="str">
        <f t="shared" ca="1" si="108"/>
        <v>Occupied</v>
      </c>
      <c r="AK307">
        <f t="shared" ca="1" si="109"/>
        <v>4</v>
      </c>
    </row>
    <row r="308" spans="1:37" x14ac:dyDescent="0.3">
      <c r="A308" t="s">
        <v>4745</v>
      </c>
      <c r="B308">
        <v>36</v>
      </c>
      <c r="C308" t="s">
        <v>32</v>
      </c>
      <c r="D308" t="s">
        <v>33</v>
      </c>
      <c r="E308" t="s">
        <v>76</v>
      </c>
      <c r="F308" s="1">
        <v>43773</v>
      </c>
      <c r="G308" t="s">
        <v>658</v>
      </c>
      <c r="H308" t="s">
        <v>659</v>
      </c>
      <c r="I308" t="s">
        <v>20</v>
      </c>
      <c r="J308">
        <v>30052</v>
      </c>
      <c r="K308">
        <v>482</v>
      </c>
      <c r="L308" t="s">
        <v>21</v>
      </c>
      <c r="M308" s="1">
        <v>43802</v>
      </c>
      <c r="N308" t="s">
        <v>30</v>
      </c>
      <c r="O308" t="s">
        <v>43</v>
      </c>
      <c r="P308" t="str">
        <f t="shared" si="92"/>
        <v>P0307</v>
      </c>
      <c r="Q308" t="str">
        <f t="shared" si="88"/>
        <v>Orthopedics</v>
      </c>
      <c r="R308">
        <f t="shared" si="89"/>
        <v>29</v>
      </c>
      <c r="S308" t="str">
        <f t="shared" ca="1" si="93"/>
        <v>No</v>
      </c>
      <c r="T308" t="str">
        <f t="shared" ca="1" si="94"/>
        <v>Critical</v>
      </c>
      <c r="U308" t="str">
        <f t="shared" ca="1" si="95"/>
        <v>ICU</v>
      </c>
      <c r="V308" t="str">
        <f t="shared" si="96"/>
        <v>BED0307</v>
      </c>
      <c r="W308" t="str">
        <f t="shared" ca="1" si="97"/>
        <v>Semi-Private</v>
      </c>
      <c r="X308" t="str">
        <f t="shared" si="98"/>
        <v>NUR007</v>
      </c>
      <c r="Y308" t="str">
        <f t="shared" ca="1" si="99"/>
        <v>Night</v>
      </c>
      <c r="Z308" t="str">
        <f t="shared" ca="1" si="100"/>
        <v>CT Scanner</v>
      </c>
      <c r="AA308" t="str">
        <f t="shared" ca="1" si="101"/>
        <v>Available</v>
      </c>
      <c r="AB308" t="str">
        <f t="shared" ca="1" si="102"/>
        <v>Paid</v>
      </c>
      <c r="AC308" t="str">
        <f t="shared" ca="1" si="103"/>
        <v>Bank Transfer</v>
      </c>
      <c r="AD308" t="str">
        <f t="shared" ca="1" si="104"/>
        <v>No</v>
      </c>
      <c r="AE308" t="str">
        <f t="shared" ca="1" si="105"/>
        <v>Yes</v>
      </c>
      <c r="AF308" t="str">
        <f t="shared" ca="1" si="106"/>
        <v>Recovered</v>
      </c>
      <c r="AG308" t="str">
        <f t="shared" ca="1" si="107"/>
        <v>Southwest</v>
      </c>
      <c r="AH308" t="str">
        <f t="shared" si="90"/>
        <v>November</v>
      </c>
      <c r="AI308">
        <f t="shared" si="91"/>
        <v>2019</v>
      </c>
      <c r="AJ308" t="str">
        <f t="shared" ca="1" si="108"/>
        <v>Occupied</v>
      </c>
      <c r="AK308">
        <f t="shared" ca="1" si="109"/>
        <v>2</v>
      </c>
    </row>
    <row r="309" spans="1:37" x14ac:dyDescent="0.3">
      <c r="A309" t="s">
        <v>4746</v>
      </c>
      <c r="B309">
        <v>68</v>
      </c>
      <c r="C309" t="s">
        <v>32</v>
      </c>
      <c r="D309" t="s">
        <v>44</v>
      </c>
      <c r="E309" t="s">
        <v>64</v>
      </c>
      <c r="F309" s="1">
        <v>44501</v>
      </c>
      <c r="G309" t="s">
        <v>660</v>
      </c>
      <c r="H309" t="s">
        <v>661</v>
      </c>
      <c r="I309" t="s">
        <v>28</v>
      </c>
      <c r="J309">
        <v>22914</v>
      </c>
      <c r="K309">
        <v>124</v>
      </c>
      <c r="L309" t="s">
        <v>21</v>
      </c>
      <c r="M309" s="1">
        <v>44503</v>
      </c>
      <c r="N309" t="s">
        <v>22</v>
      </c>
      <c r="O309" t="s">
        <v>23</v>
      </c>
      <c r="P309" t="str">
        <f t="shared" si="92"/>
        <v>P0308</v>
      </c>
      <c r="Q309" t="str">
        <f t="shared" si="88"/>
        <v>Cardiology</v>
      </c>
      <c r="R309">
        <f t="shared" si="89"/>
        <v>2</v>
      </c>
      <c r="S309" t="str">
        <f t="shared" ca="1" si="93"/>
        <v>No</v>
      </c>
      <c r="T309" t="str">
        <f t="shared" ca="1" si="94"/>
        <v>Severe</v>
      </c>
      <c r="U309" t="str">
        <f t="shared" ca="1" si="95"/>
        <v>Emergency</v>
      </c>
      <c r="V309" t="str">
        <f t="shared" si="96"/>
        <v>BED0308</v>
      </c>
      <c r="W309" t="str">
        <f t="shared" ca="1" si="97"/>
        <v>ICU</v>
      </c>
      <c r="X309" t="str">
        <f t="shared" si="98"/>
        <v>NUR008</v>
      </c>
      <c r="Y309" t="str">
        <f t="shared" ca="1" si="99"/>
        <v>Night</v>
      </c>
      <c r="Z309" t="str">
        <f t="shared" ca="1" si="100"/>
        <v>ECG Machine</v>
      </c>
      <c r="AA309" t="str">
        <f t="shared" ca="1" si="101"/>
        <v>Available</v>
      </c>
      <c r="AB309" t="str">
        <f t="shared" ca="1" si="102"/>
        <v>Paid</v>
      </c>
      <c r="AC309" t="str">
        <f t="shared" ca="1" si="103"/>
        <v>Credit Card</v>
      </c>
      <c r="AD309" t="str">
        <f t="shared" ca="1" si="104"/>
        <v>No</v>
      </c>
      <c r="AE309" t="str">
        <f t="shared" ca="1" si="105"/>
        <v>No</v>
      </c>
      <c r="AF309" t="str">
        <f t="shared" ca="1" si="106"/>
        <v>Under Observation</v>
      </c>
      <c r="AG309" t="str">
        <f t="shared" ca="1" si="107"/>
        <v>West Coast</v>
      </c>
      <c r="AH309" t="str">
        <f t="shared" si="90"/>
        <v>November</v>
      </c>
      <c r="AI309">
        <f t="shared" si="91"/>
        <v>2021</v>
      </c>
      <c r="AJ309" t="str">
        <f t="shared" ca="1" si="108"/>
        <v>Vacant</v>
      </c>
      <c r="AK309">
        <f t="shared" ca="1" si="109"/>
        <v>4</v>
      </c>
    </row>
    <row r="310" spans="1:37" x14ac:dyDescent="0.3">
      <c r="A310" t="s">
        <v>4747</v>
      </c>
      <c r="B310">
        <v>25</v>
      </c>
      <c r="C310" t="s">
        <v>32</v>
      </c>
      <c r="D310" t="s">
        <v>83</v>
      </c>
      <c r="E310" t="s">
        <v>25</v>
      </c>
      <c r="F310" s="1">
        <v>43786</v>
      </c>
      <c r="G310" t="s">
        <v>662</v>
      </c>
      <c r="H310" t="s">
        <v>663</v>
      </c>
      <c r="I310" t="s">
        <v>51</v>
      </c>
      <c r="J310">
        <v>36239</v>
      </c>
      <c r="K310">
        <v>131</v>
      </c>
      <c r="L310" t="s">
        <v>42</v>
      </c>
      <c r="M310" s="1">
        <v>43799</v>
      </c>
      <c r="N310" t="s">
        <v>30</v>
      </c>
      <c r="O310" t="s">
        <v>31</v>
      </c>
      <c r="P310" t="str">
        <f t="shared" si="92"/>
        <v>P0309</v>
      </c>
      <c r="Q310" t="str">
        <f t="shared" si="88"/>
        <v>Nutrition</v>
      </c>
      <c r="R310">
        <f t="shared" si="89"/>
        <v>13</v>
      </c>
      <c r="S310" t="str">
        <f t="shared" ca="1" si="93"/>
        <v>No</v>
      </c>
      <c r="T310" t="str">
        <f t="shared" ca="1" si="94"/>
        <v>Severe</v>
      </c>
      <c r="U310" t="str">
        <f t="shared" ca="1" si="95"/>
        <v>Private Ward</v>
      </c>
      <c r="V310" t="str">
        <f t="shared" si="96"/>
        <v>BED0309</v>
      </c>
      <c r="W310" t="str">
        <f t="shared" ca="1" si="97"/>
        <v>Semi-Private</v>
      </c>
      <c r="X310" t="str">
        <f t="shared" si="98"/>
        <v>NUR009</v>
      </c>
      <c r="Y310" t="str">
        <f t="shared" ca="1" si="99"/>
        <v>Night</v>
      </c>
      <c r="Z310" t="str">
        <f t="shared" ca="1" si="100"/>
        <v>MRI Scanner</v>
      </c>
      <c r="AA310" t="str">
        <f t="shared" ca="1" si="101"/>
        <v>Available</v>
      </c>
      <c r="AB310" t="str">
        <f t="shared" ca="1" si="102"/>
        <v>Pending</v>
      </c>
      <c r="AC310" t="str">
        <f t="shared" ca="1" si="103"/>
        <v>Bank Transfer</v>
      </c>
      <c r="AD310" t="str">
        <f t="shared" ca="1" si="104"/>
        <v>Yes</v>
      </c>
      <c r="AE310" t="str">
        <f t="shared" ca="1" si="105"/>
        <v>No</v>
      </c>
      <c r="AF310" t="str">
        <f t="shared" ca="1" si="106"/>
        <v>Under Observation</v>
      </c>
      <c r="AG310" t="str">
        <f t="shared" ca="1" si="107"/>
        <v>Northeast</v>
      </c>
      <c r="AH310" t="str">
        <f t="shared" si="90"/>
        <v>November</v>
      </c>
      <c r="AI310">
        <f t="shared" si="91"/>
        <v>2019</v>
      </c>
      <c r="AJ310" t="str">
        <f t="shared" ca="1" si="108"/>
        <v>Occupied</v>
      </c>
      <c r="AK310">
        <f t="shared" ca="1" si="109"/>
        <v>1</v>
      </c>
    </row>
    <row r="311" spans="1:37" x14ac:dyDescent="0.3">
      <c r="A311" t="s">
        <v>4748</v>
      </c>
      <c r="B311">
        <v>37</v>
      </c>
      <c r="C311" t="s">
        <v>32</v>
      </c>
      <c r="D311" t="s">
        <v>83</v>
      </c>
      <c r="E311" t="s">
        <v>25</v>
      </c>
      <c r="F311" s="1">
        <v>44914</v>
      </c>
      <c r="G311" t="s">
        <v>664</v>
      </c>
      <c r="H311" t="s">
        <v>665</v>
      </c>
      <c r="I311" t="s">
        <v>28</v>
      </c>
      <c r="J311">
        <v>25217</v>
      </c>
      <c r="K311">
        <v>352</v>
      </c>
      <c r="L311" t="s">
        <v>21</v>
      </c>
      <c r="M311" s="1">
        <v>44932</v>
      </c>
      <c r="N311" t="s">
        <v>37</v>
      </c>
      <c r="O311" t="s">
        <v>23</v>
      </c>
      <c r="P311" t="str">
        <f t="shared" si="92"/>
        <v>P0310</v>
      </c>
      <c r="Q311" t="str">
        <f t="shared" si="88"/>
        <v>Nutrition</v>
      </c>
      <c r="R311">
        <f t="shared" si="89"/>
        <v>18</v>
      </c>
      <c r="S311" t="str">
        <f t="shared" ca="1" si="93"/>
        <v>No</v>
      </c>
      <c r="T311" t="str">
        <f t="shared" ca="1" si="94"/>
        <v>Mild</v>
      </c>
      <c r="U311" t="str">
        <f t="shared" ca="1" si="95"/>
        <v>Private Ward</v>
      </c>
      <c r="V311" t="str">
        <f t="shared" si="96"/>
        <v>BED0310</v>
      </c>
      <c r="W311" t="str">
        <f t="shared" ca="1" si="97"/>
        <v>Semi-Private</v>
      </c>
      <c r="X311" t="str">
        <f t="shared" si="98"/>
        <v>NUR010</v>
      </c>
      <c r="Y311" t="str">
        <f t="shared" ca="1" si="99"/>
        <v>Evening</v>
      </c>
      <c r="Z311" t="str">
        <f t="shared" ca="1" si="100"/>
        <v>ECG Machine</v>
      </c>
      <c r="AA311" t="str">
        <f t="shared" ca="1" si="101"/>
        <v>Available</v>
      </c>
      <c r="AB311" t="str">
        <f t="shared" ca="1" si="102"/>
        <v>Partially Paid</v>
      </c>
      <c r="AC311" t="str">
        <f t="shared" ca="1" si="103"/>
        <v>Cash</v>
      </c>
      <c r="AD311" t="str">
        <f t="shared" ca="1" si="104"/>
        <v>No</v>
      </c>
      <c r="AE311" t="str">
        <f t="shared" ca="1" si="105"/>
        <v>Yes</v>
      </c>
      <c r="AF311" t="str">
        <f t="shared" ca="1" si="106"/>
        <v>Under Observation</v>
      </c>
      <c r="AG311" t="str">
        <f t="shared" ca="1" si="107"/>
        <v>Southeast</v>
      </c>
      <c r="AH311" t="str">
        <f t="shared" si="90"/>
        <v>December</v>
      </c>
      <c r="AI311">
        <f t="shared" si="91"/>
        <v>2022</v>
      </c>
      <c r="AJ311" t="str">
        <f t="shared" ca="1" si="108"/>
        <v>Occupied</v>
      </c>
      <c r="AK311">
        <f t="shared" ca="1" si="109"/>
        <v>1</v>
      </c>
    </row>
    <row r="312" spans="1:37" x14ac:dyDescent="0.3">
      <c r="A312" t="s">
        <v>4749</v>
      </c>
      <c r="B312">
        <v>68</v>
      </c>
      <c r="C312" t="s">
        <v>15</v>
      </c>
      <c r="D312" t="s">
        <v>24</v>
      </c>
      <c r="E312" t="s">
        <v>48</v>
      </c>
      <c r="F312" s="1">
        <v>44110</v>
      </c>
      <c r="G312" t="s">
        <v>666</v>
      </c>
      <c r="H312" t="s">
        <v>667</v>
      </c>
      <c r="I312" t="s">
        <v>36</v>
      </c>
      <c r="J312">
        <v>41548</v>
      </c>
      <c r="K312">
        <v>124</v>
      </c>
      <c r="L312" t="s">
        <v>21</v>
      </c>
      <c r="M312" s="1">
        <v>44124</v>
      </c>
      <c r="N312" t="s">
        <v>37</v>
      </c>
      <c r="O312" t="s">
        <v>23</v>
      </c>
      <c r="P312" t="str">
        <f t="shared" si="92"/>
        <v>P0311</v>
      </c>
      <c r="Q312" t="str">
        <f t="shared" si="88"/>
        <v>Pulmonology</v>
      </c>
      <c r="R312">
        <f t="shared" si="89"/>
        <v>14</v>
      </c>
      <c r="S312" t="str">
        <f t="shared" ca="1" si="93"/>
        <v>No</v>
      </c>
      <c r="T312" t="str">
        <f t="shared" ca="1" si="94"/>
        <v>Mild</v>
      </c>
      <c r="U312" t="str">
        <f t="shared" ca="1" si="95"/>
        <v>ICU</v>
      </c>
      <c r="V312" t="str">
        <f t="shared" si="96"/>
        <v>BED0311</v>
      </c>
      <c r="W312" t="str">
        <f t="shared" ca="1" si="97"/>
        <v>ICU</v>
      </c>
      <c r="X312" t="str">
        <f t="shared" si="98"/>
        <v>NUR011</v>
      </c>
      <c r="Y312" t="str">
        <f t="shared" ca="1" si="99"/>
        <v>Evening</v>
      </c>
      <c r="Z312" t="str">
        <f t="shared" ca="1" si="100"/>
        <v>X-Ray</v>
      </c>
      <c r="AA312" t="str">
        <f t="shared" ca="1" si="101"/>
        <v>In Use</v>
      </c>
      <c r="AB312" t="str">
        <f t="shared" ca="1" si="102"/>
        <v>Paid</v>
      </c>
      <c r="AC312" t="str">
        <f t="shared" ca="1" si="103"/>
        <v>Cash</v>
      </c>
      <c r="AD312" t="str">
        <f t="shared" ca="1" si="104"/>
        <v>No</v>
      </c>
      <c r="AE312" t="str">
        <f t="shared" ca="1" si="105"/>
        <v>No</v>
      </c>
      <c r="AF312" t="str">
        <f t="shared" ca="1" si="106"/>
        <v>Recovered</v>
      </c>
      <c r="AG312" t="str">
        <f t="shared" ca="1" si="107"/>
        <v>Southwest</v>
      </c>
      <c r="AH312" t="str">
        <f t="shared" si="90"/>
        <v>October</v>
      </c>
      <c r="AI312">
        <f t="shared" si="91"/>
        <v>2020</v>
      </c>
      <c r="AJ312" t="str">
        <f t="shared" ca="1" si="108"/>
        <v>Occupied</v>
      </c>
      <c r="AK312">
        <f t="shared" ca="1" si="109"/>
        <v>2</v>
      </c>
    </row>
    <row r="313" spans="1:37" x14ac:dyDescent="0.3">
      <c r="A313" t="s">
        <v>4750</v>
      </c>
      <c r="B313">
        <v>81</v>
      </c>
      <c r="C313" t="s">
        <v>32</v>
      </c>
      <c r="D313" t="s">
        <v>52</v>
      </c>
      <c r="E313" t="s">
        <v>76</v>
      </c>
      <c r="F313" s="1">
        <v>44577</v>
      </c>
      <c r="G313" t="s">
        <v>668</v>
      </c>
      <c r="H313" t="s">
        <v>669</v>
      </c>
      <c r="I313" t="s">
        <v>36</v>
      </c>
      <c r="J313">
        <v>7562</v>
      </c>
      <c r="K313">
        <v>471</v>
      </c>
      <c r="L313" t="s">
        <v>42</v>
      </c>
      <c r="M313" s="1">
        <v>44583</v>
      </c>
      <c r="N313" t="s">
        <v>30</v>
      </c>
      <c r="O313" t="s">
        <v>43</v>
      </c>
      <c r="P313" t="str">
        <f t="shared" si="92"/>
        <v>P0312</v>
      </c>
      <c r="Q313" t="str">
        <f t="shared" si="88"/>
        <v>Orthopedics</v>
      </c>
      <c r="R313">
        <f t="shared" si="89"/>
        <v>6</v>
      </c>
      <c r="S313" t="str">
        <f t="shared" ca="1" si="93"/>
        <v>No</v>
      </c>
      <c r="T313" t="str">
        <f t="shared" ca="1" si="94"/>
        <v>Mild</v>
      </c>
      <c r="U313" t="str">
        <f t="shared" ca="1" si="95"/>
        <v>ICU</v>
      </c>
      <c r="V313" t="str">
        <f t="shared" si="96"/>
        <v>BED0312</v>
      </c>
      <c r="W313" t="str">
        <f t="shared" ca="1" si="97"/>
        <v>ICU</v>
      </c>
      <c r="X313" t="str">
        <f t="shared" si="98"/>
        <v>NUR012</v>
      </c>
      <c r="Y313" t="str">
        <f t="shared" ca="1" si="99"/>
        <v>Morning</v>
      </c>
      <c r="Z313" t="str">
        <f t="shared" ca="1" si="100"/>
        <v>MRI Scanner</v>
      </c>
      <c r="AA313" t="str">
        <f t="shared" ca="1" si="101"/>
        <v>Available</v>
      </c>
      <c r="AB313" t="str">
        <f t="shared" ca="1" si="102"/>
        <v>Partially Paid</v>
      </c>
      <c r="AC313" t="str">
        <f t="shared" ca="1" si="103"/>
        <v>Credit Card</v>
      </c>
      <c r="AD313" t="str">
        <f t="shared" ca="1" si="104"/>
        <v>No</v>
      </c>
      <c r="AE313" t="str">
        <f t="shared" ca="1" si="105"/>
        <v>No</v>
      </c>
      <c r="AF313" t="str">
        <f t="shared" ca="1" si="106"/>
        <v>Under Observation</v>
      </c>
      <c r="AG313" t="str">
        <f t="shared" ca="1" si="107"/>
        <v>West Coast</v>
      </c>
      <c r="AH313" t="str">
        <f t="shared" si="90"/>
        <v>January</v>
      </c>
      <c r="AI313">
        <f t="shared" si="91"/>
        <v>2022</v>
      </c>
      <c r="AJ313" t="str">
        <f t="shared" ca="1" si="108"/>
        <v>Vacant</v>
      </c>
      <c r="AK313">
        <f t="shared" ca="1" si="109"/>
        <v>2</v>
      </c>
    </row>
    <row r="314" spans="1:37" x14ac:dyDescent="0.3">
      <c r="A314" t="s">
        <v>4751</v>
      </c>
      <c r="B314">
        <v>74</v>
      </c>
      <c r="C314" t="s">
        <v>32</v>
      </c>
      <c r="D314" t="s">
        <v>24</v>
      </c>
      <c r="E314" t="s">
        <v>48</v>
      </c>
      <c r="F314" s="1">
        <v>45113</v>
      </c>
      <c r="G314" t="s">
        <v>670</v>
      </c>
      <c r="H314" t="s">
        <v>671</v>
      </c>
      <c r="I314" t="s">
        <v>51</v>
      </c>
      <c r="J314">
        <v>386</v>
      </c>
      <c r="K314">
        <v>165</v>
      </c>
      <c r="L314" t="s">
        <v>42</v>
      </c>
      <c r="M314" s="1">
        <v>45141</v>
      </c>
      <c r="N314" t="s">
        <v>37</v>
      </c>
      <c r="O314" t="s">
        <v>23</v>
      </c>
      <c r="P314" t="str">
        <f t="shared" si="92"/>
        <v>P0313</v>
      </c>
      <c r="Q314" t="str">
        <f t="shared" si="88"/>
        <v>Pulmonology</v>
      </c>
      <c r="R314">
        <f t="shared" si="89"/>
        <v>28</v>
      </c>
      <c r="S314" t="str">
        <f t="shared" ca="1" si="93"/>
        <v>No</v>
      </c>
      <c r="T314" t="str">
        <f t="shared" ca="1" si="94"/>
        <v>Moderate</v>
      </c>
      <c r="U314" t="str">
        <f t="shared" ca="1" si="95"/>
        <v>Semi-Private</v>
      </c>
      <c r="V314" t="str">
        <f t="shared" si="96"/>
        <v>BED0313</v>
      </c>
      <c r="W314" t="str">
        <f t="shared" ca="1" si="97"/>
        <v>Semi-Private</v>
      </c>
      <c r="X314" t="str">
        <f t="shared" si="98"/>
        <v>NUR013</v>
      </c>
      <c r="Y314" t="str">
        <f t="shared" ca="1" si="99"/>
        <v>Night</v>
      </c>
      <c r="Z314" t="str">
        <f t="shared" ca="1" si="100"/>
        <v>Ventilator</v>
      </c>
      <c r="AA314" t="str">
        <f t="shared" ca="1" si="101"/>
        <v>In Use</v>
      </c>
      <c r="AB314" t="str">
        <f t="shared" ca="1" si="102"/>
        <v>Paid</v>
      </c>
      <c r="AC314" t="str">
        <f t="shared" ca="1" si="103"/>
        <v>Bank Transfer</v>
      </c>
      <c r="AD314" t="str">
        <f t="shared" ca="1" si="104"/>
        <v>No</v>
      </c>
      <c r="AE314" t="str">
        <f t="shared" ca="1" si="105"/>
        <v>No</v>
      </c>
      <c r="AF314" t="str">
        <f t="shared" ca="1" si="106"/>
        <v>Under Observation</v>
      </c>
      <c r="AG314" t="str">
        <f t="shared" ca="1" si="107"/>
        <v>Southwest</v>
      </c>
      <c r="AH314" t="str">
        <f t="shared" si="90"/>
        <v>July</v>
      </c>
      <c r="AI314">
        <f t="shared" si="91"/>
        <v>2023</v>
      </c>
      <c r="AJ314" t="str">
        <f t="shared" ca="1" si="108"/>
        <v>Occupied</v>
      </c>
      <c r="AK314">
        <f t="shared" ca="1" si="109"/>
        <v>4</v>
      </c>
    </row>
    <row r="315" spans="1:37" x14ac:dyDescent="0.3">
      <c r="A315" t="s">
        <v>4752</v>
      </c>
      <c r="B315">
        <v>75</v>
      </c>
      <c r="C315" t="s">
        <v>15</v>
      </c>
      <c r="D315" t="s">
        <v>38</v>
      </c>
      <c r="E315" t="s">
        <v>76</v>
      </c>
      <c r="F315" s="1">
        <v>44359</v>
      </c>
      <c r="G315" t="s">
        <v>672</v>
      </c>
      <c r="H315" t="s">
        <v>673</v>
      </c>
      <c r="I315" t="s">
        <v>57</v>
      </c>
      <c r="J315">
        <v>31492</v>
      </c>
      <c r="K315">
        <v>347</v>
      </c>
      <c r="L315" t="s">
        <v>21</v>
      </c>
      <c r="M315" s="1">
        <v>44362</v>
      </c>
      <c r="N315" t="s">
        <v>30</v>
      </c>
      <c r="O315" t="s">
        <v>43</v>
      </c>
      <c r="P315" t="str">
        <f t="shared" si="92"/>
        <v>P0314</v>
      </c>
      <c r="Q315" t="str">
        <f t="shared" si="88"/>
        <v>Orthopedics</v>
      </c>
      <c r="R315">
        <f t="shared" si="89"/>
        <v>3</v>
      </c>
      <c r="S315" t="str">
        <f t="shared" ca="1" si="93"/>
        <v>No</v>
      </c>
      <c r="T315" t="str">
        <f t="shared" ca="1" si="94"/>
        <v>Severe</v>
      </c>
      <c r="U315" t="str">
        <f t="shared" ca="1" si="95"/>
        <v>Semi-Private</v>
      </c>
      <c r="V315" t="str">
        <f t="shared" si="96"/>
        <v>BED0314</v>
      </c>
      <c r="W315" t="str">
        <f t="shared" ca="1" si="97"/>
        <v>Private</v>
      </c>
      <c r="X315" t="str">
        <f t="shared" si="98"/>
        <v>NUR014</v>
      </c>
      <c r="Y315" t="str">
        <f t="shared" ca="1" si="99"/>
        <v>Morning</v>
      </c>
      <c r="Z315" t="str">
        <f t="shared" ca="1" si="100"/>
        <v>Ventilator</v>
      </c>
      <c r="AA315" t="str">
        <f t="shared" ca="1" si="101"/>
        <v>Maintenance</v>
      </c>
      <c r="AB315" t="str">
        <f t="shared" ca="1" si="102"/>
        <v>Paid</v>
      </c>
      <c r="AC315" t="str">
        <f t="shared" ca="1" si="103"/>
        <v>Bank Transfer</v>
      </c>
      <c r="AD315" t="str">
        <f t="shared" ca="1" si="104"/>
        <v>No</v>
      </c>
      <c r="AE315" t="str">
        <f t="shared" ca="1" si="105"/>
        <v>No</v>
      </c>
      <c r="AF315" t="str">
        <f t="shared" ca="1" si="106"/>
        <v>Under Observation</v>
      </c>
      <c r="AG315" t="str">
        <f t="shared" ca="1" si="107"/>
        <v>West Coast</v>
      </c>
      <c r="AH315" t="str">
        <f t="shared" si="90"/>
        <v>June</v>
      </c>
      <c r="AI315">
        <f t="shared" si="91"/>
        <v>2021</v>
      </c>
      <c r="AJ315" t="str">
        <f t="shared" ca="1" si="108"/>
        <v>Vacant</v>
      </c>
      <c r="AK315">
        <f t="shared" ca="1" si="109"/>
        <v>1</v>
      </c>
    </row>
    <row r="316" spans="1:37" x14ac:dyDescent="0.3">
      <c r="A316" t="s">
        <v>4753</v>
      </c>
      <c r="B316">
        <v>74</v>
      </c>
      <c r="C316" t="s">
        <v>32</v>
      </c>
      <c r="D316" t="s">
        <v>44</v>
      </c>
      <c r="E316" t="s">
        <v>17</v>
      </c>
      <c r="F316" s="1">
        <v>43704</v>
      </c>
      <c r="G316" t="s">
        <v>674</v>
      </c>
      <c r="H316" t="s">
        <v>675</v>
      </c>
      <c r="I316" t="s">
        <v>51</v>
      </c>
      <c r="J316">
        <v>34224</v>
      </c>
      <c r="K316">
        <v>228</v>
      </c>
      <c r="L316" t="s">
        <v>42</v>
      </c>
      <c r="M316" s="1">
        <v>43709</v>
      </c>
      <c r="N316" t="s">
        <v>67</v>
      </c>
      <c r="O316" t="s">
        <v>43</v>
      </c>
      <c r="P316" t="str">
        <f t="shared" si="92"/>
        <v>P0315</v>
      </c>
      <c r="Q316" t="str">
        <f t="shared" si="88"/>
        <v>Oncology</v>
      </c>
      <c r="R316">
        <f t="shared" si="89"/>
        <v>5</v>
      </c>
      <c r="S316" t="str">
        <f t="shared" ca="1" si="93"/>
        <v>Yes</v>
      </c>
      <c r="T316" t="str">
        <f t="shared" ca="1" si="94"/>
        <v>Severe</v>
      </c>
      <c r="U316" t="str">
        <f t="shared" ca="1" si="95"/>
        <v>Private Ward</v>
      </c>
      <c r="V316" t="str">
        <f t="shared" si="96"/>
        <v>BED0315</v>
      </c>
      <c r="W316" t="str">
        <f t="shared" ca="1" si="97"/>
        <v>Semi-Private</v>
      </c>
      <c r="X316" t="str">
        <f t="shared" si="98"/>
        <v>NUR015</v>
      </c>
      <c r="Y316" t="str">
        <f t="shared" ca="1" si="99"/>
        <v>Night</v>
      </c>
      <c r="Z316" t="str">
        <f t="shared" ca="1" si="100"/>
        <v>X-Ray</v>
      </c>
      <c r="AA316" t="str">
        <f t="shared" ca="1" si="101"/>
        <v>Available</v>
      </c>
      <c r="AB316" t="str">
        <f t="shared" ca="1" si="102"/>
        <v>Partially Paid</v>
      </c>
      <c r="AC316" t="str">
        <f t="shared" ca="1" si="103"/>
        <v>Insurance</v>
      </c>
      <c r="AD316" t="str">
        <f t="shared" ca="1" si="104"/>
        <v>Yes</v>
      </c>
      <c r="AE316" t="str">
        <f t="shared" ca="1" si="105"/>
        <v>No</v>
      </c>
      <c r="AF316" t="str">
        <f t="shared" ca="1" si="106"/>
        <v>Recovered</v>
      </c>
      <c r="AG316" t="str">
        <f t="shared" ca="1" si="107"/>
        <v>Midwest</v>
      </c>
      <c r="AH316" t="str">
        <f t="shared" si="90"/>
        <v>August</v>
      </c>
      <c r="AI316">
        <f t="shared" si="91"/>
        <v>2019</v>
      </c>
      <c r="AJ316" t="str">
        <f t="shared" ca="1" si="108"/>
        <v>Occupied</v>
      </c>
      <c r="AK316">
        <f t="shared" ca="1" si="109"/>
        <v>1</v>
      </c>
    </row>
    <row r="317" spans="1:37" x14ac:dyDescent="0.3">
      <c r="A317" t="s">
        <v>4754</v>
      </c>
      <c r="B317">
        <v>28</v>
      </c>
      <c r="C317" t="s">
        <v>32</v>
      </c>
      <c r="D317" t="s">
        <v>52</v>
      </c>
      <c r="E317" t="s">
        <v>39</v>
      </c>
      <c r="F317" s="1">
        <v>44698</v>
      </c>
      <c r="G317" t="s">
        <v>676</v>
      </c>
      <c r="H317" t="s">
        <v>677</v>
      </c>
      <c r="I317" t="s">
        <v>28</v>
      </c>
      <c r="J317">
        <v>23674</v>
      </c>
      <c r="K317">
        <v>354</v>
      </c>
      <c r="L317" t="s">
        <v>21</v>
      </c>
      <c r="M317" s="1">
        <v>44724</v>
      </c>
      <c r="N317" t="s">
        <v>30</v>
      </c>
      <c r="O317" t="s">
        <v>43</v>
      </c>
      <c r="P317" t="str">
        <f t="shared" si="92"/>
        <v>P0316</v>
      </c>
      <c r="Q317" t="str">
        <f t="shared" si="88"/>
        <v>Endocrinology</v>
      </c>
      <c r="R317">
        <f t="shared" si="89"/>
        <v>26</v>
      </c>
      <c r="S317" t="str">
        <f t="shared" ca="1" si="93"/>
        <v>No</v>
      </c>
      <c r="T317" t="str">
        <f t="shared" ca="1" si="94"/>
        <v>Critical</v>
      </c>
      <c r="U317" t="str">
        <f t="shared" ca="1" si="95"/>
        <v>Semi-Private</v>
      </c>
      <c r="V317" t="str">
        <f t="shared" si="96"/>
        <v>BED0316</v>
      </c>
      <c r="W317" t="str">
        <f t="shared" ca="1" si="97"/>
        <v>Semi-Private</v>
      </c>
      <c r="X317" t="str">
        <f t="shared" si="98"/>
        <v>NUR016</v>
      </c>
      <c r="Y317" t="str">
        <f t="shared" ca="1" si="99"/>
        <v>Morning</v>
      </c>
      <c r="Z317" t="str">
        <f t="shared" ca="1" si="100"/>
        <v>ECG Machine</v>
      </c>
      <c r="AA317" t="str">
        <f t="shared" ca="1" si="101"/>
        <v>Available</v>
      </c>
      <c r="AB317" t="str">
        <f t="shared" ca="1" si="102"/>
        <v>Paid</v>
      </c>
      <c r="AC317" t="str">
        <f t="shared" ca="1" si="103"/>
        <v>Bank Transfer</v>
      </c>
      <c r="AD317" t="str">
        <f t="shared" ca="1" si="104"/>
        <v>Yes</v>
      </c>
      <c r="AE317" t="str">
        <f t="shared" ca="1" si="105"/>
        <v>No</v>
      </c>
      <c r="AF317" t="str">
        <f t="shared" ca="1" si="106"/>
        <v>Under Observation</v>
      </c>
      <c r="AG317" t="str">
        <f t="shared" ca="1" si="107"/>
        <v>Midwest</v>
      </c>
      <c r="AH317" t="str">
        <f t="shared" si="90"/>
        <v>May</v>
      </c>
      <c r="AI317">
        <f t="shared" si="91"/>
        <v>2022</v>
      </c>
      <c r="AJ317" t="str">
        <f t="shared" ca="1" si="108"/>
        <v>Occupied</v>
      </c>
      <c r="AK317">
        <f t="shared" ca="1" si="109"/>
        <v>1</v>
      </c>
    </row>
    <row r="318" spans="1:37" x14ac:dyDescent="0.3">
      <c r="A318" t="s">
        <v>4755</v>
      </c>
      <c r="B318">
        <v>35</v>
      </c>
      <c r="C318" t="s">
        <v>15</v>
      </c>
      <c r="D318" t="s">
        <v>44</v>
      </c>
      <c r="E318" t="s">
        <v>64</v>
      </c>
      <c r="F318" s="1">
        <v>44106</v>
      </c>
      <c r="G318" t="s">
        <v>678</v>
      </c>
      <c r="H318" t="s">
        <v>679</v>
      </c>
      <c r="I318" t="s">
        <v>51</v>
      </c>
      <c r="J318">
        <v>40302</v>
      </c>
      <c r="K318">
        <v>250</v>
      </c>
      <c r="L318" t="s">
        <v>42</v>
      </c>
      <c r="M318" s="1">
        <v>44121</v>
      </c>
      <c r="N318" t="s">
        <v>30</v>
      </c>
      <c r="O318" t="s">
        <v>31</v>
      </c>
      <c r="P318" t="str">
        <f t="shared" si="92"/>
        <v>P0317</v>
      </c>
      <c r="Q318" t="str">
        <f t="shared" si="88"/>
        <v>Cardiology</v>
      </c>
      <c r="R318">
        <f t="shared" si="89"/>
        <v>15</v>
      </c>
      <c r="S318" t="str">
        <f t="shared" ca="1" si="93"/>
        <v>No</v>
      </c>
      <c r="T318" t="str">
        <f t="shared" ca="1" si="94"/>
        <v>Moderate</v>
      </c>
      <c r="U318" t="str">
        <f t="shared" ca="1" si="95"/>
        <v>General Ward</v>
      </c>
      <c r="V318" t="str">
        <f t="shared" si="96"/>
        <v>BED0317</v>
      </c>
      <c r="W318" t="str">
        <f t="shared" ca="1" si="97"/>
        <v>Private</v>
      </c>
      <c r="X318" t="str">
        <f t="shared" si="98"/>
        <v>NUR017</v>
      </c>
      <c r="Y318" t="str">
        <f t="shared" ca="1" si="99"/>
        <v>Morning</v>
      </c>
      <c r="Z318" t="str">
        <f t="shared" ca="1" si="100"/>
        <v>Ventilator</v>
      </c>
      <c r="AA318" t="str">
        <f t="shared" ca="1" si="101"/>
        <v>Maintenance</v>
      </c>
      <c r="AB318" t="str">
        <f t="shared" ca="1" si="102"/>
        <v>Pending</v>
      </c>
      <c r="AC318" t="str">
        <f t="shared" ca="1" si="103"/>
        <v>Bank Transfer</v>
      </c>
      <c r="AD318" t="str">
        <f t="shared" ca="1" si="104"/>
        <v>No</v>
      </c>
      <c r="AE318" t="str">
        <f t="shared" ca="1" si="105"/>
        <v>Yes</v>
      </c>
      <c r="AF318" t="str">
        <f t="shared" ca="1" si="106"/>
        <v>Recovered</v>
      </c>
      <c r="AG318" t="str">
        <f t="shared" ca="1" si="107"/>
        <v>Southwest</v>
      </c>
      <c r="AH318" t="str">
        <f t="shared" si="90"/>
        <v>October</v>
      </c>
      <c r="AI318">
        <f t="shared" si="91"/>
        <v>2020</v>
      </c>
      <c r="AJ318" t="str">
        <f t="shared" ca="1" si="108"/>
        <v>Occupied</v>
      </c>
      <c r="AK318">
        <f t="shared" ca="1" si="109"/>
        <v>4</v>
      </c>
    </row>
    <row r="319" spans="1:37" x14ac:dyDescent="0.3">
      <c r="A319" t="s">
        <v>4756</v>
      </c>
      <c r="B319">
        <v>79</v>
      </c>
      <c r="C319" t="s">
        <v>32</v>
      </c>
      <c r="D319" t="s">
        <v>38</v>
      </c>
      <c r="E319" t="s">
        <v>48</v>
      </c>
      <c r="F319" s="1">
        <v>44428</v>
      </c>
      <c r="G319" t="s">
        <v>680</v>
      </c>
      <c r="H319" t="s">
        <v>681</v>
      </c>
      <c r="I319" t="s">
        <v>28</v>
      </c>
      <c r="J319">
        <v>37116</v>
      </c>
      <c r="K319">
        <v>225</v>
      </c>
      <c r="L319" t="s">
        <v>42</v>
      </c>
      <c r="M319" s="1">
        <v>44455</v>
      </c>
      <c r="N319" t="s">
        <v>67</v>
      </c>
      <c r="O319" t="s">
        <v>43</v>
      </c>
      <c r="P319" t="str">
        <f t="shared" si="92"/>
        <v>P0318</v>
      </c>
      <c r="Q319" t="str">
        <f t="shared" si="88"/>
        <v>Pulmonology</v>
      </c>
      <c r="R319">
        <f t="shared" si="89"/>
        <v>27</v>
      </c>
      <c r="S319" t="str">
        <f t="shared" ca="1" si="93"/>
        <v>No</v>
      </c>
      <c r="T319" t="str">
        <f t="shared" ca="1" si="94"/>
        <v>Mild</v>
      </c>
      <c r="U319" t="str">
        <f t="shared" ca="1" si="95"/>
        <v>Private Ward</v>
      </c>
      <c r="V319" t="str">
        <f t="shared" si="96"/>
        <v>BED0318</v>
      </c>
      <c r="W319" t="str">
        <f t="shared" ca="1" si="97"/>
        <v>ICU</v>
      </c>
      <c r="X319" t="str">
        <f t="shared" si="98"/>
        <v>NUR018</v>
      </c>
      <c r="Y319" t="str">
        <f t="shared" ca="1" si="99"/>
        <v>Evening</v>
      </c>
      <c r="Z319" t="str">
        <f t="shared" ca="1" si="100"/>
        <v>ECG Machine</v>
      </c>
      <c r="AA319" t="str">
        <f t="shared" ca="1" si="101"/>
        <v>Available</v>
      </c>
      <c r="AB319" t="str">
        <f t="shared" ca="1" si="102"/>
        <v>Partially Paid</v>
      </c>
      <c r="AC319" t="str">
        <f t="shared" ca="1" si="103"/>
        <v>Credit Card</v>
      </c>
      <c r="AD319" t="str">
        <f t="shared" ca="1" si="104"/>
        <v>No</v>
      </c>
      <c r="AE319" t="str">
        <f t="shared" ca="1" si="105"/>
        <v>No</v>
      </c>
      <c r="AF319" t="str">
        <f t="shared" ca="1" si="106"/>
        <v>Under Observation</v>
      </c>
      <c r="AG319" t="str">
        <f t="shared" ca="1" si="107"/>
        <v>Northeast</v>
      </c>
      <c r="AH319" t="str">
        <f t="shared" si="90"/>
        <v>August</v>
      </c>
      <c r="AI319">
        <f t="shared" si="91"/>
        <v>2021</v>
      </c>
      <c r="AJ319" t="str">
        <f t="shared" ca="1" si="108"/>
        <v>Occupied</v>
      </c>
      <c r="AK319">
        <f t="shared" ca="1" si="109"/>
        <v>2</v>
      </c>
    </row>
    <row r="320" spans="1:37" x14ac:dyDescent="0.3">
      <c r="A320" t="s">
        <v>4757</v>
      </c>
      <c r="B320">
        <v>59</v>
      </c>
      <c r="C320" t="s">
        <v>32</v>
      </c>
      <c r="D320" t="s">
        <v>98</v>
      </c>
      <c r="E320" t="s">
        <v>48</v>
      </c>
      <c r="F320" s="1">
        <v>43774</v>
      </c>
      <c r="G320" t="s">
        <v>682</v>
      </c>
      <c r="H320" t="s">
        <v>683</v>
      </c>
      <c r="I320" t="s">
        <v>36</v>
      </c>
      <c r="J320">
        <v>38607</v>
      </c>
      <c r="K320">
        <v>357</v>
      </c>
      <c r="L320" t="s">
        <v>42</v>
      </c>
      <c r="M320" s="1">
        <v>43786</v>
      </c>
      <c r="N320" t="s">
        <v>37</v>
      </c>
      <c r="O320" t="s">
        <v>31</v>
      </c>
      <c r="P320" t="str">
        <f t="shared" si="92"/>
        <v>P0319</v>
      </c>
      <c r="Q320" t="str">
        <f t="shared" si="88"/>
        <v>Pulmonology</v>
      </c>
      <c r="R320">
        <f t="shared" si="89"/>
        <v>12</v>
      </c>
      <c r="S320" t="str">
        <f t="shared" ca="1" si="93"/>
        <v>No</v>
      </c>
      <c r="T320" t="str">
        <f t="shared" ca="1" si="94"/>
        <v>Moderate</v>
      </c>
      <c r="U320" t="str">
        <f t="shared" ca="1" si="95"/>
        <v>Emergency</v>
      </c>
      <c r="V320" t="str">
        <f t="shared" si="96"/>
        <v>BED0319</v>
      </c>
      <c r="W320" t="str">
        <f t="shared" ca="1" si="97"/>
        <v>General</v>
      </c>
      <c r="X320" t="str">
        <f t="shared" si="98"/>
        <v>NUR019</v>
      </c>
      <c r="Y320" t="str">
        <f t="shared" ca="1" si="99"/>
        <v>Night</v>
      </c>
      <c r="Z320" t="str">
        <f t="shared" ca="1" si="100"/>
        <v>CT Scanner</v>
      </c>
      <c r="AA320" t="str">
        <f t="shared" ca="1" si="101"/>
        <v>In Use</v>
      </c>
      <c r="AB320" t="str">
        <f t="shared" ca="1" si="102"/>
        <v>Partially Paid</v>
      </c>
      <c r="AC320" t="str">
        <f t="shared" ca="1" si="103"/>
        <v>Debit Card</v>
      </c>
      <c r="AD320" t="str">
        <f t="shared" ca="1" si="104"/>
        <v>Yes</v>
      </c>
      <c r="AE320" t="str">
        <f t="shared" ca="1" si="105"/>
        <v>No</v>
      </c>
      <c r="AF320" t="str">
        <f t="shared" ca="1" si="106"/>
        <v>Recovered</v>
      </c>
      <c r="AG320" t="str">
        <f t="shared" ca="1" si="107"/>
        <v>Southeast</v>
      </c>
      <c r="AH320" t="str">
        <f t="shared" si="90"/>
        <v>November</v>
      </c>
      <c r="AI320">
        <f t="shared" si="91"/>
        <v>2019</v>
      </c>
      <c r="AJ320" t="str">
        <f t="shared" ca="1" si="108"/>
        <v>Occupied</v>
      </c>
      <c r="AK320">
        <f t="shared" ca="1" si="109"/>
        <v>1</v>
      </c>
    </row>
    <row r="321" spans="1:37" x14ac:dyDescent="0.3">
      <c r="A321" t="s">
        <v>4758</v>
      </c>
      <c r="B321">
        <v>84</v>
      </c>
      <c r="C321" t="s">
        <v>32</v>
      </c>
      <c r="D321" t="s">
        <v>98</v>
      </c>
      <c r="E321" t="s">
        <v>76</v>
      </c>
      <c r="F321" s="1">
        <v>45328</v>
      </c>
      <c r="G321" t="s">
        <v>684</v>
      </c>
      <c r="H321" t="s">
        <v>685</v>
      </c>
      <c r="I321" t="s">
        <v>57</v>
      </c>
      <c r="J321">
        <v>17814</v>
      </c>
      <c r="K321">
        <v>140</v>
      </c>
      <c r="L321" t="s">
        <v>29</v>
      </c>
      <c r="M321" s="1">
        <v>45350</v>
      </c>
      <c r="N321" t="s">
        <v>47</v>
      </c>
      <c r="O321" t="s">
        <v>31</v>
      </c>
      <c r="P321" t="str">
        <f t="shared" si="92"/>
        <v>P0320</v>
      </c>
      <c r="Q321" t="str">
        <f t="shared" si="88"/>
        <v>Orthopedics</v>
      </c>
      <c r="R321">
        <f t="shared" si="89"/>
        <v>22</v>
      </c>
      <c r="S321" t="str">
        <f t="shared" ca="1" si="93"/>
        <v>No</v>
      </c>
      <c r="T321" t="str">
        <f t="shared" ca="1" si="94"/>
        <v>Mild</v>
      </c>
      <c r="U321" t="str">
        <f t="shared" ca="1" si="95"/>
        <v>Semi-Private</v>
      </c>
      <c r="V321" t="str">
        <f t="shared" si="96"/>
        <v>BED0320</v>
      </c>
      <c r="W321" t="str">
        <f t="shared" ca="1" si="97"/>
        <v>ICU</v>
      </c>
      <c r="X321" t="str">
        <f t="shared" si="98"/>
        <v>NUR020</v>
      </c>
      <c r="Y321" t="str">
        <f t="shared" ca="1" si="99"/>
        <v>Evening</v>
      </c>
      <c r="Z321" t="str">
        <f t="shared" ca="1" si="100"/>
        <v>Ventilator</v>
      </c>
      <c r="AA321" t="str">
        <f t="shared" ca="1" si="101"/>
        <v>Maintenance</v>
      </c>
      <c r="AB321" t="str">
        <f t="shared" ca="1" si="102"/>
        <v>Pending</v>
      </c>
      <c r="AC321" t="str">
        <f t="shared" ca="1" si="103"/>
        <v>Credit Card</v>
      </c>
      <c r="AD321" t="str">
        <f t="shared" ca="1" si="104"/>
        <v>No</v>
      </c>
      <c r="AE321" t="str">
        <f t="shared" ca="1" si="105"/>
        <v>No</v>
      </c>
      <c r="AF321" t="str">
        <f t="shared" ca="1" si="106"/>
        <v>Under Observation</v>
      </c>
      <c r="AG321" t="str">
        <f t="shared" ca="1" si="107"/>
        <v>West Coast</v>
      </c>
      <c r="AH321" t="str">
        <f t="shared" si="90"/>
        <v>February</v>
      </c>
      <c r="AI321">
        <f t="shared" si="91"/>
        <v>2024</v>
      </c>
      <c r="AJ321" t="str">
        <f t="shared" ca="1" si="108"/>
        <v>Occupied</v>
      </c>
      <c r="AK321">
        <f t="shared" ca="1" si="109"/>
        <v>1</v>
      </c>
    </row>
    <row r="322" spans="1:37" x14ac:dyDescent="0.3">
      <c r="A322" t="s">
        <v>4759</v>
      </c>
      <c r="B322">
        <v>36</v>
      </c>
      <c r="C322" t="s">
        <v>32</v>
      </c>
      <c r="D322" t="s">
        <v>98</v>
      </c>
      <c r="E322" t="s">
        <v>48</v>
      </c>
      <c r="F322" s="1">
        <v>45329</v>
      </c>
      <c r="G322" t="s">
        <v>686</v>
      </c>
      <c r="H322" t="s">
        <v>687</v>
      </c>
      <c r="I322" t="s">
        <v>36</v>
      </c>
      <c r="J322">
        <v>20773</v>
      </c>
      <c r="K322">
        <v>352</v>
      </c>
      <c r="L322" t="s">
        <v>21</v>
      </c>
      <c r="M322" s="1">
        <v>45343</v>
      </c>
      <c r="N322" t="s">
        <v>30</v>
      </c>
      <c r="O322" t="s">
        <v>23</v>
      </c>
      <c r="P322" t="str">
        <f t="shared" si="92"/>
        <v>P0321</v>
      </c>
      <c r="Q322" t="str">
        <f t="shared" ref="Q322:Q385" si="110">IF(E322="Cancer","Oncology",IF(E322="Obesity","Nutrition",IF(E322="Diabetes","Endocrinology",IF(E322="Asthma","Pulmonology",IF(E322="Arthritis","Orthopedics",IF(E322="Hypertension","Cardiology","General Medicine"))))))</f>
        <v>Pulmonology</v>
      </c>
      <c r="R322">
        <f t="shared" ref="R322:R385" si="111">M322-F322</f>
        <v>14</v>
      </c>
      <c r="S322" t="str">
        <f t="shared" ca="1" si="93"/>
        <v>No</v>
      </c>
      <c r="T322" t="str">
        <f t="shared" ca="1" si="94"/>
        <v>Severe</v>
      </c>
      <c r="U322" t="str">
        <f t="shared" ca="1" si="95"/>
        <v>Private Ward</v>
      </c>
      <c r="V322" t="str">
        <f t="shared" si="96"/>
        <v>BED0321</v>
      </c>
      <c r="W322" t="str">
        <f t="shared" ca="1" si="97"/>
        <v>Semi-Private</v>
      </c>
      <c r="X322" t="str">
        <f t="shared" si="98"/>
        <v>NUR021</v>
      </c>
      <c r="Y322" t="str">
        <f t="shared" ca="1" si="99"/>
        <v>Night</v>
      </c>
      <c r="Z322" t="str">
        <f t="shared" ca="1" si="100"/>
        <v>MRI Scanner</v>
      </c>
      <c r="AA322" t="str">
        <f t="shared" ca="1" si="101"/>
        <v>In Use</v>
      </c>
      <c r="AB322" t="str">
        <f t="shared" ca="1" si="102"/>
        <v>Pending</v>
      </c>
      <c r="AC322" t="str">
        <f t="shared" ca="1" si="103"/>
        <v>Bank Transfer</v>
      </c>
      <c r="AD322" t="str">
        <f t="shared" ca="1" si="104"/>
        <v>No</v>
      </c>
      <c r="AE322" t="str">
        <f t="shared" ca="1" si="105"/>
        <v>No</v>
      </c>
      <c r="AF322" t="str">
        <f t="shared" ca="1" si="106"/>
        <v>Recovered</v>
      </c>
      <c r="AG322" t="str">
        <f t="shared" ca="1" si="107"/>
        <v>Northeast</v>
      </c>
      <c r="AH322" t="str">
        <f t="shared" ref="AH322:AH385" si="112">TEXT(F322,"MMMM")</f>
        <v>February</v>
      </c>
      <c r="AI322">
        <f t="shared" ref="AI322:AI385" si="113">YEAR(F322)</f>
        <v>2024</v>
      </c>
      <c r="AJ322" t="str">
        <f t="shared" ca="1" si="108"/>
        <v>Vacant</v>
      </c>
      <c r="AK322">
        <f t="shared" ca="1" si="109"/>
        <v>1</v>
      </c>
    </row>
    <row r="323" spans="1:37" x14ac:dyDescent="0.3">
      <c r="A323" t="s">
        <v>2573</v>
      </c>
      <c r="B323">
        <v>69</v>
      </c>
      <c r="C323" t="s">
        <v>15</v>
      </c>
      <c r="D323" t="s">
        <v>38</v>
      </c>
      <c r="E323" t="s">
        <v>76</v>
      </c>
      <c r="F323" s="1">
        <v>45099</v>
      </c>
      <c r="G323" t="s">
        <v>688</v>
      </c>
      <c r="H323" t="s">
        <v>689</v>
      </c>
      <c r="I323" t="s">
        <v>20</v>
      </c>
      <c r="J323">
        <v>9610</v>
      </c>
      <c r="K323">
        <v>404</v>
      </c>
      <c r="L323" t="s">
        <v>21</v>
      </c>
      <c r="M323" s="1">
        <v>45118</v>
      </c>
      <c r="N323" t="s">
        <v>67</v>
      </c>
      <c r="O323" t="s">
        <v>23</v>
      </c>
      <c r="P323" t="str">
        <f t="shared" ref="P323:P386" si="114">"P"&amp;TEXT(ROW()-1,"0000")</f>
        <v>P0322</v>
      </c>
      <c r="Q323" t="str">
        <f t="shared" si="110"/>
        <v>Orthopedics</v>
      </c>
      <c r="R323">
        <f t="shared" si="111"/>
        <v>19</v>
      </c>
      <c r="S323" t="str">
        <f t="shared" ref="S323:S386" ca="1" si="115">IF(RAND()&lt;0.1,"Yes","No")</f>
        <v>No</v>
      </c>
      <c r="T323" t="str">
        <f t="shared" ref="T323:T386" ca="1" si="116">CHOOSE(RANDBETWEEN(1,4),"Mild","Moderate","Severe","Critical")</f>
        <v>Critical</v>
      </c>
      <c r="U323" t="str">
        <f t="shared" ref="U323:U386" ca="1" si="117">CHOOSE(RANDBETWEEN(1,5),"General Ward","ICU","Emergency","Private Ward","Semi-Private")</f>
        <v>Emergency</v>
      </c>
      <c r="V323" t="str">
        <f t="shared" ref="V323:V386" si="118">"BED"&amp;TEXT(ROW()-1,"0000")</f>
        <v>BED0322</v>
      </c>
      <c r="W323" t="str">
        <f t="shared" ref="W323:W386" ca="1" si="119">CHOOSE(RANDBETWEEN(1,4),"General","Private","Semi-Private","ICU")</f>
        <v>ICU</v>
      </c>
      <c r="X323" t="str">
        <f t="shared" ref="X323:X386" si="120">"NUR"&amp;TEXT(MOD(ROW()-2,50)+1,"000")</f>
        <v>NUR022</v>
      </c>
      <c r="Y323" t="str">
        <f t="shared" ref="Y323:Y386" ca="1" si="121">CHOOSE(RANDBETWEEN(1,3),"Morning","Evening","Night")</f>
        <v>Morning</v>
      </c>
      <c r="Z323" t="str">
        <f t="shared" ref="Z323:Z386" ca="1" si="122">CHOOSE(RANDBETWEEN(1,6),"MRI Scanner","CT Scanner","Ventilator","X-Ray","ECG Machine","Ultrasound")</f>
        <v>X-Ray</v>
      </c>
      <c r="AA323" t="str">
        <f t="shared" ref="AA323:AA386" ca="1" si="123">CHOOSE(RANDBETWEEN(1,3),"Available","In Use","Maintenance")</f>
        <v>In Use</v>
      </c>
      <c r="AB323" t="str">
        <f t="shared" ref="AB323:AB386" ca="1" si="124">CHOOSE(RANDBETWEEN(1,3),"Paid","Pending","Partially Paid")</f>
        <v>Partially Paid</v>
      </c>
      <c r="AC323" t="str">
        <f t="shared" ref="AC323:AC386" ca="1" si="125">CHOOSE(RANDBETWEEN(1,5),"Cash","Credit Card","Debit Card","Insurance","Bank Transfer")</f>
        <v>Insurance</v>
      </c>
      <c r="AD323" t="str">
        <f t="shared" ref="AD323:AD386" ca="1" si="126">IF(RAND()&lt;0.2,"Yes","No")</f>
        <v>Yes</v>
      </c>
      <c r="AE323" t="str">
        <f t="shared" ref="AE323:AE386" ca="1" si="127">IF(RAND()&lt;0.15,"Yes","No")</f>
        <v>No</v>
      </c>
      <c r="AF323" t="str">
        <f t="shared" ref="AF323:AF386" ca="1" si="128">CHOOSE(RANDBETWEEN(1,3),"Recovered","Transferred","Under Observation")</f>
        <v>Recovered</v>
      </c>
      <c r="AG323" t="str">
        <f t="shared" ref="AG323:AG386" ca="1" si="129">CHOOSE(RANDBETWEEN(1,5),"Northeast","Southeast","Midwest","Southwest","West Coast")</f>
        <v>Southwest</v>
      </c>
      <c r="AH323" t="str">
        <f t="shared" si="112"/>
        <v>June</v>
      </c>
      <c r="AI323">
        <f t="shared" si="113"/>
        <v>2023</v>
      </c>
      <c r="AJ323" t="str">
        <f t="shared" ref="AJ323:AJ386" ca="1" si="130">IF(RANDBETWEEN(1,100)&lt;=80,"Occupied","Vacant")</f>
        <v>Occupied</v>
      </c>
      <c r="AK323">
        <f t="shared" ref="AK323:AK386" ca="1" si="131">CHOOSE(RANDBETWEEN(1,3),1,2,4)</f>
        <v>1</v>
      </c>
    </row>
    <row r="324" spans="1:37" x14ac:dyDescent="0.3">
      <c r="A324" t="s">
        <v>4760</v>
      </c>
      <c r="B324">
        <v>54</v>
      </c>
      <c r="C324" t="s">
        <v>15</v>
      </c>
      <c r="D324" t="s">
        <v>33</v>
      </c>
      <c r="E324" t="s">
        <v>17</v>
      </c>
      <c r="F324" s="1">
        <v>44154</v>
      </c>
      <c r="G324" t="s">
        <v>690</v>
      </c>
      <c r="H324" t="s">
        <v>691</v>
      </c>
      <c r="I324" t="s">
        <v>20</v>
      </c>
      <c r="J324">
        <v>3771</v>
      </c>
      <c r="K324">
        <v>426</v>
      </c>
      <c r="L324" t="s">
        <v>21</v>
      </c>
      <c r="M324" s="1">
        <v>44162</v>
      </c>
      <c r="N324" t="s">
        <v>47</v>
      </c>
      <c r="O324" t="s">
        <v>43</v>
      </c>
      <c r="P324" t="str">
        <f t="shared" si="114"/>
        <v>P0323</v>
      </c>
      <c r="Q324" t="str">
        <f t="shared" si="110"/>
        <v>Oncology</v>
      </c>
      <c r="R324">
        <f t="shared" si="111"/>
        <v>8</v>
      </c>
      <c r="S324" t="str">
        <f t="shared" ca="1" si="115"/>
        <v>No</v>
      </c>
      <c r="T324" t="str">
        <f t="shared" ca="1" si="116"/>
        <v>Mild</v>
      </c>
      <c r="U324" t="str">
        <f t="shared" ca="1" si="117"/>
        <v>General Ward</v>
      </c>
      <c r="V324" t="str">
        <f t="shared" si="118"/>
        <v>BED0323</v>
      </c>
      <c r="W324" t="str">
        <f t="shared" ca="1" si="119"/>
        <v>General</v>
      </c>
      <c r="X324" t="str">
        <f t="shared" si="120"/>
        <v>NUR023</v>
      </c>
      <c r="Y324" t="str">
        <f t="shared" ca="1" si="121"/>
        <v>Morning</v>
      </c>
      <c r="Z324" t="str">
        <f t="shared" ca="1" si="122"/>
        <v>Ultrasound</v>
      </c>
      <c r="AA324" t="str">
        <f t="shared" ca="1" si="123"/>
        <v>Maintenance</v>
      </c>
      <c r="AB324" t="str">
        <f t="shared" ca="1" si="124"/>
        <v>Paid</v>
      </c>
      <c r="AC324" t="str">
        <f t="shared" ca="1" si="125"/>
        <v>Cash</v>
      </c>
      <c r="AD324" t="str">
        <f t="shared" ca="1" si="126"/>
        <v>No</v>
      </c>
      <c r="AE324" t="str">
        <f t="shared" ca="1" si="127"/>
        <v>No</v>
      </c>
      <c r="AF324" t="str">
        <f t="shared" ca="1" si="128"/>
        <v>Transferred</v>
      </c>
      <c r="AG324" t="str">
        <f t="shared" ca="1" si="129"/>
        <v>West Coast</v>
      </c>
      <c r="AH324" t="str">
        <f t="shared" si="112"/>
        <v>November</v>
      </c>
      <c r="AI324">
        <f t="shared" si="113"/>
        <v>2020</v>
      </c>
      <c r="AJ324" t="str">
        <f t="shared" ca="1" si="130"/>
        <v>Occupied</v>
      </c>
      <c r="AK324">
        <f t="shared" ca="1" si="131"/>
        <v>1</v>
      </c>
    </row>
    <row r="325" spans="1:37" x14ac:dyDescent="0.3">
      <c r="A325" t="s">
        <v>4761</v>
      </c>
      <c r="B325">
        <v>30</v>
      </c>
      <c r="C325" t="s">
        <v>32</v>
      </c>
      <c r="D325" t="s">
        <v>38</v>
      </c>
      <c r="E325" t="s">
        <v>48</v>
      </c>
      <c r="F325" s="1">
        <v>44524</v>
      </c>
      <c r="G325" t="s">
        <v>692</v>
      </c>
      <c r="H325" t="s">
        <v>693</v>
      </c>
      <c r="I325" t="s">
        <v>28</v>
      </c>
      <c r="J325">
        <v>51588</v>
      </c>
      <c r="K325">
        <v>236</v>
      </c>
      <c r="L325" t="s">
        <v>29</v>
      </c>
      <c r="M325" s="1">
        <v>44537</v>
      </c>
      <c r="N325" t="s">
        <v>30</v>
      </c>
      <c r="O325" t="s">
        <v>43</v>
      </c>
      <c r="P325" t="str">
        <f t="shared" si="114"/>
        <v>P0324</v>
      </c>
      <c r="Q325" t="str">
        <f t="shared" si="110"/>
        <v>Pulmonology</v>
      </c>
      <c r="R325">
        <f t="shared" si="111"/>
        <v>13</v>
      </c>
      <c r="S325" t="str">
        <f t="shared" ca="1" si="115"/>
        <v>No</v>
      </c>
      <c r="T325" t="str">
        <f t="shared" ca="1" si="116"/>
        <v>Severe</v>
      </c>
      <c r="U325" t="str">
        <f t="shared" ca="1" si="117"/>
        <v>ICU</v>
      </c>
      <c r="V325" t="str">
        <f t="shared" si="118"/>
        <v>BED0324</v>
      </c>
      <c r="W325" t="str">
        <f t="shared" ca="1" si="119"/>
        <v>ICU</v>
      </c>
      <c r="X325" t="str">
        <f t="shared" si="120"/>
        <v>NUR024</v>
      </c>
      <c r="Y325" t="str">
        <f t="shared" ca="1" si="121"/>
        <v>Morning</v>
      </c>
      <c r="Z325" t="str">
        <f t="shared" ca="1" si="122"/>
        <v>CT Scanner</v>
      </c>
      <c r="AA325" t="str">
        <f t="shared" ca="1" si="123"/>
        <v>Available</v>
      </c>
      <c r="AB325" t="str">
        <f t="shared" ca="1" si="124"/>
        <v>Partially Paid</v>
      </c>
      <c r="AC325" t="str">
        <f t="shared" ca="1" si="125"/>
        <v>Credit Card</v>
      </c>
      <c r="AD325" t="str">
        <f t="shared" ca="1" si="126"/>
        <v>No</v>
      </c>
      <c r="AE325" t="str">
        <f t="shared" ca="1" si="127"/>
        <v>No</v>
      </c>
      <c r="AF325" t="str">
        <f t="shared" ca="1" si="128"/>
        <v>Transferred</v>
      </c>
      <c r="AG325" t="str">
        <f t="shared" ca="1" si="129"/>
        <v>Southeast</v>
      </c>
      <c r="AH325" t="str">
        <f t="shared" si="112"/>
        <v>November</v>
      </c>
      <c r="AI325">
        <f t="shared" si="113"/>
        <v>2021</v>
      </c>
      <c r="AJ325" t="str">
        <f t="shared" ca="1" si="130"/>
        <v>Vacant</v>
      </c>
      <c r="AK325">
        <f t="shared" ca="1" si="131"/>
        <v>1</v>
      </c>
    </row>
    <row r="326" spans="1:37" x14ac:dyDescent="0.3">
      <c r="A326" t="s">
        <v>4762</v>
      </c>
      <c r="B326">
        <v>31</v>
      </c>
      <c r="C326" t="s">
        <v>15</v>
      </c>
      <c r="D326" t="s">
        <v>98</v>
      </c>
      <c r="E326" t="s">
        <v>17</v>
      </c>
      <c r="F326" s="1">
        <v>43672</v>
      </c>
      <c r="G326" t="s">
        <v>694</v>
      </c>
      <c r="H326" t="s">
        <v>695</v>
      </c>
      <c r="I326" t="s">
        <v>28</v>
      </c>
      <c r="J326">
        <v>28457</v>
      </c>
      <c r="K326">
        <v>395</v>
      </c>
      <c r="L326" t="s">
        <v>42</v>
      </c>
      <c r="M326" s="1">
        <v>43675</v>
      </c>
      <c r="N326" t="s">
        <v>67</v>
      </c>
      <c r="O326" t="s">
        <v>31</v>
      </c>
      <c r="P326" t="str">
        <f t="shared" si="114"/>
        <v>P0325</v>
      </c>
      <c r="Q326" t="str">
        <f t="shared" si="110"/>
        <v>Oncology</v>
      </c>
      <c r="R326">
        <f t="shared" si="111"/>
        <v>3</v>
      </c>
      <c r="S326" t="str">
        <f t="shared" ca="1" si="115"/>
        <v>No</v>
      </c>
      <c r="T326" t="str">
        <f t="shared" ca="1" si="116"/>
        <v>Critical</v>
      </c>
      <c r="U326" t="str">
        <f t="shared" ca="1" si="117"/>
        <v>ICU</v>
      </c>
      <c r="V326" t="str">
        <f t="shared" si="118"/>
        <v>BED0325</v>
      </c>
      <c r="W326" t="str">
        <f t="shared" ca="1" si="119"/>
        <v>General</v>
      </c>
      <c r="X326" t="str">
        <f t="shared" si="120"/>
        <v>NUR025</v>
      </c>
      <c r="Y326" t="str">
        <f t="shared" ca="1" si="121"/>
        <v>Morning</v>
      </c>
      <c r="Z326" t="str">
        <f t="shared" ca="1" si="122"/>
        <v>CT Scanner</v>
      </c>
      <c r="AA326" t="str">
        <f t="shared" ca="1" si="123"/>
        <v>Available</v>
      </c>
      <c r="AB326" t="str">
        <f t="shared" ca="1" si="124"/>
        <v>Partially Paid</v>
      </c>
      <c r="AC326" t="str">
        <f t="shared" ca="1" si="125"/>
        <v>Insurance</v>
      </c>
      <c r="AD326" t="str">
        <f t="shared" ca="1" si="126"/>
        <v>No</v>
      </c>
      <c r="AE326" t="str">
        <f t="shared" ca="1" si="127"/>
        <v>No</v>
      </c>
      <c r="AF326" t="str">
        <f t="shared" ca="1" si="128"/>
        <v>Transferred</v>
      </c>
      <c r="AG326" t="str">
        <f t="shared" ca="1" si="129"/>
        <v>Southwest</v>
      </c>
      <c r="AH326" t="str">
        <f t="shared" si="112"/>
        <v>July</v>
      </c>
      <c r="AI326">
        <f t="shared" si="113"/>
        <v>2019</v>
      </c>
      <c r="AJ326" t="str">
        <f t="shared" ca="1" si="130"/>
        <v>Occupied</v>
      </c>
      <c r="AK326">
        <f t="shared" ca="1" si="131"/>
        <v>2</v>
      </c>
    </row>
    <row r="327" spans="1:37" x14ac:dyDescent="0.3">
      <c r="A327" t="s">
        <v>4763</v>
      </c>
      <c r="B327">
        <v>81</v>
      </c>
      <c r="C327" t="s">
        <v>32</v>
      </c>
      <c r="D327" t="s">
        <v>44</v>
      </c>
      <c r="E327" t="s">
        <v>17</v>
      </c>
      <c r="F327" s="1">
        <v>44747</v>
      </c>
      <c r="G327" t="s">
        <v>696</v>
      </c>
      <c r="H327" t="s">
        <v>697</v>
      </c>
      <c r="I327" t="s">
        <v>57</v>
      </c>
      <c r="J327">
        <v>33870</v>
      </c>
      <c r="K327">
        <v>194</v>
      </c>
      <c r="L327" t="s">
        <v>42</v>
      </c>
      <c r="M327" s="1">
        <v>44750</v>
      </c>
      <c r="N327" t="s">
        <v>30</v>
      </c>
      <c r="O327" t="s">
        <v>43</v>
      </c>
      <c r="P327" t="str">
        <f t="shared" si="114"/>
        <v>P0326</v>
      </c>
      <c r="Q327" t="str">
        <f t="shared" si="110"/>
        <v>Oncology</v>
      </c>
      <c r="R327">
        <f t="shared" si="111"/>
        <v>3</v>
      </c>
      <c r="S327" t="str">
        <f t="shared" ca="1" si="115"/>
        <v>No</v>
      </c>
      <c r="T327" t="str">
        <f t="shared" ca="1" si="116"/>
        <v>Critical</v>
      </c>
      <c r="U327" t="str">
        <f t="shared" ca="1" si="117"/>
        <v>Emergency</v>
      </c>
      <c r="V327" t="str">
        <f t="shared" si="118"/>
        <v>BED0326</v>
      </c>
      <c r="W327" t="str">
        <f t="shared" ca="1" si="119"/>
        <v>Semi-Private</v>
      </c>
      <c r="X327" t="str">
        <f t="shared" si="120"/>
        <v>NUR026</v>
      </c>
      <c r="Y327" t="str">
        <f t="shared" ca="1" si="121"/>
        <v>Morning</v>
      </c>
      <c r="Z327" t="str">
        <f t="shared" ca="1" si="122"/>
        <v>MRI Scanner</v>
      </c>
      <c r="AA327" t="str">
        <f t="shared" ca="1" si="123"/>
        <v>In Use</v>
      </c>
      <c r="AB327" t="str">
        <f t="shared" ca="1" si="124"/>
        <v>Pending</v>
      </c>
      <c r="AC327" t="str">
        <f t="shared" ca="1" si="125"/>
        <v>Cash</v>
      </c>
      <c r="AD327" t="str">
        <f t="shared" ca="1" si="126"/>
        <v>No</v>
      </c>
      <c r="AE327" t="str">
        <f t="shared" ca="1" si="127"/>
        <v>No</v>
      </c>
      <c r="AF327" t="str">
        <f t="shared" ca="1" si="128"/>
        <v>Under Observation</v>
      </c>
      <c r="AG327" t="str">
        <f t="shared" ca="1" si="129"/>
        <v>Southeast</v>
      </c>
      <c r="AH327" t="str">
        <f t="shared" si="112"/>
        <v>July</v>
      </c>
      <c r="AI327">
        <f t="shared" si="113"/>
        <v>2022</v>
      </c>
      <c r="AJ327" t="str">
        <f t="shared" ca="1" si="130"/>
        <v>Occupied</v>
      </c>
      <c r="AK327">
        <f t="shared" ca="1" si="131"/>
        <v>2</v>
      </c>
    </row>
    <row r="328" spans="1:37" x14ac:dyDescent="0.3">
      <c r="A328" t="s">
        <v>4764</v>
      </c>
      <c r="B328">
        <v>61</v>
      </c>
      <c r="C328" t="s">
        <v>32</v>
      </c>
      <c r="D328" t="s">
        <v>38</v>
      </c>
      <c r="E328" t="s">
        <v>39</v>
      </c>
      <c r="F328" s="1">
        <v>43706</v>
      </c>
      <c r="G328" t="s">
        <v>698</v>
      </c>
      <c r="H328" t="s">
        <v>699</v>
      </c>
      <c r="I328" t="s">
        <v>28</v>
      </c>
      <c r="J328">
        <v>2304</v>
      </c>
      <c r="K328">
        <v>408</v>
      </c>
      <c r="L328" t="s">
        <v>42</v>
      </c>
      <c r="M328" s="1">
        <v>43715</v>
      </c>
      <c r="N328" t="s">
        <v>22</v>
      </c>
      <c r="O328" t="s">
        <v>23</v>
      </c>
      <c r="P328" t="str">
        <f t="shared" si="114"/>
        <v>P0327</v>
      </c>
      <c r="Q328" t="str">
        <f t="shared" si="110"/>
        <v>Endocrinology</v>
      </c>
      <c r="R328">
        <f t="shared" si="111"/>
        <v>9</v>
      </c>
      <c r="S328" t="str">
        <f t="shared" ca="1" si="115"/>
        <v>No</v>
      </c>
      <c r="T328" t="str">
        <f t="shared" ca="1" si="116"/>
        <v>Mild</v>
      </c>
      <c r="U328" t="str">
        <f t="shared" ca="1" si="117"/>
        <v>ICU</v>
      </c>
      <c r="V328" t="str">
        <f t="shared" si="118"/>
        <v>BED0327</v>
      </c>
      <c r="W328" t="str">
        <f t="shared" ca="1" si="119"/>
        <v>ICU</v>
      </c>
      <c r="X328" t="str">
        <f t="shared" si="120"/>
        <v>NUR027</v>
      </c>
      <c r="Y328" t="str">
        <f t="shared" ca="1" si="121"/>
        <v>Evening</v>
      </c>
      <c r="Z328" t="str">
        <f t="shared" ca="1" si="122"/>
        <v>CT Scanner</v>
      </c>
      <c r="AA328" t="str">
        <f t="shared" ca="1" si="123"/>
        <v>Available</v>
      </c>
      <c r="AB328" t="str">
        <f t="shared" ca="1" si="124"/>
        <v>Paid</v>
      </c>
      <c r="AC328" t="str">
        <f t="shared" ca="1" si="125"/>
        <v>Bank Transfer</v>
      </c>
      <c r="AD328" t="str">
        <f t="shared" ca="1" si="126"/>
        <v>No</v>
      </c>
      <c r="AE328" t="str">
        <f t="shared" ca="1" si="127"/>
        <v>No</v>
      </c>
      <c r="AF328" t="str">
        <f t="shared" ca="1" si="128"/>
        <v>Under Observation</v>
      </c>
      <c r="AG328" t="str">
        <f t="shared" ca="1" si="129"/>
        <v>Southeast</v>
      </c>
      <c r="AH328" t="str">
        <f t="shared" si="112"/>
        <v>August</v>
      </c>
      <c r="AI328">
        <f t="shared" si="113"/>
        <v>2019</v>
      </c>
      <c r="AJ328" t="str">
        <f t="shared" ca="1" si="130"/>
        <v>Occupied</v>
      </c>
      <c r="AK328">
        <f t="shared" ca="1" si="131"/>
        <v>2</v>
      </c>
    </row>
    <row r="329" spans="1:37" x14ac:dyDescent="0.3">
      <c r="A329" t="s">
        <v>4765</v>
      </c>
      <c r="B329">
        <v>52</v>
      </c>
      <c r="C329" t="s">
        <v>15</v>
      </c>
      <c r="D329" t="s">
        <v>83</v>
      </c>
      <c r="E329" t="s">
        <v>64</v>
      </c>
      <c r="F329" s="1">
        <v>45414</v>
      </c>
      <c r="G329" t="s">
        <v>700</v>
      </c>
      <c r="H329" t="s">
        <v>701</v>
      </c>
      <c r="I329" t="s">
        <v>36</v>
      </c>
      <c r="J329">
        <v>1878</v>
      </c>
      <c r="K329">
        <v>188</v>
      </c>
      <c r="L329" t="s">
        <v>42</v>
      </c>
      <c r="M329" s="1">
        <v>45433</v>
      </c>
      <c r="N329" t="s">
        <v>22</v>
      </c>
      <c r="O329" t="s">
        <v>43</v>
      </c>
      <c r="P329" t="str">
        <f t="shared" si="114"/>
        <v>P0328</v>
      </c>
      <c r="Q329" t="str">
        <f t="shared" si="110"/>
        <v>Cardiology</v>
      </c>
      <c r="R329">
        <f t="shared" si="111"/>
        <v>19</v>
      </c>
      <c r="S329" t="str">
        <f t="shared" ca="1" si="115"/>
        <v>No</v>
      </c>
      <c r="T329" t="str">
        <f t="shared" ca="1" si="116"/>
        <v>Mild</v>
      </c>
      <c r="U329" t="str">
        <f t="shared" ca="1" si="117"/>
        <v>Semi-Private</v>
      </c>
      <c r="V329" t="str">
        <f t="shared" si="118"/>
        <v>BED0328</v>
      </c>
      <c r="W329" t="str">
        <f t="shared" ca="1" si="119"/>
        <v>General</v>
      </c>
      <c r="X329" t="str">
        <f t="shared" si="120"/>
        <v>NUR028</v>
      </c>
      <c r="Y329" t="str">
        <f t="shared" ca="1" si="121"/>
        <v>Evening</v>
      </c>
      <c r="Z329" t="str">
        <f t="shared" ca="1" si="122"/>
        <v>CT Scanner</v>
      </c>
      <c r="AA329" t="str">
        <f t="shared" ca="1" si="123"/>
        <v>Available</v>
      </c>
      <c r="AB329" t="str">
        <f t="shared" ca="1" si="124"/>
        <v>Partially Paid</v>
      </c>
      <c r="AC329" t="str">
        <f t="shared" ca="1" si="125"/>
        <v>Insurance</v>
      </c>
      <c r="AD329" t="str">
        <f t="shared" ca="1" si="126"/>
        <v>No</v>
      </c>
      <c r="AE329" t="str">
        <f t="shared" ca="1" si="127"/>
        <v>No</v>
      </c>
      <c r="AF329" t="str">
        <f t="shared" ca="1" si="128"/>
        <v>Under Observation</v>
      </c>
      <c r="AG329" t="str">
        <f t="shared" ca="1" si="129"/>
        <v>West Coast</v>
      </c>
      <c r="AH329" t="str">
        <f t="shared" si="112"/>
        <v>May</v>
      </c>
      <c r="AI329">
        <f t="shared" si="113"/>
        <v>2024</v>
      </c>
      <c r="AJ329" t="str">
        <f t="shared" ca="1" si="130"/>
        <v>Occupied</v>
      </c>
      <c r="AK329">
        <f t="shared" ca="1" si="131"/>
        <v>2</v>
      </c>
    </row>
    <row r="330" spans="1:37" x14ac:dyDescent="0.3">
      <c r="A330" t="s">
        <v>4766</v>
      </c>
      <c r="B330">
        <v>25</v>
      </c>
      <c r="C330" t="s">
        <v>15</v>
      </c>
      <c r="D330" t="s">
        <v>83</v>
      </c>
      <c r="E330" t="s">
        <v>48</v>
      </c>
      <c r="F330" s="1">
        <v>43977</v>
      </c>
      <c r="G330" t="s">
        <v>702</v>
      </c>
      <c r="H330" t="s">
        <v>703</v>
      </c>
      <c r="I330" t="s">
        <v>20</v>
      </c>
      <c r="J330">
        <v>19161</v>
      </c>
      <c r="K330">
        <v>361</v>
      </c>
      <c r="L330" t="s">
        <v>42</v>
      </c>
      <c r="M330" s="1">
        <v>43982</v>
      </c>
      <c r="N330" t="s">
        <v>47</v>
      </c>
      <c r="O330" t="s">
        <v>23</v>
      </c>
      <c r="P330" t="str">
        <f t="shared" si="114"/>
        <v>P0329</v>
      </c>
      <c r="Q330" t="str">
        <f t="shared" si="110"/>
        <v>Pulmonology</v>
      </c>
      <c r="R330">
        <f t="shared" si="111"/>
        <v>5</v>
      </c>
      <c r="S330" t="str">
        <f t="shared" ca="1" si="115"/>
        <v>Yes</v>
      </c>
      <c r="T330" t="str">
        <f t="shared" ca="1" si="116"/>
        <v>Moderate</v>
      </c>
      <c r="U330" t="str">
        <f t="shared" ca="1" si="117"/>
        <v>General Ward</v>
      </c>
      <c r="V330" t="str">
        <f t="shared" si="118"/>
        <v>BED0329</v>
      </c>
      <c r="W330" t="str">
        <f t="shared" ca="1" si="119"/>
        <v>Semi-Private</v>
      </c>
      <c r="X330" t="str">
        <f t="shared" si="120"/>
        <v>NUR029</v>
      </c>
      <c r="Y330" t="str">
        <f t="shared" ca="1" si="121"/>
        <v>Evening</v>
      </c>
      <c r="Z330" t="str">
        <f t="shared" ca="1" si="122"/>
        <v>ECG Machine</v>
      </c>
      <c r="AA330" t="str">
        <f t="shared" ca="1" si="123"/>
        <v>Available</v>
      </c>
      <c r="AB330" t="str">
        <f t="shared" ca="1" si="124"/>
        <v>Partially Paid</v>
      </c>
      <c r="AC330" t="str">
        <f t="shared" ca="1" si="125"/>
        <v>Credit Card</v>
      </c>
      <c r="AD330" t="str">
        <f t="shared" ca="1" si="126"/>
        <v>No</v>
      </c>
      <c r="AE330" t="str">
        <f t="shared" ca="1" si="127"/>
        <v>Yes</v>
      </c>
      <c r="AF330" t="str">
        <f t="shared" ca="1" si="128"/>
        <v>Transferred</v>
      </c>
      <c r="AG330" t="str">
        <f t="shared" ca="1" si="129"/>
        <v>Midwest</v>
      </c>
      <c r="AH330" t="str">
        <f t="shared" si="112"/>
        <v>May</v>
      </c>
      <c r="AI330">
        <f t="shared" si="113"/>
        <v>2020</v>
      </c>
      <c r="AJ330" t="str">
        <f t="shared" ca="1" si="130"/>
        <v>Occupied</v>
      </c>
      <c r="AK330">
        <f t="shared" ca="1" si="131"/>
        <v>4</v>
      </c>
    </row>
    <row r="331" spans="1:37" x14ac:dyDescent="0.3">
      <c r="A331" t="s">
        <v>4767</v>
      </c>
      <c r="B331">
        <v>56</v>
      </c>
      <c r="C331" t="s">
        <v>15</v>
      </c>
      <c r="D331" t="s">
        <v>83</v>
      </c>
      <c r="E331" t="s">
        <v>17</v>
      </c>
      <c r="F331" s="1">
        <v>45371</v>
      </c>
      <c r="G331" t="s">
        <v>704</v>
      </c>
      <c r="H331" t="s">
        <v>705</v>
      </c>
      <c r="I331" t="s">
        <v>20</v>
      </c>
      <c r="J331">
        <v>5812</v>
      </c>
      <c r="K331">
        <v>176</v>
      </c>
      <c r="L331" t="s">
        <v>21</v>
      </c>
      <c r="M331" s="1">
        <v>45388</v>
      </c>
      <c r="N331" t="s">
        <v>22</v>
      </c>
      <c r="O331" t="s">
        <v>23</v>
      </c>
      <c r="P331" t="str">
        <f t="shared" si="114"/>
        <v>P0330</v>
      </c>
      <c r="Q331" t="str">
        <f t="shared" si="110"/>
        <v>Oncology</v>
      </c>
      <c r="R331">
        <f t="shared" si="111"/>
        <v>17</v>
      </c>
      <c r="S331" t="str">
        <f t="shared" ca="1" si="115"/>
        <v>No</v>
      </c>
      <c r="T331" t="str">
        <f t="shared" ca="1" si="116"/>
        <v>Mild</v>
      </c>
      <c r="U331" t="str">
        <f t="shared" ca="1" si="117"/>
        <v>General Ward</v>
      </c>
      <c r="V331" t="str">
        <f t="shared" si="118"/>
        <v>BED0330</v>
      </c>
      <c r="W331" t="str">
        <f t="shared" ca="1" si="119"/>
        <v>General</v>
      </c>
      <c r="X331" t="str">
        <f t="shared" si="120"/>
        <v>NUR030</v>
      </c>
      <c r="Y331" t="str">
        <f t="shared" ca="1" si="121"/>
        <v>Evening</v>
      </c>
      <c r="Z331" t="str">
        <f t="shared" ca="1" si="122"/>
        <v>CT Scanner</v>
      </c>
      <c r="AA331" t="str">
        <f t="shared" ca="1" si="123"/>
        <v>In Use</v>
      </c>
      <c r="AB331" t="str">
        <f t="shared" ca="1" si="124"/>
        <v>Pending</v>
      </c>
      <c r="AC331" t="str">
        <f t="shared" ca="1" si="125"/>
        <v>Insurance</v>
      </c>
      <c r="AD331" t="str">
        <f t="shared" ca="1" si="126"/>
        <v>Yes</v>
      </c>
      <c r="AE331" t="str">
        <f t="shared" ca="1" si="127"/>
        <v>No</v>
      </c>
      <c r="AF331" t="str">
        <f t="shared" ca="1" si="128"/>
        <v>Under Observation</v>
      </c>
      <c r="AG331" t="str">
        <f t="shared" ca="1" si="129"/>
        <v>Southwest</v>
      </c>
      <c r="AH331" t="str">
        <f t="shared" si="112"/>
        <v>March</v>
      </c>
      <c r="AI331">
        <f t="shared" si="113"/>
        <v>2024</v>
      </c>
      <c r="AJ331" t="str">
        <f t="shared" ca="1" si="130"/>
        <v>Occupied</v>
      </c>
      <c r="AK331">
        <f t="shared" ca="1" si="131"/>
        <v>4</v>
      </c>
    </row>
    <row r="332" spans="1:37" x14ac:dyDescent="0.3">
      <c r="A332" t="s">
        <v>4768</v>
      </c>
      <c r="B332">
        <v>44</v>
      </c>
      <c r="C332" t="s">
        <v>15</v>
      </c>
      <c r="D332" t="s">
        <v>38</v>
      </c>
      <c r="E332" t="s">
        <v>39</v>
      </c>
      <c r="F332" s="1">
        <v>45378</v>
      </c>
      <c r="G332" t="s">
        <v>706</v>
      </c>
      <c r="H332" t="s">
        <v>707</v>
      </c>
      <c r="I332" t="s">
        <v>28</v>
      </c>
      <c r="J332">
        <v>22869</v>
      </c>
      <c r="K332">
        <v>295</v>
      </c>
      <c r="L332" t="s">
        <v>42</v>
      </c>
      <c r="M332" s="1">
        <v>45390</v>
      </c>
      <c r="N332" t="s">
        <v>30</v>
      </c>
      <c r="O332" t="s">
        <v>43</v>
      </c>
      <c r="P332" t="str">
        <f t="shared" si="114"/>
        <v>P0331</v>
      </c>
      <c r="Q332" t="str">
        <f t="shared" si="110"/>
        <v>Endocrinology</v>
      </c>
      <c r="R332">
        <f t="shared" si="111"/>
        <v>12</v>
      </c>
      <c r="S332" t="str">
        <f t="shared" ca="1" si="115"/>
        <v>No</v>
      </c>
      <c r="T332" t="str">
        <f t="shared" ca="1" si="116"/>
        <v>Critical</v>
      </c>
      <c r="U332" t="str">
        <f t="shared" ca="1" si="117"/>
        <v>Semi-Private</v>
      </c>
      <c r="V332" t="str">
        <f t="shared" si="118"/>
        <v>BED0331</v>
      </c>
      <c r="W332" t="str">
        <f t="shared" ca="1" si="119"/>
        <v>Private</v>
      </c>
      <c r="X332" t="str">
        <f t="shared" si="120"/>
        <v>NUR031</v>
      </c>
      <c r="Y332" t="str">
        <f t="shared" ca="1" si="121"/>
        <v>Evening</v>
      </c>
      <c r="Z332" t="str">
        <f t="shared" ca="1" si="122"/>
        <v>ECG Machine</v>
      </c>
      <c r="AA332" t="str">
        <f t="shared" ca="1" si="123"/>
        <v>In Use</v>
      </c>
      <c r="AB332" t="str">
        <f t="shared" ca="1" si="124"/>
        <v>Pending</v>
      </c>
      <c r="AC332" t="str">
        <f t="shared" ca="1" si="125"/>
        <v>Debit Card</v>
      </c>
      <c r="AD332" t="str">
        <f t="shared" ca="1" si="126"/>
        <v>No</v>
      </c>
      <c r="AE332" t="str">
        <f t="shared" ca="1" si="127"/>
        <v>No</v>
      </c>
      <c r="AF332" t="str">
        <f t="shared" ca="1" si="128"/>
        <v>Transferred</v>
      </c>
      <c r="AG332" t="str">
        <f t="shared" ca="1" si="129"/>
        <v>Northeast</v>
      </c>
      <c r="AH332" t="str">
        <f t="shared" si="112"/>
        <v>March</v>
      </c>
      <c r="AI332">
        <f t="shared" si="113"/>
        <v>2024</v>
      </c>
      <c r="AJ332" t="str">
        <f t="shared" ca="1" si="130"/>
        <v>Occupied</v>
      </c>
      <c r="AK332">
        <f t="shared" ca="1" si="131"/>
        <v>1</v>
      </c>
    </row>
    <row r="333" spans="1:37" x14ac:dyDescent="0.3">
      <c r="A333" t="s">
        <v>4769</v>
      </c>
      <c r="B333">
        <v>30</v>
      </c>
      <c r="C333" t="s">
        <v>32</v>
      </c>
      <c r="D333" t="s">
        <v>38</v>
      </c>
      <c r="E333" t="s">
        <v>76</v>
      </c>
      <c r="F333" s="1">
        <v>44277</v>
      </c>
      <c r="G333" t="s">
        <v>708</v>
      </c>
      <c r="H333" t="s">
        <v>709</v>
      </c>
      <c r="I333" t="s">
        <v>20</v>
      </c>
      <c r="J333">
        <v>48282</v>
      </c>
      <c r="K333">
        <v>415</v>
      </c>
      <c r="L333" t="s">
        <v>21</v>
      </c>
      <c r="M333" s="1">
        <v>44280</v>
      </c>
      <c r="N333" t="s">
        <v>30</v>
      </c>
      <c r="O333" t="s">
        <v>43</v>
      </c>
      <c r="P333" t="str">
        <f t="shared" si="114"/>
        <v>P0332</v>
      </c>
      <c r="Q333" t="str">
        <f t="shared" si="110"/>
        <v>Orthopedics</v>
      </c>
      <c r="R333">
        <f t="shared" si="111"/>
        <v>3</v>
      </c>
      <c r="S333" t="str">
        <f t="shared" ca="1" si="115"/>
        <v>No</v>
      </c>
      <c r="T333" t="str">
        <f t="shared" ca="1" si="116"/>
        <v>Moderate</v>
      </c>
      <c r="U333" t="str">
        <f t="shared" ca="1" si="117"/>
        <v>Emergency</v>
      </c>
      <c r="V333" t="str">
        <f t="shared" si="118"/>
        <v>BED0332</v>
      </c>
      <c r="W333" t="str">
        <f t="shared" ca="1" si="119"/>
        <v>ICU</v>
      </c>
      <c r="X333" t="str">
        <f t="shared" si="120"/>
        <v>NUR032</v>
      </c>
      <c r="Y333" t="str">
        <f t="shared" ca="1" si="121"/>
        <v>Evening</v>
      </c>
      <c r="Z333" t="str">
        <f t="shared" ca="1" si="122"/>
        <v>X-Ray</v>
      </c>
      <c r="AA333" t="str">
        <f t="shared" ca="1" si="123"/>
        <v>Available</v>
      </c>
      <c r="AB333" t="str">
        <f t="shared" ca="1" si="124"/>
        <v>Pending</v>
      </c>
      <c r="AC333" t="str">
        <f t="shared" ca="1" si="125"/>
        <v>Debit Card</v>
      </c>
      <c r="AD333" t="str">
        <f t="shared" ca="1" si="126"/>
        <v>No</v>
      </c>
      <c r="AE333" t="str">
        <f t="shared" ca="1" si="127"/>
        <v>No</v>
      </c>
      <c r="AF333" t="str">
        <f t="shared" ca="1" si="128"/>
        <v>Recovered</v>
      </c>
      <c r="AG333" t="str">
        <f t="shared" ca="1" si="129"/>
        <v>Southwest</v>
      </c>
      <c r="AH333" t="str">
        <f t="shared" si="112"/>
        <v>March</v>
      </c>
      <c r="AI333">
        <f t="shared" si="113"/>
        <v>2021</v>
      </c>
      <c r="AJ333" t="str">
        <f t="shared" ca="1" si="130"/>
        <v>Occupied</v>
      </c>
      <c r="AK333">
        <f t="shared" ca="1" si="131"/>
        <v>4</v>
      </c>
    </row>
    <row r="334" spans="1:37" x14ac:dyDescent="0.3">
      <c r="A334" t="s">
        <v>4770</v>
      </c>
      <c r="B334">
        <v>82</v>
      </c>
      <c r="C334" t="s">
        <v>15</v>
      </c>
      <c r="D334" t="s">
        <v>98</v>
      </c>
      <c r="E334" t="s">
        <v>17</v>
      </c>
      <c r="F334" s="1">
        <v>44107</v>
      </c>
      <c r="G334" t="s">
        <v>710</v>
      </c>
      <c r="H334" t="s">
        <v>711</v>
      </c>
      <c r="I334" t="s">
        <v>28</v>
      </c>
      <c r="J334">
        <v>30563</v>
      </c>
      <c r="K334">
        <v>185</v>
      </c>
      <c r="L334" t="s">
        <v>29</v>
      </c>
      <c r="M334" s="1">
        <v>44132</v>
      </c>
      <c r="N334" t="s">
        <v>22</v>
      </c>
      <c r="O334" t="s">
        <v>43</v>
      </c>
      <c r="P334" t="str">
        <f t="shared" si="114"/>
        <v>P0333</v>
      </c>
      <c r="Q334" t="str">
        <f t="shared" si="110"/>
        <v>Oncology</v>
      </c>
      <c r="R334">
        <f t="shared" si="111"/>
        <v>25</v>
      </c>
      <c r="S334" t="str">
        <f t="shared" ca="1" si="115"/>
        <v>No</v>
      </c>
      <c r="T334" t="str">
        <f t="shared" ca="1" si="116"/>
        <v>Moderate</v>
      </c>
      <c r="U334" t="str">
        <f t="shared" ca="1" si="117"/>
        <v>General Ward</v>
      </c>
      <c r="V334" t="str">
        <f t="shared" si="118"/>
        <v>BED0333</v>
      </c>
      <c r="W334" t="str">
        <f t="shared" ca="1" si="119"/>
        <v>ICU</v>
      </c>
      <c r="X334" t="str">
        <f t="shared" si="120"/>
        <v>NUR033</v>
      </c>
      <c r="Y334" t="str">
        <f t="shared" ca="1" si="121"/>
        <v>Night</v>
      </c>
      <c r="Z334" t="str">
        <f t="shared" ca="1" si="122"/>
        <v>CT Scanner</v>
      </c>
      <c r="AA334" t="str">
        <f t="shared" ca="1" si="123"/>
        <v>Maintenance</v>
      </c>
      <c r="AB334" t="str">
        <f t="shared" ca="1" si="124"/>
        <v>Paid</v>
      </c>
      <c r="AC334" t="str">
        <f t="shared" ca="1" si="125"/>
        <v>Insurance</v>
      </c>
      <c r="AD334" t="str">
        <f t="shared" ca="1" si="126"/>
        <v>No</v>
      </c>
      <c r="AE334" t="str">
        <f t="shared" ca="1" si="127"/>
        <v>Yes</v>
      </c>
      <c r="AF334" t="str">
        <f t="shared" ca="1" si="128"/>
        <v>Transferred</v>
      </c>
      <c r="AG334" t="str">
        <f t="shared" ca="1" si="129"/>
        <v>Midwest</v>
      </c>
      <c r="AH334" t="str">
        <f t="shared" si="112"/>
        <v>October</v>
      </c>
      <c r="AI334">
        <f t="shared" si="113"/>
        <v>2020</v>
      </c>
      <c r="AJ334" t="str">
        <f t="shared" ca="1" si="130"/>
        <v>Occupied</v>
      </c>
      <c r="AK334">
        <f t="shared" ca="1" si="131"/>
        <v>4</v>
      </c>
    </row>
    <row r="335" spans="1:37" x14ac:dyDescent="0.3">
      <c r="A335" t="s">
        <v>4771</v>
      </c>
      <c r="B335">
        <v>67</v>
      </c>
      <c r="C335" t="s">
        <v>15</v>
      </c>
      <c r="D335" t="s">
        <v>83</v>
      </c>
      <c r="E335" t="s">
        <v>25</v>
      </c>
      <c r="F335" s="1">
        <v>45063</v>
      </c>
      <c r="G335" t="s">
        <v>712</v>
      </c>
      <c r="H335" t="s">
        <v>713</v>
      </c>
      <c r="I335" t="s">
        <v>28</v>
      </c>
      <c r="J335">
        <v>24294</v>
      </c>
      <c r="K335">
        <v>278</v>
      </c>
      <c r="L335" t="s">
        <v>29</v>
      </c>
      <c r="M335" s="1">
        <v>45077</v>
      </c>
      <c r="N335" t="s">
        <v>30</v>
      </c>
      <c r="O335" t="s">
        <v>23</v>
      </c>
      <c r="P335" t="str">
        <f t="shared" si="114"/>
        <v>P0334</v>
      </c>
      <c r="Q335" t="str">
        <f t="shared" si="110"/>
        <v>Nutrition</v>
      </c>
      <c r="R335">
        <f t="shared" si="111"/>
        <v>14</v>
      </c>
      <c r="S335" t="str">
        <f t="shared" ca="1" si="115"/>
        <v>No</v>
      </c>
      <c r="T335" t="str">
        <f t="shared" ca="1" si="116"/>
        <v>Severe</v>
      </c>
      <c r="U335" t="str">
        <f t="shared" ca="1" si="117"/>
        <v>General Ward</v>
      </c>
      <c r="V335" t="str">
        <f t="shared" si="118"/>
        <v>BED0334</v>
      </c>
      <c r="W335" t="str">
        <f t="shared" ca="1" si="119"/>
        <v>Private</v>
      </c>
      <c r="X335" t="str">
        <f t="shared" si="120"/>
        <v>NUR034</v>
      </c>
      <c r="Y335" t="str">
        <f t="shared" ca="1" si="121"/>
        <v>Evening</v>
      </c>
      <c r="Z335" t="str">
        <f t="shared" ca="1" si="122"/>
        <v>Ventilator</v>
      </c>
      <c r="AA335" t="str">
        <f t="shared" ca="1" si="123"/>
        <v>Maintenance</v>
      </c>
      <c r="AB335" t="str">
        <f t="shared" ca="1" si="124"/>
        <v>Pending</v>
      </c>
      <c r="AC335" t="str">
        <f t="shared" ca="1" si="125"/>
        <v>Cash</v>
      </c>
      <c r="AD335" t="str">
        <f t="shared" ca="1" si="126"/>
        <v>No</v>
      </c>
      <c r="AE335" t="str">
        <f t="shared" ca="1" si="127"/>
        <v>No</v>
      </c>
      <c r="AF335" t="str">
        <f t="shared" ca="1" si="128"/>
        <v>Transferred</v>
      </c>
      <c r="AG335" t="str">
        <f t="shared" ca="1" si="129"/>
        <v>Midwest</v>
      </c>
      <c r="AH335" t="str">
        <f t="shared" si="112"/>
        <v>May</v>
      </c>
      <c r="AI335">
        <f t="shared" si="113"/>
        <v>2023</v>
      </c>
      <c r="AJ335" t="str">
        <f t="shared" ca="1" si="130"/>
        <v>Vacant</v>
      </c>
      <c r="AK335">
        <f t="shared" ca="1" si="131"/>
        <v>1</v>
      </c>
    </row>
    <row r="336" spans="1:37" x14ac:dyDescent="0.3">
      <c r="A336" t="s">
        <v>4772</v>
      </c>
      <c r="B336">
        <v>41</v>
      </c>
      <c r="C336" t="s">
        <v>15</v>
      </c>
      <c r="D336" t="s">
        <v>24</v>
      </c>
      <c r="E336" t="s">
        <v>76</v>
      </c>
      <c r="F336" s="1">
        <v>44785</v>
      </c>
      <c r="G336" t="s">
        <v>714</v>
      </c>
      <c r="H336" t="s">
        <v>715</v>
      </c>
      <c r="I336" t="s">
        <v>36</v>
      </c>
      <c r="J336">
        <v>5879</v>
      </c>
      <c r="K336">
        <v>358</v>
      </c>
      <c r="L336" t="s">
        <v>29</v>
      </c>
      <c r="M336" s="1">
        <v>44804</v>
      </c>
      <c r="N336" t="s">
        <v>30</v>
      </c>
      <c r="O336" t="s">
        <v>43</v>
      </c>
      <c r="P336" t="str">
        <f t="shared" si="114"/>
        <v>P0335</v>
      </c>
      <c r="Q336" t="str">
        <f t="shared" si="110"/>
        <v>Orthopedics</v>
      </c>
      <c r="R336">
        <f t="shared" si="111"/>
        <v>19</v>
      </c>
      <c r="S336" t="str">
        <f t="shared" ca="1" si="115"/>
        <v>No</v>
      </c>
      <c r="T336" t="str">
        <f t="shared" ca="1" si="116"/>
        <v>Severe</v>
      </c>
      <c r="U336" t="str">
        <f t="shared" ca="1" si="117"/>
        <v>Private Ward</v>
      </c>
      <c r="V336" t="str">
        <f t="shared" si="118"/>
        <v>BED0335</v>
      </c>
      <c r="W336" t="str">
        <f t="shared" ca="1" si="119"/>
        <v>ICU</v>
      </c>
      <c r="X336" t="str">
        <f t="shared" si="120"/>
        <v>NUR035</v>
      </c>
      <c r="Y336" t="str">
        <f t="shared" ca="1" si="121"/>
        <v>Morning</v>
      </c>
      <c r="Z336" t="str">
        <f t="shared" ca="1" si="122"/>
        <v>ECG Machine</v>
      </c>
      <c r="AA336" t="str">
        <f t="shared" ca="1" si="123"/>
        <v>Available</v>
      </c>
      <c r="AB336" t="str">
        <f t="shared" ca="1" si="124"/>
        <v>Partially Paid</v>
      </c>
      <c r="AC336" t="str">
        <f t="shared" ca="1" si="125"/>
        <v>Bank Transfer</v>
      </c>
      <c r="AD336" t="str">
        <f t="shared" ca="1" si="126"/>
        <v>No</v>
      </c>
      <c r="AE336" t="str">
        <f t="shared" ca="1" si="127"/>
        <v>No</v>
      </c>
      <c r="AF336" t="str">
        <f t="shared" ca="1" si="128"/>
        <v>Under Observation</v>
      </c>
      <c r="AG336" t="str">
        <f t="shared" ca="1" si="129"/>
        <v>Southwest</v>
      </c>
      <c r="AH336" t="str">
        <f t="shared" si="112"/>
        <v>August</v>
      </c>
      <c r="AI336">
        <f t="shared" si="113"/>
        <v>2022</v>
      </c>
      <c r="AJ336" t="str">
        <f t="shared" ca="1" si="130"/>
        <v>Occupied</v>
      </c>
      <c r="AK336">
        <f t="shared" ca="1" si="131"/>
        <v>4</v>
      </c>
    </row>
    <row r="337" spans="1:37" x14ac:dyDescent="0.3">
      <c r="A337" t="s">
        <v>4773</v>
      </c>
      <c r="B337">
        <v>84</v>
      </c>
      <c r="C337" t="s">
        <v>15</v>
      </c>
      <c r="D337" t="s">
        <v>33</v>
      </c>
      <c r="E337" t="s">
        <v>76</v>
      </c>
      <c r="F337" s="1">
        <v>44002</v>
      </c>
      <c r="G337" t="s">
        <v>716</v>
      </c>
      <c r="H337" t="s">
        <v>717</v>
      </c>
      <c r="I337" t="s">
        <v>51</v>
      </c>
      <c r="J337">
        <v>28410</v>
      </c>
      <c r="K337">
        <v>451</v>
      </c>
      <c r="L337" t="s">
        <v>21</v>
      </c>
      <c r="M337" s="1">
        <v>44004</v>
      </c>
      <c r="N337" t="s">
        <v>30</v>
      </c>
      <c r="O337" t="s">
        <v>43</v>
      </c>
      <c r="P337" t="str">
        <f t="shared" si="114"/>
        <v>P0336</v>
      </c>
      <c r="Q337" t="str">
        <f t="shared" si="110"/>
        <v>Orthopedics</v>
      </c>
      <c r="R337">
        <f t="shared" si="111"/>
        <v>2</v>
      </c>
      <c r="S337" t="str">
        <f t="shared" ca="1" si="115"/>
        <v>No</v>
      </c>
      <c r="T337" t="str">
        <f t="shared" ca="1" si="116"/>
        <v>Moderate</v>
      </c>
      <c r="U337" t="str">
        <f t="shared" ca="1" si="117"/>
        <v>Private Ward</v>
      </c>
      <c r="V337" t="str">
        <f t="shared" si="118"/>
        <v>BED0336</v>
      </c>
      <c r="W337" t="str">
        <f t="shared" ca="1" si="119"/>
        <v>ICU</v>
      </c>
      <c r="X337" t="str">
        <f t="shared" si="120"/>
        <v>NUR036</v>
      </c>
      <c r="Y337" t="str">
        <f t="shared" ca="1" si="121"/>
        <v>Night</v>
      </c>
      <c r="Z337" t="str">
        <f t="shared" ca="1" si="122"/>
        <v>Ultrasound</v>
      </c>
      <c r="AA337" t="str">
        <f t="shared" ca="1" si="123"/>
        <v>In Use</v>
      </c>
      <c r="AB337" t="str">
        <f t="shared" ca="1" si="124"/>
        <v>Pending</v>
      </c>
      <c r="AC337" t="str">
        <f t="shared" ca="1" si="125"/>
        <v>Credit Card</v>
      </c>
      <c r="AD337" t="str">
        <f t="shared" ca="1" si="126"/>
        <v>No</v>
      </c>
      <c r="AE337" t="str">
        <f t="shared" ca="1" si="127"/>
        <v>No</v>
      </c>
      <c r="AF337" t="str">
        <f t="shared" ca="1" si="128"/>
        <v>Transferred</v>
      </c>
      <c r="AG337" t="str">
        <f t="shared" ca="1" si="129"/>
        <v>Southeast</v>
      </c>
      <c r="AH337" t="str">
        <f t="shared" si="112"/>
        <v>June</v>
      </c>
      <c r="AI337">
        <f t="shared" si="113"/>
        <v>2020</v>
      </c>
      <c r="AJ337" t="str">
        <f t="shared" ca="1" si="130"/>
        <v>Occupied</v>
      </c>
      <c r="AK337">
        <f t="shared" ca="1" si="131"/>
        <v>1</v>
      </c>
    </row>
    <row r="338" spans="1:37" x14ac:dyDescent="0.3">
      <c r="A338" t="s">
        <v>4774</v>
      </c>
      <c r="B338">
        <v>85</v>
      </c>
      <c r="C338" t="s">
        <v>32</v>
      </c>
      <c r="D338" t="s">
        <v>44</v>
      </c>
      <c r="E338" t="s">
        <v>48</v>
      </c>
      <c r="F338" s="1">
        <v>45036</v>
      </c>
      <c r="G338" t="s">
        <v>718</v>
      </c>
      <c r="H338" t="s">
        <v>719</v>
      </c>
      <c r="I338" t="s">
        <v>28</v>
      </c>
      <c r="J338">
        <v>27414</v>
      </c>
      <c r="K338">
        <v>390</v>
      </c>
      <c r="L338" t="s">
        <v>29</v>
      </c>
      <c r="M338" s="1">
        <v>45051</v>
      </c>
      <c r="N338" t="s">
        <v>30</v>
      </c>
      <c r="O338" t="s">
        <v>23</v>
      </c>
      <c r="P338" t="str">
        <f t="shared" si="114"/>
        <v>P0337</v>
      </c>
      <c r="Q338" t="str">
        <f t="shared" si="110"/>
        <v>Pulmonology</v>
      </c>
      <c r="R338">
        <f t="shared" si="111"/>
        <v>15</v>
      </c>
      <c r="S338" t="str">
        <f t="shared" ca="1" si="115"/>
        <v>No</v>
      </c>
      <c r="T338" t="str">
        <f t="shared" ca="1" si="116"/>
        <v>Severe</v>
      </c>
      <c r="U338" t="str">
        <f t="shared" ca="1" si="117"/>
        <v>General Ward</v>
      </c>
      <c r="V338" t="str">
        <f t="shared" si="118"/>
        <v>BED0337</v>
      </c>
      <c r="W338" t="str">
        <f t="shared" ca="1" si="119"/>
        <v>Private</v>
      </c>
      <c r="X338" t="str">
        <f t="shared" si="120"/>
        <v>NUR037</v>
      </c>
      <c r="Y338" t="str">
        <f t="shared" ca="1" si="121"/>
        <v>Evening</v>
      </c>
      <c r="Z338" t="str">
        <f t="shared" ca="1" si="122"/>
        <v>MRI Scanner</v>
      </c>
      <c r="AA338" t="str">
        <f t="shared" ca="1" si="123"/>
        <v>In Use</v>
      </c>
      <c r="AB338" t="str">
        <f t="shared" ca="1" si="124"/>
        <v>Partially Paid</v>
      </c>
      <c r="AC338" t="str">
        <f t="shared" ca="1" si="125"/>
        <v>Insurance</v>
      </c>
      <c r="AD338" t="str">
        <f t="shared" ca="1" si="126"/>
        <v>No</v>
      </c>
      <c r="AE338" t="str">
        <f t="shared" ca="1" si="127"/>
        <v>No</v>
      </c>
      <c r="AF338" t="str">
        <f t="shared" ca="1" si="128"/>
        <v>Transferred</v>
      </c>
      <c r="AG338" t="str">
        <f t="shared" ca="1" si="129"/>
        <v>Midwest</v>
      </c>
      <c r="AH338" t="str">
        <f t="shared" si="112"/>
        <v>April</v>
      </c>
      <c r="AI338">
        <f t="shared" si="113"/>
        <v>2023</v>
      </c>
      <c r="AJ338" t="str">
        <f t="shared" ca="1" si="130"/>
        <v>Occupied</v>
      </c>
      <c r="AK338">
        <f t="shared" ca="1" si="131"/>
        <v>1</v>
      </c>
    </row>
    <row r="339" spans="1:37" x14ac:dyDescent="0.3">
      <c r="A339" t="s">
        <v>4775</v>
      </c>
      <c r="B339">
        <v>26</v>
      </c>
      <c r="C339" t="s">
        <v>32</v>
      </c>
      <c r="D339" t="s">
        <v>33</v>
      </c>
      <c r="E339" t="s">
        <v>64</v>
      </c>
      <c r="F339" s="1">
        <v>43766</v>
      </c>
      <c r="G339" t="s">
        <v>720</v>
      </c>
      <c r="H339" t="s">
        <v>721</v>
      </c>
      <c r="I339" t="s">
        <v>36</v>
      </c>
      <c r="J339">
        <v>5826</v>
      </c>
      <c r="K339">
        <v>226</v>
      </c>
      <c r="L339" t="s">
        <v>29</v>
      </c>
      <c r="M339" s="1">
        <v>43790</v>
      </c>
      <c r="N339" t="s">
        <v>47</v>
      </c>
      <c r="O339" t="s">
        <v>43</v>
      </c>
      <c r="P339" t="str">
        <f t="shared" si="114"/>
        <v>P0338</v>
      </c>
      <c r="Q339" t="str">
        <f t="shared" si="110"/>
        <v>Cardiology</v>
      </c>
      <c r="R339">
        <f t="shared" si="111"/>
        <v>24</v>
      </c>
      <c r="S339" t="str">
        <f t="shared" ca="1" si="115"/>
        <v>No</v>
      </c>
      <c r="T339" t="str">
        <f t="shared" ca="1" si="116"/>
        <v>Critical</v>
      </c>
      <c r="U339" t="str">
        <f t="shared" ca="1" si="117"/>
        <v>Private Ward</v>
      </c>
      <c r="V339" t="str">
        <f t="shared" si="118"/>
        <v>BED0338</v>
      </c>
      <c r="W339" t="str">
        <f t="shared" ca="1" si="119"/>
        <v>ICU</v>
      </c>
      <c r="X339" t="str">
        <f t="shared" si="120"/>
        <v>NUR038</v>
      </c>
      <c r="Y339" t="str">
        <f t="shared" ca="1" si="121"/>
        <v>Evening</v>
      </c>
      <c r="Z339" t="str">
        <f t="shared" ca="1" si="122"/>
        <v>MRI Scanner</v>
      </c>
      <c r="AA339" t="str">
        <f t="shared" ca="1" si="123"/>
        <v>Available</v>
      </c>
      <c r="AB339" t="str">
        <f t="shared" ca="1" si="124"/>
        <v>Pending</v>
      </c>
      <c r="AC339" t="str">
        <f t="shared" ca="1" si="125"/>
        <v>Insurance</v>
      </c>
      <c r="AD339" t="str">
        <f t="shared" ca="1" si="126"/>
        <v>No</v>
      </c>
      <c r="AE339" t="str">
        <f t="shared" ca="1" si="127"/>
        <v>No</v>
      </c>
      <c r="AF339" t="str">
        <f t="shared" ca="1" si="128"/>
        <v>Under Observation</v>
      </c>
      <c r="AG339" t="str">
        <f t="shared" ca="1" si="129"/>
        <v>Southwest</v>
      </c>
      <c r="AH339" t="str">
        <f t="shared" si="112"/>
        <v>October</v>
      </c>
      <c r="AI339">
        <f t="shared" si="113"/>
        <v>2019</v>
      </c>
      <c r="AJ339" t="str">
        <f t="shared" ca="1" si="130"/>
        <v>Occupied</v>
      </c>
      <c r="AK339">
        <f t="shared" ca="1" si="131"/>
        <v>2</v>
      </c>
    </row>
    <row r="340" spans="1:37" x14ac:dyDescent="0.3">
      <c r="A340" t="s">
        <v>4776</v>
      </c>
      <c r="B340">
        <v>49</v>
      </c>
      <c r="C340" t="s">
        <v>32</v>
      </c>
      <c r="D340" t="s">
        <v>38</v>
      </c>
      <c r="E340" t="s">
        <v>39</v>
      </c>
      <c r="F340" s="1">
        <v>44439</v>
      </c>
      <c r="G340" t="s">
        <v>722</v>
      </c>
      <c r="H340" t="s">
        <v>723</v>
      </c>
      <c r="I340" t="s">
        <v>57</v>
      </c>
      <c r="J340">
        <v>2134</v>
      </c>
      <c r="K340">
        <v>189</v>
      </c>
      <c r="L340" t="s">
        <v>21</v>
      </c>
      <c r="M340" s="1">
        <v>44444</v>
      </c>
      <c r="N340" t="s">
        <v>30</v>
      </c>
      <c r="O340" t="s">
        <v>23</v>
      </c>
      <c r="P340" t="str">
        <f t="shared" si="114"/>
        <v>P0339</v>
      </c>
      <c r="Q340" t="str">
        <f t="shared" si="110"/>
        <v>Endocrinology</v>
      </c>
      <c r="R340">
        <f t="shared" si="111"/>
        <v>5</v>
      </c>
      <c r="S340" t="str">
        <f t="shared" ca="1" si="115"/>
        <v>No</v>
      </c>
      <c r="T340" t="str">
        <f t="shared" ca="1" si="116"/>
        <v>Critical</v>
      </c>
      <c r="U340" t="str">
        <f t="shared" ca="1" si="117"/>
        <v>General Ward</v>
      </c>
      <c r="V340" t="str">
        <f t="shared" si="118"/>
        <v>BED0339</v>
      </c>
      <c r="W340" t="str">
        <f t="shared" ca="1" si="119"/>
        <v>ICU</v>
      </c>
      <c r="X340" t="str">
        <f t="shared" si="120"/>
        <v>NUR039</v>
      </c>
      <c r="Y340" t="str">
        <f t="shared" ca="1" si="121"/>
        <v>Evening</v>
      </c>
      <c r="Z340" t="str">
        <f t="shared" ca="1" si="122"/>
        <v>ECG Machine</v>
      </c>
      <c r="AA340" t="str">
        <f t="shared" ca="1" si="123"/>
        <v>Maintenance</v>
      </c>
      <c r="AB340" t="str">
        <f t="shared" ca="1" si="124"/>
        <v>Partially Paid</v>
      </c>
      <c r="AC340" t="str">
        <f t="shared" ca="1" si="125"/>
        <v>Credit Card</v>
      </c>
      <c r="AD340" t="str">
        <f t="shared" ca="1" si="126"/>
        <v>Yes</v>
      </c>
      <c r="AE340" t="str">
        <f t="shared" ca="1" si="127"/>
        <v>No</v>
      </c>
      <c r="AF340" t="str">
        <f t="shared" ca="1" si="128"/>
        <v>Under Observation</v>
      </c>
      <c r="AG340" t="str">
        <f t="shared" ca="1" si="129"/>
        <v>Southeast</v>
      </c>
      <c r="AH340" t="str">
        <f t="shared" si="112"/>
        <v>August</v>
      </c>
      <c r="AI340">
        <f t="shared" si="113"/>
        <v>2021</v>
      </c>
      <c r="AJ340" t="str">
        <f t="shared" ca="1" si="130"/>
        <v>Occupied</v>
      </c>
      <c r="AK340">
        <f t="shared" ca="1" si="131"/>
        <v>2</v>
      </c>
    </row>
    <row r="341" spans="1:37" x14ac:dyDescent="0.3">
      <c r="A341" t="s">
        <v>4777</v>
      </c>
      <c r="B341">
        <v>47</v>
      </c>
      <c r="C341" t="s">
        <v>32</v>
      </c>
      <c r="D341" t="s">
        <v>24</v>
      </c>
      <c r="E341" t="s">
        <v>64</v>
      </c>
      <c r="F341" s="1">
        <v>44391</v>
      </c>
      <c r="G341" t="s">
        <v>724</v>
      </c>
      <c r="H341" t="s">
        <v>725</v>
      </c>
      <c r="I341" t="s">
        <v>20</v>
      </c>
      <c r="J341">
        <v>34263</v>
      </c>
      <c r="K341">
        <v>112</v>
      </c>
      <c r="L341" t="s">
        <v>21</v>
      </c>
      <c r="M341" s="1">
        <v>44414</v>
      </c>
      <c r="N341" t="s">
        <v>47</v>
      </c>
      <c r="O341" t="s">
        <v>31</v>
      </c>
      <c r="P341" t="str">
        <f t="shared" si="114"/>
        <v>P0340</v>
      </c>
      <c r="Q341" t="str">
        <f t="shared" si="110"/>
        <v>Cardiology</v>
      </c>
      <c r="R341">
        <f t="shared" si="111"/>
        <v>23</v>
      </c>
      <c r="S341" t="str">
        <f t="shared" ca="1" si="115"/>
        <v>No</v>
      </c>
      <c r="T341" t="str">
        <f t="shared" ca="1" si="116"/>
        <v>Severe</v>
      </c>
      <c r="U341" t="str">
        <f t="shared" ca="1" si="117"/>
        <v>Semi-Private</v>
      </c>
      <c r="V341" t="str">
        <f t="shared" si="118"/>
        <v>BED0340</v>
      </c>
      <c r="W341" t="str">
        <f t="shared" ca="1" si="119"/>
        <v>Private</v>
      </c>
      <c r="X341" t="str">
        <f t="shared" si="120"/>
        <v>NUR040</v>
      </c>
      <c r="Y341" t="str">
        <f t="shared" ca="1" si="121"/>
        <v>Night</v>
      </c>
      <c r="Z341" t="str">
        <f t="shared" ca="1" si="122"/>
        <v>Ventilator</v>
      </c>
      <c r="AA341" t="str">
        <f t="shared" ca="1" si="123"/>
        <v>Available</v>
      </c>
      <c r="AB341" t="str">
        <f t="shared" ca="1" si="124"/>
        <v>Partially Paid</v>
      </c>
      <c r="AC341" t="str">
        <f t="shared" ca="1" si="125"/>
        <v>Debit Card</v>
      </c>
      <c r="AD341" t="str">
        <f t="shared" ca="1" si="126"/>
        <v>No</v>
      </c>
      <c r="AE341" t="str">
        <f t="shared" ca="1" si="127"/>
        <v>No</v>
      </c>
      <c r="AF341" t="str">
        <f t="shared" ca="1" si="128"/>
        <v>Recovered</v>
      </c>
      <c r="AG341" t="str">
        <f t="shared" ca="1" si="129"/>
        <v>Midwest</v>
      </c>
      <c r="AH341" t="str">
        <f t="shared" si="112"/>
        <v>July</v>
      </c>
      <c r="AI341">
        <f t="shared" si="113"/>
        <v>2021</v>
      </c>
      <c r="AJ341" t="str">
        <f t="shared" ca="1" si="130"/>
        <v>Occupied</v>
      </c>
      <c r="AK341">
        <f t="shared" ca="1" si="131"/>
        <v>2</v>
      </c>
    </row>
    <row r="342" spans="1:37" x14ac:dyDescent="0.3">
      <c r="A342" t="s">
        <v>4778</v>
      </c>
      <c r="B342">
        <v>69</v>
      </c>
      <c r="C342" t="s">
        <v>15</v>
      </c>
      <c r="D342" t="s">
        <v>33</v>
      </c>
      <c r="E342" t="s">
        <v>39</v>
      </c>
      <c r="F342" s="1">
        <v>44582</v>
      </c>
      <c r="G342" t="s">
        <v>726</v>
      </c>
      <c r="H342" t="s">
        <v>727</v>
      </c>
      <c r="I342" t="s">
        <v>36</v>
      </c>
      <c r="J342">
        <v>44897</v>
      </c>
      <c r="K342">
        <v>283</v>
      </c>
      <c r="L342" t="s">
        <v>42</v>
      </c>
      <c r="M342" s="1">
        <v>44594</v>
      </c>
      <c r="N342" t="s">
        <v>22</v>
      </c>
      <c r="O342" t="s">
        <v>23</v>
      </c>
      <c r="P342" t="str">
        <f t="shared" si="114"/>
        <v>P0341</v>
      </c>
      <c r="Q342" t="str">
        <f t="shared" si="110"/>
        <v>Endocrinology</v>
      </c>
      <c r="R342">
        <f t="shared" si="111"/>
        <v>12</v>
      </c>
      <c r="S342" t="str">
        <f t="shared" ca="1" si="115"/>
        <v>No</v>
      </c>
      <c r="T342" t="str">
        <f t="shared" ca="1" si="116"/>
        <v>Severe</v>
      </c>
      <c r="U342" t="str">
        <f t="shared" ca="1" si="117"/>
        <v>Semi-Private</v>
      </c>
      <c r="V342" t="str">
        <f t="shared" si="118"/>
        <v>BED0341</v>
      </c>
      <c r="W342" t="str">
        <f t="shared" ca="1" si="119"/>
        <v>Private</v>
      </c>
      <c r="X342" t="str">
        <f t="shared" si="120"/>
        <v>NUR041</v>
      </c>
      <c r="Y342" t="str">
        <f t="shared" ca="1" si="121"/>
        <v>Night</v>
      </c>
      <c r="Z342" t="str">
        <f t="shared" ca="1" si="122"/>
        <v>CT Scanner</v>
      </c>
      <c r="AA342" t="str">
        <f t="shared" ca="1" si="123"/>
        <v>Maintenance</v>
      </c>
      <c r="AB342" t="str">
        <f t="shared" ca="1" si="124"/>
        <v>Pending</v>
      </c>
      <c r="AC342" t="str">
        <f t="shared" ca="1" si="125"/>
        <v>Debit Card</v>
      </c>
      <c r="AD342" t="str">
        <f t="shared" ca="1" si="126"/>
        <v>No</v>
      </c>
      <c r="AE342" t="str">
        <f t="shared" ca="1" si="127"/>
        <v>No</v>
      </c>
      <c r="AF342" t="str">
        <f t="shared" ca="1" si="128"/>
        <v>Recovered</v>
      </c>
      <c r="AG342" t="str">
        <f t="shared" ca="1" si="129"/>
        <v>Midwest</v>
      </c>
      <c r="AH342" t="str">
        <f t="shared" si="112"/>
        <v>January</v>
      </c>
      <c r="AI342">
        <f t="shared" si="113"/>
        <v>2022</v>
      </c>
      <c r="AJ342" t="str">
        <f t="shared" ca="1" si="130"/>
        <v>Occupied</v>
      </c>
      <c r="AK342">
        <f t="shared" ca="1" si="131"/>
        <v>4</v>
      </c>
    </row>
    <row r="343" spans="1:37" x14ac:dyDescent="0.3">
      <c r="A343" t="s">
        <v>4779</v>
      </c>
      <c r="B343">
        <v>78</v>
      </c>
      <c r="C343" t="s">
        <v>32</v>
      </c>
      <c r="D343" t="s">
        <v>38</v>
      </c>
      <c r="E343" t="s">
        <v>48</v>
      </c>
      <c r="F343" s="1">
        <v>43724</v>
      </c>
      <c r="G343" t="s">
        <v>728</v>
      </c>
      <c r="H343" t="s">
        <v>729</v>
      </c>
      <c r="I343" t="s">
        <v>57</v>
      </c>
      <c r="J343">
        <v>22230</v>
      </c>
      <c r="K343">
        <v>439</v>
      </c>
      <c r="L343" t="s">
        <v>21</v>
      </c>
      <c r="M343" s="1">
        <v>43754</v>
      </c>
      <c r="N343" t="s">
        <v>47</v>
      </c>
      <c r="O343" t="s">
        <v>23</v>
      </c>
      <c r="P343" t="str">
        <f t="shared" si="114"/>
        <v>P0342</v>
      </c>
      <c r="Q343" t="str">
        <f t="shared" si="110"/>
        <v>Pulmonology</v>
      </c>
      <c r="R343">
        <f t="shared" si="111"/>
        <v>30</v>
      </c>
      <c r="S343" t="str">
        <f t="shared" ca="1" si="115"/>
        <v>No</v>
      </c>
      <c r="T343" t="str">
        <f t="shared" ca="1" si="116"/>
        <v>Moderate</v>
      </c>
      <c r="U343" t="str">
        <f t="shared" ca="1" si="117"/>
        <v>Emergency</v>
      </c>
      <c r="V343" t="str">
        <f t="shared" si="118"/>
        <v>BED0342</v>
      </c>
      <c r="W343" t="str">
        <f t="shared" ca="1" si="119"/>
        <v>ICU</v>
      </c>
      <c r="X343" t="str">
        <f t="shared" si="120"/>
        <v>NUR042</v>
      </c>
      <c r="Y343" t="str">
        <f t="shared" ca="1" si="121"/>
        <v>Morning</v>
      </c>
      <c r="Z343" t="str">
        <f t="shared" ca="1" si="122"/>
        <v>MRI Scanner</v>
      </c>
      <c r="AA343" t="str">
        <f t="shared" ca="1" si="123"/>
        <v>Available</v>
      </c>
      <c r="AB343" t="str">
        <f t="shared" ca="1" si="124"/>
        <v>Paid</v>
      </c>
      <c r="AC343" t="str">
        <f t="shared" ca="1" si="125"/>
        <v>Insurance</v>
      </c>
      <c r="AD343" t="str">
        <f t="shared" ca="1" si="126"/>
        <v>No</v>
      </c>
      <c r="AE343" t="str">
        <f t="shared" ca="1" si="127"/>
        <v>No</v>
      </c>
      <c r="AF343" t="str">
        <f t="shared" ca="1" si="128"/>
        <v>Under Observation</v>
      </c>
      <c r="AG343" t="str">
        <f t="shared" ca="1" si="129"/>
        <v>Southwest</v>
      </c>
      <c r="AH343" t="str">
        <f t="shared" si="112"/>
        <v>September</v>
      </c>
      <c r="AI343">
        <f t="shared" si="113"/>
        <v>2019</v>
      </c>
      <c r="AJ343" t="str">
        <f t="shared" ca="1" si="130"/>
        <v>Occupied</v>
      </c>
      <c r="AK343">
        <f t="shared" ca="1" si="131"/>
        <v>1</v>
      </c>
    </row>
    <row r="344" spans="1:37" x14ac:dyDescent="0.3">
      <c r="A344" t="s">
        <v>4780</v>
      </c>
      <c r="B344">
        <v>29</v>
      </c>
      <c r="C344" t="s">
        <v>15</v>
      </c>
      <c r="D344" t="s">
        <v>44</v>
      </c>
      <c r="E344" t="s">
        <v>39</v>
      </c>
      <c r="F344" s="1">
        <v>44946</v>
      </c>
      <c r="G344" t="s">
        <v>730</v>
      </c>
      <c r="H344" t="s">
        <v>731</v>
      </c>
      <c r="I344" t="s">
        <v>57</v>
      </c>
      <c r="J344">
        <v>32895</v>
      </c>
      <c r="K344">
        <v>123</v>
      </c>
      <c r="L344" t="s">
        <v>21</v>
      </c>
      <c r="M344" s="1">
        <v>44955</v>
      </c>
      <c r="N344" t="s">
        <v>37</v>
      </c>
      <c r="O344" t="s">
        <v>43</v>
      </c>
      <c r="P344" t="str">
        <f t="shared" si="114"/>
        <v>P0343</v>
      </c>
      <c r="Q344" t="str">
        <f t="shared" si="110"/>
        <v>Endocrinology</v>
      </c>
      <c r="R344">
        <f t="shared" si="111"/>
        <v>9</v>
      </c>
      <c r="S344" t="str">
        <f t="shared" ca="1" si="115"/>
        <v>No</v>
      </c>
      <c r="T344" t="str">
        <f t="shared" ca="1" si="116"/>
        <v>Moderate</v>
      </c>
      <c r="U344" t="str">
        <f t="shared" ca="1" si="117"/>
        <v>ICU</v>
      </c>
      <c r="V344" t="str">
        <f t="shared" si="118"/>
        <v>BED0343</v>
      </c>
      <c r="W344" t="str">
        <f t="shared" ca="1" si="119"/>
        <v>General</v>
      </c>
      <c r="X344" t="str">
        <f t="shared" si="120"/>
        <v>NUR043</v>
      </c>
      <c r="Y344" t="str">
        <f t="shared" ca="1" si="121"/>
        <v>Evening</v>
      </c>
      <c r="Z344" t="str">
        <f t="shared" ca="1" si="122"/>
        <v>ECG Machine</v>
      </c>
      <c r="AA344" t="str">
        <f t="shared" ca="1" si="123"/>
        <v>Maintenance</v>
      </c>
      <c r="AB344" t="str">
        <f t="shared" ca="1" si="124"/>
        <v>Paid</v>
      </c>
      <c r="AC344" t="str">
        <f t="shared" ca="1" si="125"/>
        <v>Bank Transfer</v>
      </c>
      <c r="AD344" t="str">
        <f t="shared" ca="1" si="126"/>
        <v>No</v>
      </c>
      <c r="AE344" t="str">
        <f t="shared" ca="1" si="127"/>
        <v>Yes</v>
      </c>
      <c r="AF344" t="str">
        <f t="shared" ca="1" si="128"/>
        <v>Recovered</v>
      </c>
      <c r="AG344" t="str">
        <f t="shared" ca="1" si="129"/>
        <v>West Coast</v>
      </c>
      <c r="AH344" t="str">
        <f t="shared" si="112"/>
        <v>January</v>
      </c>
      <c r="AI344">
        <f t="shared" si="113"/>
        <v>2023</v>
      </c>
      <c r="AJ344" t="str">
        <f t="shared" ca="1" si="130"/>
        <v>Occupied</v>
      </c>
      <c r="AK344">
        <f t="shared" ca="1" si="131"/>
        <v>2</v>
      </c>
    </row>
    <row r="345" spans="1:37" x14ac:dyDescent="0.3">
      <c r="A345" t="s">
        <v>4781</v>
      </c>
      <c r="B345">
        <v>73</v>
      </c>
      <c r="C345" t="s">
        <v>15</v>
      </c>
      <c r="D345" t="s">
        <v>24</v>
      </c>
      <c r="E345" t="s">
        <v>17</v>
      </c>
      <c r="F345" s="1">
        <v>43834</v>
      </c>
      <c r="G345" t="s">
        <v>732</v>
      </c>
      <c r="H345" t="s">
        <v>733</v>
      </c>
      <c r="I345" t="s">
        <v>28</v>
      </c>
      <c r="J345">
        <v>5349</v>
      </c>
      <c r="K345">
        <v>469</v>
      </c>
      <c r="L345" t="s">
        <v>29</v>
      </c>
      <c r="M345" s="1">
        <v>43846</v>
      </c>
      <c r="N345" t="s">
        <v>22</v>
      </c>
      <c r="O345" t="s">
        <v>23</v>
      </c>
      <c r="P345" t="str">
        <f t="shared" si="114"/>
        <v>P0344</v>
      </c>
      <c r="Q345" t="str">
        <f t="shared" si="110"/>
        <v>Oncology</v>
      </c>
      <c r="R345">
        <f t="shared" si="111"/>
        <v>12</v>
      </c>
      <c r="S345" t="str">
        <f t="shared" ca="1" si="115"/>
        <v>No</v>
      </c>
      <c r="T345" t="str">
        <f t="shared" ca="1" si="116"/>
        <v>Critical</v>
      </c>
      <c r="U345" t="str">
        <f t="shared" ca="1" si="117"/>
        <v>Emergency</v>
      </c>
      <c r="V345" t="str">
        <f t="shared" si="118"/>
        <v>BED0344</v>
      </c>
      <c r="W345" t="str">
        <f t="shared" ca="1" si="119"/>
        <v>ICU</v>
      </c>
      <c r="X345" t="str">
        <f t="shared" si="120"/>
        <v>NUR044</v>
      </c>
      <c r="Y345" t="str">
        <f t="shared" ca="1" si="121"/>
        <v>Morning</v>
      </c>
      <c r="Z345" t="str">
        <f t="shared" ca="1" si="122"/>
        <v>MRI Scanner</v>
      </c>
      <c r="AA345" t="str">
        <f t="shared" ca="1" si="123"/>
        <v>In Use</v>
      </c>
      <c r="AB345" t="str">
        <f t="shared" ca="1" si="124"/>
        <v>Paid</v>
      </c>
      <c r="AC345" t="str">
        <f t="shared" ca="1" si="125"/>
        <v>Bank Transfer</v>
      </c>
      <c r="AD345" t="str">
        <f t="shared" ca="1" si="126"/>
        <v>Yes</v>
      </c>
      <c r="AE345" t="str">
        <f t="shared" ca="1" si="127"/>
        <v>No</v>
      </c>
      <c r="AF345" t="str">
        <f t="shared" ca="1" si="128"/>
        <v>Transferred</v>
      </c>
      <c r="AG345" t="str">
        <f t="shared" ca="1" si="129"/>
        <v>Southeast</v>
      </c>
      <c r="AH345" t="str">
        <f t="shared" si="112"/>
        <v>January</v>
      </c>
      <c r="AI345">
        <f t="shared" si="113"/>
        <v>2020</v>
      </c>
      <c r="AJ345" t="str">
        <f t="shared" ca="1" si="130"/>
        <v>Occupied</v>
      </c>
      <c r="AK345">
        <f t="shared" ca="1" si="131"/>
        <v>1</v>
      </c>
    </row>
    <row r="346" spans="1:37" x14ac:dyDescent="0.3">
      <c r="A346" t="s">
        <v>4782</v>
      </c>
      <c r="B346">
        <v>53</v>
      </c>
      <c r="C346" t="s">
        <v>15</v>
      </c>
      <c r="D346" t="s">
        <v>52</v>
      </c>
      <c r="E346" t="s">
        <v>25</v>
      </c>
      <c r="F346" s="1">
        <v>45354</v>
      </c>
      <c r="G346" t="s">
        <v>734</v>
      </c>
      <c r="H346" t="s">
        <v>735</v>
      </c>
      <c r="I346" t="s">
        <v>57</v>
      </c>
      <c r="J346">
        <v>23236</v>
      </c>
      <c r="K346">
        <v>442</v>
      </c>
      <c r="L346" t="s">
        <v>42</v>
      </c>
      <c r="M346" s="1">
        <v>45366</v>
      </c>
      <c r="N346" t="s">
        <v>37</v>
      </c>
      <c r="O346" t="s">
        <v>31</v>
      </c>
      <c r="P346" t="str">
        <f t="shared" si="114"/>
        <v>P0345</v>
      </c>
      <c r="Q346" t="str">
        <f t="shared" si="110"/>
        <v>Nutrition</v>
      </c>
      <c r="R346">
        <f t="shared" si="111"/>
        <v>12</v>
      </c>
      <c r="S346" t="str">
        <f t="shared" ca="1" si="115"/>
        <v>No</v>
      </c>
      <c r="T346" t="str">
        <f t="shared" ca="1" si="116"/>
        <v>Moderate</v>
      </c>
      <c r="U346" t="str">
        <f t="shared" ca="1" si="117"/>
        <v>Private Ward</v>
      </c>
      <c r="V346" t="str">
        <f t="shared" si="118"/>
        <v>BED0345</v>
      </c>
      <c r="W346" t="str">
        <f t="shared" ca="1" si="119"/>
        <v>Private</v>
      </c>
      <c r="X346" t="str">
        <f t="shared" si="120"/>
        <v>NUR045</v>
      </c>
      <c r="Y346" t="str">
        <f t="shared" ca="1" si="121"/>
        <v>Night</v>
      </c>
      <c r="Z346" t="str">
        <f t="shared" ca="1" si="122"/>
        <v>MRI Scanner</v>
      </c>
      <c r="AA346" t="str">
        <f t="shared" ca="1" si="123"/>
        <v>Maintenance</v>
      </c>
      <c r="AB346" t="str">
        <f t="shared" ca="1" si="124"/>
        <v>Pending</v>
      </c>
      <c r="AC346" t="str">
        <f t="shared" ca="1" si="125"/>
        <v>Bank Transfer</v>
      </c>
      <c r="AD346" t="str">
        <f t="shared" ca="1" si="126"/>
        <v>No</v>
      </c>
      <c r="AE346" t="str">
        <f t="shared" ca="1" si="127"/>
        <v>No</v>
      </c>
      <c r="AF346" t="str">
        <f t="shared" ca="1" si="128"/>
        <v>Transferred</v>
      </c>
      <c r="AG346" t="str">
        <f t="shared" ca="1" si="129"/>
        <v>Midwest</v>
      </c>
      <c r="AH346" t="str">
        <f t="shared" si="112"/>
        <v>March</v>
      </c>
      <c r="AI346">
        <f t="shared" si="113"/>
        <v>2024</v>
      </c>
      <c r="AJ346" t="str">
        <f t="shared" ca="1" si="130"/>
        <v>Vacant</v>
      </c>
      <c r="AK346">
        <f t="shared" ca="1" si="131"/>
        <v>4</v>
      </c>
    </row>
    <row r="347" spans="1:37" x14ac:dyDescent="0.3">
      <c r="A347" t="s">
        <v>4783</v>
      </c>
      <c r="B347">
        <v>34</v>
      </c>
      <c r="C347" t="s">
        <v>15</v>
      </c>
      <c r="D347" t="s">
        <v>44</v>
      </c>
      <c r="E347" t="s">
        <v>39</v>
      </c>
      <c r="F347" s="1">
        <v>43652</v>
      </c>
      <c r="G347" t="s">
        <v>736</v>
      </c>
      <c r="H347" t="s">
        <v>737</v>
      </c>
      <c r="I347" t="s">
        <v>36</v>
      </c>
      <c r="J347">
        <v>25683</v>
      </c>
      <c r="K347">
        <v>295</v>
      </c>
      <c r="L347" t="s">
        <v>42</v>
      </c>
      <c r="M347" s="1">
        <v>43678</v>
      </c>
      <c r="N347" t="s">
        <v>22</v>
      </c>
      <c r="O347" t="s">
        <v>31</v>
      </c>
      <c r="P347" t="str">
        <f t="shared" si="114"/>
        <v>P0346</v>
      </c>
      <c r="Q347" t="str">
        <f t="shared" si="110"/>
        <v>Endocrinology</v>
      </c>
      <c r="R347">
        <f t="shared" si="111"/>
        <v>26</v>
      </c>
      <c r="S347" t="str">
        <f t="shared" ca="1" si="115"/>
        <v>No</v>
      </c>
      <c r="T347" t="str">
        <f t="shared" ca="1" si="116"/>
        <v>Mild</v>
      </c>
      <c r="U347" t="str">
        <f t="shared" ca="1" si="117"/>
        <v>Private Ward</v>
      </c>
      <c r="V347" t="str">
        <f t="shared" si="118"/>
        <v>BED0346</v>
      </c>
      <c r="W347" t="str">
        <f t="shared" ca="1" si="119"/>
        <v>ICU</v>
      </c>
      <c r="X347" t="str">
        <f t="shared" si="120"/>
        <v>NUR046</v>
      </c>
      <c r="Y347" t="str">
        <f t="shared" ca="1" si="121"/>
        <v>Evening</v>
      </c>
      <c r="Z347" t="str">
        <f t="shared" ca="1" si="122"/>
        <v>MRI Scanner</v>
      </c>
      <c r="AA347" t="str">
        <f t="shared" ca="1" si="123"/>
        <v>In Use</v>
      </c>
      <c r="AB347" t="str">
        <f t="shared" ca="1" si="124"/>
        <v>Partially Paid</v>
      </c>
      <c r="AC347" t="str">
        <f t="shared" ca="1" si="125"/>
        <v>Credit Card</v>
      </c>
      <c r="AD347" t="str">
        <f t="shared" ca="1" si="126"/>
        <v>Yes</v>
      </c>
      <c r="AE347" t="str">
        <f t="shared" ca="1" si="127"/>
        <v>No</v>
      </c>
      <c r="AF347" t="str">
        <f t="shared" ca="1" si="128"/>
        <v>Under Observation</v>
      </c>
      <c r="AG347" t="str">
        <f t="shared" ca="1" si="129"/>
        <v>Northeast</v>
      </c>
      <c r="AH347" t="str">
        <f t="shared" si="112"/>
        <v>July</v>
      </c>
      <c r="AI347">
        <f t="shared" si="113"/>
        <v>2019</v>
      </c>
      <c r="AJ347" t="str">
        <f t="shared" ca="1" si="130"/>
        <v>Occupied</v>
      </c>
      <c r="AK347">
        <f t="shared" ca="1" si="131"/>
        <v>1</v>
      </c>
    </row>
    <row r="348" spans="1:37" x14ac:dyDescent="0.3">
      <c r="A348" t="s">
        <v>4784</v>
      </c>
      <c r="B348">
        <v>38</v>
      </c>
      <c r="C348" t="s">
        <v>32</v>
      </c>
      <c r="D348" t="s">
        <v>52</v>
      </c>
      <c r="E348" t="s">
        <v>25</v>
      </c>
      <c r="F348" s="1">
        <v>44896</v>
      </c>
      <c r="G348" t="s">
        <v>738</v>
      </c>
      <c r="H348" t="s">
        <v>739</v>
      </c>
      <c r="I348" t="s">
        <v>57</v>
      </c>
      <c r="J348">
        <v>45560</v>
      </c>
      <c r="K348">
        <v>309</v>
      </c>
      <c r="L348" t="s">
        <v>42</v>
      </c>
      <c r="M348" s="1">
        <v>44898</v>
      </c>
      <c r="N348" t="s">
        <v>30</v>
      </c>
      <c r="O348" t="s">
        <v>23</v>
      </c>
      <c r="P348" t="str">
        <f t="shared" si="114"/>
        <v>P0347</v>
      </c>
      <c r="Q348" t="str">
        <f t="shared" si="110"/>
        <v>Nutrition</v>
      </c>
      <c r="R348">
        <f t="shared" si="111"/>
        <v>2</v>
      </c>
      <c r="S348" t="str">
        <f t="shared" ca="1" si="115"/>
        <v>No</v>
      </c>
      <c r="T348" t="str">
        <f t="shared" ca="1" si="116"/>
        <v>Severe</v>
      </c>
      <c r="U348" t="str">
        <f t="shared" ca="1" si="117"/>
        <v>General Ward</v>
      </c>
      <c r="V348" t="str">
        <f t="shared" si="118"/>
        <v>BED0347</v>
      </c>
      <c r="W348" t="str">
        <f t="shared" ca="1" si="119"/>
        <v>General</v>
      </c>
      <c r="X348" t="str">
        <f t="shared" si="120"/>
        <v>NUR047</v>
      </c>
      <c r="Y348" t="str">
        <f t="shared" ca="1" si="121"/>
        <v>Night</v>
      </c>
      <c r="Z348" t="str">
        <f t="shared" ca="1" si="122"/>
        <v>Ventilator</v>
      </c>
      <c r="AA348" t="str">
        <f t="shared" ca="1" si="123"/>
        <v>Maintenance</v>
      </c>
      <c r="AB348" t="str">
        <f t="shared" ca="1" si="124"/>
        <v>Pending</v>
      </c>
      <c r="AC348" t="str">
        <f t="shared" ca="1" si="125"/>
        <v>Cash</v>
      </c>
      <c r="AD348" t="str">
        <f t="shared" ca="1" si="126"/>
        <v>No</v>
      </c>
      <c r="AE348" t="str">
        <f t="shared" ca="1" si="127"/>
        <v>No</v>
      </c>
      <c r="AF348" t="str">
        <f t="shared" ca="1" si="128"/>
        <v>Under Observation</v>
      </c>
      <c r="AG348" t="str">
        <f t="shared" ca="1" si="129"/>
        <v>West Coast</v>
      </c>
      <c r="AH348" t="str">
        <f t="shared" si="112"/>
        <v>December</v>
      </c>
      <c r="AI348">
        <f t="shared" si="113"/>
        <v>2022</v>
      </c>
      <c r="AJ348" t="str">
        <f t="shared" ca="1" si="130"/>
        <v>Occupied</v>
      </c>
      <c r="AK348">
        <f t="shared" ca="1" si="131"/>
        <v>4</v>
      </c>
    </row>
    <row r="349" spans="1:37" x14ac:dyDescent="0.3">
      <c r="A349" t="s">
        <v>4785</v>
      </c>
      <c r="B349">
        <v>70</v>
      </c>
      <c r="C349" t="s">
        <v>32</v>
      </c>
      <c r="D349" t="s">
        <v>16</v>
      </c>
      <c r="E349" t="s">
        <v>76</v>
      </c>
      <c r="F349" s="1">
        <v>43961</v>
      </c>
      <c r="G349" t="s">
        <v>740</v>
      </c>
      <c r="H349" t="s">
        <v>741</v>
      </c>
      <c r="I349" t="s">
        <v>51</v>
      </c>
      <c r="J349">
        <v>16851</v>
      </c>
      <c r="K349">
        <v>230</v>
      </c>
      <c r="L349" t="s">
        <v>21</v>
      </c>
      <c r="M349" s="1">
        <v>43981</v>
      </c>
      <c r="N349" t="s">
        <v>47</v>
      </c>
      <c r="O349" t="s">
        <v>43</v>
      </c>
      <c r="P349" t="str">
        <f t="shared" si="114"/>
        <v>P0348</v>
      </c>
      <c r="Q349" t="str">
        <f t="shared" si="110"/>
        <v>Orthopedics</v>
      </c>
      <c r="R349">
        <f t="shared" si="111"/>
        <v>20</v>
      </c>
      <c r="S349" t="str">
        <f t="shared" ca="1" si="115"/>
        <v>Yes</v>
      </c>
      <c r="T349" t="str">
        <f t="shared" ca="1" si="116"/>
        <v>Severe</v>
      </c>
      <c r="U349" t="str">
        <f t="shared" ca="1" si="117"/>
        <v>ICU</v>
      </c>
      <c r="V349" t="str">
        <f t="shared" si="118"/>
        <v>BED0348</v>
      </c>
      <c r="W349" t="str">
        <f t="shared" ca="1" si="119"/>
        <v>Private</v>
      </c>
      <c r="X349" t="str">
        <f t="shared" si="120"/>
        <v>NUR048</v>
      </c>
      <c r="Y349" t="str">
        <f t="shared" ca="1" si="121"/>
        <v>Night</v>
      </c>
      <c r="Z349" t="str">
        <f t="shared" ca="1" si="122"/>
        <v>Ventilator</v>
      </c>
      <c r="AA349" t="str">
        <f t="shared" ca="1" si="123"/>
        <v>In Use</v>
      </c>
      <c r="AB349" t="str">
        <f t="shared" ca="1" si="124"/>
        <v>Pending</v>
      </c>
      <c r="AC349" t="str">
        <f t="shared" ca="1" si="125"/>
        <v>Bank Transfer</v>
      </c>
      <c r="AD349" t="str">
        <f t="shared" ca="1" si="126"/>
        <v>No</v>
      </c>
      <c r="AE349" t="str">
        <f t="shared" ca="1" si="127"/>
        <v>No</v>
      </c>
      <c r="AF349" t="str">
        <f t="shared" ca="1" si="128"/>
        <v>Recovered</v>
      </c>
      <c r="AG349" t="str">
        <f t="shared" ca="1" si="129"/>
        <v>Southeast</v>
      </c>
      <c r="AH349" t="str">
        <f t="shared" si="112"/>
        <v>May</v>
      </c>
      <c r="AI349">
        <f t="shared" si="113"/>
        <v>2020</v>
      </c>
      <c r="AJ349" t="str">
        <f t="shared" ca="1" si="130"/>
        <v>Occupied</v>
      </c>
      <c r="AK349">
        <f t="shared" ca="1" si="131"/>
        <v>2</v>
      </c>
    </row>
    <row r="350" spans="1:37" x14ac:dyDescent="0.3">
      <c r="A350" t="s">
        <v>4786</v>
      </c>
      <c r="B350">
        <v>59</v>
      </c>
      <c r="C350" t="s">
        <v>32</v>
      </c>
      <c r="D350" t="s">
        <v>44</v>
      </c>
      <c r="E350" t="s">
        <v>64</v>
      </c>
      <c r="F350" s="1">
        <v>45361</v>
      </c>
      <c r="G350" t="s">
        <v>742</v>
      </c>
      <c r="H350" t="s">
        <v>743</v>
      </c>
      <c r="I350" t="s">
        <v>36</v>
      </c>
      <c r="J350">
        <v>34366</v>
      </c>
      <c r="K350">
        <v>157</v>
      </c>
      <c r="L350" t="s">
        <v>42</v>
      </c>
      <c r="M350" s="1">
        <v>45367</v>
      </c>
      <c r="N350" t="s">
        <v>30</v>
      </c>
      <c r="O350" t="s">
        <v>31</v>
      </c>
      <c r="P350" t="str">
        <f t="shared" si="114"/>
        <v>P0349</v>
      </c>
      <c r="Q350" t="str">
        <f t="shared" si="110"/>
        <v>Cardiology</v>
      </c>
      <c r="R350">
        <f t="shared" si="111"/>
        <v>6</v>
      </c>
      <c r="S350" t="str">
        <f t="shared" ca="1" si="115"/>
        <v>No</v>
      </c>
      <c r="T350" t="str">
        <f t="shared" ca="1" si="116"/>
        <v>Mild</v>
      </c>
      <c r="U350" t="str">
        <f t="shared" ca="1" si="117"/>
        <v>General Ward</v>
      </c>
      <c r="V350" t="str">
        <f t="shared" si="118"/>
        <v>BED0349</v>
      </c>
      <c r="W350" t="str">
        <f t="shared" ca="1" si="119"/>
        <v>Private</v>
      </c>
      <c r="X350" t="str">
        <f t="shared" si="120"/>
        <v>NUR049</v>
      </c>
      <c r="Y350" t="str">
        <f t="shared" ca="1" si="121"/>
        <v>Night</v>
      </c>
      <c r="Z350" t="str">
        <f t="shared" ca="1" si="122"/>
        <v>ECG Machine</v>
      </c>
      <c r="AA350" t="str">
        <f t="shared" ca="1" si="123"/>
        <v>In Use</v>
      </c>
      <c r="AB350" t="str">
        <f t="shared" ca="1" si="124"/>
        <v>Partially Paid</v>
      </c>
      <c r="AC350" t="str">
        <f t="shared" ca="1" si="125"/>
        <v>Cash</v>
      </c>
      <c r="AD350" t="str">
        <f t="shared" ca="1" si="126"/>
        <v>No</v>
      </c>
      <c r="AE350" t="str">
        <f t="shared" ca="1" si="127"/>
        <v>No</v>
      </c>
      <c r="AF350" t="str">
        <f t="shared" ca="1" si="128"/>
        <v>Transferred</v>
      </c>
      <c r="AG350" t="str">
        <f t="shared" ca="1" si="129"/>
        <v>Southeast</v>
      </c>
      <c r="AH350" t="str">
        <f t="shared" si="112"/>
        <v>March</v>
      </c>
      <c r="AI350">
        <f t="shared" si="113"/>
        <v>2024</v>
      </c>
      <c r="AJ350" t="str">
        <f t="shared" ca="1" si="130"/>
        <v>Occupied</v>
      </c>
      <c r="AK350">
        <f t="shared" ca="1" si="131"/>
        <v>4</v>
      </c>
    </row>
    <row r="351" spans="1:37" x14ac:dyDescent="0.3">
      <c r="A351" t="s">
        <v>4787</v>
      </c>
      <c r="B351">
        <v>43</v>
      </c>
      <c r="C351" t="s">
        <v>15</v>
      </c>
      <c r="D351" t="s">
        <v>44</v>
      </c>
      <c r="E351" t="s">
        <v>76</v>
      </c>
      <c r="F351" s="1">
        <v>43844</v>
      </c>
      <c r="G351" t="s">
        <v>744</v>
      </c>
      <c r="H351" t="s">
        <v>745</v>
      </c>
      <c r="I351" t="s">
        <v>51</v>
      </c>
      <c r="J351">
        <v>11968</v>
      </c>
      <c r="K351">
        <v>171</v>
      </c>
      <c r="L351" t="s">
        <v>21</v>
      </c>
      <c r="M351" s="1">
        <v>43849</v>
      </c>
      <c r="N351" t="s">
        <v>22</v>
      </c>
      <c r="O351" t="s">
        <v>31</v>
      </c>
      <c r="P351" t="str">
        <f t="shared" si="114"/>
        <v>P0350</v>
      </c>
      <c r="Q351" t="str">
        <f t="shared" si="110"/>
        <v>Orthopedics</v>
      </c>
      <c r="R351">
        <f t="shared" si="111"/>
        <v>5</v>
      </c>
      <c r="S351" t="str">
        <f t="shared" ca="1" si="115"/>
        <v>No</v>
      </c>
      <c r="T351" t="str">
        <f t="shared" ca="1" si="116"/>
        <v>Severe</v>
      </c>
      <c r="U351" t="str">
        <f t="shared" ca="1" si="117"/>
        <v>Semi-Private</v>
      </c>
      <c r="V351" t="str">
        <f t="shared" si="118"/>
        <v>BED0350</v>
      </c>
      <c r="W351" t="str">
        <f t="shared" ca="1" si="119"/>
        <v>General</v>
      </c>
      <c r="X351" t="str">
        <f t="shared" si="120"/>
        <v>NUR050</v>
      </c>
      <c r="Y351" t="str">
        <f t="shared" ca="1" si="121"/>
        <v>Morning</v>
      </c>
      <c r="Z351" t="str">
        <f t="shared" ca="1" si="122"/>
        <v>Ultrasound</v>
      </c>
      <c r="AA351" t="str">
        <f t="shared" ca="1" si="123"/>
        <v>In Use</v>
      </c>
      <c r="AB351" t="str">
        <f t="shared" ca="1" si="124"/>
        <v>Partially Paid</v>
      </c>
      <c r="AC351" t="str">
        <f t="shared" ca="1" si="125"/>
        <v>Debit Card</v>
      </c>
      <c r="AD351" t="str">
        <f t="shared" ca="1" si="126"/>
        <v>No</v>
      </c>
      <c r="AE351" t="str">
        <f t="shared" ca="1" si="127"/>
        <v>No</v>
      </c>
      <c r="AF351" t="str">
        <f t="shared" ca="1" si="128"/>
        <v>Recovered</v>
      </c>
      <c r="AG351" t="str">
        <f t="shared" ca="1" si="129"/>
        <v>Southwest</v>
      </c>
      <c r="AH351" t="str">
        <f t="shared" si="112"/>
        <v>January</v>
      </c>
      <c r="AI351">
        <f t="shared" si="113"/>
        <v>2020</v>
      </c>
      <c r="AJ351" t="str">
        <f t="shared" ca="1" si="130"/>
        <v>Occupied</v>
      </c>
      <c r="AK351">
        <f t="shared" ca="1" si="131"/>
        <v>1</v>
      </c>
    </row>
    <row r="352" spans="1:37" x14ac:dyDescent="0.3">
      <c r="A352" t="s">
        <v>4788</v>
      </c>
      <c r="B352">
        <v>49</v>
      </c>
      <c r="C352" t="s">
        <v>15</v>
      </c>
      <c r="D352" t="s">
        <v>16</v>
      </c>
      <c r="E352" t="s">
        <v>39</v>
      </c>
      <c r="F352" s="1">
        <v>43989</v>
      </c>
      <c r="G352" t="s">
        <v>746</v>
      </c>
      <c r="H352" t="s">
        <v>747</v>
      </c>
      <c r="I352" t="s">
        <v>57</v>
      </c>
      <c r="J352">
        <v>10077</v>
      </c>
      <c r="K352">
        <v>380</v>
      </c>
      <c r="L352" t="s">
        <v>42</v>
      </c>
      <c r="M352" s="1">
        <v>44008</v>
      </c>
      <c r="N352" t="s">
        <v>47</v>
      </c>
      <c r="O352" t="s">
        <v>31</v>
      </c>
      <c r="P352" t="str">
        <f t="shared" si="114"/>
        <v>P0351</v>
      </c>
      <c r="Q352" t="str">
        <f t="shared" si="110"/>
        <v>Endocrinology</v>
      </c>
      <c r="R352">
        <f t="shared" si="111"/>
        <v>19</v>
      </c>
      <c r="S352" t="str">
        <f t="shared" ca="1" si="115"/>
        <v>No</v>
      </c>
      <c r="T352" t="str">
        <f t="shared" ca="1" si="116"/>
        <v>Mild</v>
      </c>
      <c r="U352" t="str">
        <f t="shared" ca="1" si="117"/>
        <v>Semi-Private</v>
      </c>
      <c r="V352" t="str">
        <f t="shared" si="118"/>
        <v>BED0351</v>
      </c>
      <c r="W352" t="str">
        <f t="shared" ca="1" si="119"/>
        <v>Private</v>
      </c>
      <c r="X352" t="str">
        <f t="shared" si="120"/>
        <v>NUR001</v>
      </c>
      <c r="Y352" t="str">
        <f t="shared" ca="1" si="121"/>
        <v>Night</v>
      </c>
      <c r="Z352" t="str">
        <f t="shared" ca="1" si="122"/>
        <v>X-Ray</v>
      </c>
      <c r="AA352" t="str">
        <f t="shared" ca="1" si="123"/>
        <v>In Use</v>
      </c>
      <c r="AB352" t="str">
        <f t="shared" ca="1" si="124"/>
        <v>Partially Paid</v>
      </c>
      <c r="AC352" t="str">
        <f t="shared" ca="1" si="125"/>
        <v>Cash</v>
      </c>
      <c r="AD352" t="str">
        <f t="shared" ca="1" si="126"/>
        <v>No</v>
      </c>
      <c r="AE352" t="str">
        <f t="shared" ca="1" si="127"/>
        <v>No</v>
      </c>
      <c r="AF352" t="str">
        <f t="shared" ca="1" si="128"/>
        <v>Under Observation</v>
      </c>
      <c r="AG352" t="str">
        <f t="shared" ca="1" si="129"/>
        <v>Northeast</v>
      </c>
      <c r="AH352" t="str">
        <f t="shared" si="112"/>
        <v>June</v>
      </c>
      <c r="AI352">
        <f t="shared" si="113"/>
        <v>2020</v>
      </c>
      <c r="AJ352" t="str">
        <f t="shared" ca="1" si="130"/>
        <v>Occupied</v>
      </c>
      <c r="AK352">
        <f t="shared" ca="1" si="131"/>
        <v>2</v>
      </c>
    </row>
    <row r="353" spans="1:37" x14ac:dyDescent="0.3">
      <c r="A353" t="s">
        <v>4789</v>
      </c>
      <c r="B353">
        <v>63</v>
      </c>
      <c r="C353" t="s">
        <v>15</v>
      </c>
      <c r="D353" t="s">
        <v>52</v>
      </c>
      <c r="E353" t="s">
        <v>48</v>
      </c>
      <c r="F353" s="1">
        <v>44146</v>
      </c>
      <c r="G353" t="s">
        <v>748</v>
      </c>
      <c r="H353" t="s">
        <v>749</v>
      </c>
      <c r="I353" t="s">
        <v>20</v>
      </c>
      <c r="J353">
        <v>44583</v>
      </c>
      <c r="K353">
        <v>189</v>
      </c>
      <c r="L353" t="s">
        <v>42</v>
      </c>
      <c r="M353" s="1">
        <v>44165</v>
      </c>
      <c r="N353" t="s">
        <v>47</v>
      </c>
      <c r="O353" t="s">
        <v>43</v>
      </c>
      <c r="P353" t="str">
        <f t="shared" si="114"/>
        <v>P0352</v>
      </c>
      <c r="Q353" t="str">
        <f t="shared" si="110"/>
        <v>Pulmonology</v>
      </c>
      <c r="R353">
        <f t="shared" si="111"/>
        <v>19</v>
      </c>
      <c r="S353" t="str">
        <f t="shared" ca="1" si="115"/>
        <v>No</v>
      </c>
      <c r="T353" t="str">
        <f t="shared" ca="1" si="116"/>
        <v>Moderate</v>
      </c>
      <c r="U353" t="str">
        <f t="shared" ca="1" si="117"/>
        <v>ICU</v>
      </c>
      <c r="V353" t="str">
        <f t="shared" si="118"/>
        <v>BED0352</v>
      </c>
      <c r="W353" t="str">
        <f t="shared" ca="1" si="119"/>
        <v>Private</v>
      </c>
      <c r="X353" t="str">
        <f t="shared" si="120"/>
        <v>NUR002</v>
      </c>
      <c r="Y353" t="str">
        <f t="shared" ca="1" si="121"/>
        <v>Morning</v>
      </c>
      <c r="Z353" t="str">
        <f t="shared" ca="1" si="122"/>
        <v>Ventilator</v>
      </c>
      <c r="AA353" t="str">
        <f t="shared" ca="1" si="123"/>
        <v>Maintenance</v>
      </c>
      <c r="AB353" t="str">
        <f t="shared" ca="1" si="124"/>
        <v>Paid</v>
      </c>
      <c r="AC353" t="str">
        <f t="shared" ca="1" si="125"/>
        <v>Insurance</v>
      </c>
      <c r="AD353" t="str">
        <f t="shared" ca="1" si="126"/>
        <v>Yes</v>
      </c>
      <c r="AE353" t="str">
        <f t="shared" ca="1" si="127"/>
        <v>No</v>
      </c>
      <c r="AF353" t="str">
        <f t="shared" ca="1" si="128"/>
        <v>Under Observation</v>
      </c>
      <c r="AG353" t="str">
        <f t="shared" ca="1" si="129"/>
        <v>Southwest</v>
      </c>
      <c r="AH353" t="str">
        <f t="shared" si="112"/>
        <v>November</v>
      </c>
      <c r="AI353">
        <f t="shared" si="113"/>
        <v>2020</v>
      </c>
      <c r="AJ353" t="str">
        <f t="shared" ca="1" si="130"/>
        <v>Vacant</v>
      </c>
      <c r="AK353">
        <f t="shared" ca="1" si="131"/>
        <v>2</v>
      </c>
    </row>
    <row r="354" spans="1:37" x14ac:dyDescent="0.3">
      <c r="A354" t="s">
        <v>4790</v>
      </c>
      <c r="B354">
        <v>40</v>
      </c>
      <c r="C354" t="s">
        <v>32</v>
      </c>
      <c r="D354" t="s">
        <v>38</v>
      </c>
      <c r="E354" t="s">
        <v>48</v>
      </c>
      <c r="F354" s="1">
        <v>44323</v>
      </c>
      <c r="G354" t="s">
        <v>445</v>
      </c>
      <c r="H354" t="s">
        <v>750</v>
      </c>
      <c r="I354" t="s">
        <v>28</v>
      </c>
      <c r="J354">
        <v>30335</v>
      </c>
      <c r="K354">
        <v>102</v>
      </c>
      <c r="L354" t="s">
        <v>21</v>
      </c>
      <c r="M354" s="1">
        <v>44347</v>
      </c>
      <c r="N354" t="s">
        <v>37</v>
      </c>
      <c r="O354" t="s">
        <v>43</v>
      </c>
      <c r="P354" t="str">
        <f t="shared" si="114"/>
        <v>P0353</v>
      </c>
      <c r="Q354" t="str">
        <f t="shared" si="110"/>
        <v>Pulmonology</v>
      </c>
      <c r="R354">
        <f t="shared" si="111"/>
        <v>24</v>
      </c>
      <c r="S354" t="str">
        <f t="shared" ca="1" si="115"/>
        <v>No</v>
      </c>
      <c r="T354" t="str">
        <f t="shared" ca="1" si="116"/>
        <v>Severe</v>
      </c>
      <c r="U354" t="str">
        <f t="shared" ca="1" si="117"/>
        <v>Emergency</v>
      </c>
      <c r="V354" t="str">
        <f t="shared" si="118"/>
        <v>BED0353</v>
      </c>
      <c r="W354" t="str">
        <f t="shared" ca="1" si="119"/>
        <v>Semi-Private</v>
      </c>
      <c r="X354" t="str">
        <f t="shared" si="120"/>
        <v>NUR003</v>
      </c>
      <c r="Y354" t="str">
        <f t="shared" ca="1" si="121"/>
        <v>Evening</v>
      </c>
      <c r="Z354" t="str">
        <f t="shared" ca="1" si="122"/>
        <v>ECG Machine</v>
      </c>
      <c r="AA354" t="str">
        <f t="shared" ca="1" si="123"/>
        <v>Available</v>
      </c>
      <c r="AB354" t="str">
        <f t="shared" ca="1" si="124"/>
        <v>Paid</v>
      </c>
      <c r="AC354" t="str">
        <f t="shared" ca="1" si="125"/>
        <v>Credit Card</v>
      </c>
      <c r="AD354" t="str">
        <f t="shared" ca="1" si="126"/>
        <v>No</v>
      </c>
      <c r="AE354" t="str">
        <f t="shared" ca="1" si="127"/>
        <v>No</v>
      </c>
      <c r="AF354" t="str">
        <f t="shared" ca="1" si="128"/>
        <v>Transferred</v>
      </c>
      <c r="AG354" t="str">
        <f t="shared" ca="1" si="129"/>
        <v>Southeast</v>
      </c>
      <c r="AH354" t="str">
        <f t="shared" si="112"/>
        <v>May</v>
      </c>
      <c r="AI354">
        <f t="shared" si="113"/>
        <v>2021</v>
      </c>
      <c r="AJ354" t="str">
        <f t="shared" ca="1" si="130"/>
        <v>Vacant</v>
      </c>
      <c r="AK354">
        <f t="shared" ca="1" si="131"/>
        <v>2</v>
      </c>
    </row>
    <row r="355" spans="1:37" x14ac:dyDescent="0.3">
      <c r="A355" t="s">
        <v>4791</v>
      </c>
      <c r="B355">
        <v>80</v>
      </c>
      <c r="C355" t="s">
        <v>15</v>
      </c>
      <c r="D355" t="s">
        <v>16</v>
      </c>
      <c r="E355" t="s">
        <v>76</v>
      </c>
      <c r="F355" s="1">
        <v>44390</v>
      </c>
      <c r="G355" t="s">
        <v>751</v>
      </c>
      <c r="H355" t="s">
        <v>752</v>
      </c>
      <c r="I355" t="s">
        <v>57</v>
      </c>
      <c r="J355">
        <v>6197</v>
      </c>
      <c r="K355">
        <v>484</v>
      </c>
      <c r="L355" t="s">
        <v>21</v>
      </c>
      <c r="M355" s="1">
        <v>44413</v>
      </c>
      <c r="N355" t="s">
        <v>47</v>
      </c>
      <c r="O355" t="s">
        <v>23</v>
      </c>
      <c r="P355" t="str">
        <f t="shared" si="114"/>
        <v>P0354</v>
      </c>
      <c r="Q355" t="str">
        <f t="shared" si="110"/>
        <v>Orthopedics</v>
      </c>
      <c r="R355">
        <f t="shared" si="111"/>
        <v>23</v>
      </c>
      <c r="S355" t="str">
        <f t="shared" ca="1" si="115"/>
        <v>No</v>
      </c>
      <c r="T355" t="str">
        <f t="shared" ca="1" si="116"/>
        <v>Critical</v>
      </c>
      <c r="U355" t="str">
        <f t="shared" ca="1" si="117"/>
        <v>Semi-Private</v>
      </c>
      <c r="V355" t="str">
        <f t="shared" si="118"/>
        <v>BED0354</v>
      </c>
      <c r="W355" t="str">
        <f t="shared" ca="1" si="119"/>
        <v>General</v>
      </c>
      <c r="X355" t="str">
        <f t="shared" si="120"/>
        <v>NUR004</v>
      </c>
      <c r="Y355" t="str">
        <f t="shared" ca="1" si="121"/>
        <v>Morning</v>
      </c>
      <c r="Z355" t="str">
        <f t="shared" ca="1" si="122"/>
        <v>CT Scanner</v>
      </c>
      <c r="AA355" t="str">
        <f t="shared" ca="1" si="123"/>
        <v>Available</v>
      </c>
      <c r="AB355" t="str">
        <f t="shared" ca="1" si="124"/>
        <v>Paid</v>
      </c>
      <c r="AC355" t="str">
        <f t="shared" ca="1" si="125"/>
        <v>Debit Card</v>
      </c>
      <c r="AD355" t="str">
        <f t="shared" ca="1" si="126"/>
        <v>No</v>
      </c>
      <c r="AE355" t="str">
        <f t="shared" ca="1" si="127"/>
        <v>Yes</v>
      </c>
      <c r="AF355" t="str">
        <f t="shared" ca="1" si="128"/>
        <v>Transferred</v>
      </c>
      <c r="AG355" t="str">
        <f t="shared" ca="1" si="129"/>
        <v>West Coast</v>
      </c>
      <c r="AH355" t="str">
        <f t="shared" si="112"/>
        <v>July</v>
      </c>
      <c r="AI355">
        <f t="shared" si="113"/>
        <v>2021</v>
      </c>
      <c r="AJ355" t="str">
        <f t="shared" ca="1" si="130"/>
        <v>Occupied</v>
      </c>
      <c r="AK355">
        <f t="shared" ca="1" si="131"/>
        <v>1</v>
      </c>
    </row>
    <row r="356" spans="1:37" x14ac:dyDescent="0.3">
      <c r="A356" t="s">
        <v>4792</v>
      </c>
      <c r="B356">
        <v>74</v>
      </c>
      <c r="C356" t="s">
        <v>32</v>
      </c>
      <c r="D356" t="s">
        <v>83</v>
      </c>
      <c r="E356" t="s">
        <v>17</v>
      </c>
      <c r="F356" s="1">
        <v>45376</v>
      </c>
      <c r="G356" t="s">
        <v>753</v>
      </c>
      <c r="H356" t="s">
        <v>754</v>
      </c>
      <c r="I356" t="s">
        <v>57</v>
      </c>
      <c r="J356">
        <v>45439</v>
      </c>
      <c r="K356">
        <v>256</v>
      </c>
      <c r="L356" t="s">
        <v>29</v>
      </c>
      <c r="M356" s="1">
        <v>45385</v>
      </c>
      <c r="N356" t="s">
        <v>67</v>
      </c>
      <c r="O356" t="s">
        <v>23</v>
      </c>
      <c r="P356" t="str">
        <f t="shared" si="114"/>
        <v>P0355</v>
      </c>
      <c r="Q356" t="str">
        <f t="shared" si="110"/>
        <v>Oncology</v>
      </c>
      <c r="R356">
        <f t="shared" si="111"/>
        <v>9</v>
      </c>
      <c r="S356" t="str">
        <f t="shared" ca="1" si="115"/>
        <v>No</v>
      </c>
      <c r="T356" t="str">
        <f t="shared" ca="1" si="116"/>
        <v>Moderate</v>
      </c>
      <c r="U356" t="str">
        <f t="shared" ca="1" si="117"/>
        <v>General Ward</v>
      </c>
      <c r="V356" t="str">
        <f t="shared" si="118"/>
        <v>BED0355</v>
      </c>
      <c r="W356" t="str">
        <f t="shared" ca="1" si="119"/>
        <v>Semi-Private</v>
      </c>
      <c r="X356" t="str">
        <f t="shared" si="120"/>
        <v>NUR005</v>
      </c>
      <c r="Y356" t="str">
        <f t="shared" ca="1" si="121"/>
        <v>Night</v>
      </c>
      <c r="Z356" t="str">
        <f t="shared" ca="1" si="122"/>
        <v>ECG Machine</v>
      </c>
      <c r="AA356" t="str">
        <f t="shared" ca="1" si="123"/>
        <v>In Use</v>
      </c>
      <c r="AB356" t="str">
        <f t="shared" ca="1" si="124"/>
        <v>Paid</v>
      </c>
      <c r="AC356" t="str">
        <f t="shared" ca="1" si="125"/>
        <v>Bank Transfer</v>
      </c>
      <c r="AD356" t="str">
        <f t="shared" ca="1" si="126"/>
        <v>No</v>
      </c>
      <c r="AE356" t="str">
        <f t="shared" ca="1" si="127"/>
        <v>Yes</v>
      </c>
      <c r="AF356" t="str">
        <f t="shared" ca="1" si="128"/>
        <v>Recovered</v>
      </c>
      <c r="AG356" t="str">
        <f t="shared" ca="1" si="129"/>
        <v>West Coast</v>
      </c>
      <c r="AH356" t="str">
        <f t="shared" si="112"/>
        <v>March</v>
      </c>
      <c r="AI356">
        <f t="shared" si="113"/>
        <v>2024</v>
      </c>
      <c r="AJ356" t="str">
        <f t="shared" ca="1" si="130"/>
        <v>Occupied</v>
      </c>
      <c r="AK356">
        <f t="shared" ca="1" si="131"/>
        <v>4</v>
      </c>
    </row>
    <row r="357" spans="1:37" x14ac:dyDescent="0.3">
      <c r="A357" t="s">
        <v>4793</v>
      </c>
      <c r="B357">
        <v>70</v>
      </c>
      <c r="C357" t="s">
        <v>15</v>
      </c>
      <c r="D357" t="s">
        <v>38</v>
      </c>
      <c r="E357" t="s">
        <v>39</v>
      </c>
      <c r="F357" s="1">
        <v>43915</v>
      </c>
      <c r="G357" t="s">
        <v>755</v>
      </c>
      <c r="H357" t="s">
        <v>756</v>
      </c>
      <c r="I357" t="s">
        <v>36</v>
      </c>
      <c r="J357">
        <v>43707</v>
      </c>
      <c r="K357">
        <v>365</v>
      </c>
      <c r="L357" t="s">
        <v>21</v>
      </c>
      <c r="M357" s="1">
        <v>43923</v>
      </c>
      <c r="N357" t="s">
        <v>67</v>
      </c>
      <c r="O357" t="s">
        <v>23</v>
      </c>
      <c r="P357" t="str">
        <f t="shared" si="114"/>
        <v>P0356</v>
      </c>
      <c r="Q357" t="str">
        <f t="shared" si="110"/>
        <v>Endocrinology</v>
      </c>
      <c r="R357">
        <f t="shared" si="111"/>
        <v>8</v>
      </c>
      <c r="S357" t="str">
        <f t="shared" ca="1" si="115"/>
        <v>No</v>
      </c>
      <c r="T357" t="str">
        <f t="shared" ca="1" si="116"/>
        <v>Critical</v>
      </c>
      <c r="U357" t="str">
        <f t="shared" ca="1" si="117"/>
        <v>ICU</v>
      </c>
      <c r="V357" t="str">
        <f t="shared" si="118"/>
        <v>BED0356</v>
      </c>
      <c r="W357" t="str">
        <f t="shared" ca="1" si="119"/>
        <v>ICU</v>
      </c>
      <c r="X357" t="str">
        <f t="shared" si="120"/>
        <v>NUR006</v>
      </c>
      <c r="Y357" t="str">
        <f t="shared" ca="1" si="121"/>
        <v>Evening</v>
      </c>
      <c r="Z357" t="str">
        <f t="shared" ca="1" si="122"/>
        <v>Ventilator</v>
      </c>
      <c r="AA357" t="str">
        <f t="shared" ca="1" si="123"/>
        <v>Maintenance</v>
      </c>
      <c r="AB357" t="str">
        <f t="shared" ca="1" si="124"/>
        <v>Paid</v>
      </c>
      <c r="AC357" t="str">
        <f t="shared" ca="1" si="125"/>
        <v>Debit Card</v>
      </c>
      <c r="AD357" t="str">
        <f t="shared" ca="1" si="126"/>
        <v>No</v>
      </c>
      <c r="AE357" t="str">
        <f t="shared" ca="1" si="127"/>
        <v>No</v>
      </c>
      <c r="AF357" t="str">
        <f t="shared" ca="1" si="128"/>
        <v>Under Observation</v>
      </c>
      <c r="AG357" t="str">
        <f t="shared" ca="1" si="129"/>
        <v>Southwest</v>
      </c>
      <c r="AH357" t="str">
        <f t="shared" si="112"/>
        <v>March</v>
      </c>
      <c r="AI357">
        <f t="shared" si="113"/>
        <v>2020</v>
      </c>
      <c r="AJ357" t="str">
        <f t="shared" ca="1" si="130"/>
        <v>Occupied</v>
      </c>
      <c r="AK357">
        <f t="shared" ca="1" si="131"/>
        <v>2</v>
      </c>
    </row>
    <row r="358" spans="1:37" x14ac:dyDescent="0.3">
      <c r="A358" t="s">
        <v>4794</v>
      </c>
      <c r="B358">
        <v>39</v>
      </c>
      <c r="C358" t="s">
        <v>32</v>
      </c>
      <c r="D358" t="s">
        <v>52</v>
      </c>
      <c r="E358" t="s">
        <v>39</v>
      </c>
      <c r="F358" s="1">
        <v>45060</v>
      </c>
      <c r="G358" t="s">
        <v>757</v>
      </c>
      <c r="H358" t="s">
        <v>758</v>
      </c>
      <c r="I358" t="s">
        <v>20</v>
      </c>
      <c r="J358">
        <v>20105</v>
      </c>
      <c r="K358">
        <v>286</v>
      </c>
      <c r="L358" t="s">
        <v>21</v>
      </c>
      <c r="M358" s="1">
        <v>45066</v>
      </c>
      <c r="N358" t="s">
        <v>47</v>
      </c>
      <c r="O358" t="s">
        <v>23</v>
      </c>
      <c r="P358" t="str">
        <f t="shared" si="114"/>
        <v>P0357</v>
      </c>
      <c r="Q358" t="str">
        <f t="shared" si="110"/>
        <v>Endocrinology</v>
      </c>
      <c r="R358">
        <f t="shared" si="111"/>
        <v>6</v>
      </c>
      <c r="S358" t="str">
        <f t="shared" ca="1" si="115"/>
        <v>No</v>
      </c>
      <c r="T358" t="str">
        <f t="shared" ca="1" si="116"/>
        <v>Moderate</v>
      </c>
      <c r="U358" t="str">
        <f t="shared" ca="1" si="117"/>
        <v>Private Ward</v>
      </c>
      <c r="V358" t="str">
        <f t="shared" si="118"/>
        <v>BED0357</v>
      </c>
      <c r="W358" t="str">
        <f t="shared" ca="1" si="119"/>
        <v>Private</v>
      </c>
      <c r="X358" t="str">
        <f t="shared" si="120"/>
        <v>NUR007</v>
      </c>
      <c r="Y358" t="str">
        <f t="shared" ca="1" si="121"/>
        <v>Night</v>
      </c>
      <c r="Z358" t="str">
        <f t="shared" ca="1" si="122"/>
        <v>Ventilator</v>
      </c>
      <c r="AA358" t="str">
        <f t="shared" ca="1" si="123"/>
        <v>In Use</v>
      </c>
      <c r="AB358" t="str">
        <f t="shared" ca="1" si="124"/>
        <v>Pending</v>
      </c>
      <c r="AC358" t="str">
        <f t="shared" ca="1" si="125"/>
        <v>Debit Card</v>
      </c>
      <c r="AD358" t="str">
        <f t="shared" ca="1" si="126"/>
        <v>No</v>
      </c>
      <c r="AE358" t="str">
        <f t="shared" ca="1" si="127"/>
        <v>No</v>
      </c>
      <c r="AF358" t="str">
        <f t="shared" ca="1" si="128"/>
        <v>Transferred</v>
      </c>
      <c r="AG358" t="str">
        <f t="shared" ca="1" si="129"/>
        <v>Southwest</v>
      </c>
      <c r="AH358" t="str">
        <f t="shared" si="112"/>
        <v>May</v>
      </c>
      <c r="AI358">
        <f t="shared" si="113"/>
        <v>2023</v>
      </c>
      <c r="AJ358" t="str">
        <f t="shared" ca="1" si="130"/>
        <v>Occupied</v>
      </c>
      <c r="AK358">
        <f t="shared" ca="1" si="131"/>
        <v>1</v>
      </c>
    </row>
    <row r="359" spans="1:37" x14ac:dyDescent="0.3">
      <c r="A359" t="s">
        <v>4795</v>
      </c>
      <c r="B359">
        <v>47</v>
      </c>
      <c r="C359" t="s">
        <v>32</v>
      </c>
      <c r="D359" t="s">
        <v>44</v>
      </c>
      <c r="E359" t="s">
        <v>39</v>
      </c>
      <c r="F359" s="1">
        <v>44884</v>
      </c>
      <c r="G359" t="s">
        <v>759</v>
      </c>
      <c r="H359" t="s">
        <v>760</v>
      </c>
      <c r="I359" t="s">
        <v>51</v>
      </c>
      <c r="J359">
        <v>11938</v>
      </c>
      <c r="K359">
        <v>452</v>
      </c>
      <c r="L359" t="s">
        <v>21</v>
      </c>
      <c r="M359" s="1">
        <v>44888</v>
      </c>
      <c r="N359" t="s">
        <v>47</v>
      </c>
      <c r="O359" t="s">
        <v>23</v>
      </c>
      <c r="P359" t="str">
        <f t="shared" si="114"/>
        <v>P0358</v>
      </c>
      <c r="Q359" t="str">
        <f t="shared" si="110"/>
        <v>Endocrinology</v>
      </c>
      <c r="R359">
        <f t="shared" si="111"/>
        <v>4</v>
      </c>
      <c r="S359" t="str">
        <f t="shared" ca="1" si="115"/>
        <v>No</v>
      </c>
      <c r="T359" t="str">
        <f t="shared" ca="1" si="116"/>
        <v>Mild</v>
      </c>
      <c r="U359" t="str">
        <f t="shared" ca="1" si="117"/>
        <v>ICU</v>
      </c>
      <c r="V359" t="str">
        <f t="shared" si="118"/>
        <v>BED0358</v>
      </c>
      <c r="W359" t="str">
        <f t="shared" ca="1" si="119"/>
        <v>ICU</v>
      </c>
      <c r="X359" t="str">
        <f t="shared" si="120"/>
        <v>NUR008</v>
      </c>
      <c r="Y359" t="str">
        <f t="shared" ca="1" si="121"/>
        <v>Morning</v>
      </c>
      <c r="Z359" t="str">
        <f t="shared" ca="1" si="122"/>
        <v>Ultrasound</v>
      </c>
      <c r="AA359" t="str">
        <f t="shared" ca="1" si="123"/>
        <v>In Use</v>
      </c>
      <c r="AB359" t="str">
        <f t="shared" ca="1" si="124"/>
        <v>Partially Paid</v>
      </c>
      <c r="AC359" t="str">
        <f t="shared" ca="1" si="125"/>
        <v>Debit Card</v>
      </c>
      <c r="AD359" t="str">
        <f t="shared" ca="1" si="126"/>
        <v>No</v>
      </c>
      <c r="AE359" t="str">
        <f t="shared" ca="1" si="127"/>
        <v>No</v>
      </c>
      <c r="AF359" t="str">
        <f t="shared" ca="1" si="128"/>
        <v>Under Observation</v>
      </c>
      <c r="AG359" t="str">
        <f t="shared" ca="1" si="129"/>
        <v>West Coast</v>
      </c>
      <c r="AH359" t="str">
        <f t="shared" si="112"/>
        <v>November</v>
      </c>
      <c r="AI359">
        <f t="shared" si="113"/>
        <v>2022</v>
      </c>
      <c r="AJ359" t="str">
        <f t="shared" ca="1" si="130"/>
        <v>Occupied</v>
      </c>
      <c r="AK359">
        <f t="shared" ca="1" si="131"/>
        <v>4</v>
      </c>
    </row>
    <row r="360" spans="1:37" x14ac:dyDescent="0.3">
      <c r="A360" t="s">
        <v>4796</v>
      </c>
      <c r="B360">
        <v>49</v>
      </c>
      <c r="C360" t="s">
        <v>15</v>
      </c>
      <c r="D360" t="s">
        <v>44</v>
      </c>
      <c r="E360" t="s">
        <v>39</v>
      </c>
      <c r="F360" s="1">
        <v>44265</v>
      </c>
      <c r="G360" t="s">
        <v>761</v>
      </c>
      <c r="H360" t="s">
        <v>762</v>
      </c>
      <c r="I360" t="s">
        <v>57</v>
      </c>
      <c r="J360">
        <v>10836</v>
      </c>
      <c r="K360">
        <v>481</v>
      </c>
      <c r="L360" t="s">
        <v>29</v>
      </c>
      <c r="M360" s="1">
        <v>44285</v>
      </c>
      <c r="N360" t="s">
        <v>67</v>
      </c>
      <c r="O360" t="s">
        <v>43</v>
      </c>
      <c r="P360" t="str">
        <f t="shared" si="114"/>
        <v>P0359</v>
      </c>
      <c r="Q360" t="str">
        <f t="shared" si="110"/>
        <v>Endocrinology</v>
      </c>
      <c r="R360">
        <f t="shared" si="111"/>
        <v>20</v>
      </c>
      <c r="S360" t="str">
        <f t="shared" ca="1" si="115"/>
        <v>No</v>
      </c>
      <c r="T360" t="str">
        <f t="shared" ca="1" si="116"/>
        <v>Mild</v>
      </c>
      <c r="U360" t="str">
        <f t="shared" ca="1" si="117"/>
        <v>Semi-Private</v>
      </c>
      <c r="V360" t="str">
        <f t="shared" si="118"/>
        <v>BED0359</v>
      </c>
      <c r="W360" t="str">
        <f t="shared" ca="1" si="119"/>
        <v>General</v>
      </c>
      <c r="X360" t="str">
        <f t="shared" si="120"/>
        <v>NUR009</v>
      </c>
      <c r="Y360" t="str">
        <f t="shared" ca="1" si="121"/>
        <v>Night</v>
      </c>
      <c r="Z360" t="str">
        <f t="shared" ca="1" si="122"/>
        <v>Ultrasound</v>
      </c>
      <c r="AA360" t="str">
        <f t="shared" ca="1" si="123"/>
        <v>In Use</v>
      </c>
      <c r="AB360" t="str">
        <f t="shared" ca="1" si="124"/>
        <v>Paid</v>
      </c>
      <c r="AC360" t="str">
        <f t="shared" ca="1" si="125"/>
        <v>Insurance</v>
      </c>
      <c r="AD360" t="str">
        <f t="shared" ca="1" si="126"/>
        <v>No</v>
      </c>
      <c r="AE360" t="str">
        <f t="shared" ca="1" si="127"/>
        <v>No</v>
      </c>
      <c r="AF360" t="str">
        <f t="shared" ca="1" si="128"/>
        <v>Under Observation</v>
      </c>
      <c r="AG360" t="str">
        <f t="shared" ca="1" si="129"/>
        <v>Northeast</v>
      </c>
      <c r="AH360" t="str">
        <f t="shared" si="112"/>
        <v>March</v>
      </c>
      <c r="AI360">
        <f t="shared" si="113"/>
        <v>2021</v>
      </c>
      <c r="AJ360" t="str">
        <f t="shared" ca="1" si="130"/>
        <v>Occupied</v>
      </c>
      <c r="AK360">
        <f t="shared" ca="1" si="131"/>
        <v>2</v>
      </c>
    </row>
    <row r="361" spans="1:37" x14ac:dyDescent="0.3">
      <c r="A361" t="s">
        <v>4797</v>
      </c>
      <c r="B361">
        <v>64</v>
      </c>
      <c r="C361" t="s">
        <v>15</v>
      </c>
      <c r="D361" t="s">
        <v>33</v>
      </c>
      <c r="E361" t="s">
        <v>25</v>
      </c>
      <c r="F361" s="1">
        <v>44150</v>
      </c>
      <c r="G361" t="s">
        <v>763</v>
      </c>
      <c r="H361" t="s">
        <v>764</v>
      </c>
      <c r="I361" t="s">
        <v>57</v>
      </c>
      <c r="J361">
        <v>40037</v>
      </c>
      <c r="K361">
        <v>278</v>
      </c>
      <c r="L361" t="s">
        <v>21</v>
      </c>
      <c r="M361" s="1">
        <v>44155</v>
      </c>
      <c r="N361" t="s">
        <v>30</v>
      </c>
      <c r="O361" t="s">
        <v>31</v>
      </c>
      <c r="P361" t="str">
        <f t="shared" si="114"/>
        <v>P0360</v>
      </c>
      <c r="Q361" t="str">
        <f t="shared" si="110"/>
        <v>Nutrition</v>
      </c>
      <c r="R361">
        <f t="shared" si="111"/>
        <v>5</v>
      </c>
      <c r="S361" t="str">
        <f t="shared" ca="1" si="115"/>
        <v>No</v>
      </c>
      <c r="T361" t="str">
        <f t="shared" ca="1" si="116"/>
        <v>Severe</v>
      </c>
      <c r="U361" t="str">
        <f t="shared" ca="1" si="117"/>
        <v>General Ward</v>
      </c>
      <c r="V361" t="str">
        <f t="shared" si="118"/>
        <v>BED0360</v>
      </c>
      <c r="W361" t="str">
        <f t="shared" ca="1" si="119"/>
        <v>Semi-Private</v>
      </c>
      <c r="X361" t="str">
        <f t="shared" si="120"/>
        <v>NUR010</v>
      </c>
      <c r="Y361" t="str">
        <f t="shared" ca="1" si="121"/>
        <v>Evening</v>
      </c>
      <c r="Z361" t="str">
        <f t="shared" ca="1" si="122"/>
        <v>MRI Scanner</v>
      </c>
      <c r="AA361" t="str">
        <f t="shared" ca="1" si="123"/>
        <v>Available</v>
      </c>
      <c r="AB361" t="str">
        <f t="shared" ca="1" si="124"/>
        <v>Paid</v>
      </c>
      <c r="AC361" t="str">
        <f t="shared" ca="1" si="125"/>
        <v>Insurance</v>
      </c>
      <c r="AD361" t="str">
        <f t="shared" ca="1" si="126"/>
        <v>No</v>
      </c>
      <c r="AE361" t="str">
        <f t="shared" ca="1" si="127"/>
        <v>No</v>
      </c>
      <c r="AF361" t="str">
        <f t="shared" ca="1" si="128"/>
        <v>Transferred</v>
      </c>
      <c r="AG361" t="str">
        <f t="shared" ca="1" si="129"/>
        <v>Midwest</v>
      </c>
      <c r="AH361" t="str">
        <f t="shared" si="112"/>
        <v>November</v>
      </c>
      <c r="AI361">
        <f t="shared" si="113"/>
        <v>2020</v>
      </c>
      <c r="AJ361" t="str">
        <f t="shared" ca="1" si="130"/>
        <v>Occupied</v>
      </c>
      <c r="AK361">
        <f t="shared" ca="1" si="131"/>
        <v>2</v>
      </c>
    </row>
    <row r="362" spans="1:37" x14ac:dyDescent="0.3">
      <c r="A362" t="s">
        <v>4798</v>
      </c>
      <c r="B362">
        <v>40</v>
      </c>
      <c r="C362" t="s">
        <v>15</v>
      </c>
      <c r="D362" t="s">
        <v>24</v>
      </c>
      <c r="E362" t="s">
        <v>48</v>
      </c>
      <c r="F362" s="1">
        <v>45319</v>
      </c>
      <c r="G362" t="s">
        <v>765</v>
      </c>
      <c r="H362" t="s">
        <v>766</v>
      </c>
      <c r="I362" t="s">
        <v>28</v>
      </c>
      <c r="J362">
        <v>42959</v>
      </c>
      <c r="K362">
        <v>410</v>
      </c>
      <c r="L362" t="s">
        <v>42</v>
      </c>
      <c r="M362" s="1">
        <v>45343</v>
      </c>
      <c r="N362" t="s">
        <v>22</v>
      </c>
      <c r="O362" t="s">
        <v>43</v>
      </c>
      <c r="P362" t="str">
        <f t="shared" si="114"/>
        <v>P0361</v>
      </c>
      <c r="Q362" t="str">
        <f t="shared" si="110"/>
        <v>Pulmonology</v>
      </c>
      <c r="R362">
        <f t="shared" si="111"/>
        <v>24</v>
      </c>
      <c r="S362" t="str">
        <f t="shared" ca="1" si="115"/>
        <v>No</v>
      </c>
      <c r="T362" t="str">
        <f t="shared" ca="1" si="116"/>
        <v>Severe</v>
      </c>
      <c r="U362" t="str">
        <f t="shared" ca="1" si="117"/>
        <v>Private Ward</v>
      </c>
      <c r="V362" t="str">
        <f t="shared" si="118"/>
        <v>BED0361</v>
      </c>
      <c r="W362" t="str">
        <f t="shared" ca="1" si="119"/>
        <v>Semi-Private</v>
      </c>
      <c r="X362" t="str">
        <f t="shared" si="120"/>
        <v>NUR011</v>
      </c>
      <c r="Y362" t="str">
        <f t="shared" ca="1" si="121"/>
        <v>Night</v>
      </c>
      <c r="Z362" t="str">
        <f t="shared" ca="1" si="122"/>
        <v>CT Scanner</v>
      </c>
      <c r="AA362" t="str">
        <f t="shared" ca="1" si="123"/>
        <v>Maintenance</v>
      </c>
      <c r="AB362" t="str">
        <f t="shared" ca="1" si="124"/>
        <v>Partially Paid</v>
      </c>
      <c r="AC362" t="str">
        <f t="shared" ca="1" si="125"/>
        <v>Debit Card</v>
      </c>
      <c r="AD362" t="str">
        <f t="shared" ca="1" si="126"/>
        <v>No</v>
      </c>
      <c r="AE362" t="str">
        <f t="shared" ca="1" si="127"/>
        <v>No</v>
      </c>
      <c r="AF362" t="str">
        <f t="shared" ca="1" si="128"/>
        <v>Transferred</v>
      </c>
      <c r="AG362" t="str">
        <f t="shared" ca="1" si="129"/>
        <v>Northeast</v>
      </c>
      <c r="AH362" t="str">
        <f t="shared" si="112"/>
        <v>January</v>
      </c>
      <c r="AI362">
        <f t="shared" si="113"/>
        <v>2024</v>
      </c>
      <c r="AJ362" t="str">
        <f t="shared" ca="1" si="130"/>
        <v>Occupied</v>
      </c>
      <c r="AK362">
        <f t="shared" ca="1" si="131"/>
        <v>4</v>
      </c>
    </row>
    <row r="363" spans="1:37" x14ac:dyDescent="0.3">
      <c r="A363" t="s">
        <v>4799</v>
      </c>
      <c r="B363">
        <v>77</v>
      </c>
      <c r="C363" t="s">
        <v>15</v>
      </c>
      <c r="D363" t="s">
        <v>33</v>
      </c>
      <c r="E363" t="s">
        <v>76</v>
      </c>
      <c r="F363" s="1">
        <v>44019</v>
      </c>
      <c r="G363" t="s">
        <v>767</v>
      </c>
      <c r="H363" t="s">
        <v>768</v>
      </c>
      <c r="I363" t="s">
        <v>28</v>
      </c>
      <c r="J363">
        <v>40197</v>
      </c>
      <c r="K363">
        <v>152</v>
      </c>
      <c r="L363" t="s">
        <v>21</v>
      </c>
      <c r="M363" s="1">
        <v>44048</v>
      </c>
      <c r="N363" t="s">
        <v>22</v>
      </c>
      <c r="O363" t="s">
        <v>43</v>
      </c>
      <c r="P363" t="str">
        <f t="shared" si="114"/>
        <v>P0362</v>
      </c>
      <c r="Q363" t="str">
        <f t="shared" si="110"/>
        <v>Orthopedics</v>
      </c>
      <c r="R363">
        <f t="shared" si="111"/>
        <v>29</v>
      </c>
      <c r="S363" t="str">
        <f t="shared" ca="1" si="115"/>
        <v>No</v>
      </c>
      <c r="T363" t="str">
        <f t="shared" ca="1" si="116"/>
        <v>Moderate</v>
      </c>
      <c r="U363" t="str">
        <f t="shared" ca="1" si="117"/>
        <v>Emergency</v>
      </c>
      <c r="V363" t="str">
        <f t="shared" si="118"/>
        <v>BED0362</v>
      </c>
      <c r="W363" t="str">
        <f t="shared" ca="1" si="119"/>
        <v>General</v>
      </c>
      <c r="X363" t="str">
        <f t="shared" si="120"/>
        <v>NUR012</v>
      </c>
      <c r="Y363" t="str">
        <f t="shared" ca="1" si="121"/>
        <v>Morning</v>
      </c>
      <c r="Z363" t="str">
        <f t="shared" ca="1" si="122"/>
        <v>Ventilator</v>
      </c>
      <c r="AA363" t="str">
        <f t="shared" ca="1" si="123"/>
        <v>In Use</v>
      </c>
      <c r="AB363" t="str">
        <f t="shared" ca="1" si="124"/>
        <v>Pending</v>
      </c>
      <c r="AC363" t="str">
        <f t="shared" ca="1" si="125"/>
        <v>Cash</v>
      </c>
      <c r="AD363" t="str">
        <f t="shared" ca="1" si="126"/>
        <v>No</v>
      </c>
      <c r="AE363" t="str">
        <f t="shared" ca="1" si="127"/>
        <v>No</v>
      </c>
      <c r="AF363" t="str">
        <f t="shared" ca="1" si="128"/>
        <v>Under Observation</v>
      </c>
      <c r="AG363" t="str">
        <f t="shared" ca="1" si="129"/>
        <v>Midwest</v>
      </c>
      <c r="AH363" t="str">
        <f t="shared" si="112"/>
        <v>July</v>
      </c>
      <c r="AI363">
        <f t="shared" si="113"/>
        <v>2020</v>
      </c>
      <c r="AJ363" t="str">
        <f t="shared" ca="1" si="130"/>
        <v>Vacant</v>
      </c>
      <c r="AK363">
        <f t="shared" ca="1" si="131"/>
        <v>2</v>
      </c>
    </row>
    <row r="364" spans="1:37" x14ac:dyDescent="0.3">
      <c r="A364" t="s">
        <v>4800</v>
      </c>
      <c r="B364">
        <v>61</v>
      </c>
      <c r="C364" t="s">
        <v>15</v>
      </c>
      <c r="D364" t="s">
        <v>52</v>
      </c>
      <c r="E364" t="s">
        <v>64</v>
      </c>
      <c r="F364" s="1">
        <v>44948</v>
      </c>
      <c r="G364" t="s">
        <v>769</v>
      </c>
      <c r="H364" t="s">
        <v>770</v>
      </c>
      <c r="I364" t="s">
        <v>36</v>
      </c>
      <c r="J364">
        <v>39828</v>
      </c>
      <c r="K364">
        <v>172</v>
      </c>
      <c r="L364" t="s">
        <v>42</v>
      </c>
      <c r="M364" s="1">
        <v>44953</v>
      </c>
      <c r="N364" t="s">
        <v>30</v>
      </c>
      <c r="O364" t="s">
        <v>31</v>
      </c>
      <c r="P364" t="str">
        <f t="shared" si="114"/>
        <v>P0363</v>
      </c>
      <c r="Q364" t="str">
        <f t="shared" si="110"/>
        <v>Cardiology</v>
      </c>
      <c r="R364">
        <f t="shared" si="111"/>
        <v>5</v>
      </c>
      <c r="S364" t="str">
        <f t="shared" ca="1" si="115"/>
        <v>No</v>
      </c>
      <c r="T364" t="str">
        <f t="shared" ca="1" si="116"/>
        <v>Moderate</v>
      </c>
      <c r="U364" t="str">
        <f t="shared" ca="1" si="117"/>
        <v>General Ward</v>
      </c>
      <c r="V364" t="str">
        <f t="shared" si="118"/>
        <v>BED0363</v>
      </c>
      <c r="W364" t="str">
        <f t="shared" ca="1" si="119"/>
        <v>Private</v>
      </c>
      <c r="X364" t="str">
        <f t="shared" si="120"/>
        <v>NUR013</v>
      </c>
      <c r="Y364" t="str">
        <f t="shared" ca="1" si="121"/>
        <v>Night</v>
      </c>
      <c r="Z364" t="str">
        <f t="shared" ca="1" si="122"/>
        <v>Ultrasound</v>
      </c>
      <c r="AA364" t="str">
        <f t="shared" ca="1" si="123"/>
        <v>Available</v>
      </c>
      <c r="AB364" t="str">
        <f t="shared" ca="1" si="124"/>
        <v>Paid</v>
      </c>
      <c r="AC364" t="str">
        <f t="shared" ca="1" si="125"/>
        <v>Credit Card</v>
      </c>
      <c r="AD364" t="str">
        <f t="shared" ca="1" si="126"/>
        <v>No</v>
      </c>
      <c r="AE364" t="str">
        <f t="shared" ca="1" si="127"/>
        <v>No</v>
      </c>
      <c r="AF364" t="str">
        <f t="shared" ca="1" si="128"/>
        <v>Recovered</v>
      </c>
      <c r="AG364" t="str">
        <f t="shared" ca="1" si="129"/>
        <v>Southwest</v>
      </c>
      <c r="AH364" t="str">
        <f t="shared" si="112"/>
        <v>January</v>
      </c>
      <c r="AI364">
        <f t="shared" si="113"/>
        <v>2023</v>
      </c>
      <c r="AJ364" t="str">
        <f t="shared" ca="1" si="130"/>
        <v>Vacant</v>
      </c>
      <c r="AK364">
        <f t="shared" ca="1" si="131"/>
        <v>4</v>
      </c>
    </row>
    <row r="365" spans="1:37" x14ac:dyDescent="0.3">
      <c r="A365" t="s">
        <v>4801</v>
      </c>
      <c r="B365">
        <v>36</v>
      </c>
      <c r="C365" t="s">
        <v>32</v>
      </c>
      <c r="D365" t="s">
        <v>33</v>
      </c>
      <c r="E365" t="s">
        <v>48</v>
      </c>
      <c r="F365" s="1">
        <v>43961</v>
      </c>
      <c r="G365" t="s">
        <v>771</v>
      </c>
      <c r="H365" t="s">
        <v>772</v>
      </c>
      <c r="I365" t="s">
        <v>36</v>
      </c>
      <c r="J365">
        <v>3517</v>
      </c>
      <c r="K365">
        <v>314</v>
      </c>
      <c r="L365" t="s">
        <v>29</v>
      </c>
      <c r="M365" s="1">
        <v>43975</v>
      </c>
      <c r="N365" t="s">
        <v>37</v>
      </c>
      <c r="O365" t="s">
        <v>31</v>
      </c>
      <c r="P365" t="str">
        <f t="shared" si="114"/>
        <v>P0364</v>
      </c>
      <c r="Q365" t="str">
        <f t="shared" si="110"/>
        <v>Pulmonology</v>
      </c>
      <c r="R365">
        <f t="shared" si="111"/>
        <v>14</v>
      </c>
      <c r="S365" t="str">
        <f t="shared" ca="1" si="115"/>
        <v>No</v>
      </c>
      <c r="T365" t="str">
        <f t="shared" ca="1" si="116"/>
        <v>Severe</v>
      </c>
      <c r="U365" t="str">
        <f t="shared" ca="1" si="117"/>
        <v>General Ward</v>
      </c>
      <c r="V365" t="str">
        <f t="shared" si="118"/>
        <v>BED0364</v>
      </c>
      <c r="W365" t="str">
        <f t="shared" ca="1" si="119"/>
        <v>Private</v>
      </c>
      <c r="X365" t="str">
        <f t="shared" si="120"/>
        <v>NUR014</v>
      </c>
      <c r="Y365" t="str">
        <f t="shared" ca="1" si="121"/>
        <v>Evening</v>
      </c>
      <c r="Z365" t="str">
        <f t="shared" ca="1" si="122"/>
        <v>ECG Machine</v>
      </c>
      <c r="AA365" t="str">
        <f t="shared" ca="1" si="123"/>
        <v>Available</v>
      </c>
      <c r="AB365" t="str">
        <f t="shared" ca="1" si="124"/>
        <v>Partially Paid</v>
      </c>
      <c r="AC365" t="str">
        <f t="shared" ca="1" si="125"/>
        <v>Cash</v>
      </c>
      <c r="AD365" t="str">
        <f t="shared" ca="1" si="126"/>
        <v>No</v>
      </c>
      <c r="AE365" t="str">
        <f t="shared" ca="1" si="127"/>
        <v>No</v>
      </c>
      <c r="AF365" t="str">
        <f t="shared" ca="1" si="128"/>
        <v>Recovered</v>
      </c>
      <c r="AG365" t="str">
        <f t="shared" ca="1" si="129"/>
        <v>West Coast</v>
      </c>
      <c r="AH365" t="str">
        <f t="shared" si="112"/>
        <v>May</v>
      </c>
      <c r="AI365">
        <f t="shared" si="113"/>
        <v>2020</v>
      </c>
      <c r="AJ365" t="str">
        <f t="shared" ca="1" si="130"/>
        <v>Occupied</v>
      </c>
      <c r="AK365">
        <f t="shared" ca="1" si="131"/>
        <v>4</v>
      </c>
    </row>
    <row r="366" spans="1:37" x14ac:dyDescent="0.3">
      <c r="A366" t="s">
        <v>4802</v>
      </c>
      <c r="B366">
        <v>19</v>
      </c>
      <c r="C366" t="s">
        <v>32</v>
      </c>
      <c r="D366" t="s">
        <v>38</v>
      </c>
      <c r="E366" t="s">
        <v>39</v>
      </c>
      <c r="F366" s="1">
        <v>44386</v>
      </c>
      <c r="G366" t="s">
        <v>773</v>
      </c>
      <c r="H366" t="s">
        <v>774</v>
      </c>
      <c r="I366" t="s">
        <v>57</v>
      </c>
      <c r="J366">
        <v>25415</v>
      </c>
      <c r="K366">
        <v>283</v>
      </c>
      <c r="L366" t="s">
        <v>42</v>
      </c>
      <c r="M366" s="1">
        <v>44412</v>
      </c>
      <c r="N366" t="s">
        <v>37</v>
      </c>
      <c r="O366" t="s">
        <v>43</v>
      </c>
      <c r="P366" t="str">
        <f t="shared" si="114"/>
        <v>P0365</v>
      </c>
      <c r="Q366" t="str">
        <f t="shared" si="110"/>
        <v>Endocrinology</v>
      </c>
      <c r="R366">
        <f t="shared" si="111"/>
        <v>26</v>
      </c>
      <c r="S366" t="str">
        <f t="shared" ca="1" si="115"/>
        <v>No</v>
      </c>
      <c r="T366" t="str">
        <f t="shared" ca="1" si="116"/>
        <v>Critical</v>
      </c>
      <c r="U366" t="str">
        <f t="shared" ca="1" si="117"/>
        <v>General Ward</v>
      </c>
      <c r="V366" t="str">
        <f t="shared" si="118"/>
        <v>BED0365</v>
      </c>
      <c r="W366" t="str">
        <f t="shared" ca="1" si="119"/>
        <v>Semi-Private</v>
      </c>
      <c r="X366" t="str">
        <f t="shared" si="120"/>
        <v>NUR015</v>
      </c>
      <c r="Y366" t="str">
        <f t="shared" ca="1" si="121"/>
        <v>Morning</v>
      </c>
      <c r="Z366" t="str">
        <f t="shared" ca="1" si="122"/>
        <v>X-Ray</v>
      </c>
      <c r="AA366" t="str">
        <f t="shared" ca="1" si="123"/>
        <v>In Use</v>
      </c>
      <c r="AB366" t="str">
        <f t="shared" ca="1" si="124"/>
        <v>Pending</v>
      </c>
      <c r="AC366" t="str">
        <f t="shared" ca="1" si="125"/>
        <v>Insurance</v>
      </c>
      <c r="AD366" t="str">
        <f t="shared" ca="1" si="126"/>
        <v>No</v>
      </c>
      <c r="AE366" t="str">
        <f t="shared" ca="1" si="127"/>
        <v>No</v>
      </c>
      <c r="AF366" t="str">
        <f t="shared" ca="1" si="128"/>
        <v>Transferred</v>
      </c>
      <c r="AG366" t="str">
        <f t="shared" ca="1" si="129"/>
        <v>Southwest</v>
      </c>
      <c r="AH366" t="str">
        <f t="shared" si="112"/>
        <v>July</v>
      </c>
      <c r="AI366">
        <f t="shared" si="113"/>
        <v>2021</v>
      </c>
      <c r="AJ366" t="str">
        <f t="shared" ca="1" si="130"/>
        <v>Occupied</v>
      </c>
      <c r="AK366">
        <f t="shared" ca="1" si="131"/>
        <v>4</v>
      </c>
    </row>
    <row r="367" spans="1:37" x14ac:dyDescent="0.3">
      <c r="A367" t="s">
        <v>4803</v>
      </c>
      <c r="B367">
        <v>21</v>
      </c>
      <c r="C367" t="s">
        <v>15</v>
      </c>
      <c r="D367" t="s">
        <v>98</v>
      </c>
      <c r="E367" t="s">
        <v>17</v>
      </c>
      <c r="F367" s="1">
        <v>43993</v>
      </c>
      <c r="G367" t="s">
        <v>775</v>
      </c>
      <c r="H367" t="s">
        <v>776</v>
      </c>
      <c r="I367" t="s">
        <v>57</v>
      </c>
      <c r="J367">
        <v>36230</v>
      </c>
      <c r="K367">
        <v>404</v>
      </c>
      <c r="L367" t="s">
        <v>42</v>
      </c>
      <c r="M367" s="1">
        <v>44003</v>
      </c>
      <c r="N367" t="s">
        <v>22</v>
      </c>
      <c r="O367" t="s">
        <v>31</v>
      </c>
      <c r="P367" t="str">
        <f t="shared" si="114"/>
        <v>P0366</v>
      </c>
      <c r="Q367" t="str">
        <f t="shared" si="110"/>
        <v>Oncology</v>
      </c>
      <c r="R367">
        <f t="shared" si="111"/>
        <v>10</v>
      </c>
      <c r="S367" t="str">
        <f t="shared" ca="1" si="115"/>
        <v>No</v>
      </c>
      <c r="T367" t="str">
        <f t="shared" ca="1" si="116"/>
        <v>Critical</v>
      </c>
      <c r="U367" t="str">
        <f t="shared" ca="1" si="117"/>
        <v>Semi-Private</v>
      </c>
      <c r="V367" t="str">
        <f t="shared" si="118"/>
        <v>BED0366</v>
      </c>
      <c r="W367" t="str">
        <f t="shared" ca="1" si="119"/>
        <v>Semi-Private</v>
      </c>
      <c r="X367" t="str">
        <f t="shared" si="120"/>
        <v>NUR016</v>
      </c>
      <c r="Y367" t="str">
        <f t="shared" ca="1" si="121"/>
        <v>Night</v>
      </c>
      <c r="Z367" t="str">
        <f t="shared" ca="1" si="122"/>
        <v>Ultrasound</v>
      </c>
      <c r="AA367" t="str">
        <f t="shared" ca="1" si="123"/>
        <v>Available</v>
      </c>
      <c r="AB367" t="str">
        <f t="shared" ca="1" si="124"/>
        <v>Partially Paid</v>
      </c>
      <c r="AC367" t="str">
        <f t="shared" ca="1" si="125"/>
        <v>Debit Card</v>
      </c>
      <c r="AD367" t="str">
        <f t="shared" ca="1" si="126"/>
        <v>No</v>
      </c>
      <c r="AE367" t="str">
        <f t="shared" ca="1" si="127"/>
        <v>Yes</v>
      </c>
      <c r="AF367" t="str">
        <f t="shared" ca="1" si="128"/>
        <v>Transferred</v>
      </c>
      <c r="AG367" t="str">
        <f t="shared" ca="1" si="129"/>
        <v>Northeast</v>
      </c>
      <c r="AH367" t="str">
        <f t="shared" si="112"/>
        <v>June</v>
      </c>
      <c r="AI367">
        <f t="shared" si="113"/>
        <v>2020</v>
      </c>
      <c r="AJ367" t="str">
        <f t="shared" ca="1" si="130"/>
        <v>Occupied</v>
      </c>
      <c r="AK367">
        <f t="shared" ca="1" si="131"/>
        <v>1</v>
      </c>
    </row>
    <row r="368" spans="1:37" x14ac:dyDescent="0.3">
      <c r="A368" t="s">
        <v>4804</v>
      </c>
      <c r="B368">
        <v>49</v>
      </c>
      <c r="C368" t="s">
        <v>15</v>
      </c>
      <c r="D368" t="s">
        <v>52</v>
      </c>
      <c r="E368" t="s">
        <v>48</v>
      </c>
      <c r="F368" s="1">
        <v>43942</v>
      </c>
      <c r="G368" t="s">
        <v>777</v>
      </c>
      <c r="H368" t="s">
        <v>778</v>
      </c>
      <c r="I368" t="s">
        <v>51</v>
      </c>
      <c r="J368">
        <v>22427</v>
      </c>
      <c r="K368">
        <v>197</v>
      </c>
      <c r="L368" t="s">
        <v>29</v>
      </c>
      <c r="M368" s="1">
        <v>43960</v>
      </c>
      <c r="N368" t="s">
        <v>67</v>
      </c>
      <c r="O368" t="s">
        <v>31</v>
      </c>
      <c r="P368" t="str">
        <f t="shared" si="114"/>
        <v>P0367</v>
      </c>
      <c r="Q368" t="str">
        <f t="shared" si="110"/>
        <v>Pulmonology</v>
      </c>
      <c r="R368">
        <f t="shared" si="111"/>
        <v>18</v>
      </c>
      <c r="S368" t="str">
        <f t="shared" ca="1" si="115"/>
        <v>No</v>
      </c>
      <c r="T368" t="str">
        <f t="shared" ca="1" si="116"/>
        <v>Severe</v>
      </c>
      <c r="U368" t="str">
        <f t="shared" ca="1" si="117"/>
        <v>Private Ward</v>
      </c>
      <c r="V368" t="str">
        <f t="shared" si="118"/>
        <v>BED0367</v>
      </c>
      <c r="W368" t="str">
        <f t="shared" ca="1" si="119"/>
        <v>ICU</v>
      </c>
      <c r="X368" t="str">
        <f t="shared" si="120"/>
        <v>NUR017</v>
      </c>
      <c r="Y368" t="str">
        <f t="shared" ca="1" si="121"/>
        <v>Evening</v>
      </c>
      <c r="Z368" t="str">
        <f t="shared" ca="1" si="122"/>
        <v>MRI Scanner</v>
      </c>
      <c r="AA368" t="str">
        <f t="shared" ca="1" si="123"/>
        <v>Available</v>
      </c>
      <c r="AB368" t="str">
        <f t="shared" ca="1" si="124"/>
        <v>Pending</v>
      </c>
      <c r="AC368" t="str">
        <f t="shared" ca="1" si="125"/>
        <v>Credit Card</v>
      </c>
      <c r="AD368" t="str">
        <f t="shared" ca="1" si="126"/>
        <v>Yes</v>
      </c>
      <c r="AE368" t="str">
        <f t="shared" ca="1" si="127"/>
        <v>Yes</v>
      </c>
      <c r="AF368" t="str">
        <f t="shared" ca="1" si="128"/>
        <v>Under Observation</v>
      </c>
      <c r="AG368" t="str">
        <f t="shared" ca="1" si="129"/>
        <v>Northeast</v>
      </c>
      <c r="AH368" t="str">
        <f t="shared" si="112"/>
        <v>April</v>
      </c>
      <c r="AI368">
        <f t="shared" si="113"/>
        <v>2020</v>
      </c>
      <c r="AJ368" t="str">
        <f t="shared" ca="1" si="130"/>
        <v>Occupied</v>
      </c>
      <c r="AK368">
        <f t="shared" ca="1" si="131"/>
        <v>4</v>
      </c>
    </row>
    <row r="369" spans="1:37" x14ac:dyDescent="0.3">
      <c r="A369" t="s">
        <v>4805</v>
      </c>
      <c r="B369">
        <v>62</v>
      </c>
      <c r="C369" t="s">
        <v>32</v>
      </c>
      <c r="D369" t="s">
        <v>24</v>
      </c>
      <c r="E369" t="s">
        <v>25</v>
      </c>
      <c r="F369" s="1">
        <v>43744</v>
      </c>
      <c r="G369" t="s">
        <v>779</v>
      </c>
      <c r="H369" t="s">
        <v>780</v>
      </c>
      <c r="I369" t="s">
        <v>57</v>
      </c>
      <c r="J369">
        <v>39250</v>
      </c>
      <c r="K369">
        <v>110</v>
      </c>
      <c r="L369" t="s">
        <v>21</v>
      </c>
      <c r="M369" s="1">
        <v>43773</v>
      </c>
      <c r="N369" t="s">
        <v>37</v>
      </c>
      <c r="O369" t="s">
        <v>23</v>
      </c>
      <c r="P369" t="str">
        <f t="shared" si="114"/>
        <v>P0368</v>
      </c>
      <c r="Q369" t="str">
        <f t="shared" si="110"/>
        <v>Nutrition</v>
      </c>
      <c r="R369">
        <f t="shared" si="111"/>
        <v>29</v>
      </c>
      <c r="S369" t="str">
        <f t="shared" ca="1" si="115"/>
        <v>No</v>
      </c>
      <c r="T369" t="str">
        <f t="shared" ca="1" si="116"/>
        <v>Severe</v>
      </c>
      <c r="U369" t="str">
        <f t="shared" ca="1" si="117"/>
        <v>Private Ward</v>
      </c>
      <c r="V369" t="str">
        <f t="shared" si="118"/>
        <v>BED0368</v>
      </c>
      <c r="W369" t="str">
        <f t="shared" ca="1" si="119"/>
        <v>Private</v>
      </c>
      <c r="X369" t="str">
        <f t="shared" si="120"/>
        <v>NUR018</v>
      </c>
      <c r="Y369" t="str">
        <f t="shared" ca="1" si="121"/>
        <v>Evening</v>
      </c>
      <c r="Z369" t="str">
        <f t="shared" ca="1" si="122"/>
        <v>Ultrasound</v>
      </c>
      <c r="AA369" t="str">
        <f t="shared" ca="1" si="123"/>
        <v>In Use</v>
      </c>
      <c r="AB369" t="str">
        <f t="shared" ca="1" si="124"/>
        <v>Paid</v>
      </c>
      <c r="AC369" t="str">
        <f t="shared" ca="1" si="125"/>
        <v>Insurance</v>
      </c>
      <c r="AD369" t="str">
        <f t="shared" ca="1" si="126"/>
        <v>No</v>
      </c>
      <c r="AE369" t="str">
        <f t="shared" ca="1" si="127"/>
        <v>No</v>
      </c>
      <c r="AF369" t="str">
        <f t="shared" ca="1" si="128"/>
        <v>Transferred</v>
      </c>
      <c r="AG369" t="str">
        <f t="shared" ca="1" si="129"/>
        <v>West Coast</v>
      </c>
      <c r="AH369" t="str">
        <f t="shared" si="112"/>
        <v>October</v>
      </c>
      <c r="AI369">
        <f t="shared" si="113"/>
        <v>2019</v>
      </c>
      <c r="AJ369" t="str">
        <f t="shared" ca="1" si="130"/>
        <v>Occupied</v>
      </c>
      <c r="AK369">
        <f t="shared" ca="1" si="131"/>
        <v>1</v>
      </c>
    </row>
    <row r="370" spans="1:37" x14ac:dyDescent="0.3">
      <c r="A370" t="s">
        <v>4806</v>
      </c>
      <c r="B370">
        <v>54</v>
      </c>
      <c r="C370" t="s">
        <v>32</v>
      </c>
      <c r="D370" t="s">
        <v>98</v>
      </c>
      <c r="E370" t="s">
        <v>64</v>
      </c>
      <c r="F370" s="1">
        <v>44023</v>
      </c>
      <c r="G370" t="s">
        <v>781</v>
      </c>
      <c r="H370" t="s">
        <v>782</v>
      </c>
      <c r="I370" t="s">
        <v>51</v>
      </c>
      <c r="J370">
        <v>5226</v>
      </c>
      <c r="K370">
        <v>437</v>
      </c>
      <c r="L370" t="s">
        <v>21</v>
      </c>
      <c r="M370" s="1">
        <v>44043</v>
      </c>
      <c r="N370" t="s">
        <v>47</v>
      </c>
      <c r="O370" t="s">
        <v>23</v>
      </c>
      <c r="P370" t="str">
        <f t="shared" si="114"/>
        <v>P0369</v>
      </c>
      <c r="Q370" t="str">
        <f t="shared" si="110"/>
        <v>Cardiology</v>
      </c>
      <c r="R370">
        <f t="shared" si="111"/>
        <v>20</v>
      </c>
      <c r="S370" t="str">
        <f t="shared" ca="1" si="115"/>
        <v>No</v>
      </c>
      <c r="T370" t="str">
        <f t="shared" ca="1" si="116"/>
        <v>Moderate</v>
      </c>
      <c r="U370" t="str">
        <f t="shared" ca="1" si="117"/>
        <v>ICU</v>
      </c>
      <c r="V370" t="str">
        <f t="shared" si="118"/>
        <v>BED0369</v>
      </c>
      <c r="W370" t="str">
        <f t="shared" ca="1" si="119"/>
        <v>Semi-Private</v>
      </c>
      <c r="X370" t="str">
        <f t="shared" si="120"/>
        <v>NUR019</v>
      </c>
      <c r="Y370" t="str">
        <f t="shared" ca="1" si="121"/>
        <v>Night</v>
      </c>
      <c r="Z370" t="str">
        <f t="shared" ca="1" si="122"/>
        <v>MRI Scanner</v>
      </c>
      <c r="AA370" t="str">
        <f t="shared" ca="1" si="123"/>
        <v>In Use</v>
      </c>
      <c r="AB370" t="str">
        <f t="shared" ca="1" si="124"/>
        <v>Partially Paid</v>
      </c>
      <c r="AC370" t="str">
        <f t="shared" ca="1" si="125"/>
        <v>Bank Transfer</v>
      </c>
      <c r="AD370" t="str">
        <f t="shared" ca="1" si="126"/>
        <v>Yes</v>
      </c>
      <c r="AE370" t="str">
        <f t="shared" ca="1" si="127"/>
        <v>No</v>
      </c>
      <c r="AF370" t="str">
        <f t="shared" ca="1" si="128"/>
        <v>Recovered</v>
      </c>
      <c r="AG370" t="str">
        <f t="shared" ca="1" si="129"/>
        <v>Northeast</v>
      </c>
      <c r="AH370" t="str">
        <f t="shared" si="112"/>
        <v>July</v>
      </c>
      <c r="AI370">
        <f t="shared" si="113"/>
        <v>2020</v>
      </c>
      <c r="AJ370" t="str">
        <f t="shared" ca="1" si="130"/>
        <v>Vacant</v>
      </c>
      <c r="AK370">
        <f t="shared" ca="1" si="131"/>
        <v>1</v>
      </c>
    </row>
    <row r="371" spans="1:37" x14ac:dyDescent="0.3">
      <c r="A371" t="s">
        <v>4807</v>
      </c>
      <c r="B371">
        <v>22</v>
      </c>
      <c r="C371" t="s">
        <v>15</v>
      </c>
      <c r="D371" t="s">
        <v>52</v>
      </c>
      <c r="E371" t="s">
        <v>25</v>
      </c>
      <c r="F371" s="1">
        <v>44654</v>
      </c>
      <c r="G371" t="s">
        <v>783</v>
      </c>
      <c r="H371" t="s">
        <v>784</v>
      </c>
      <c r="I371" t="s">
        <v>57</v>
      </c>
      <c r="J371">
        <v>7733</v>
      </c>
      <c r="K371">
        <v>397</v>
      </c>
      <c r="L371" t="s">
        <v>42</v>
      </c>
      <c r="M371" s="1">
        <v>44668</v>
      </c>
      <c r="N371" t="s">
        <v>22</v>
      </c>
      <c r="O371" t="s">
        <v>43</v>
      </c>
      <c r="P371" t="str">
        <f t="shared" si="114"/>
        <v>P0370</v>
      </c>
      <c r="Q371" t="str">
        <f t="shared" si="110"/>
        <v>Nutrition</v>
      </c>
      <c r="R371">
        <f t="shared" si="111"/>
        <v>14</v>
      </c>
      <c r="S371" t="str">
        <f t="shared" ca="1" si="115"/>
        <v>No</v>
      </c>
      <c r="T371" t="str">
        <f t="shared" ca="1" si="116"/>
        <v>Moderate</v>
      </c>
      <c r="U371" t="str">
        <f t="shared" ca="1" si="117"/>
        <v>ICU</v>
      </c>
      <c r="V371" t="str">
        <f t="shared" si="118"/>
        <v>BED0370</v>
      </c>
      <c r="W371" t="str">
        <f t="shared" ca="1" si="119"/>
        <v>ICU</v>
      </c>
      <c r="X371" t="str">
        <f t="shared" si="120"/>
        <v>NUR020</v>
      </c>
      <c r="Y371" t="str">
        <f t="shared" ca="1" si="121"/>
        <v>Morning</v>
      </c>
      <c r="Z371" t="str">
        <f t="shared" ca="1" si="122"/>
        <v>MRI Scanner</v>
      </c>
      <c r="AA371" t="str">
        <f t="shared" ca="1" si="123"/>
        <v>In Use</v>
      </c>
      <c r="AB371" t="str">
        <f t="shared" ca="1" si="124"/>
        <v>Paid</v>
      </c>
      <c r="AC371" t="str">
        <f t="shared" ca="1" si="125"/>
        <v>Cash</v>
      </c>
      <c r="AD371" t="str">
        <f t="shared" ca="1" si="126"/>
        <v>Yes</v>
      </c>
      <c r="AE371" t="str">
        <f t="shared" ca="1" si="127"/>
        <v>Yes</v>
      </c>
      <c r="AF371" t="str">
        <f t="shared" ca="1" si="128"/>
        <v>Recovered</v>
      </c>
      <c r="AG371" t="str">
        <f t="shared" ca="1" si="129"/>
        <v>Southwest</v>
      </c>
      <c r="AH371" t="str">
        <f t="shared" si="112"/>
        <v>April</v>
      </c>
      <c r="AI371">
        <f t="shared" si="113"/>
        <v>2022</v>
      </c>
      <c r="AJ371" t="str">
        <f t="shared" ca="1" si="130"/>
        <v>Occupied</v>
      </c>
      <c r="AK371">
        <f t="shared" ca="1" si="131"/>
        <v>2</v>
      </c>
    </row>
    <row r="372" spans="1:37" x14ac:dyDescent="0.3">
      <c r="A372" t="s">
        <v>4808</v>
      </c>
      <c r="B372">
        <v>74</v>
      </c>
      <c r="C372" t="s">
        <v>15</v>
      </c>
      <c r="D372" t="s">
        <v>33</v>
      </c>
      <c r="E372" t="s">
        <v>64</v>
      </c>
      <c r="F372" s="1">
        <v>43851</v>
      </c>
      <c r="G372" t="s">
        <v>785</v>
      </c>
      <c r="H372" t="s">
        <v>786</v>
      </c>
      <c r="I372" t="s">
        <v>28</v>
      </c>
      <c r="J372">
        <v>11304</v>
      </c>
      <c r="K372">
        <v>419</v>
      </c>
      <c r="L372" t="s">
        <v>21</v>
      </c>
      <c r="M372" s="1">
        <v>43859</v>
      </c>
      <c r="N372" t="s">
        <v>37</v>
      </c>
      <c r="O372" t="s">
        <v>43</v>
      </c>
      <c r="P372" t="str">
        <f t="shared" si="114"/>
        <v>P0371</v>
      </c>
      <c r="Q372" t="str">
        <f t="shared" si="110"/>
        <v>Cardiology</v>
      </c>
      <c r="R372">
        <f t="shared" si="111"/>
        <v>8</v>
      </c>
      <c r="S372" t="str">
        <f t="shared" ca="1" si="115"/>
        <v>No</v>
      </c>
      <c r="T372" t="str">
        <f t="shared" ca="1" si="116"/>
        <v>Critical</v>
      </c>
      <c r="U372" t="str">
        <f t="shared" ca="1" si="117"/>
        <v>Emergency</v>
      </c>
      <c r="V372" t="str">
        <f t="shared" si="118"/>
        <v>BED0371</v>
      </c>
      <c r="W372" t="str">
        <f t="shared" ca="1" si="119"/>
        <v>ICU</v>
      </c>
      <c r="X372" t="str">
        <f t="shared" si="120"/>
        <v>NUR021</v>
      </c>
      <c r="Y372" t="str">
        <f t="shared" ca="1" si="121"/>
        <v>Evening</v>
      </c>
      <c r="Z372" t="str">
        <f t="shared" ca="1" si="122"/>
        <v>Ventilator</v>
      </c>
      <c r="AA372" t="str">
        <f t="shared" ca="1" si="123"/>
        <v>Available</v>
      </c>
      <c r="AB372" t="str">
        <f t="shared" ca="1" si="124"/>
        <v>Partially Paid</v>
      </c>
      <c r="AC372" t="str">
        <f t="shared" ca="1" si="125"/>
        <v>Insurance</v>
      </c>
      <c r="AD372" t="str">
        <f t="shared" ca="1" si="126"/>
        <v>No</v>
      </c>
      <c r="AE372" t="str">
        <f t="shared" ca="1" si="127"/>
        <v>No</v>
      </c>
      <c r="AF372" t="str">
        <f t="shared" ca="1" si="128"/>
        <v>Recovered</v>
      </c>
      <c r="AG372" t="str">
        <f t="shared" ca="1" si="129"/>
        <v>Southeast</v>
      </c>
      <c r="AH372" t="str">
        <f t="shared" si="112"/>
        <v>January</v>
      </c>
      <c r="AI372">
        <f t="shared" si="113"/>
        <v>2020</v>
      </c>
      <c r="AJ372" t="str">
        <f t="shared" ca="1" si="130"/>
        <v>Occupied</v>
      </c>
      <c r="AK372">
        <f t="shared" ca="1" si="131"/>
        <v>1</v>
      </c>
    </row>
    <row r="373" spans="1:37" x14ac:dyDescent="0.3">
      <c r="A373" t="s">
        <v>4809</v>
      </c>
      <c r="B373">
        <v>35</v>
      </c>
      <c r="C373" t="s">
        <v>32</v>
      </c>
      <c r="D373" t="s">
        <v>24</v>
      </c>
      <c r="E373" t="s">
        <v>48</v>
      </c>
      <c r="F373" s="1">
        <v>44911</v>
      </c>
      <c r="G373" t="s">
        <v>787</v>
      </c>
      <c r="H373" t="s">
        <v>788</v>
      </c>
      <c r="I373" t="s">
        <v>51</v>
      </c>
      <c r="J373">
        <v>38404</v>
      </c>
      <c r="K373">
        <v>476</v>
      </c>
      <c r="L373" t="s">
        <v>42</v>
      </c>
      <c r="M373" s="1">
        <v>44934</v>
      </c>
      <c r="N373" t="s">
        <v>67</v>
      </c>
      <c r="O373" t="s">
        <v>43</v>
      </c>
      <c r="P373" t="str">
        <f t="shared" si="114"/>
        <v>P0372</v>
      </c>
      <c r="Q373" t="str">
        <f t="shared" si="110"/>
        <v>Pulmonology</v>
      </c>
      <c r="R373">
        <f t="shared" si="111"/>
        <v>23</v>
      </c>
      <c r="S373" t="str">
        <f t="shared" ca="1" si="115"/>
        <v>No</v>
      </c>
      <c r="T373" t="str">
        <f t="shared" ca="1" si="116"/>
        <v>Critical</v>
      </c>
      <c r="U373" t="str">
        <f t="shared" ca="1" si="117"/>
        <v>General Ward</v>
      </c>
      <c r="V373" t="str">
        <f t="shared" si="118"/>
        <v>BED0372</v>
      </c>
      <c r="W373" t="str">
        <f t="shared" ca="1" si="119"/>
        <v>ICU</v>
      </c>
      <c r="X373" t="str">
        <f t="shared" si="120"/>
        <v>NUR022</v>
      </c>
      <c r="Y373" t="str">
        <f t="shared" ca="1" si="121"/>
        <v>Evening</v>
      </c>
      <c r="Z373" t="str">
        <f t="shared" ca="1" si="122"/>
        <v>MRI Scanner</v>
      </c>
      <c r="AA373" t="str">
        <f t="shared" ca="1" si="123"/>
        <v>In Use</v>
      </c>
      <c r="AB373" t="str">
        <f t="shared" ca="1" si="124"/>
        <v>Pending</v>
      </c>
      <c r="AC373" t="str">
        <f t="shared" ca="1" si="125"/>
        <v>Debit Card</v>
      </c>
      <c r="AD373" t="str">
        <f t="shared" ca="1" si="126"/>
        <v>No</v>
      </c>
      <c r="AE373" t="str">
        <f t="shared" ca="1" si="127"/>
        <v>No</v>
      </c>
      <c r="AF373" t="str">
        <f t="shared" ca="1" si="128"/>
        <v>Under Observation</v>
      </c>
      <c r="AG373" t="str">
        <f t="shared" ca="1" si="129"/>
        <v>Southwest</v>
      </c>
      <c r="AH373" t="str">
        <f t="shared" si="112"/>
        <v>December</v>
      </c>
      <c r="AI373">
        <f t="shared" si="113"/>
        <v>2022</v>
      </c>
      <c r="AJ373" t="str">
        <f t="shared" ca="1" si="130"/>
        <v>Vacant</v>
      </c>
      <c r="AK373">
        <f t="shared" ca="1" si="131"/>
        <v>4</v>
      </c>
    </row>
    <row r="374" spans="1:37" x14ac:dyDescent="0.3">
      <c r="A374" t="s">
        <v>4810</v>
      </c>
      <c r="B374">
        <v>20</v>
      </c>
      <c r="C374" t="s">
        <v>15</v>
      </c>
      <c r="D374" t="s">
        <v>16</v>
      </c>
      <c r="E374" t="s">
        <v>48</v>
      </c>
      <c r="F374" s="1">
        <v>44762</v>
      </c>
      <c r="G374" t="s">
        <v>789</v>
      </c>
      <c r="H374" t="s">
        <v>790</v>
      </c>
      <c r="I374" t="s">
        <v>51</v>
      </c>
      <c r="J374">
        <v>14040</v>
      </c>
      <c r="K374">
        <v>416</v>
      </c>
      <c r="L374" t="s">
        <v>29</v>
      </c>
      <c r="M374" s="1">
        <v>44771</v>
      </c>
      <c r="N374" t="s">
        <v>30</v>
      </c>
      <c r="O374" t="s">
        <v>31</v>
      </c>
      <c r="P374" t="str">
        <f t="shared" si="114"/>
        <v>P0373</v>
      </c>
      <c r="Q374" t="str">
        <f t="shared" si="110"/>
        <v>Pulmonology</v>
      </c>
      <c r="R374">
        <f t="shared" si="111"/>
        <v>9</v>
      </c>
      <c r="S374" t="str">
        <f t="shared" ca="1" si="115"/>
        <v>No</v>
      </c>
      <c r="T374" t="str">
        <f t="shared" ca="1" si="116"/>
        <v>Moderate</v>
      </c>
      <c r="U374" t="str">
        <f t="shared" ca="1" si="117"/>
        <v>General Ward</v>
      </c>
      <c r="V374" t="str">
        <f t="shared" si="118"/>
        <v>BED0373</v>
      </c>
      <c r="W374" t="str">
        <f t="shared" ca="1" si="119"/>
        <v>ICU</v>
      </c>
      <c r="X374" t="str">
        <f t="shared" si="120"/>
        <v>NUR023</v>
      </c>
      <c r="Y374" t="str">
        <f t="shared" ca="1" si="121"/>
        <v>Morning</v>
      </c>
      <c r="Z374" t="str">
        <f t="shared" ca="1" si="122"/>
        <v>CT Scanner</v>
      </c>
      <c r="AA374" t="str">
        <f t="shared" ca="1" si="123"/>
        <v>In Use</v>
      </c>
      <c r="AB374" t="str">
        <f t="shared" ca="1" si="124"/>
        <v>Pending</v>
      </c>
      <c r="AC374" t="str">
        <f t="shared" ca="1" si="125"/>
        <v>Bank Transfer</v>
      </c>
      <c r="AD374" t="str">
        <f t="shared" ca="1" si="126"/>
        <v>Yes</v>
      </c>
      <c r="AE374" t="str">
        <f t="shared" ca="1" si="127"/>
        <v>No</v>
      </c>
      <c r="AF374" t="str">
        <f t="shared" ca="1" si="128"/>
        <v>Recovered</v>
      </c>
      <c r="AG374" t="str">
        <f t="shared" ca="1" si="129"/>
        <v>Midwest</v>
      </c>
      <c r="AH374" t="str">
        <f t="shared" si="112"/>
        <v>July</v>
      </c>
      <c r="AI374">
        <f t="shared" si="113"/>
        <v>2022</v>
      </c>
      <c r="AJ374" t="str">
        <f t="shared" ca="1" si="130"/>
        <v>Vacant</v>
      </c>
      <c r="AK374">
        <f t="shared" ca="1" si="131"/>
        <v>4</v>
      </c>
    </row>
    <row r="375" spans="1:37" x14ac:dyDescent="0.3">
      <c r="A375" t="s">
        <v>4811</v>
      </c>
      <c r="B375">
        <v>18</v>
      </c>
      <c r="C375" t="s">
        <v>32</v>
      </c>
      <c r="D375" t="s">
        <v>16</v>
      </c>
      <c r="E375" t="s">
        <v>17</v>
      </c>
      <c r="F375" s="1">
        <v>44402</v>
      </c>
      <c r="G375" t="s">
        <v>791</v>
      </c>
      <c r="H375" t="s">
        <v>792</v>
      </c>
      <c r="I375" t="s">
        <v>51</v>
      </c>
      <c r="J375">
        <v>6959</v>
      </c>
      <c r="K375">
        <v>493</v>
      </c>
      <c r="L375" t="s">
        <v>42</v>
      </c>
      <c r="M375" s="1">
        <v>44405</v>
      </c>
      <c r="N375" t="s">
        <v>22</v>
      </c>
      <c r="O375" t="s">
        <v>43</v>
      </c>
      <c r="P375" t="str">
        <f t="shared" si="114"/>
        <v>P0374</v>
      </c>
      <c r="Q375" t="str">
        <f t="shared" si="110"/>
        <v>Oncology</v>
      </c>
      <c r="R375">
        <f t="shared" si="111"/>
        <v>3</v>
      </c>
      <c r="S375" t="str">
        <f t="shared" ca="1" si="115"/>
        <v>Yes</v>
      </c>
      <c r="T375" t="str">
        <f t="shared" ca="1" si="116"/>
        <v>Mild</v>
      </c>
      <c r="U375" t="str">
        <f t="shared" ca="1" si="117"/>
        <v>Private Ward</v>
      </c>
      <c r="V375" t="str">
        <f t="shared" si="118"/>
        <v>BED0374</v>
      </c>
      <c r="W375" t="str">
        <f t="shared" ca="1" si="119"/>
        <v>Private</v>
      </c>
      <c r="X375" t="str">
        <f t="shared" si="120"/>
        <v>NUR024</v>
      </c>
      <c r="Y375" t="str">
        <f t="shared" ca="1" si="121"/>
        <v>Night</v>
      </c>
      <c r="Z375" t="str">
        <f t="shared" ca="1" si="122"/>
        <v>Ultrasound</v>
      </c>
      <c r="AA375" t="str">
        <f t="shared" ca="1" si="123"/>
        <v>In Use</v>
      </c>
      <c r="AB375" t="str">
        <f t="shared" ca="1" si="124"/>
        <v>Pending</v>
      </c>
      <c r="AC375" t="str">
        <f t="shared" ca="1" si="125"/>
        <v>Debit Card</v>
      </c>
      <c r="AD375" t="str">
        <f t="shared" ca="1" si="126"/>
        <v>No</v>
      </c>
      <c r="AE375" t="str">
        <f t="shared" ca="1" si="127"/>
        <v>No</v>
      </c>
      <c r="AF375" t="str">
        <f t="shared" ca="1" si="128"/>
        <v>Transferred</v>
      </c>
      <c r="AG375" t="str">
        <f t="shared" ca="1" si="129"/>
        <v>Midwest</v>
      </c>
      <c r="AH375" t="str">
        <f t="shared" si="112"/>
        <v>July</v>
      </c>
      <c r="AI375">
        <f t="shared" si="113"/>
        <v>2021</v>
      </c>
      <c r="AJ375" t="str">
        <f t="shared" ca="1" si="130"/>
        <v>Occupied</v>
      </c>
      <c r="AK375">
        <f t="shared" ca="1" si="131"/>
        <v>1</v>
      </c>
    </row>
    <row r="376" spans="1:37" x14ac:dyDescent="0.3">
      <c r="A376" t="s">
        <v>4812</v>
      </c>
      <c r="B376">
        <v>55</v>
      </c>
      <c r="C376" t="s">
        <v>32</v>
      </c>
      <c r="D376" t="s">
        <v>38</v>
      </c>
      <c r="E376" t="s">
        <v>17</v>
      </c>
      <c r="F376" s="1">
        <v>45126</v>
      </c>
      <c r="G376" t="s">
        <v>793</v>
      </c>
      <c r="H376" t="s">
        <v>794</v>
      </c>
      <c r="I376" t="s">
        <v>28</v>
      </c>
      <c r="J376">
        <v>3254</v>
      </c>
      <c r="K376">
        <v>404</v>
      </c>
      <c r="L376" t="s">
        <v>21</v>
      </c>
      <c r="M376" s="1">
        <v>45140</v>
      </c>
      <c r="N376" t="s">
        <v>67</v>
      </c>
      <c r="O376" t="s">
        <v>23</v>
      </c>
      <c r="P376" t="str">
        <f t="shared" si="114"/>
        <v>P0375</v>
      </c>
      <c r="Q376" t="str">
        <f t="shared" si="110"/>
        <v>Oncology</v>
      </c>
      <c r="R376">
        <f t="shared" si="111"/>
        <v>14</v>
      </c>
      <c r="S376" t="str">
        <f t="shared" ca="1" si="115"/>
        <v>No</v>
      </c>
      <c r="T376" t="str">
        <f t="shared" ca="1" si="116"/>
        <v>Moderate</v>
      </c>
      <c r="U376" t="str">
        <f t="shared" ca="1" si="117"/>
        <v>General Ward</v>
      </c>
      <c r="V376" t="str">
        <f t="shared" si="118"/>
        <v>BED0375</v>
      </c>
      <c r="W376" t="str">
        <f t="shared" ca="1" si="119"/>
        <v>Private</v>
      </c>
      <c r="X376" t="str">
        <f t="shared" si="120"/>
        <v>NUR025</v>
      </c>
      <c r="Y376" t="str">
        <f t="shared" ca="1" si="121"/>
        <v>Evening</v>
      </c>
      <c r="Z376" t="str">
        <f t="shared" ca="1" si="122"/>
        <v>X-Ray</v>
      </c>
      <c r="AA376" t="str">
        <f t="shared" ca="1" si="123"/>
        <v>Available</v>
      </c>
      <c r="AB376" t="str">
        <f t="shared" ca="1" si="124"/>
        <v>Partially Paid</v>
      </c>
      <c r="AC376" t="str">
        <f t="shared" ca="1" si="125"/>
        <v>Credit Card</v>
      </c>
      <c r="AD376" t="str">
        <f t="shared" ca="1" si="126"/>
        <v>Yes</v>
      </c>
      <c r="AE376" t="str">
        <f t="shared" ca="1" si="127"/>
        <v>No</v>
      </c>
      <c r="AF376" t="str">
        <f t="shared" ca="1" si="128"/>
        <v>Transferred</v>
      </c>
      <c r="AG376" t="str">
        <f t="shared" ca="1" si="129"/>
        <v>Southwest</v>
      </c>
      <c r="AH376" t="str">
        <f t="shared" si="112"/>
        <v>July</v>
      </c>
      <c r="AI376">
        <f t="shared" si="113"/>
        <v>2023</v>
      </c>
      <c r="AJ376" t="str">
        <f t="shared" ca="1" si="130"/>
        <v>Occupied</v>
      </c>
      <c r="AK376">
        <f t="shared" ca="1" si="131"/>
        <v>4</v>
      </c>
    </row>
    <row r="377" spans="1:37" x14ac:dyDescent="0.3">
      <c r="A377" t="s">
        <v>4813</v>
      </c>
      <c r="B377">
        <v>66</v>
      </c>
      <c r="C377" t="s">
        <v>15</v>
      </c>
      <c r="D377" t="s">
        <v>16</v>
      </c>
      <c r="E377" t="s">
        <v>39</v>
      </c>
      <c r="F377" s="1">
        <v>45068</v>
      </c>
      <c r="G377" t="s">
        <v>795</v>
      </c>
      <c r="H377" t="s">
        <v>796</v>
      </c>
      <c r="I377" t="s">
        <v>36</v>
      </c>
      <c r="J377">
        <v>11856</v>
      </c>
      <c r="K377">
        <v>123</v>
      </c>
      <c r="L377" t="s">
        <v>21</v>
      </c>
      <c r="M377" s="1">
        <v>45085</v>
      </c>
      <c r="N377" t="s">
        <v>30</v>
      </c>
      <c r="O377" t="s">
        <v>31</v>
      </c>
      <c r="P377" t="str">
        <f t="shared" si="114"/>
        <v>P0376</v>
      </c>
      <c r="Q377" t="str">
        <f t="shared" si="110"/>
        <v>Endocrinology</v>
      </c>
      <c r="R377">
        <f t="shared" si="111"/>
        <v>17</v>
      </c>
      <c r="S377" t="str">
        <f t="shared" ca="1" si="115"/>
        <v>No</v>
      </c>
      <c r="T377" t="str">
        <f t="shared" ca="1" si="116"/>
        <v>Mild</v>
      </c>
      <c r="U377" t="str">
        <f t="shared" ca="1" si="117"/>
        <v>General Ward</v>
      </c>
      <c r="V377" t="str">
        <f t="shared" si="118"/>
        <v>BED0376</v>
      </c>
      <c r="W377" t="str">
        <f t="shared" ca="1" si="119"/>
        <v>Private</v>
      </c>
      <c r="X377" t="str">
        <f t="shared" si="120"/>
        <v>NUR026</v>
      </c>
      <c r="Y377" t="str">
        <f t="shared" ca="1" si="121"/>
        <v>Evening</v>
      </c>
      <c r="Z377" t="str">
        <f t="shared" ca="1" si="122"/>
        <v>ECG Machine</v>
      </c>
      <c r="AA377" t="str">
        <f t="shared" ca="1" si="123"/>
        <v>Available</v>
      </c>
      <c r="AB377" t="str">
        <f t="shared" ca="1" si="124"/>
        <v>Paid</v>
      </c>
      <c r="AC377" t="str">
        <f t="shared" ca="1" si="125"/>
        <v>Debit Card</v>
      </c>
      <c r="AD377" t="str">
        <f t="shared" ca="1" si="126"/>
        <v>Yes</v>
      </c>
      <c r="AE377" t="str">
        <f t="shared" ca="1" si="127"/>
        <v>No</v>
      </c>
      <c r="AF377" t="str">
        <f t="shared" ca="1" si="128"/>
        <v>Under Observation</v>
      </c>
      <c r="AG377" t="str">
        <f t="shared" ca="1" si="129"/>
        <v>Southeast</v>
      </c>
      <c r="AH377" t="str">
        <f t="shared" si="112"/>
        <v>May</v>
      </c>
      <c r="AI377">
        <f t="shared" si="113"/>
        <v>2023</v>
      </c>
      <c r="AJ377" t="str">
        <f t="shared" ca="1" si="130"/>
        <v>Vacant</v>
      </c>
      <c r="AK377">
        <f t="shared" ca="1" si="131"/>
        <v>2</v>
      </c>
    </row>
    <row r="378" spans="1:37" x14ac:dyDescent="0.3">
      <c r="A378" t="s">
        <v>4814</v>
      </c>
      <c r="B378">
        <v>62</v>
      </c>
      <c r="C378" t="s">
        <v>32</v>
      </c>
      <c r="D378" t="s">
        <v>98</v>
      </c>
      <c r="E378" t="s">
        <v>64</v>
      </c>
      <c r="F378" s="1">
        <v>44020</v>
      </c>
      <c r="G378" t="s">
        <v>797</v>
      </c>
      <c r="H378" t="s">
        <v>798</v>
      </c>
      <c r="I378" t="s">
        <v>20</v>
      </c>
      <c r="J378">
        <v>22368</v>
      </c>
      <c r="K378">
        <v>461</v>
      </c>
      <c r="L378" t="s">
        <v>29</v>
      </c>
      <c r="M378" s="1">
        <v>44037</v>
      </c>
      <c r="N378" t="s">
        <v>30</v>
      </c>
      <c r="O378" t="s">
        <v>31</v>
      </c>
      <c r="P378" t="str">
        <f t="shared" si="114"/>
        <v>P0377</v>
      </c>
      <c r="Q378" t="str">
        <f t="shared" si="110"/>
        <v>Cardiology</v>
      </c>
      <c r="R378">
        <f t="shared" si="111"/>
        <v>17</v>
      </c>
      <c r="S378" t="str">
        <f t="shared" ca="1" si="115"/>
        <v>No</v>
      </c>
      <c r="T378" t="str">
        <f t="shared" ca="1" si="116"/>
        <v>Mild</v>
      </c>
      <c r="U378" t="str">
        <f t="shared" ca="1" si="117"/>
        <v>Private Ward</v>
      </c>
      <c r="V378" t="str">
        <f t="shared" si="118"/>
        <v>BED0377</v>
      </c>
      <c r="W378" t="str">
        <f t="shared" ca="1" si="119"/>
        <v>Semi-Private</v>
      </c>
      <c r="X378" t="str">
        <f t="shared" si="120"/>
        <v>NUR027</v>
      </c>
      <c r="Y378" t="str">
        <f t="shared" ca="1" si="121"/>
        <v>Night</v>
      </c>
      <c r="Z378" t="str">
        <f t="shared" ca="1" si="122"/>
        <v>CT Scanner</v>
      </c>
      <c r="AA378" t="str">
        <f t="shared" ca="1" si="123"/>
        <v>Maintenance</v>
      </c>
      <c r="AB378" t="str">
        <f t="shared" ca="1" si="124"/>
        <v>Pending</v>
      </c>
      <c r="AC378" t="str">
        <f t="shared" ca="1" si="125"/>
        <v>Bank Transfer</v>
      </c>
      <c r="AD378" t="str">
        <f t="shared" ca="1" si="126"/>
        <v>Yes</v>
      </c>
      <c r="AE378" t="str">
        <f t="shared" ca="1" si="127"/>
        <v>No</v>
      </c>
      <c r="AF378" t="str">
        <f t="shared" ca="1" si="128"/>
        <v>Under Observation</v>
      </c>
      <c r="AG378" t="str">
        <f t="shared" ca="1" si="129"/>
        <v>Midwest</v>
      </c>
      <c r="AH378" t="str">
        <f t="shared" si="112"/>
        <v>July</v>
      </c>
      <c r="AI378">
        <f t="shared" si="113"/>
        <v>2020</v>
      </c>
      <c r="AJ378" t="str">
        <f t="shared" ca="1" si="130"/>
        <v>Occupied</v>
      </c>
      <c r="AK378">
        <f t="shared" ca="1" si="131"/>
        <v>4</v>
      </c>
    </row>
    <row r="379" spans="1:37" x14ac:dyDescent="0.3">
      <c r="A379" t="s">
        <v>4815</v>
      </c>
      <c r="B379">
        <v>43</v>
      </c>
      <c r="C379" t="s">
        <v>32</v>
      </c>
      <c r="D379" t="s">
        <v>33</v>
      </c>
      <c r="E379" t="s">
        <v>48</v>
      </c>
      <c r="F379" s="1">
        <v>44922</v>
      </c>
      <c r="G379" t="s">
        <v>799</v>
      </c>
      <c r="H379" t="s">
        <v>800</v>
      </c>
      <c r="I379" t="s">
        <v>28</v>
      </c>
      <c r="J379">
        <v>48512</v>
      </c>
      <c r="K379">
        <v>172</v>
      </c>
      <c r="L379" t="s">
        <v>21</v>
      </c>
      <c r="M379" s="1">
        <v>44950</v>
      </c>
      <c r="N379" t="s">
        <v>67</v>
      </c>
      <c r="O379" t="s">
        <v>31</v>
      </c>
      <c r="P379" t="str">
        <f t="shared" si="114"/>
        <v>P0378</v>
      </c>
      <c r="Q379" t="str">
        <f t="shared" si="110"/>
        <v>Pulmonology</v>
      </c>
      <c r="R379">
        <f t="shared" si="111"/>
        <v>28</v>
      </c>
      <c r="S379" t="str">
        <f t="shared" ca="1" si="115"/>
        <v>No</v>
      </c>
      <c r="T379" t="str">
        <f t="shared" ca="1" si="116"/>
        <v>Severe</v>
      </c>
      <c r="U379" t="str">
        <f t="shared" ca="1" si="117"/>
        <v>General Ward</v>
      </c>
      <c r="V379" t="str">
        <f t="shared" si="118"/>
        <v>BED0378</v>
      </c>
      <c r="W379" t="str">
        <f t="shared" ca="1" si="119"/>
        <v>General</v>
      </c>
      <c r="X379" t="str">
        <f t="shared" si="120"/>
        <v>NUR028</v>
      </c>
      <c r="Y379" t="str">
        <f t="shared" ca="1" si="121"/>
        <v>Night</v>
      </c>
      <c r="Z379" t="str">
        <f t="shared" ca="1" si="122"/>
        <v>Ultrasound</v>
      </c>
      <c r="AA379" t="str">
        <f t="shared" ca="1" si="123"/>
        <v>Maintenance</v>
      </c>
      <c r="AB379" t="str">
        <f t="shared" ca="1" si="124"/>
        <v>Partially Paid</v>
      </c>
      <c r="AC379" t="str">
        <f t="shared" ca="1" si="125"/>
        <v>Insurance</v>
      </c>
      <c r="AD379" t="str">
        <f t="shared" ca="1" si="126"/>
        <v>No</v>
      </c>
      <c r="AE379" t="str">
        <f t="shared" ca="1" si="127"/>
        <v>Yes</v>
      </c>
      <c r="AF379" t="str">
        <f t="shared" ca="1" si="128"/>
        <v>Recovered</v>
      </c>
      <c r="AG379" t="str">
        <f t="shared" ca="1" si="129"/>
        <v>Southeast</v>
      </c>
      <c r="AH379" t="str">
        <f t="shared" si="112"/>
        <v>December</v>
      </c>
      <c r="AI379">
        <f t="shared" si="113"/>
        <v>2022</v>
      </c>
      <c r="AJ379" t="str">
        <f t="shared" ca="1" si="130"/>
        <v>Occupied</v>
      </c>
      <c r="AK379">
        <f t="shared" ca="1" si="131"/>
        <v>2</v>
      </c>
    </row>
    <row r="380" spans="1:37" x14ac:dyDescent="0.3">
      <c r="A380" t="s">
        <v>4816</v>
      </c>
      <c r="B380">
        <v>24</v>
      </c>
      <c r="C380" t="s">
        <v>32</v>
      </c>
      <c r="D380" t="s">
        <v>16</v>
      </c>
      <c r="E380" t="s">
        <v>39</v>
      </c>
      <c r="F380" s="1">
        <v>43637</v>
      </c>
      <c r="G380" t="s">
        <v>801</v>
      </c>
      <c r="H380" t="s">
        <v>802</v>
      </c>
      <c r="I380" t="s">
        <v>36</v>
      </c>
      <c r="J380">
        <v>10127</v>
      </c>
      <c r="K380">
        <v>242</v>
      </c>
      <c r="L380" t="s">
        <v>21</v>
      </c>
      <c r="M380" s="1">
        <v>43658</v>
      </c>
      <c r="N380" t="s">
        <v>30</v>
      </c>
      <c r="O380" t="s">
        <v>43</v>
      </c>
      <c r="P380" t="str">
        <f t="shared" si="114"/>
        <v>P0379</v>
      </c>
      <c r="Q380" t="str">
        <f t="shared" si="110"/>
        <v>Endocrinology</v>
      </c>
      <c r="R380">
        <f t="shared" si="111"/>
        <v>21</v>
      </c>
      <c r="S380" t="str">
        <f t="shared" ca="1" si="115"/>
        <v>No</v>
      </c>
      <c r="T380" t="str">
        <f t="shared" ca="1" si="116"/>
        <v>Mild</v>
      </c>
      <c r="U380" t="str">
        <f t="shared" ca="1" si="117"/>
        <v>Emergency</v>
      </c>
      <c r="V380" t="str">
        <f t="shared" si="118"/>
        <v>BED0379</v>
      </c>
      <c r="W380" t="str">
        <f t="shared" ca="1" si="119"/>
        <v>General</v>
      </c>
      <c r="X380" t="str">
        <f t="shared" si="120"/>
        <v>NUR029</v>
      </c>
      <c r="Y380" t="str">
        <f t="shared" ca="1" si="121"/>
        <v>Night</v>
      </c>
      <c r="Z380" t="str">
        <f t="shared" ca="1" si="122"/>
        <v>CT Scanner</v>
      </c>
      <c r="AA380" t="str">
        <f t="shared" ca="1" si="123"/>
        <v>In Use</v>
      </c>
      <c r="AB380" t="str">
        <f t="shared" ca="1" si="124"/>
        <v>Pending</v>
      </c>
      <c r="AC380" t="str">
        <f t="shared" ca="1" si="125"/>
        <v>Bank Transfer</v>
      </c>
      <c r="AD380" t="str">
        <f t="shared" ca="1" si="126"/>
        <v>No</v>
      </c>
      <c r="AE380" t="str">
        <f t="shared" ca="1" si="127"/>
        <v>No</v>
      </c>
      <c r="AF380" t="str">
        <f t="shared" ca="1" si="128"/>
        <v>Transferred</v>
      </c>
      <c r="AG380" t="str">
        <f t="shared" ca="1" si="129"/>
        <v>West Coast</v>
      </c>
      <c r="AH380" t="str">
        <f t="shared" si="112"/>
        <v>June</v>
      </c>
      <c r="AI380">
        <f t="shared" si="113"/>
        <v>2019</v>
      </c>
      <c r="AJ380" t="str">
        <f t="shared" ca="1" si="130"/>
        <v>Occupied</v>
      </c>
      <c r="AK380">
        <f t="shared" ca="1" si="131"/>
        <v>2</v>
      </c>
    </row>
    <row r="381" spans="1:37" x14ac:dyDescent="0.3">
      <c r="A381" t="s">
        <v>4817</v>
      </c>
      <c r="B381">
        <v>46</v>
      </c>
      <c r="C381" t="s">
        <v>32</v>
      </c>
      <c r="D381" t="s">
        <v>38</v>
      </c>
      <c r="E381" t="s">
        <v>39</v>
      </c>
      <c r="F381" s="1">
        <v>44197</v>
      </c>
      <c r="G381" t="s">
        <v>803</v>
      </c>
      <c r="H381" t="s">
        <v>804</v>
      </c>
      <c r="I381" t="s">
        <v>51</v>
      </c>
      <c r="J381">
        <v>8471</v>
      </c>
      <c r="K381">
        <v>328</v>
      </c>
      <c r="L381" t="s">
        <v>42</v>
      </c>
      <c r="M381" s="1">
        <v>44223</v>
      </c>
      <c r="N381" t="s">
        <v>47</v>
      </c>
      <c r="O381" t="s">
        <v>31</v>
      </c>
      <c r="P381" t="str">
        <f t="shared" si="114"/>
        <v>P0380</v>
      </c>
      <c r="Q381" t="str">
        <f t="shared" si="110"/>
        <v>Endocrinology</v>
      </c>
      <c r="R381">
        <f t="shared" si="111"/>
        <v>26</v>
      </c>
      <c r="S381" t="str">
        <f t="shared" ca="1" si="115"/>
        <v>No</v>
      </c>
      <c r="T381" t="str">
        <f t="shared" ca="1" si="116"/>
        <v>Severe</v>
      </c>
      <c r="U381" t="str">
        <f t="shared" ca="1" si="117"/>
        <v>Semi-Private</v>
      </c>
      <c r="V381" t="str">
        <f t="shared" si="118"/>
        <v>BED0380</v>
      </c>
      <c r="W381" t="str">
        <f t="shared" ca="1" si="119"/>
        <v>ICU</v>
      </c>
      <c r="X381" t="str">
        <f t="shared" si="120"/>
        <v>NUR030</v>
      </c>
      <c r="Y381" t="str">
        <f t="shared" ca="1" si="121"/>
        <v>Evening</v>
      </c>
      <c r="Z381" t="str">
        <f t="shared" ca="1" si="122"/>
        <v>Ventilator</v>
      </c>
      <c r="AA381" t="str">
        <f t="shared" ca="1" si="123"/>
        <v>Available</v>
      </c>
      <c r="AB381" t="str">
        <f t="shared" ca="1" si="124"/>
        <v>Paid</v>
      </c>
      <c r="AC381" t="str">
        <f t="shared" ca="1" si="125"/>
        <v>Bank Transfer</v>
      </c>
      <c r="AD381" t="str">
        <f t="shared" ca="1" si="126"/>
        <v>Yes</v>
      </c>
      <c r="AE381" t="str">
        <f t="shared" ca="1" si="127"/>
        <v>No</v>
      </c>
      <c r="AF381" t="str">
        <f t="shared" ca="1" si="128"/>
        <v>Recovered</v>
      </c>
      <c r="AG381" t="str">
        <f t="shared" ca="1" si="129"/>
        <v>Southwest</v>
      </c>
      <c r="AH381" t="str">
        <f t="shared" si="112"/>
        <v>January</v>
      </c>
      <c r="AI381">
        <f t="shared" si="113"/>
        <v>2021</v>
      </c>
      <c r="AJ381" t="str">
        <f t="shared" ca="1" si="130"/>
        <v>Vacant</v>
      </c>
      <c r="AK381">
        <f t="shared" ca="1" si="131"/>
        <v>4</v>
      </c>
    </row>
    <row r="382" spans="1:37" x14ac:dyDescent="0.3">
      <c r="A382" t="s">
        <v>4818</v>
      </c>
      <c r="B382">
        <v>58</v>
      </c>
      <c r="C382" t="s">
        <v>15</v>
      </c>
      <c r="D382" t="s">
        <v>52</v>
      </c>
      <c r="E382" t="s">
        <v>48</v>
      </c>
      <c r="F382" s="1">
        <v>44811</v>
      </c>
      <c r="G382" t="s">
        <v>805</v>
      </c>
      <c r="H382" t="s">
        <v>806</v>
      </c>
      <c r="I382" t="s">
        <v>28</v>
      </c>
      <c r="J382">
        <v>25086</v>
      </c>
      <c r="K382">
        <v>476</v>
      </c>
      <c r="L382" t="s">
        <v>21</v>
      </c>
      <c r="M382" s="1">
        <v>44832</v>
      </c>
      <c r="N382" t="s">
        <v>67</v>
      </c>
      <c r="O382" t="s">
        <v>31</v>
      </c>
      <c r="P382" t="str">
        <f t="shared" si="114"/>
        <v>P0381</v>
      </c>
      <c r="Q382" t="str">
        <f t="shared" si="110"/>
        <v>Pulmonology</v>
      </c>
      <c r="R382">
        <f t="shared" si="111"/>
        <v>21</v>
      </c>
      <c r="S382" t="str">
        <f t="shared" ca="1" si="115"/>
        <v>No</v>
      </c>
      <c r="T382" t="str">
        <f t="shared" ca="1" si="116"/>
        <v>Severe</v>
      </c>
      <c r="U382" t="str">
        <f t="shared" ca="1" si="117"/>
        <v>Private Ward</v>
      </c>
      <c r="V382" t="str">
        <f t="shared" si="118"/>
        <v>BED0381</v>
      </c>
      <c r="W382" t="str">
        <f t="shared" ca="1" si="119"/>
        <v>General</v>
      </c>
      <c r="X382" t="str">
        <f t="shared" si="120"/>
        <v>NUR031</v>
      </c>
      <c r="Y382" t="str">
        <f t="shared" ca="1" si="121"/>
        <v>Morning</v>
      </c>
      <c r="Z382" t="str">
        <f t="shared" ca="1" si="122"/>
        <v>ECG Machine</v>
      </c>
      <c r="AA382" t="str">
        <f t="shared" ca="1" si="123"/>
        <v>In Use</v>
      </c>
      <c r="AB382" t="str">
        <f t="shared" ca="1" si="124"/>
        <v>Pending</v>
      </c>
      <c r="AC382" t="str">
        <f t="shared" ca="1" si="125"/>
        <v>Cash</v>
      </c>
      <c r="AD382" t="str">
        <f t="shared" ca="1" si="126"/>
        <v>No</v>
      </c>
      <c r="AE382" t="str">
        <f t="shared" ca="1" si="127"/>
        <v>Yes</v>
      </c>
      <c r="AF382" t="str">
        <f t="shared" ca="1" si="128"/>
        <v>Recovered</v>
      </c>
      <c r="AG382" t="str">
        <f t="shared" ca="1" si="129"/>
        <v>Northeast</v>
      </c>
      <c r="AH382" t="str">
        <f t="shared" si="112"/>
        <v>September</v>
      </c>
      <c r="AI382">
        <f t="shared" si="113"/>
        <v>2022</v>
      </c>
      <c r="AJ382" t="str">
        <f t="shared" ca="1" si="130"/>
        <v>Occupied</v>
      </c>
      <c r="AK382">
        <f t="shared" ca="1" si="131"/>
        <v>2</v>
      </c>
    </row>
    <row r="383" spans="1:37" x14ac:dyDescent="0.3">
      <c r="A383" t="s">
        <v>4819</v>
      </c>
      <c r="B383">
        <v>58</v>
      </c>
      <c r="C383" t="s">
        <v>15</v>
      </c>
      <c r="D383" t="s">
        <v>83</v>
      </c>
      <c r="E383" t="s">
        <v>25</v>
      </c>
      <c r="F383" s="1">
        <v>44721</v>
      </c>
      <c r="G383" t="s">
        <v>807</v>
      </c>
      <c r="H383" t="s">
        <v>808</v>
      </c>
      <c r="I383" t="s">
        <v>57</v>
      </c>
      <c r="J383">
        <v>36524</v>
      </c>
      <c r="K383">
        <v>371</v>
      </c>
      <c r="L383" t="s">
        <v>21</v>
      </c>
      <c r="M383" s="1">
        <v>44738</v>
      </c>
      <c r="N383" t="s">
        <v>30</v>
      </c>
      <c r="O383" t="s">
        <v>43</v>
      </c>
      <c r="P383" t="str">
        <f t="shared" si="114"/>
        <v>P0382</v>
      </c>
      <c r="Q383" t="str">
        <f t="shared" si="110"/>
        <v>Nutrition</v>
      </c>
      <c r="R383">
        <f t="shared" si="111"/>
        <v>17</v>
      </c>
      <c r="S383" t="str">
        <f t="shared" ca="1" si="115"/>
        <v>No</v>
      </c>
      <c r="T383" t="str">
        <f t="shared" ca="1" si="116"/>
        <v>Moderate</v>
      </c>
      <c r="U383" t="str">
        <f t="shared" ca="1" si="117"/>
        <v>Semi-Private</v>
      </c>
      <c r="V383" t="str">
        <f t="shared" si="118"/>
        <v>BED0382</v>
      </c>
      <c r="W383" t="str">
        <f t="shared" ca="1" si="119"/>
        <v>General</v>
      </c>
      <c r="X383" t="str">
        <f t="shared" si="120"/>
        <v>NUR032</v>
      </c>
      <c r="Y383" t="str">
        <f t="shared" ca="1" si="121"/>
        <v>Morning</v>
      </c>
      <c r="Z383" t="str">
        <f t="shared" ca="1" si="122"/>
        <v>MRI Scanner</v>
      </c>
      <c r="AA383" t="str">
        <f t="shared" ca="1" si="123"/>
        <v>In Use</v>
      </c>
      <c r="AB383" t="str">
        <f t="shared" ca="1" si="124"/>
        <v>Partially Paid</v>
      </c>
      <c r="AC383" t="str">
        <f t="shared" ca="1" si="125"/>
        <v>Insurance</v>
      </c>
      <c r="AD383" t="str">
        <f t="shared" ca="1" si="126"/>
        <v>No</v>
      </c>
      <c r="AE383" t="str">
        <f t="shared" ca="1" si="127"/>
        <v>No</v>
      </c>
      <c r="AF383" t="str">
        <f t="shared" ca="1" si="128"/>
        <v>Recovered</v>
      </c>
      <c r="AG383" t="str">
        <f t="shared" ca="1" si="129"/>
        <v>Midwest</v>
      </c>
      <c r="AH383" t="str">
        <f t="shared" si="112"/>
        <v>June</v>
      </c>
      <c r="AI383">
        <f t="shared" si="113"/>
        <v>2022</v>
      </c>
      <c r="AJ383" t="str">
        <f t="shared" ca="1" si="130"/>
        <v>Vacant</v>
      </c>
      <c r="AK383">
        <f t="shared" ca="1" si="131"/>
        <v>2</v>
      </c>
    </row>
    <row r="384" spans="1:37" x14ac:dyDescent="0.3">
      <c r="A384" t="s">
        <v>4820</v>
      </c>
      <c r="B384">
        <v>48</v>
      </c>
      <c r="C384" t="s">
        <v>15</v>
      </c>
      <c r="D384" t="s">
        <v>83</v>
      </c>
      <c r="E384" t="s">
        <v>17</v>
      </c>
      <c r="F384" s="1">
        <v>45231</v>
      </c>
      <c r="G384" t="s">
        <v>809</v>
      </c>
      <c r="H384" t="s">
        <v>810</v>
      </c>
      <c r="I384" t="s">
        <v>51</v>
      </c>
      <c r="J384">
        <v>5945</v>
      </c>
      <c r="K384">
        <v>431</v>
      </c>
      <c r="L384" t="s">
        <v>42</v>
      </c>
      <c r="M384" s="1">
        <v>45240</v>
      </c>
      <c r="N384" t="s">
        <v>22</v>
      </c>
      <c r="O384" t="s">
        <v>31</v>
      </c>
      <c r="P384" t="str">
        <f t="shared" si="114"/>
        <v>P0383</v>
      </c>
      <c r="Q384" t="str">
        <f t="shared" si="110"/>
        <v>Oncology</v>
      </c>
      <c r="R384">
        <f t="shared" si="111"/>
        <v>9</v>
      </c>
      <c r="S384" t="str">
        <f t="shared" ca="1" si="115"/>
        <v>Yes</v>
      </c>
      <c r="T384" t="str">
        <f t="shared" ca="1" si="116"/>
        <v>Mild</v>
      </c>
      <c r="U384" t="str">
        <f t="shared" ca="1" si="117"/>
        <v>Semi-Private</v>
      </c>
      <c r="V384" t="str">
        <f t="shared" si="118"/>
        <v>BED0383</v>
      </c>
      <c r="W384" t="str">
        <f t="shared" ca="1" si="119"/>
        <v>Semi-Private</v>
      </c>
      <c r="X384" t="str">
        <f t="shared" si="120"/>
        <v>NUR033</v>
      </c>
      <c r="Y384" t="str">
        <f t="shared" ca="1" si="121"/>
        <v>Evening</v>
      </c>
      <c r="Z384" t="str">
        <f t="shared" ca="1" si="122"/>
        <v>Ventilator</v>
      </c>
      <c r="AA384" t="str">
        <f t="shared" ca="1" si="123"/>
        <v>Maintenance</v>
      </c>
      <c r="AB384" t="str">
        <f t="shared" ca="1" si="124"/>
        <v>Pending</v>
      </c>
      <c r="AC384" t="str">
        <f t="shared" ca="1" si="125"/>
        <v>Cash</v>
      </c>
      <c r="AD384" t="str">
        <f t="shared" ca="1" si="126"/>
        <v>No</v>
      </c>
      <c r="AE384" t="str">
        <f t="shared" ca="1" si="127"/>
        <v>No</v>
      </c>
      <c r="AF384" t="str">
        <f t="shared" ca="1" si="128"/>
        <v>Transferred</v>
      </c>
      <c r="AG384" t="str">
        <f t="shared" ca="1" si="129"/>
        <v>Midwest</v>
      </c>
      <c r="AH384" t="str">
        <f t="shared" si="112"/>
        <v>November</v>
      </c>
      <c r="AI384">
        <f t="shared" si="113"/>
        <v>2023</v>
      </c>
      <c r="AJ384" t="str">
        <f t="shared" ca="1" si="130"/>
        <v>Occupied</v>
      </c>
      <c r="AK384">
        <f t="shared" ca="1" si="131"/>
        <v>1</v>
      </c>
    </row>
    <row r="385" spans="1:37" x14ac:dyDescent="0.3">
      <c r="A385" t="s">
        <v>4821</v>
      </c>
      <c r="B385">
        <v>43</v>
      </c>
      <c r="C385" t="s">
        <v>15</v>
      </c>
      <c r="D385" t="s">
        <v>98</v>
      </c>
      <c r="E385" t="s">
        <v>25</v>
      </c>
      <c r="F385" s="1">
        <v>45144</v>
      </c>
      <c r="G385" t="s">
        <v>811</v>
      </c>
      <c r="H385" t="s">
        <v>812</v>
      </c>
      <c r="I385" t="s">
        <v>20</v>
      </c>
      <c r="J385">
        <v>3602</v>
      </c>
      <c r="K385">
        <v>409</v>
      </c>
      <c r="L385" t="s">
        <v>21</v>
      </c>
      <c r="M385" s="1">
        <v>45151</v>
      </c>
      <c r="N385" t="s">
        <v>67</v>
      </c>
      <c r="O385" t="s">
        <v>31</v>
      </c>
      <c r="P385" t="str">
        <f t="shared" si="114"/>
        <v>P0384</v>
      </c>
      <c r="Q385" t="str">
        <f t="shared" si="110"/>
        <v>Nutrition</v>
      </c>
      <c r="R385">
        <f t="shared" si="111"/>
        <v>7</v>
      </c>
      <c r="S385" t="str">
        <f t="shared" ca="1" si="115"/>
        <v>No</v>
      </c>
      <c r="T385" t="str">
        <f t="shared" ca="1" si="116"/>
        <v>Severe</v>
      </c>
      <c r="U385" t="str">
        <f t="shared" ca="1" si="117"/>
        <v>Private Ward</v>
      </c>
      <c r="V385" t="str">
        <f t="shared" si="118"/>
        <v>BED0384</v>
      </c>
      <c r="W385" t="str">
        <f t="shared" ca="1" si="119"/>
        <v>ICU</v>
      </c>
      <c r="X385" t="str">
        <f t="shared" si="120"/>
        <v>NUR034</v>
      </c>
      <c r="Y385" t="str">
        <f t="shared" ca="1" si="121"/>
        <v>Morning</v>
      </c>
      <c r="Z385" t="str">
        <f t="shared" ca="1" si="122"/>
        <v>Ultrasound</v>
      </c>
      <c r="AA385" t="str">
        <f t="shared" ca="1" si="123"/>
        <v>In Use</v>
      </c>
      <c r="AB385" t="str">
        <f t="shared" ca="1" si="124"/>
        <v>Pending</v>
      </c>
      <c r="AC385" t="str">
        <f t="shared" ca="1" si="125"/>
        <v>Insurance</v>
      </c>
      <c r="AD385" t="str">
        <f t="shared" ca="1" si="126"/>
        <v>No</v>
      </c>
      <c r="AE385" t="str">
        <f t="shared" ca="1" si="127"/>
        <v>No</v>
      </c>
      <c r="AF385" t="str">
        <f t="shared" ca="1" si="128"/>
        <v>Transferred</v>
      </c>
      <c r="AG385" t="str">
        <f t="shared" ca="1" si="129"/>
        <v>Southwest</v>
      </c>
      <c r="AH385" t="str">
        <f t="shared" si="112"/>
        <v>August</v>
      </c>
      <c r="AI385">
        <f t="shared" si="113"/>
        <v>2023</v>
      </c>
      <c r="AJ385" t="str">
        <f t="shared" ca="1" si="130"/>
        <v>Occupied</v>
      </c>
      <c r="AK385">
        <f t="shared" ca="1" si="131"/>
        <v>1</v>
      </c>
    </row>
    <row r="386" spans="1:37" x14ac:dyDescent="0.3">
      <c r="A386" t="s">
        <v>4822</v>
      </c>
      <c r="B386">
        <v>74</v>
      </c>
      <c r="C386" t="s">
        <v>32</v>
      </c>
      <c r="D386" t="s">
        <v>44</v>
      </c>
      <c r="E386" t="s">
        <v>25</v>
      </c>
      <c r="F386" s="1">
        <v>44772</v>
      </c>
      <c r="G386" t="s">
        <v>813</v>
      </c>
      <c r="H386" t="s">
        <v>814</v>
      </c>
      <c r="I386" t="s">
        <v>57</v>
      </c>
      <c r="J386">
        <v>4920</v>
      </c>
      <c r="K386">
        <v>135</v>
      </c>
      <c r="L386" t="s">
        <v>42</v>
      </c>
      <c r="M386" s="1">
        <v>44798</v>
      </c>
      <c r="N386" t="s">
        <v>37</v>
      </c>
      <c r="O386" t="s">
        <v>43</v>
      </c>
      <c r="P386" t="str">
        <f t="shared" si="114"/>
        <v>P0385</v>
      </c>
      <c r="Q386" t="str">
        <f t="shared" ref="Q386:Q449" si="132">IF(E386="Cancer","Oncology",IF(E386="Obesity","Nutrition",IF(E386="Diabetes","Endocrinology",IF(E386="Asthma","Pulmonology",IF(E386="Arthritis","Orthopedics",IF(E386="Hypertension","Cardiology","General Medicine"))))))</f>
        <v>Nutrition</v>
      </c>
      <c r="R386">
        <f t="shared" ref="R386:R449" si="133">M386-F386</f>
        <v>26</v>
      </c>
      <c r="S386" t="str">
        <f t="shared" ca="1" si="115"/>
        <v>No</v>
      </c>
      <c r="T386" t="str">
        <f t="shared" ca="1" si="116"/>
        <v>Moderate</v>
      </c>
      <c r="U386" t="str">
        <f t="shared" ca="1" si="117"/>
        <v>General Ward</v>
      </c>
      <c r="V386" t="str">
        <f t="shared" si="118"/>
        <v>BED0385</v>
      </c>
      <c r="W386" t="str">
        <f t="shared" ca="1" si="119"/>
        <v>ICU</v>
      </c>
      <c r="X386" t="str">
        <f t="shared" si="120"/>
        <v>NUR035</v>
      </c>
      <c r="Y386" t="str">
        <f t="shared" ca="1" si="121"/>
        <v>Evening</v>
      </c>
      <c r="Z386" t="str">
        <f t="shared" ca="1" si="122"/>
        <v>Ventilator</v>
      </c>
      <c r="AA386" t="str">
        <f t="shared" ca="1" si="123"/>
        <v>Maintenance</v>
      </c>
      <c r="AB386" t="str">
        <f t="shared" ca="1" si="124"/>
        <v>Pending</v>
      </c>
      <c r="AC386" t="str">
        <f t="shared" ca="1" si="125"/>
        <v>Credit Card</v>
      </c>
      <c r="AD386" t="str">
        <f t="shared" ca="1" si="126"/>
        <v>No</v>
      </c>
      <c r="AE386" t="str">
        <f t="shared" ca="1" si="127"/>
        <v>Yes</v>
      </c>
      <c r="AF386" t="str">
        <f t="shared" ca="1" si="128"/>
        <v>Under Observation</v>
      </c>
      <c r="AG386" t="str">
        <f t="shared" ca="1" si="129"/>
        <v>Southwest</v>
      </c>
      <c r="AH386" t="str">
        <f t="shared" ref="AH386:AH449" si="134">TEXT(F386,"MMMM")</f>
        <v>July</v>
      </c>
      <c r="AI386">
        <f t="shared" ref="AI386:AI449" si="135">YEAR(F386)</f>
        <v>2022</v>
      </c>
      <c r="AJ386" t="str">
        <f t="shared" ca="1" si="130"/>
        <v>Occupied</v>
      </c>
      <c r="AK386">
        <f t="shared" ca="1" si="131"/>
        <v>2</v>
      </c>
    </row>
    <row r="387" spans="1:37" x14ac:dyDescent="0.3">
      <c r="A387" t="s">
        <v>4823</v>
      </c>
      <c r="B387">
        <v>47</v>
      </c>
      <c r="C387" t="s">
        <v>32</v>
      </c>
      <c r="D387" t="s">
        <v>52</v>
      </c>
      <c r="E387" t="s">
        <v>39</v>
      </c>
      <c r="F387" s="1">
        <v>44231</v>
      </c>
      <c r="G387" t="s">
        <v>815</v>
      </c>
      <c r="H387" t="s">
        <v>816</v>
      </c>
      <c r="I387" t="s">
        <v>51</v>
      </c>
      <c r="J387">
        <v>48887</v>
      </c>
      <c r="K387">
        <v>105</v>
      </c>
      <c r="L387" t="s">
        <v>42</v>
      </c>
      <c r="M387" s="1">
        <v>44255</v>
      </c>
      <c r="N387" t="s">
        <v>30</v>
      </c>
      <c r="O387" t="s">
        <v>31</v>
      </c>
      <c r="P387" t="str">
        <f t="shared" ref="P387:P450" si="136">"P"&amp;TEXT(ROW()-1,"0000")</f>
        <v>P0386</v>
      </c>
      <c r="Q387" t="str">
        <f t="shared" si="132"/>
        <v>Endocrinology</v>
      </c>
      <c r="R387">
        <f t="shared" si="133"/>
        <v>24</v>
      </c>
      <c r="S387" t="str">
        <f t="shared" ref="S387:S450" ca="1" si="137">IF(RAND()&lt;0.1,"Yes","No")</f>
        <v>No</v>
      </c>
      <c r="T387" t="str">
        <f t="shared" ref="T387:T450" ca="1" si="138">CHOOSE(RANDBETWEEN(1,4),"Mild","Moderate","Severe","Critical")</f>
        <v>Moderate</v>
      </c>
      <c r="U387" t="str">
        <f t="shared" ref="U387:U450" ca="1" si="139">CHOOSE(RANDBETWEEN(1,5),"General Ward","ICU","Emergency","Private Ward","Semi-Private")</f>
        <v>Emergency</v>
      </c>
      <c r="V387" t="str">
        <f t="shared" ref="V387:V450" si="140">"BED"&amp;TEXT(ROW()-1,"0000")</f>
        <v>BED0386</v>
      </c>
      <c r="W387" t="str">
        <f t="shared" ref="W387:W450" ca="1" si="141">CHOOSE(RANDBETWEEN(1,4),"General","Private","Semi-Private","ICU")</f>
        <v>ICU</v>
      </c>
      <c r="X387" t="str">
        <f t="shared" ref="X387:X450" si="142">"NUR"&amp;TEXT(MOD(ROW()-2,50)+1,"000")</f>
        <v>NUR036</v>
      </c>
      <c r="Y387" t="str">
        <f t="shared" ref="Y387:Y450" ca="1" si="143">CHOOSE(RANDBETWEEN(1,3),"Morning","Evening","Night")</f>
        <v>Evening</v>
      </c>
      <c r="Z387" t="str">
        <f t="shared" ref="Z387:Z450" ca="1" si="144">CHOOSE(RANDBETWEEN(1,6),"MRI Scanner","CT Scanner","Ventilator","X-Ray","ECG Machine","Ultrasound")</f>
        <v>X-Ray</v>
      </c>
      <c r="AA387" t="str">
        <f t="shared" ref="AA387:AA450" ca="1" si="145">CHOOSE(RANDBETWEEN(1,3),"Available","In Use","Maintenance")</f>
        <v>Available</v>
      </c>
      <c r="AB387" t="str">
        <f t="shared" ref="AB387:AB450" ca="1" si="146">CHOOSE(RANDBETWEEN(1,3),"Paid","Pending","Partially Paid")</f>
        <v>Paid</v>
      </c>
      <c r="AC387" t="str">
        <f t="shared" ref="AC387:AC450" ca="1" si="147">CHOOSE(RANDBETWEEN(1,5),"Cash","Credit Card","Debit Card","Insurance","Bank Transfer")</f>
        <v>Cash</v>
      </c>
      <c r="AD387" t="str">
        <f t="shared" ref="AD387:AD450" ca="1" si="148">IF(RAND()&lt;0.2,"Yes","No")</f>
        <v>No</v>
      </c>
      <c r="AE387" t="str">
        <f t="shared" ref="AE387:AE450" ca="1" si="149">IF(RAND()&lt;0.15,"Yes","No")</f>
        <v>No</v>
      </c>
      <c r="AF387" t="str">
        <f t="shared" ref="AF387:AF450" ca="1" si="150">CHOOSE(RANDBETWEEN(1,3),"Recovered","Transferred","Under Observation")</f>
        <v>Recovered</v>
      </c>
      <c r="AG387" t="str">
        <f t="shared" ref="AG387:AG450" ca="1" si="151">CHOOSE(RANDBETWEEN(1,5),"Northeast","Southeast","Midwest","Southwest","West Coast")</f>
        <v>West Coast</v>
      </c>
      <c r="AH387" t="str">
        <f t="shared" si="134"/>
        <v>February</v>
      </c>
      <c r="AI387">
        <f t="shared" si="135"/>
        <v>2021</v>
      </c>
      <c r="AJ387" t="str">
        <f t="shared" ref="AJ387:AJ450" ca="1" si="152">IF(RANDBETWEEN(1,100)&lt;=80,"Occupied","Vacant")</f>
        <v>Occupied</v>
      </c>
      <c r="AK387">
        <f t="shared" ref="AK387:AK450" ca="1" si="153">CHOOSE(RANDBETWEEN(1,3),1,2,4)</f>
        <v>2</v>
      </c>
    </row>
    <row r="388" spans="1:37" x14ac:dyDescent="0.3">
      <c r="A388" t="s">
        <v>4824</v>
      </c>
      <c r="B388">
        <v>35</v>
      </c>
      <c r="C388" t="s">
        <v>15</v>
      </c>
      <c r="D388" t="s">
        <v>24</v>
      </c>
      <c r="E388" t="s">
        <v>17</v>
      </c>
      <c r="F388" s="1">
        <v>44526</v>
      </c>
      <c r="G388" t="s">
        <v>817</v>
      </c>
      <c r="H388" t="s">
        <v>818</v>
      </c>
      <c r="I388" t="s">
        <v>20</v>
      </c>
      <c r="J388">
        <v>48826</v>
      </c>
      <c r="K388">
        <v>142</v>
      </c>
      <c r="L388" t="s">
        <v>21</v>
      </c>
      <c r="M388" s="1">
        <v>44539</v>
      </c>
      <c r="N388" t="s">
        <v>22</v>
      </c>
      <c r="O388" t="s">
        <v>23</v>
      </c>
      <c r="P388" t="str">
        <f t="shared" si="136"/>
        <v>P0387</v>
      </c>
      <c r="Q388" t="str">
        <f t="shared" si="132"/>
        <v>Oncology</v>
      </c>
      <c r="R388">
        <f t="shared" si="133"/>
        <v>13</v>
      </c>
      <c r="S388" t="str">
        <f t="shared" ca="1" si="137"/>
        <v>No</v>
      </c>
      <c r="T388" t="str">
        <f t="shared" ca="1" si="138"/>
        <v>Severe</v>
      </c>
      <c r="U388" t="str">
        <f t="shared" ca="1" si="139"/>
        <v>Semi-Private</v>
      </c>
      <c r="V388" t="str">
        <f t="shared" si="140"/>
        <v>BED0387</v>
      </c>
      <c r="W388" t="str">
        <f t="shared" ca="1" si="141"/>
        <v>Private</v>
      </c>
      <c r="X388" t="str">
        <f t="shared" si="142"/>
        <v>NUR037</v>
      </c>
      <c r="Y388" t="str">
        <f t="shared" ca="1" si="143"/>
        <v>Morning</v>
      </c>
      <c r="Z388" t="str">
        <f t="shared" ca="1" si="144"/>
        <v>Ultrasound</v>
      </c>
      <c r="AA388" t="str">
        <f t="shared" ca="1" si="145"/>
        <v>Available</v>
      </c>
      <c r="AB388" t="str">
        <f t="shared" ca="1" si="146"/>
        <v>Pending</v>
      </c>
      <c r="AC388" t="str">
        <f t="shared" ca="1" si="147"/>
        <v>Credit Card</v>
      </c>
      <c r="AD388" t="str">
        <f t="shared" ca="1" si="148"/>
        <v>No</v>
      </c>
      <c r="AE388" t="str">
        <f t="shared" ca="1" si="149"/>
        <v>No</v>
      </c>
      <c r="AF388" t="str">
        <f t="shared" ca="1" si="150"/>
        <v>Under Observation</v>
      </c>
      <c r="AG388" t="str">
        <f t="shared" ca="1" si="151"/>
        <v>Northeast</v>
      </c>
      <c r="AH388" t="str">
        <f t="shared" si="134"/>
        <v>November</v>
      </c>
      <c r="AI388">
        <f t="shared" si="135"/>
        <v>2021</v>
      </c>
      <c r="AJ388" t="str">
        <f t="shared" ca="1" si="152"/>
        <v>Occupied</v>
      </c>
      <c r="AK388">
        <f t="shared" ca="1" si="153"/>
        <v>4</v>
      </c>
    </row>
    <row r="389" spans="1:37" x14ac:dyDescent="0.3">
      <c r="A389" t="s">
        <v>4825</v>
      </c>
      <c r="B389">
        <v>28</v>
      </c>
      <c r="C389" t="s">
        <v>15</v>
      </c>
      <c r="D389" t="s">
        <v>16</v>
      </c>
      <c r="E389" t="s">
        <v>76</v>
      </c>
      <c r="F389" s="1">
        <v>44014</v>
      </c>
      <c r="G389" t="s">
        <v>819</v>
      </c>
      <c r="H389" t="s">
        <v>820</v>
      </c>
      <c r="I389" t="s">
        <v>51</v>
      </c>
      <c r="J389">
        <v>5510</v>
      </c>
      <c r="K389">
        <v>313</v>
      </c>
      <c r="L389" t="s">
        <v>29</v>
      </c>
      <c r="M389" s="1">
        <v>44015</v>
      </c>
      <c r="N389" t="s">
        <v>67</v>
      </c>
      <c r="O389" t="s">
        <v>43</v>
      </c>
      <c r="P389" t="str">
        <f t="shared" si="136"/>
        <v>P0388</v>
      </c>
      <c r="Q389" t="str">
        <f t="shared" si="132"/>
        <v>Orthopedics</v>
      </c>
      <c r="R389">
        <f t="shared" si="133"/>
        <v>1</v>
      </c>
      <c r="S389" t="str">
        <f t="shared" ca="1" si="137"/>
        <v>No</v>
      </c>
      <c r="T389" t="str">
        <f t="shared" ca="1" si="138"/>
        <v>Critical</v>
      </c>
      <c r="U389" t="str">
        <f t="shared" ca="1" si="139"/>
        <v>General Ward</v>
      </c>
      <c r="V389" t="str">
        <f t="shared" si="140"/>
        <v>BED0388</v>
      </c>
      <c r="W389" t="str">
        <f t="shared" ca="1" si="141"/>
        <v>Private</v>
      </c>
      <c r="X389" t="str">
        <f t="shared" si="142"/>
        <v>NUR038</v>
      </c>
      <c r="Y389" t="str">
        <f t="shared" ca="1" si="143"/>
        <v>Morning</v>
      </c>
      <c r="Z389" t="str">
        <f t="shared" ca="1" si="144"/>
        <v>Ventilator</v>
      </c>
      <c r="AA389" t="str">
        <f t="shared" ca="1" si="145"/>
        <v>Available</v>
      </c>
      <c r="AB389" t="str">
        <f t="shared" ca="1" si="146"/>
        <v>Paid</v>
      </c>
      <c r="AC389" t="str">
        <f t="shared" ca="1" si="147"/>
        <v>Debit Card</v>
      </c>
      <c r="AD389" t="str">
        <f t="shared" ca="1" si="148"/>
        <v>Yes</v>
      </c>
      <c r="AE389" t="str">
        <f t="shared" ca="1" si="149"/>
        <v>No</v>
      </c>
      <c r="AF389" t="str">
        <f t="shared" ca="1" si="150"/>
        <v>Transferred</v>
      </c>
      <c r="AG389" t="str">
        <f t="shared" ca="1" si="151"/>
        <v>Northeast</v>
      </c>
      <c r="AH389" t="str">
        <f t="shared" si="134"/>
        <v>July</v>
      </c>
      <c r="AI389">
        <f t="shared" si="135"/>
        <v>2020</v>
      </c>
      <c r="AJ389" t="str">
        <f t="shared" ca="1" si="152"/>
        <v>Occupied</v>
      </c>
      <c r="AK389">
        <f t="shared" ca="1" si="153"/>
        <v>2</v>
      </c>
    </row>
    <row r="390" spans="1:37" x14ac:dyDescent="0.3">
      <c r="A390" t="s">
        <v>4826</v>
      </c>
      <c r="B390">
        <v>49</v>
      </c>
      <c r="C390" t="s">
        <v>15</v>
      </c>
      <c r="D390" t="s">
        <v>33</v>
      </c>
      <c r="E390" t="s">
        <v>39</v>
      </c>
      <c r="F390" s="1">
        <v>44417</v>
      </c>
      <c r="G390" t="s">
        <v>821</v>
      </c>
      <c r="H390" t="s">
        <v>822</v>
      </c>
      <c r="I390" t="s">
        <v>28</v>
      </c>
      <c r="J390">
        <v>37636</v>
      </c>
      <c r="K390">
        <v>385</v>
      </c>
      <c r="L390" t="s">
        <v>42</v>
      </c>
      <c r="M390" s="1">
        <v>44445</v>
      </c>
      <c r="N390" t="s">
        <v>30</v>
      </c>
      <c r="O390" t="s">
        <v>23</v>
      </c>
      <c r="P390" t="str">
        <f t="shared" si="136"/>
        <v>P0389</v>
      </c>
      <c r="Q390" t="str">
        <f t="shared" si="132"/>
        <v>Endocrinology</v>
      </c>
      <c r="R390">
        <f t="shared" si="133"/>
        <v>28</v>
      </c>
      <c r="S390" t="str">
        <f t="shared" ca="1" si="137"/>
        <v>No</v>
      </c>
      <c r="T390" t="str">
        <f t="shared" ca="1" si="138"/>
        <v>Severe</v>
      </c>
      <c r="U390" t="str">
        <f t="shared" ca="1" si="139"/>
        <v>Emergency</v>
      </c>
      <c r="V390" t="str">
        <f t="shared" si="140"/>
        <v>BED0389</v>
      </c>
      <c r="W390" t="str">
        <f t="shared" ca="1" si="141"/>
        <v>ICU</v>
      </c>
      <c r="X390" t="str">
        <f t="shared" si="142"/>
        <v>NUR039</v>
      </c>
      <c r="Y390" t="str">
        <f t="shared" ca="1" si="143"/>
        <v>Morning</v>
      </c>
      <c r="Z390" t="str">
        <f t="shared" ca="1" si="144"/>
        <v>MRI Scanner</v>
      </c>
      <c r="AA390" t="str">
        <f t="shared" ca="1" si="145"/>
        <v>Available</v>
      </c>
      <c r="AB390" t="str">
        <f t="shared" ca="1" si="146"/>
        <v>Pending</v>
      </c>
      <c r="AC390" t="str">
        <f t="shared" ca="1" si="147"/>
        <v>Cash</v>
      </c>
      <c r="AD390" t="str">
        <f t="shared" ca="1" si="148"/>
        <v>No</v>
      </c>
      <c r="AE390" t="str">
        <f t="shared" ca="1" si="149"/>
        <v>No</v>
      </c>
      <c r="AF390" t="str">
        <f t="shared" ca="1" si="150"/>
        <v>Under Observation</v>
      </c>
      <c r="AG390" t="str">
        <f t="shared" ca="1" si="151"/>
        <v>Southwest</v>
      </c>
      <c r="AH390" t="str">
        <f t="shared" si="134"/>
        <v>August</v>
      </c>
      <c r="AI390">
        <f t="shared" si="135"/>
        <v>2021</v>
      </c>
      <c r="AJ390" t="str">
        <f t="shared" ca="1" si="152"/>
        <v>Occupied</v>
      </c>
      <c r="AK390">
        <f t="shared" ca="1" si="153"/>
        <v>2</v>
      </c>
    </row>
    <row r="391" spans="1:37" x14ac:dyDescent="0.3">
      <c r="A391" t="s">
        <v>4827</v>
      </c>
      <c r="B391">
        <v>28</v>
      </c>
      <c r="C391" t="s">
        <v>15</v>
      </c>
      <c r="D391" t="s">
        <v>52</v>
      </c>
      <c r="E391" t="s">
        <v>25</v>
      </c>
      <c r="F391" s="1">
        <v>45309</v>
      </c>
      <c r="G391" t="s">
        <v>823</v>
      </c>
      <c r="H391" t="s">
        <v>824</v>
      </c>
      <c r="I391" t="s">
        <v>57</v>
      </c>
      <c r="J391">
        <v>20886</v>
      </c>
      <c r="K391">
        <v>247</v>
      </c>
      <c r="L391" t="s">
        <v>29</v>
      </c>
      <c r="M391" s="1">
        <v>45326</v>
      </c>
      <c r="N391" t="s">
        <v>30</v>
      </c>
      <c r="O391" t="s">
        <v>31</v>
      </c>
      <c r="P391" t="str">
        <f t="shared" si="136"/>
        <v>P0390</v>
      </c>
      <c r="Q391" t="str">
        <f t="shared" si="132"/>
        <v>Nutrition</v>
      </c>
      <c r="R391">
        <f t="shared" si="133"/>
        <v>17</v>
      </c>
      <c r="S391" t="str">
        <f t="shared" ca="1" si="137"/>
        <v>Yes</v>
      </c>
      <c r="T391" t="str">
        <f t="shared" ca="1" si="138"/>
        <v>Moderate</v>
      </c>
      <c r="U391" t="str">
        <f t="shared" ca="1" si="139"/>
        <v>Semi-Private</v>
      </c>
      <c r="V391" t="str">
        <f t="shared" si="140"/>
        <v>BED0390</v>
      </c>
      <c r="W391" t="str">
        <f t="shared" ca="1" si="141"/>
        <v>General</v>
      </c>
      <c r="X391" t="str">
        <f t="shared" si="142"/>
        <v>NUR040</v>
      </c>
      <c r="Y391" t="str">
        <f t="shared" ca="1" si="143"/>
        <v>Night</v>
      </c>
      <c r="Z391" t="str">
        <f t="shared" ca="1" si="144"/>
        <v>Ultrasound</v>
      </c>
      <c r="AA391" t="str">
        <f t="shared" ca="1" si="145"/>
        <v>Maintenance</v>
      </c>
      <c r="AB391" t="str">
        <f t="shared" ca="1" si="146"/>
        <v>Pending</v>
      </c>
      <c r="AC391" t="str">
        <f t="shared" ca="1" si="147"/>
        <v>Bank Transfer</v>
      </c>
      <c r="AD391" t="str">
        <f t="shared" ca="1" si="148"/>
        <v>No</v>
      </c>
      <c r="AE391" t="str">
        <f t="shared" ca="1" si="149"/>
        <v>No</v>
      </c>
      <c r="AF391" t="str">
        <f t="shared" ca="1" si="150"/>
        <v>Under Observation</v>
      </c>
      <c r="AG391" t="str">
        <f t="shared" ca="1" si="151"/>
        <v>Northeast</v>
      </c>
      <c r="AH391" t="str">
        <f t="shared" si="134"/>
        <v>January</v>
      </c>
      <c r="AI391">
        <f t="shared" si="135"/>
        <v>2024</v>
      </c>
      <c r="AJ391" t="str">
        <f t="shared" ca="1" si="152"/>
        <v>Occupied</v>
      </c>
      <c r="AK391">
        <f t="shared" ca="1" si="153"/>
        <v>4</v>
      </c>
    </row>
    <row r="392" spans="1:37" x14ac:dyDescent="0.3">
      <c r="A392" t="s">
        <v>4828</v>
      </c>
      <c r="B392">
        <v>50</v>
      </c>
      <c r="C392" t="s">
        <v>15</v>
      </c>
      <c r="D392" t="s">
        <v>98</v>
      </c>
      <c r="E392" t="s">
        <v>25</v>
      </c>
      <c r="F392" s="1">
        <v>44943</v>
      </c>
      <c r="G392" t="s">
        <v>825</v>
      </c>
      <c r="H392" t="s">
        <v>826</v>
      </c>
      <c r="I392" t="s">
        <v>36</v>
      </c>
      <c r="J392">
        <v>35114</v>
      </c>
      <c r="K392">
        <v>183</v>
      </c>
      <c r="L392" t="s">
        <v>42</v>
      </c>
      <c r="M392" s="1">
        <v>44967</v>
      </c>
      <c r="N392" t="s">
        <v>22</v>
      </c>
      <c r="O392" t="s">
        <v>23</v>
      </c>
      <c r="P392" t="str">
        <f t="shared" si="136"/>
        <v>P0391</v>
      </c>
      <c r="Q392" t="str">
        <f t="shared" si="132"/>
        <v>Nutrition</v>
      </c>
      <c r="R392">
        <f t="shared" si="133"/>
        <v>24</v>
      </c>
      <c r="S392" t="str">
        <f t="shared" ca="1" si="137"/>
        <v>No</v>
      </c>
      <c r="T392" t="str">
        <f t="shared" ca="1" si="138"/>
        <v>Critical</v>
      </c>
      <c r="U392" t="str">
        <f t="shared" ca="1" si="139"/>
        <v>Private Ward</v>
      </c>
      <c r="V392" t="str">
        <f t="shared" si="140"/>
        <v>BED0391</v>
      </c>
      <c r="W392" t="str">
        <f t="shared" ca="1" si="141"/>
        <v>ICU</v>
      </c>
      <c r="X392" t="str">
        <f t="shared" si="142"/>
        <v>NUR041</v>
      </c>
      <c r="Y392" t="str">
        <f t="shared" ca="1" si="143"/>
        <v>Morning</v>
      </c>
      <c r="Z392" t="str">
        <f t="shared" ca="1" si="144"/>
        <v>CT Scanner</v>
      </c>
      <c r="AA392" t="str">
        <f t="shared" ca="1" si="145"/>
        <v>Maintenance</v>
      </c>
      <c r="AB392" t="str">
        <f t="shared" ca="1" si="146"/>
        <v>Partially Paid</v>
      </c>
      <c r="AC392" t="str">
        <f t="shared" ca="1" si="147"/>
        <v>Cash</v>
      </c>
      <c r="AD392" t="str">
        <f t="shared" ca="1" si="148"/>
        <v>Yes</v>
      </c>
      <c r="AE392" t="str">
        <f t="shared" ca="1" si="149"/>
        <v>No</v>
      </c>
      <c r="AF392" t="str">
        <f t="shared" ca="1" si="150"/>
        <v>Transferred</v>
      </c>
      <c r="AG392" t="str">
        <f t="shared" ca="1" si="151"/>
        <v>Northeast</v>
      </c>
      <c r="AH392" t="str">
        <f t="shared" si="134"/>
        <v>January</v>
      </c>
      <c r="AI392">
        <f t="shared" si="135"/>
        <v>2023</v>
      </c>
      <c r="AJ392" t="str">
        <f t="shared" ca="1" si="152"/>
        <v>Occupied</v>
      </c>
      <c r="AK392">
        <f t="shared" ca="1" si="153"/>
        <v>4</v>
      </c>
    </row>
    <row r="393" spans="1:37" x14ac:dyDescent="0.3">
      <c r="A393" t="s">
        <v>4829</v>
      </c>
      <c r="B393">
        <v>59</v>
      </c>
      <c r="C393" t="s">
        <v>15</v>
      </c>
      <c r="D393" t="s">
        <v>33</v>
      </c>
      <c r="E393" t="s">
        <v>25</v>
      </c>
      <c r="F393" s="1">
        <v>45378</v>
      </c>
      <c r="G393" t="s">
        <v>827</v>
      </c>
      <c r="H393" t="s">
        <v>828</v>
      </c>
      <c r="I393" t="s">
        <v>20</v>
      </c>
      <c r="J393">
        <v>6191</v>
      </c>
      <c r="K393">
        <v>192</v>
      </c>
      <c r="L393" t="s">
        <v>42</v>
      </c>
      <c r="M393" s="1">
        <v>45403</v>
      </c>
      <c r="N393" t="s">
        <v>67</v>
      </c>
      <c r="O393" t="s">
        <v>23</v>
      </c>
      <c r="P393" t="str">
        <f t="shared" si="136"/>
        <v>P0392</v>
      </c>
      <c r="Q393" t="str">
        <f t="shared" si="132"/>
        <v>Nutrition</v>
      </c>
      <c r="R393">
        <f t="shared" si="133"/>
        <v>25</v>
      </c>
      <c r="S393" t="str">
        <f t="shared" ca="1" si="137"/>
        <v>No</v>
      </c>
      <c r="T393" t="str">
        <f t="shared" ca="1" si="138"/>
        <v>Severe</v>
      </c>
      <c r="U393" t="str">
        <f t="shared" ca="1" si="139"/>
        <v>Private Ward</v>
      </c>
      <c r="V393" t="str">
        <f t="shared" si="140"/>
        <v>BED0392</v>
      </c>
      <c r="W393" t="str">
        <f t="shared" ca="1" si="141"/>
        <v>General</v>
      </c>
      <c r="X393" t="str">
        <f t="shared" si="142"/>
        <v>NUR042</v>
      </c>
      <c r="Y393" t="str">
        <f t="shared" ca="1" si="143"/>
        <v>Night</v>
      </c>
      <c r="Z393" t="str">
        <f t="shared" ca="1" si="144"/>
        <v>CT Scanner</v>
      </c>
      <c r="AA393" t="str">
        <f t="shared" ca="1" si="145"/>
        <v>Maintenance</v>
      </c>
      <c r="AB393" t="str">
        <f t="shared" ca="1" si="146"/>
        <v>Paid</v>
      </c>
      <c r="AC393" t="str">
        <f t="shared" ca="1" si="147"/>
        <v>Cash</v>
      </c>
      <c r="AD393" t="str">
        <f t="shared" ca="1" si="148"/>
        <v>No</v>
      </c>
      <c r="AE393" t="str">
        <f t="shared" ca="1" si="149"/>
        <v>No</v>
      </c>
      <c r="AF393" t="str">
        <f t="shared" ca="1" si="150"/>
        <v>Under Observation</v>
      </c>
      <c r="AG393" t="str">
        <f t="shared" ca="1" si="151"/>
        <v>West Coast</v>
      </c>
      <c r="AH393" t="str">
        <f t="shared" si="134"/>
        <v>March</v>
      </c>
      <c r="AI393">
        <f t="shared" si="135"/>
        <v>2024</v>
      </c>
      <c r="AJ393" t="str">
        <f t="shared" ca="1" si="152"/>
        <v>Occupied</v>
      </c>
      <c r="AK393">
        <f t="shared" ca="1" si="153"/>
        <v>1</v>
      </c>
    </row>
    <row r="394" spans="1:37" x14ac:dyDescent="0.3">
      <c r="A394" t="s">
        <v>4830</v>
      </c>
      <c r="B394">
        <v>22</v>
      </c>
      <c r="C394" t="s">
        <v>32</v>
      </c>
      <c r="D394" t="s">
        <v>38</v>
      </c>
      <c r="E394" t="s">
        <v>64</v>
      </c>
      <c r="F394" s="1">
        <v>44936</v>
      </c>
      <c r="G394" t="s">
        <v>829</v>
      </c>
      <c r="H394" t="s">
        <v>830</v>
      </c>
      <c r="I394" t="s">
        <v>20</v>
      </c>
      <c r="J394">
        <v>40698</v>
      </c>
      <c r="K394">
        <v>116</v>
      </c>
      <c r="L394" t="s">
        <v>42</v>
      </c>
      <c r="M394" s="1">
        <v>44949</v>
      </c>
      <c r="N394" t="s">
        <v>30</v>
      </c>
      <c r="O394" t="s">
        <v>23</v>
      </c>
      <c r="P394" t="str">
        <f t="shared" si="136"/>
        <v>P0393</v>
      </c>
      <c r="Q394" t="str">
        <f t="shared" si="132"/>
        <v>Cardiology</v>
      </c>
      <c r="R394">
        <f t="shared" si="133"/>
        <v>13</v>
      </c>
      <c r="S394" t="str">
        <f t="shared" ca="1" si="137"/>
        <v>No</v>
      </c>
      <c r="T394" t="str">
        <f t="shared" ca="1" si="138"/>
        <v>Critical</v>
      </c>
      <c r="U394" t="str">
        <f t="shared" ca="1" si="139"/>
        <v>ICU</v>
      </c>
      <c r="V394" t="str">
        <f t="shared" si="140"/>
        <v>BED0393</v>
      </c>
      <c r="W394" t="str">
        <f t="shared" ca="1" si="141"/>
        <v>General</v>
      </c>
      <c r="X394" t="str">
        <f t="shared" si="142"/>
        <v>NUR043</v>
      </c>
      <c r="Y394" t="str">
        <f t="shared" ca="1" si="143"/>
        <v>Night</v>
      </c>
      <c r="Z394" t="str">
        <f t="shared" ca="1" si="144"/>
        <v>Ventilator</v>
      </c>
      <c r="AA394" t="str">
        <f t="shared" ca="1" si="145"/>
        <v>Maintenance</v>
      </c>
      <c r="AB394" t="str">
        <f t="shared" ca="1" si="146"/>
        <v>Pending</v>
      </c>
      <c r="AC394" t="str">
        <f t="shared" ca="1" si="147"/>
        <v>Insurance</v>
      </c>
      <c r="AD394" t="str">
        <f t="shared" ca="1" si="148"/>
        <v>No</v>
      </c>
      <c r="AE394" t="str">
        <f t="shared" ca="1" si="149"/>
        <v>No</v>
      </c>
      <c r="AF394" t="str">
        <f t="shared" ca="1" si="150"/>
        <v>Recovered</v>
      </c>
      <c r="AG394" t="str">
        <f t="shared" ca="1" si="151"/>
        <v>Southeast</v>
      </c>
      <c r="AH394" t="str">
        <f t="shared" si="134"/>
        <v>January</v>
      </c>
      <c r="AI394">
        <f t="shared" si="135"/>
        <v>2023</v>
      </c>
      <c r="AJ394" t="str">
        <f t="shared" ca="1" si="152"/>
        <v>Occupied</v>
      </c>
      <c r="AK394">
        <f t="shared" ca="1" si="153"/>
        <v>2</v>
      </c>
    </row>
    <row r="395" spans="1:37" x14ac:dyDescent="0.3">
      <c r="A395" t="s">
        <v>4831</v>
      </c>
      <c r="B395">
        <v>62</v>
      </c>
      <c r="C395" t="s">
        <v>32</v>
      </c>
      <c r="D395" t="s">
        <v>83</v>
      </c>
      <c r="E395" t="s">
        <v>76</v>
      </c>
      <c r="F395" s="1">
        <v>43660</v>
      </c>
      <c r="G395" t="s">
        <v>831</v>
      </c>
      <c r="H395" t="s">
        <v>832</v>
      </c>
      <c r="I395" t="s">
        <v>36</v>
      </c>
      <c r="J395">
        <v>43466</v>
      </c>
      <c r="K395">
        <v>325</v>
      </c>
      <c r="L395" t="s">
        <v>21</v>
      </c>
      <c r="M395" s="1">
        <v>43664</v>
      </c>
      <c r="N395" t="s">
        <v>67</v>
      </c>
      <c r="O395" t="s">
        <v>23</v>
      </c>
      <c r="P395" t="str">
        <f t="shared" si="136"/>
        <v>P0394</v>
      </c>
      <c r="Q395" t="str">
        <f t="shared" si="132"/>
        <v>Orthopedics</v>
      </c>
      <c r="R395">
        <f t="shared" si="133"/>
        <v>4</v>
      </c>
      <c r="S395" t="str">
        <f t="shared" ca="1" si="137"/>
        <v>No</v>
      </c>
      <c r="T395" t="str">
        <f t="shared" ca="1" si="138"/>
        <v>Critical</v>
      </c>
      <c r="U395" t="str">
        <f t="shared" ca="1" si="139"/>
        <v>Private Ward</v>
      </c>
      <c r="V395" t="str">
        <f t="shared" si="140"/>
        <v>BED0394</v>
      </c>
      <c r="W395" t="str">
        <f t="shared" ca="1" si="141"/>
        <v>General</v>
      </c>
      <c r="X395" t="str">
        <f t="shared" si="142"/>
        <v>NUR044</v>
      </c>
      <c r="Y395" t="str">
        <f t="shared" ca="1" si="143"/>
        <v>Morning</v>
      </c>
      <c r="Z395" t="str">
        <f t="shared" ca="1" si="144"/>
        <v>X-Ray</v>
      </c>
      <c r="AA395" t="str">
        <f t="shared" ca="1" si="145"/>
        <v>In Use</v>
      </c>
      <c r="AB395" t="str">
        <f t="shared" ca="1" si="146"/>
        <v>Paid</v>
      </c>
      <c r="AC395" t="str">
        <f t="shared" ca="1" si="147"/>
        <v>Debit Card</v>
      </c>
      <c r="AD395" t="str">
        <f t="shared" ca="1" si="148"/>
        <v>No</v>
      </c>
      <c r="AE395" t="str">
        <f t="shared" ca="1" si="149"/>
        <v>No</v>
      </c>
      <c r="AF395" t="str">
        <f t="shared" ca="1" si="150"/>
        <v>Under Observation</v>
      </c>
      <c r="AG395" t="str">
        <f t="shared" ca="1" si="151"/>
        <v>Northeast</v>
      </c>
      <c r="AH395" t="str">
        <f t="shared" si="134"/>
        <v>July</v>
      </c>
      <c r="AI395">
        <f t="shared" si="135"/>
        <v>2019</v>
      </c>
      <c r="AJ395" t="str">
        <f t="shared" ca="1" si="152"/>
        <v>Occupied</v>
      </c>
      <c r="AK395">
        <f t="shared" ca="1" si="153"/>
        <v>2</v>
      </c>
    </row>
    <row r="396" spans="1:37" x14ac:dyDescent="0.3">
      <c r="A396" t="s">
        <v>4832</v>
      </c>
      <c r="B396">
        <v>21</v>
      </c>
      <c r="C396" t="s">
        <v>32</v>
      </c>
      <c r="D396" t="s">
        <v>24</v>
      </c>
      <c r="E396" t="s">
        <v>17</v>
      </c>
      <c r="F396" s="1">
        <v>43969</v>
      </c>
      <c r="G396" t="s">
        <v>833</v>
      </c>
      <c r="H396" t="s">
        <v>834</v>
      </c>
      <c r="I396" t="s">
        <v>57</v>
      </c>
      <c r="J396">
        <v>16866</v>
      </c>
      <c r="K396">
        <v>177</v>
      </c>
      <c r="L396" t="s">
        <v>42</v>
      </c>
      <c r="M396" s="1">
        <v>43984</v>
      </c>
      <c r="N396" t="s">
        <v>30</v>
      </c>
      <c r="O396" t="s">
        <v>23</v>
      </c>
      <c r="P396" t="str">
        <f t="shared" si="136"/>
        <v>P0395</v>
      </c>
      <c r="Q396" t="str">
        <f t="shared" si="132"/>
        <v>Oncology</v>
      </c>
      <c r="R396">
        <f t="shared" si="133"/>
        <v>15</v>
      </c>
      <c r="S396" t="str">
        <f t="shared" ca="1" si="137"/>
        <v>No</v>
      </c>
      <c r="T396" t="str">
        <f t="shared" ca="1" si="138"/>
        <v>Severe</v>
      </c>
      <c r="U396" t="str">
        <f t="shared" ca="1" si="139"/>
        <v>Private Ward</v>
      </c>
      <c r="V396" t="str">
        <f t="shared" si="140"/>
        <v>BED0395</v>
      </c>
      <c r="W396" t="str">
        <f t="shared" ca="1" si="141"/>
        <v>ICU</v>
      </c>
      <c r="X396" t="str">
        <f t="shared" si="142"/>
        <v>NUR045</v>
      </c>
      <c r="Y396" t="str">
        <f t="shared" ca="1" si="143"/>
        <v>Evening</v>
      </c>
      <c r="Z396" t="str">
        <f t="shared" ca="1" si="144"/>
        <v>Ventilator</v>
      </c>
      <c r="AA396" t="str">
        <f t="shared" ca="1" si="145"/>
        <v>In Use</v>
      </c>
      <c r="AB396" t="str">
        <f t="shared" ca="1" si="146"/>
        <v>Paid</v>
      </c>
      <c r="AC396" t="str">
        <f t="shared" ca="1" si="147"/>
        <v>Bank Transfer</v>
      </c>
      <c r="AD396" t="str">
        <f t="shared" ca="1" si="148"/>
        <v>No</v>
      </c>
      <c r="AE396" t="str">
        <f t="shared" ca="1" si="149"/>
        <v>No</v>
      </c>
      <c r="AF396" t="str">
        <f t="shared" ca="1" si="150"/>
        <v>Transferred</v>
      </c>
      <c r="AG396" t="str">
        <f t="shared" ca="1" si="151"/>
        <v>Southwest</v>
      </c>
      <c r="AH396" t="str">
        <f t="shared" si="134"/>
        <v>May</v>
      </c>
      <c r="AI396">
        <f t="shared" si="135"/>
        <v>2020</v>
      </c>
      <c r="AJ396" t="str">
        <f t="shared" ca="1" si="152"/>
        <v>Occupied</v>
      </c>
      <c r="AK396">
        <f t="shared" ca="1" si="153"/>
        <v>1</v>
      </c>
    </row>
    <row r="397" spans="1:37" x14ac:dyDescent="0.3">
      <c r="A397" t="s">
        <v>4833</v>
      </c>
      <c r="B397">
        <v>44</v>
      </c>
      <c r="C397" t="s">
        <v>15</v>
      </c>
      <c r="D397" t="s">
        <v>16</v>
      </c>
      <c r="E397" t="s">
        <v>25</v>
      </c>
      <c r="F397" s="1">
        <v>44727</v>
      </c>
      <c r="G397" t="s">
        <v>835</v>
      </c>
      <c r="H397" t="s">
        <v>836</v>
      </c>
      <c r="I397" t="s">
        <v>36</v>
      </c>
      <c r="J397">
        <v>41455</v>
      </c>
      <c r="K397">
        <v>328</v>
      </c>
      <c r="L397" t="s">
        <v>29</v>
      </c>
      <c r="M397" s="1">
        <v>44737</v>
      </c>
      <c r="N397" t="s">
        <v>30</v>
      </c>
      <c r="O397" t="s">
        <v>31</v>
      </c>
      <c r="P397" t="str">
        <f t="shared" si="136"/>
        <v>P0396</v>
      </c>
      <c r="Q397" t="str">
        <f t="shared" si="132"/>
        <v>Nutrition</v>
      </c>
      <c r="R397">
        <f t="shared" si="133"/>
        <v>10</v>
      </c>
      <c r="S397" t="str">
        <f t="shared" ca="1" si="137"/>
        <v>No</v>
      </c>
      <c r="T397" t="str">
        <f t="shared" ca="1" si="138"/>
        <v>Mild</v>
      </c>
      <c r="U397" t="str">
        <f t="shared" ca="1" si="139"/>
        <v>Semi-Private</v>
      </c>
      <c r="V397" t="str">
        <f t="shared" si="140"/>
        <v>BED0396</v>
      </c>
      <c r="W397" t="str">
        <f t="shared" ca="1" si="141"/>
        <v>Semi-Private</v>
      </c>
      <c r="X397" t="str">
        <f t="shared" si="142"/>
        <v>NUR046</v>
      </c>
      <c r="Y397" t="str">
        <f t="shared" ca="1" si="143"/>
        <v>Evening</v>
      </c>
      <c r="Z397" t="str">
        <f t="shared" ca="1" si="144"/>
        <v>MRI Scanner</v>
      </c>
      <c r="AA397" t="str">
        <f t="shared" ca="1" si="145"/>
        <v>Maintenance</v>
      </c>
      <c r="AB397" t="str">
        <f t="shared" ca="1" si="146"/>
        <v>Pending</v>
      </c>
      <c r="AC397" t="str">
        <f t="shared" ca="1" si="147"/>
        <v>Credit Card</v>
      </c>
      <c r="AD397" t="str">
        <f t="shared" ca="1" si="148"/>
        <v>No</v>
      </c>
      <c r="AE397" t="str">
        <f t="shared" ca="1" si="149"/>
        <v>No</v>
      </c>
      <c r="AF397" t="str">
        <f t="shared" ca="1" si="150"/>
        <v>Recovered</v>
      </c>
      <c r="AG397" t="str">
        <f t="shared" ca="1" si="151"/>
        <v>Southeast</v>
      </c>
      <c r="AH397" t="str">
        <f t="shared" si="134"/>
        <v>June</v>
      </c>
      <c r="AI397">
        <f t="shared" si="135"/>
        <v>2022</v>
      </c>
      <c r="AJ397" t="str">
        <f t="shared" ca="1" si="152"/>
        <v>Occupied</v>
      </c>
      <c r="AK397">
        <f t="shared" ca="1" si="153"/>
        <v>1</v>
      </c>
    </row>
    <row r="398" spans="1:37" x14ac:dyDescent="0.3">
      <c r="A398" t="s">
        <v>4834</v>
      </c>
      <c r="B398">
        <v>27</v>
      </c>
      <c r="C398" t="s">
        <v>15</v>
      </c>
      <c r="D398" t="s">
        <v>83</v>
      </c>
      <c r="E398" t="s">
        <v>64</v>
      </c>
      <c r="F398" s="1">
        <v>43917</v>
      </c>
      <c r="G398" t="s">
        <v>837</v>
      </c>
      <c r="H398" t="s">
        <v>838</v>
      </c>
      <c r="I398" t="s">
        <v>57</v>
      </c>
      <c r="J398">
        <v>47735</v>
      </c>
      <c r="K398">
        <v>221</v>
      </c>
      <c r="L398" t="s">
        <v>21</v>
      </c>
      <c r="M398" s="1">
        <v>43926</v>
      </c>
      <c r="N398" t="s">
        <v>47</v>
      </c>
      <c r="O398" t="s">
        <v>23</v>
      </c>
      <c r="P398" t="str">
        <f t="shared" si="136"/>
        <v>P0397</v>
      </c>
      <c r="Q398" t="str">
        <f t="shared" si="132"/>
        <v>Cardiology</v>
      </c>
      <c r="R398">
        <f t="shared" si="133"/>
        <v>9</v>
      </c>
      <c r="S398" t="str">
        <f t="shared" ca="1" si="137"/>
        <v>No</v>
      </c>
      <c r="T398" t="str">
        <f t="shared" ca="1" si="138"/>
        <v>Mild</v>
      </c>
      <c r="U398" t="str">
        <f t="shared" ca="1" si="139"/>
        <v>Semi-Private</v>
      </c>
      <c r="V398" t="str">
        <f t="shared" si="140"/>
        <v>BED0397</v>
      </c>
      <c r="W398" t="str">
        <f t="shared" ca="1" si="141"/>
        <v>Private</v>
      </c>
      <c r="X398" t="str">
        <f t="shared" si="142"/>
        <v>NUR047</v>
      </c>
      <c r="Y398" t="str">
        <f t="shared" ca="1" si="143"/>
        <v>Evening</v>
      </c>
      <c r="Z398" t="str">
        <f t="shared" ca="1" si="144"/>
        <v>ECG Machine</v>
      </c>
      <c r="AA398" t="str">
        <f t="shared" ca="1" si="145"/>
        <v>Available</v>
      </c>
      <c r="AB398" t="str">
        <f t="shared" ca="1" si="146"/>
        <v>Pending</v>
      </c>
      <c r="AC398" t="str">
        <f t="shared" ca="1" si="147"/>
        <v>Cash</v>
      </c>
      <c r="AD398" t="str">
        <f t="shared" ca="1" si="148"/>
        <v>No</v>
      </c>
      <c r="AE398" t="str">
        <f t="shared" ca="1" si="149"/>
        <v>No</v>
      </c>
      <c r="AF398" t="str">
        <f t="shared" ca="1" si="150"/>
        <v>Under Observation</v>
      </c>
      <c r="AG398" t="str">
        <f t="shared" ca="1" si="151"/>
        <v>West Coast</v>
      </c>
      <c r="AH398" t="str">
        <f t="shared" si="134"/>
        <v>March</v>
      </c>
      <c r="AI398">
        <f t="shared" si="135"/>
        <v>2020</v>
      </c>
      <c r="AJ398" t="str">
        <f t="shared" ca="1" si="152"/>
        <v>Occupied</v>
      </c>
      <c r="AK398">
        <f t="shared" ca="1" si="153"/>
        <v>2</v>
      </c>
    </row>
    <row r="399" spans="1:37" x14ac:dyDescent="0.3">
      <c r="A399" t="s">
        <v>4835</v>
      </c>
      <c r="B399">
        <v>47</v>
      </c>
      <c r="C399" t="s">
        <v>15</v>
      </c>
      <c r="D399" t="s">
        <v>98</v>
      </c>
      <c r="E399" t="s">
        <v>39</v>
      </c>
      <c r="F399" s="1">
        <v>43881</v>
      </c>
      <c r="G399" t="s">
        <v>839</v>
      </c>
      <c r="H399" t="s">
        <v>840</v>
      </c>
      <c r="I399" t="s">
        <v>51</v>
      </c>
      <c r="J399">
        <v>2827</v>
      </c>
      <c r="K399">
        <v>256</v>
      </c>
      <c r="L399" t="s">
        <v>42</v>
      </c>
      <c r="M399" s="1">
        <v>43891</v>
      </c>
      <c r="N399" t="s">
        <v>67</v>
      </c>
      <c r="O399" t="s">
        <v>23</v>
      </c>
      <c r="P399" t="str">
        <f t="shared" si="136"/>
        <v>P0398</v>
      </c>
      <c r="Q399" t="str">
        <f t="shared" si="132"/>
        <v>Endocrinology</v>
      </c>
      <c r="R399">
        <f t="shared" si="133"/>
        <v>10</v>
      </c>
      <c r="S399" t="str">
        <f t="shared" ca="1" si="137"/>
        <v>No</v>
      </c>
      <c r="T399" t="str">
        <f t="shared" ca="1" si="138"/>
        <v>Severe</v>
      </c>
      <c r="U399" t="str">
        <f t="shared" ca="1" si="139"/>
        <v>ICU</v>
      </c>
      <c r="V399" t="str">
        <f t="shared" si="140"/>
        <v>BED0398</v>
      </c>
      <c r="W399" t="str">
        <f t="shared" ca="1" si="141"/>
        <v>Private</v>
      </c>
      <c r="X399" t="str">
        <f t="shared" si="142"/>
        <v>NUR048</v>
      </c>
      <c r="Y399" t="str">
        <f t="shared" ca="1" si="143"/>
        <v>Evening</v>
      </c>
      <c r="Z399" t="str">
        <f t="shared" ca="1" si="144"/>
        <v>Ultrasound</v>
      </c>
      <c r="AA399" t="str">
        <f t="shared" ca="1" si="145"/>
        <v>Maintenance</v>
      </c>
      <c r="AB399" t="str">
        <f t="shared" ca="1" si="146"/>
        <v>Partially Paid</v>
      </c>
      <c r="AC399" t="str">
        <f t="shared" ca="1" si="147"/>
        <v>Debit Card</v>
      </c>
      <c r="AD399" t="str">
        <f t="shared" ca="1" si="148"/>
        <v>No</v>
      </c>
      <c r="AE399" t="str">
        <f t="shared" ca="1" si="149"/>
        <v>No</v>
      </c>
      <c r="AF399" t="str">
        <f t="shared" ca="1" si="150"/>
        <v>Recovered</v>
      </c>
      <c r="AG399" t="str">
        <f t="shared" ca="1" si="151"/>
        <v>Midwest</v>
      </c>
      <c r="AH399" t="str">
        <f t="shared" si="134"/>
        <v>February</v>
      </c>
      <c r="AI399">
        <f t="shared" si="135"/>
        <v>2020</v>
      </c>
      <c r="AJ399" t="str">
        <f t="shared" ca="1" si="152"/>
        <v>Occupied</v>
      </c>
      <c r="AK399">
        <f t="shared" ca="1" si="153"/>
        <v>2</v>
      </c>
    </row>
    <row r="400" spans="1:37" x14ac:dyDescent="0.3">
      <c r="A400" t="s">
        <v>2980</v>
      </c>
      <c r="B400">
        <v>51</v>
      </c>
      <c r="C400" t="s">
        <v>15</v>
      </c>
      <c r="D400" t="s">
        <v>98</v>
      </c>
      <c r="E400" t="s">
        <v>64</v>
      </c>
      <c r="F400" s="1">
        <v>43998</v>
      </c>
      <c r="G400" t="s">
        <v>841</v>
      </c>
      <c r="H400" t="s">
        <v>842</v>
      </c>
      <c r="I400" t="s">
        <v>20</v>
      </c>
      <c r="J400">
        <v>26524</v>
      </c>
      <c r="K400">
        <v>426</v>
      </c>
      <c r="L400" t="s">
        <v>42</v>
      </c>
      <c r="M400" s="1">
        <v>44003</v>
      </c>
      <c r="N400" t="s">
        <v>47</v>
      </c>
      <c r="O400" t="s">
        <v>31</v>
      </c>
      <c r="P400" t="str">
        <f t="shared" si="136"/>
        <v>P0399</v>
      </c>
      <c r="Q400" t="str">
        <f t="shared" si="132"/>
        <v>Cardiology</v>
      </c>
      <c r="R400">
        <f t="shared" si="133"/>
        <v>5</v>
      </c>
      <c r="S400" t="str">
        <f t="shared" ca="1" si="137"/>
        <v>Yes</v>
      </c>
      <c r="T400" t="str">
        <f t="shared" ca="1" si="138"/>
        <v>Critical</v>
      </c>
      <c r="U400" t="str">
        <f t="shared" ca="1" si="139"/>
        <v>Emergency</v>
      </c>
      <c r="V400" t="str">
        <f t="shared" si="140"/>
        <v>BED0399</v>
      </c>
      <c r="W400" t="str">
        <f t="shared" ca="1" si="141"/>
        <v>General</v>
      </c>
      <c r="X400" t="str">
        <f t="shared" si="142"/>
        <v>NUR049</v>
      </c>
      <c r="Y400" t="str">
        <f t="shared" ca="1" si="143"/>
        <v>Night</v>
      </c>
      <c r="Z400" t="str">
        <f t="shared" ca="1" si="144"/>
        <v>Ultrasound</v>
      </c>
      <c r="AA400" t="str">
        <f t="shared" ca="1" si="145"/>
        <v>In Use</v>
      </c>
      <c r="AB400" t="str">
        <f t="shared" ca="1" si="146"/>
        <v>Pending</v>
      </c>
      <c r="AC400" t="str">
        <f t="shared" ca="1" si="147"/>
        <v>Cash</v>
      </c>
      <c r="AD400" t="str">
        <f t="shared" ca="1" si="148"/>
        <v>Yes</v>
      </c>
      <c r="AE400" t="str">
        <f t="shared" ca="1" si="149"/>
        <v>No</v>
      </c>
      <c r="AF400" t="str">
        <f t="shared" ca="1" si="150"/>
        <v>Under Observation</v>
      </c>
      <c r="AG400" t="str">
        <f t="shared" ca="1" si="151"/>
        <v>Southeast</v>
      </c>
      <c r="AH400" t="str">
        <f t="shared" si="134"/>
        <v>June</v>
      </c>
      <c r="AI400">
        <f t="shared" si="135"/>
        <v>2020</v>
      </c>
      <c r="AJ400" t="str">
        <f t="shared" ca="1" si="152"/>
        <v>Occupied</v>
      </c>
      <c r="AK400">
        <f t="shared" ca="1" si="153"/>
        <v>4</v>
      </c>
    </row>
    <row r="401" spans="1:37" x14ac:dyDescent="0.3">
      <c r="A401" t="s">
        <v>4836</v>
      </c>
      <c r="B401">
        <v>48</v>
      </c>
      <c r="C401" t="s">
        <v>32</v>
      </c>
      <c r="D401" t="s">
        <v>16</v>
      </c>
      <c r="E401" t="s">
        <v>64</v>
      </c>
      <c r="F401" s="1">
        <v>43622</v>
      </c>
      <c r="G401" t="s">
        <v>843</v>
      </c>
      <c r="H401" t="s">
        <v>844</v>
      </c>
      <c r="I401" t="s">
        <v>51</v>
      </c>
      <c r="J401">
        <v>36728</v>
      </c>
      <c r="K401">
        <v>386</v>
      </c>
      <c r="L401" t="s">
        <v>21</v>
      </c>
      <c r="M401" s="1">
        <v>43648</v>
      </c>
      <c r="N401" t="s">
        <v>30</v>
      </c>
      <c r="O401" t="s">
        <v>23</v>
      </c>
      <c r="P401" t="str">
        <f t="shared" si="136"/>
        <v>P0400</v>
      </c>
      <c r="Q401" t="str">
        <f t="shared" si="132"/>
        <v>Cardiology</v>
      </c>
      <c r="R401">
        <f t="shared" si="133"/>
        <v>26</v>
      </c>
      <c r="S401" t="str">
        <f t="shared" ca="1" si="137"/>
        <v>No</v>
      </c>
      <c r="T401" t="str">
        <f t="shared" ca="1" si="138"/>
        <v>Moderate</v>
      </c>
      <c r="U401" t="str">
        <f t="shared" ca="1" si="139"/>
        <v>Semi-Private</v>
      </c>
      <c r="V401" t="str">
        <f t="shared" si="140"/>
        <v>BED0400</v>
      </c>
      <c r="W401" t="str">
        <f t="shared" ca="1" si="141"/>
        <v>Semi-Private</v>
      </c>
      <c r="X401" t="str">
        <f t="shared" si="142"/>
        <v>NUR050</v>
      </c>
      <c r="Y401" t="str">
        <f t="shared" ca="1" si="143"/>
        <v>Morning</v>
      </c>
      <c r="Z401" t="str">
        <f t="shared" ca="1" si="144"/>
        <v>Ventilator</v>
      </c>
      <c r="AA401" t="str">
        <f t="shared" ca="1" si="145"/>
        <v>In Use</v>
      </c>
      <c r="AB401" t="str">
        <f t="shared" ca="1" si="146"/>
        <v>Pending</v>
      </c>
      <c r="AC401" t="str">
        <f t="shared" ca="1" si="147"/>
        <v>Bank Transfer</v>
      </c>
      <c r="AD401" t="str">
        <f t="shared" ca="1" si="148"/>
        <v>Yes</v>
      </c>
      <c r="AE401" t="str">
        <f t="shared" ca="1" si="149"/>
        <v>No</v>
      </c>
      <c r="AF401" t="str">
        <f t="shared" ca="1" si="150"/>
        <v>Recovered</v>
      </c>
      <c r="AG401" t="str">
        <f t="shared" ca="1" si="151"/>
        <v>Midwest</v>
      </c>
      <c r="AH401" t="str">
        <f t="shared" si="134"/>
        <v>June</v>
      </c>
      <c r="AI401">
        <f t="shared" si="135"/>
        <v>2019</v>
      </c>
      <c r="AJ401" t="str">
        <f t="shared" ca="1" si="152"/>
        <v>Vacant</v>
      </c>
      <c r="AK401">
        <f t="shared" ca="1" si="153"/>
        <v>2</v>
      </c>
    </row>
    <row r="402" spans="1:37" x14ac:dyDescent="0.3">
      <c r="A402" t="s">
        <v>4837</v>
      </c>
      <c r="B402">
        <v>83</v>
      </c>
      <c r="C402" t="s">
        <v>15</v>
      </c>
      <c r="D402" t="s">
        <v>16</v>
      </c>
      <c r="E402" t="s">
        <v>76</v>
      </c>
      <c r="F402" s="1">
        <v>44579</v>
      </c>
      <c r="G402" t="s">
        <v>845</v>
      </c>
      <c r="H402" t="s">
        <v>846</v>
      </c>
      <c r="I402" t="s">
        <v>20</v>
      </c>
      <c r="J402">
        <v>4509</v>
      </c>
      <c r="K402">
        <v>175</v>
      </c>
      <c r="L402" t="s">
        <v>42</v>
      </c>
      <c r="M402" s="1">
        <v>44597</v>
      </c>
      <c r="N402" t="s">
        <v>22</v>
      </c>
      <c r="O402" t="s">
        <v>43</v>
      </c>
      <c r="P402" t="str">
        <f t="shared" si="136"/>
        <v>P0401</v>
      </c>
      <c r="Q402" t="str">
        <f t="shared" si="132"/>
        <v>Orthopedics</v>
      </c>
      <c r="R402">
        <f t="shared" si="133"/>
        <v>18</v>
      </c>
      <c r="S402" t="str">
        <f t="shared" ca="1" si="137"/>
        <v>No</v>
      </c>
      <c r="T402" t="str">
        <f t="shared" ca="1" si="138"/>
        <v>Severe</v>
      </c>
      <c r="U402" t="str">
        <f t="shared" ca="1" si="139"/>
        <v>ICU</v>
      </c>
      <c r="V402" t="str">
        <f t="shared" si="140"/>
        <v>BED0401</v>
      </c>
      <c r="W402" t="str">
        <f t="shared" ca="1" si="141"/>
        <v>General</v>
      </c>
      <c r="X402" t="str">
        <f t="shared" si="142"/>
        <v>NUR001</v>
      </c>
      <c r="Y402" t="str">
        <f t="shared" ca="1" si="143"/>
        <v>Night</v>
      </c>
      <c r="Z402" t="str">
        <f t="shared" ca="1" si="144"/>
        <v>CT Scanner</v>
      </c>
      <c r="AA402" t="str">
        <f t="shared" ca="1" si="145"/>
        <v>In Use</v>
      </c>
      <c r="AB402" t="str">
        <f t="shared" ca="1" si="146"/>
        <v>Pending</v>
      </c>
      <c r="AC402" t="str">
        <f t="shared" ca="1" si="147"/>
        <v>Insurance</v>
      </c>
      <c r="AD402" t="str">
        <f t="shared" ca="1" si="148"/>
        <v>Yes</v>
      </c>
      <c r="AE402" t="str">
        <f t="shared" ca="1" si="149"/>
        <v>No</v>
      </c>
      <c r="AF402" t="str">
        <f t="shared" ca="1" si="150"/>
        <v>Transferred</v>
      </c>
      <c r="AG402" t="str">
        <f t="shared" ca="1" si="151"/>
        <v>Southwest</v>
      </c>
      <c r="AH402" t="str">
        <f t="shared" si="134"/>
        <v>January</v>
      </c>
      <c r="AI402">
        <f t="shared" si="135"/>
        <v>2022</v>
      </c>
      <c r="AJ402" t="str">
        <f t="shared" ca="1" si="152"/>
        <v>Vacant</v>
      </c>
      <c r="AK402">
        <f t="shared" ca="1" si="153"/>
        <v>2</v>
      </c>
    </row>
    <row r="403" spans="1:37" x14ac:dyDescent="0.3">
      <c r="A403" t="s">
        <v>4838</v>
      </c>
      <c r="B403">
        <v>64</v>
      </c>
      <c r="C403" t="s">
        <v>15</v>
      </c>
      <c r="D403" t="s">
        <v>24</v>
      </c>
      <c r="E403" t="s">
        <v>76</v>
      </c>
      <c r="F403" s="1">
        <v>44207</v>
      </c>
      <c r="G403" t="s">
        <v>847</v>
      </c>
      <c r="H403" t="s">
        <v>848</v>
      </c>
      <c r="I403" t="s">
        <v>36</v>
      </c>
      <c r="J403">
        <v>25710</v>
      </c>
      <c r="K403">
        <v>180</v>
      </c>
      <c r="L403" t="s">
        <v>42</v>
      </c>
      <c r="M403" s="1">
        <v>44219</v>
      </c>
      <c r="N403" t="s">
        <v>37</v>
      </c>
      <c r="O403" t="s">
        <v>43</v>
      </c>
      <c r="P403" t="str">
        <f t="shared" si="136"/>
        <v>P0402</v>
      </c>
      <c r="Q403" t="str">
        <f t="shared" si="132"/>
        <v>Orthopedics</v>
      </c>
      <c r="R403">
        <f t="shared" si="133"/>
        <v>12</v>
      </c>
      <c r="S403" t="str">
        <f t="shared" ca="1" si="137"/>
        <v>No</v>
      </c>
      <c r="T403" t="str">
        <f t="shared" ca="1" si="138"/>
        <v>Severe</v>
      </c>
      <c r="U403" t="str">
        <f t="shared" ca="1" si="139"/>
        <v>General Ward</v>
      </c>
      <c r="V403" t="str">
        <f t="shared" si="140"/>
        <v>BED0402</v>
      </c>
      <c r="W403" t="str">
        <f t="shared" ca="1" si="141"/>
        <v>Private</v>
      </c>
      <c r="X403" t="str">
        <f t="shared" si="142"/>
        <v>NUR002</v>
      </c>
      <c r="Y403" t="str">
        <f t="shared" ca="1" si="143"/>
        <v>Morning</v>
      </c>
      <c r="Z403" t="str">
        <f t="shared" ca="1" si="144"/>
        <v>ECG Machine</v>
      </c>
      <c r="AA403" t="str">
        <f t="shared" ca="1" si="145"/>
        <v>Available</v>
      </c>
      <c r="AB403" t="str">
        <f t="shared" ca="1" si="146"/>
        <v>Pending</v>
      </c>
      <c r="AC403" t="str">
        <f t="shared" ca="1" si="147"/>
        <v>Insurance</v>
      </c>
      <c r="AD403" t="str">
        <f t="shared" ca="1" si="148"/>
        <v>No</v>
      </c>
      <c r="AE403" t="str">
        <f t="shared" ca="1" si="149"/>
        <v>No</v>
      </c>
      <c r="AF403" t="str">
        <f t="shared" ca="1" si="150"/>
        <v>Transferred</v>
      </c>
      <c r="AG403" t="str">
        <f t="shared" ca="1" si="151"/>
        <v>Midwest</v>
      </c>
      <c r="AH403" t="str">
        <f t="shared" si="134"/>
        <v>January</v>
      </c>
      <c r="AI403">
        <f t="shared" si="135"/>
        <v>2021</v>
      </c>
      <c r="AJ403" t="str">
        <f t="shared" ca="1" si="152"/>
        <v>Vacant</v>
      </c>
      <c r="AK403">
        <f t="shared" ca="1" si="153"/>
        <v>2</v>
      </c>
    </row>
    <row r="404" spans="1:37" x14ac:dyDescent="0.3">
      <c r="A404" t="s">
        <v>4839</v>
      </c>
      <c r="B404">
        <v>19</v>
      </c>
      <c r="C404" t="s">
        <v>15</v>
      </c>
      <c r="D404" t="s">
        <v>38</v>
      </c>
      <c r="E404" t="s">
        <v>25</v>
      </c>
      <c r="F404" s="1">
        <v>44231</v>
      </c>
      <c r="G404" t="s">
        <v>849</v>
      </c>
      <c r="H404" t="s">
        <v>850</v>
      </c>
      <c r="I404" t="s">
        <v>28</v>
      </c>
      <c r="J404">
        <v>20086</v>
      </c>
      <c r="K404">
        <v>270</v>
      </c>
      <c r="L404" t="s">
        <v>21</v>
      </c>
      <c r="M404" s="1">
        <v>44242</v>
      </c>
      <c r="N404" t="s">
        <v>37</v>
      </c>
      <c r="O404" t="s">
        <v>43</v>
      </c>
      <c r="P404" t="str">
        <f t="shared" si="136"/>
        <v>P0403</v>
      </c>
      <c r="Q404" t="str">
        <f t="shared" si="132"/>
        <v>Nutrition</v>
      </c>
      <c r="R404">
        <f t="shared" si="133"/>
        <v>11</v>
      </c>
      <c r="S404" t="str">
        <f t="shared" ca="1" si="137"/>
        <v>No</v>
      </c>
      <c r="T404" t="str">
        <f t="shared" ca="1" si="138"/>
        <v>Critical</v>
      </c>
      <c r="U404" t="str">
        <f t="shared" ca="1" si="139"/>
        <v>Emergency</v>
      </c>
      <c r="V404" t="str">
        <f t="shared" si="140"/>
        <v>BED0403</v>
      </c>
      <c r="W404" t="str">
        <f t="shared" ca="1" si="141"/>
        <v>General</v>
      </c>
      <c r="X404" t="str">
        <f t="shared" si="142"/>
        <v>NUR003</v>
      </c>
      <c r="Y404" t="str">
        <f t="shared" ca="1" si="143"/>
        <v>Morning</v>
      </c>
      <c r="Z404" t="str">
        <f t="shared" ca="1" si="144"/>
        <v>Ventilator</v>
      </c>
      <c r="AA404" t="str">
        <f t="shared" ca="1" si="145"/>
        <v>In Use</v>
      </c>
      <c r="AB404" t="str">
        <f t="shared" ca="1" si="146"/>
        <v>Paid</v>
      </c>
      <c r="AC404" t="str">
        <f t="shared" ca="1" si="147"/>
        <v>Credit Card</v>
      </c>
      <c r="AD404" t="str">
        <f t="shared" ca="1" si="148"/>
        <v>No</v>
      </c>
      <c r="AE404" t="str">
        <f t="shared" ca="1" si="149"/>
        <v>No</v>
      </c>
      <c r="AF404" t="str">
        <f t="shared" ca="1" si="150"/>
        <v>Recovered</v>
      </c>
      <c r="AG404" t="str">
        <f t="shared" ca="1" si="151"/>
        <v>Midwest</v>
      </c>
      <c r="AH404" t="str">
        <f t="shared" si="134"/>
        <v>February</v>
      </c>
      <c r="AI404">
        <f t="shared" si="135"/>
        <v>2021</v>
      </c>
      <c r="AJ404" t="str">
        <f t="shared" ca="1" si="152"/>
        <v>Vacant</v>
      </c>
      <c r="AK404">
        <f t="shared" ca="1" si="153"/>
        <v>2</v>
      </c>
    </row>
    <row r="405" spans="1:37" x14ac:dyDescent="0.3">
      <c r="A405" t="s">
        <v>4840</v>
      </c>
      <c r="B405">
        <v>39</v>
      </c>
      <c r="C405" t="s">
        <v>15</v>
      </c>
      <c r="D405" t="s">
        <v>16</v>
      </c>
      <c r="E405" t="s">
        <v>48</v>
      </c>
      <c r="F405" s="1">
        <v>44711</v>
      </c>
      <c r="G405" t="s">
        <v>851</v>
      </c>
      <c r="H405" t="s">
        <v>852</v>
      </c>
      <c r="I405" t="s">
        <v>51</v>
      </c>
      <c r="J405">
        <v>36862</v>
      </c>
      <c r="K405">
        <v>338</v>
      </c>
      <c r="L405" t="s">
        <v>42</v>
      </c>
      <c r="M405" s="1">
        <v>44713</v>
      </c>
      <c r="N405" t="s">
        <v>37</v>
      </c>
      <c r="O405" t="s">
        <v>31</v>
      </c>
      <c r="P405" t="str">
        <f t="shared" si="136"/>
        <v>P0404</v>
      </c>
      <c r="Q405" t="str">
        <f t="shared" si="132"/>
        <v>Pulmonology</v>
      </c>
      <c r="R405">
        <f t="shared" si="133"/>
        <v>2</v>
      </c>
      <c r="S405" t="str">
        <f t="shared" ca="1" si="137"/>
        <v>No</v>
      </c>
      <c r="T405" t="str">
        <f t="shared" ca="1" si="138"/>
        <v>Moderate</v>
      </c>
      <c r="U405" t="str">
        <f t="shared" ca="1" si="139"/>
        <v>General Ward</v>
      </c>
      <c r="V405" t="str">
        <f t="shared" si="140"/>
        <v>BED0404</v>
      </c>
      <c r="W405" t="str">
        <f t="shared" ca="1" si="141"/>
        <v>General</v>
      </c>
      <c r="X405" t="str">
        <f t="shared" si="142"/>
        <v>NUR004</v>
      </c>
      <c r="Y405" t="str">
        <f t="shared" ca="1" si="143"/>
        <v>Evening</v>
      </c>
      <c r="Z405" t="str">
        <f t="shared" ca="1" si="144"/>
        <v>MRI Scanner</v>
      </c>
      <c r="AA405" t="str">
        <f t="shared" ca="1" si="145"/>
        <v>Maintenance</v>
      </c>
      <c r="AB405" t="str">
        <f t="shared" ca="1" si="146"/>
        <v>Partially Paid</v>
      </c>
      <c r="AC405" t="str">
        <f t="shared" ca="1" si="147"/>
        <v>Debit Card</v>
      </c>
      <c r="AD405" t="str">
        <f t="shared" ca="1" si="148"/>
        <v>No</v>
      </c>
      <c r="AE405" t="str">
        <f t="shared" ca="1" si="149"/>
        <v>No</v>
      </c>
      <c r="AF405" t="str">
        <f t="shared" ca="1" si="150"/>
        <v>Transferred</v>
      </c>
      <c r="AG405" t="str">
        <f t="shared" ca="1" si="151"/>
        <v>West Coast</v>
      </c>
      <c r="AH405" t="str">
        <f t="shared" si="134"/>
        <v>May</v>
      </c>
      <c r="AI405">
        <f t="shared" si="135"/>
        <v>2022</v>
      </c>
      <c r="AJ405" t="str">
        <f t="shared" ca="1" si="152"/>
        <v>Occupied</v>
      </c>
      <c r="AK405">
        <f t="shared" ca="1" si="153"/>
        <v>4</v>
      </c>
    </row>
    <row r="406" spans="1:37" x14ac:dyDescent="0.3">
      <c r="A406" t="s">
        <v>4841</v>
      </c>
      <c r="B406">
        <v>23</v>
      </c>
      <c r="C406" t="s">
        <v>32</v>
      </c>
      <c r="D406" t="s">
        <v>38</v>
      </c>
      <c r="E406" t="s">
        <v>64</v>
      </c>
      <c r="F406" s="1">
        <v>44549</v>
      </c>
      <c r="G406" t="s">
        <v>853</v>
      </c>
      <c r="H406" t="s">
        <v>854</v>
      </c>
      <c r="I406" t="s">
        <v>20</v>
      </c>
      <c r="J406">
        <v>40065</v>
      </c>
      <c r="K406">
        <v>360</v>
      </c>
      <c r="L406" t="s">
        <v>42</v>
      </c>
      <c r="M406" s="1">
        <v>44560</v>
      </c>
      <c r="N406" t="s">
        <v>22</v>
      </c>
      <c r="O406" t="s">
        <v>23</v>
      </c>
      <c r="P406" t="str">
        <f t="shared" si="136"/>
        <v>P0405</v>
      </c>
      <c r="Q406" t="str">
        <f t="shared" si="132"/>
        <v>Cardiology</v>
      </c>
      <c r="R406">
        <f t="shared" si="133"/>
        <v>11</v>
      </c>
      <c r="S406" t="str">
        <f t="shared" ca="1" si="137"/>
        <v>No</v>
      </c>
      <c r="T406" t="str">
        <f t="shared" ca="1" si="138"/>
        <v>Moderate</v>
      </c>
      <c r="U406" t="str">
        <f t="shared" ca="1" si="139"/>
        <v>Private Ward</v>
      </c>
      <c r="V406" t="str">
        <f t="shared" si="140"/>
        <v>BED0405</v>
      </c>
      <c r="W406" t="str">
        <f t="shared" ca="1" si="141"/>
        <v>General</v>
      </c>
      <c r="X406" t="str">
        <f t="shared" si="142"/>
        <v>NUR005</v>
      </c>
      <c r="Y406" t="str">
        <f t="shared" ca="1" si="143"/>
        <v>Evening</v>
      </c>
      <c r="Z406" t="str">
        <f t="shared" ca="1" si="144"/>
        <v>MRI Scanner</v>
      </c>
      <c r="AA406" t="str">
        <f t="shared" ca="1" si="145"/>
        <v>Maintenance</v>
      </c>
      <c r="AB406" t="str">
        <f t="shared" ca="1" si="146"/>
        <v>Paid</v>
      </c>
      <c r="AC406" t="str">
        <f t="shared" ca="1" si="147"/>
        <v>Credit Card</v>
      </c>
      <c r="AD406" t="str">
        <f t="shared" ca="1" si="148"/>
        <v>No</v>
      </c>
      <c r="AE406" t="str">
        <f t="shared" ca="1" si="149"/>
        <v>No</v>
      </c>
      <c r="AF406" t="str">
        <f t="shared" ca="1" si="150"/>
        <v>Under Observation</v>
      </c>
      <c r="AG406" t="str">
        <f t="shared" ca="1" si="151"/>
        <v>Midwest</v>
      </c>
      <c r="AH406" t="str">
        <f t="shared" si="134"/>
        <v>December</v>
      </c>
      <c r="AI406">
        <f t="shared" si="135"/>
        <v>2021</v>
      </c>
      <c r="AJ406" t="str">
        <f t="shared" ca="1" si="152"/>
        <v>Vacant</v>
      </c>
      <c r="AK406">
        <f t="shared" ca="1" si="153"/>
        <v>2</v>
      </c>
    </row>
    <row r="407" spans="1:37" x14ac:dyDescent="0.3">
      <c r="A407" t="s">
        <v>4842</v>
      </c>
      <c r="B407">
        <v>24</v>
      </c>
      <c r="C407" t="s">
        <v>15</v>
      </c>
      <c r="D407" t="s">
        <v>83</v>
      </c>
      <c r="E407" t="s">
        <v>39</v>
      </c>
      <c r="F407" s="1">
        <v>44397</v>
      </c>
      <c r="G407" t="s">
        <v>855</v>
      </c>
      <c r="H407" t="s">
        <v>856</v>
      </c>
      <c r="I407" t="s">
        <v>51</v>
      </c>
      <c r="J407">
        <v>41997</v>
      </c>
      <c r="K407">
        <v>252</v>
      </c>
      <c r="L407" t="s">
        <v>42</v>
      </c>
      <c r="M407" s="1">
        <v>44415</v>
      </c>
      <c r="N407" t="s">
        <v>67</v>
      </c>
      <c r="O407" t="s">
        <v>43</v>
      </c>
      <c r="P407" t="str">
        <f t="shared" si="136"/>
        <v>P0406</v>
      </c>
      <c r="Q407" t="str">
        <f t="shared" si="132"/>
        <v>Endocrinology</v>
      </c>
      <c r="R407">
        <f t="shared" si="133"/>
        <v>18</v>
      </c>
      <c r="S407" t="str">
        <f t="shared" ca="1" si="137"/>
        <v>Yes</v>
      </c>
      <c r="T407" t="str">
        <f t="shared" ca="1" si="138"/>
        <v>Severe</v>
      </c>
      <c r="U407" t="str">
        <f t="shared" ca="1" si="139"/>
        <v>Private Ward</v>
      </c>
      <c r="V407" t="str">
        <f t="shared" si="140"/>
        <v>BED0406</v>
      </c>
      <c r="W407" t="str">
        <f t="shared" ca="1" si="141"/>
        <v>Semi-Private</v>
      </c>
      <c r="X407" t="str">
        <f t="shared" si="142"/>
        <v>NUR006</v>
      </c>
      <c r="Y407" t="str">
        <f t="shared" ca="1" si="143"/>
        <v>Evening</v>
      </c>
      <c r="Z407" t="str">
        <f t="shared" ca="1" si="144"/>
        <v>X-Ray</v>
      </c>
      <c r="AA407" t="str">
        <f t="shared" ca="1" si="145"/>
        <v>Available</v>
      </c>
      <c r="AB407" t="str">
        <f t="shared" ca="1" si="146"/>
        <v>Paid</v>
      </c>
      <c r="AC407" t="str">
        <f t="shared" ca="1" si="147"/>
        <v>Debit Card</v>
      </c>
      <c r="AD407" t="str">
        <f t="shared" ca="1" si="148"/>
        <v>No</v>
      </c>
      <c r="AE407" t="str">
        <f t="shared" ca="1" si="149"/>
        <v>No</v>
      </c>
      <c r="AF407" t="str">
        <f t="shared" ca="1" si="150"/>
        <v>Transferred</v>
      </c>
      <c r="AG407" t="str">
        <f t="shared" ca="1" si="151"/>
        <v>Midwest</v>
      </c>
      <c r="AH407" t="str">
        <f t="shared" si="134"/>
        <v>July</v>
      </c>
      <c r="AI407">
        <f t="shared" si="135"/>
        <v>2021</v>
      </c>
      <c r="AJ407" t="str">
        <f t="shared" ca="1" si="152"/>
        <v>Occupied</v>
      </c>
      <c r="AK407">
        <f t="shared" ca="1" si="153"/>
        <v>2</v>
      </c>
    </row>
    <row r="408" spans="1:37" x14ac:dyDescent="0.3">
      <c r="A408" t="s">
        <v>4843</v>
      </c>
      <c r="B408">
        <v>73</v>
      </c>
      <c r="C408" t="s">
        <v>32</v>
      </c>
      <c r="D408" t="s">
        <v>52</v>
      </c>
      <c r="E408" t="s">
        <v>17</v>
      </c>
      <c r="F408" s="1">
        <v>44922</v>
      </c>
      <c r="G408" t="s">
        <v>857</v>
      </c>
      <c r="H408" t="s">
        <v>858</v>
      </c>
      <c r="I408" t="s">
        <v>20</v>
      </c>
      <c r="J408">
        <v>22602</v>
      </c>
      <c r="K408">
        <v>215</v>
      </c>
      <c r="L408" t="s">
        <v>42</v>
      </c>
      <c r="M408" s="1">
        <v>44945</v>
      </c>
      <c r="N408" t="s">
        <v>22</v>
      </c>
      <c r="O408" t="s">
        <v>43</v>
      </c>
      <c r="P408" t="str">
        <f t="shared" si="136"/>
        <v>P0407</v>
      </c>
      <c r="Q408" t="str">
        <f t="shared" si="132"/>
        <v>Oncology</v>
      </c>
      <c r="R408">
        <f t="shared" si="133"/>
        <v>23</v>
      </c>
      <c r="S408" t="str">
        <f t="shared" ca="1" si="137"/>
        <v>No</v>
      </c>
      <c r="T408" t="str">
        <f t="shared" ca="1" si="138"/>
        <v>Moderate</v>
      </c>
      <c r="U408" t="str">
        <f t="shared" ca="1" si="139"/>
        <v>Emergency</v>
      </c>
      <c r="V408" t="str">
        <f t="shared" si="140"/>
        <v>BED0407</v>
      </c>
      <c r="W408" t="str">
        <f t="shared" ca="1" si="141"/>
        <v>Semi-Private</v>
      </c>
      <c r="X408" t="str">
        <f t="shared" si="142"/>
        <v>NUR007</v>
      </c>
      <c r="Y408" t="str">
        <f t="shared" ca="1" si="143"/>
        <v>Evening</v>
      </c>
      <c r="Z408" t="str">
        <f t="shared" ca="1" si="144"/>
        <v>Ultrasound</v>
      </c>
      <c r="AA408" t="str">
        <f t="shared" ca="1" si="145"/>
        <v>In Use</v>
      </c>
      <c r="AB408" t="str">
        <f t="shared" ca="1" si="146"/>
        <v>Paid</v>
      </c>
      <c r="AC408" t="str">
        <f t="shared" ca="1" si="147"/>
        <v>Cash</v>
      </c>
      <c r="AD408" t="str">
        <f t="shared" ca="1" si="148"/>
        <v>No</v>
      </c>
      <c r="AE408" t="str">
        <f t="shared" ca="1" si="149"/>
        <v>No</v>
      </c>
      <c r="AF408" t="str">
        <f t="shared" ca="1" si="150"/>
        <v>Under Observation</v>
      </c>
      <c r="AG408" t="str">
        <f t="shared" ca="1" si="151"/>
        <v>Southwest</v>
      </c>
      <c r="AH408" t="str">
        <f t="shared" si="134"/>
        <v>December</v>
      </c>
      <c r="AI408">
        <f t="shared" si="135"/>
        <v>2022</v>
      </c>
      <c r="AJ408" t="str">
        <f t="shared" ca="1" si="152"/>
        <v>Vacant</v>
      </c>
      <c r="AK408">
        <f t="shared" ca="1" si="153"/>
        <v>2</v>
      </c>
    </row>
    <row r="409" spans="1:37" x14ac:dyDescent="0.3">
      <c r="A409" t="s">
        <v>4844</v>
      </c>
      <c r="B409">
        <v>56</v>
      </c>
      <c r="C409" t="s">
        <v>15</v>
      </c>
      <c r="D409" t="s">
        <v>98</v>
      </c>
      <c r="E409" t="s">
        <v>25</v>
      </c>
      <c r="F409" s="1">
        <v>44809</v>
      </c>
      <c r="G409" t="s">
        <v>859</v>
      </c>
      <c r="H409" t="s">
        <v>673</v>
      </c>
      <c r="I409" t="s">
        <v>51</v>
      </c>
      <c r="J409">
        <v>36205</v>
      </c>
      <c r="K409">
        <v>430</v>
      </c>
      <c r="L409" t="s">
        <v>21</v>
      </c>
      <c r="M409" s="1">
        <v>44838</v>
      </c>
      <c r="N409" t="s">
        <v>47</v>
      </c>
      <c r="O409" t="s">
        <v>23</v>
      </c>
      <c r="P409" t="str">
        <f t="shared" si="136"/>
        <v>P0408</v>
      </c>
      <c r="Q409" t="str">
        <f t="shared" si="132"/>
        <v>Nutrition</v>
      </c>
      <c r="R409">
        <f t="shared" si="133"/>
        <v>29</v>
      </c>
      <c r="S409" t="str">
        <f t="shared" ca="1" si="137"/>
        <v>No</v>
      </c>
      <c r="T409" t="str">
        <f t="shared" ca="1" si="138"/>
        <v>Critical</v>
      </c>
      <c r="U409" t="str">
        <f t="shared" ca="1" si="139"/>
        <v>ICU</v>
      </c>
      <c r="V409" t="str">
        <f t="shared" si="140"/>
        <v>BED0408</v>
      </c>
      <c r="W409" t="str">
        <f t="shared" ca="1" si="141"/>
        <v>ICU</v>
      </c>
      <c r="X409" t="str">
        <f t="shared" si="142"/>
        <v>NUR008</v>
      </c>
      <c r="Y409" t="str">
        <f t="shared" ca="1" si="143"/>
        <v>Morning</v>
      </c>
      <c r="Z409" t="str">
        <f t="shared" ca="1" si="144"/>
        <v>MRI Scanner</v>
      </c>
      <c r="AA409" t="str">
        <f t="shared" ca="1" si="145"/>
        <v>Available</v>
      </c>
      <c r="AB409" t="str">
        <f t="shared" ca="1" si="146"/>
        <v>Pending</v>
      </c>
      <c r="AC409" t="str">
        <f t="shared" ca="1" si="147"/>
        <v>Debit Card</v>
      </c>
      <c r="AD409" t="str">
        <f t="shared" ca="1" si="148"/>
        <v>No</v>
      </c>
      <c r="AE409" t="str">
        <f t="shared" ca="1" si="149"/>
        <v>No</v>
      </c>
      <c r="AF409" t="str">
        <f t="shared" ca="1" si="150"/>
        <v>Recovered</v>
      </c>
      <c r="AG409" t="str">
        <f t="shared" ca="1" si="151"/>
        <v>Southeast</v>
      </c>
      <c r="AH409" t="str">
        <f t="shared" si="134"/>
        <v>September</v>
      </c>
      <c r="AI409">
        <f t="shared" si="135"/>
        <v>2022</v>
      </c>
      <c r="AJ409" t="str">
        <f t="shared" ca="1" si="152"/>
        <v>Occupied</v>
      </c>
      <c r="AK409">
        <f t="shared" ca="1" si="153"/>
        <v>2</v>
      </c>
    </row>
    <row r="410" spans="1:37" x14ac:dyDescent="0.3">
      <c r="A410" t="s">
        <v>4845</v>
      </c>
      <c r="B410">
        <v>36</v>
      </c>
      <c r="C410" t="s">
        <v>15</v>
      </c>
      <c r="D410" t="s">
        <v>83</v>
      </c>
      <c r="E410" t="s">
        <v>17</v>
      </c>
      <c r="F410" s="1">
        <v>44769</v>
      </c>
      <c r="G410" t="s">
        <v>860</v>
      </c>
      <c r="H410" t="s">
        <v>861</v>
      </c>
      <c r="I410" t="s">
        <v>57</v>
      </c>
      <c r="J410">
        <v>41311</v>
      </c>
      <c r="K410">
        <v>434</v>
      </c>
      <c r="L410" t="s">
        <v>29</v>
      </c>
      <c r="M410" s="1">
        <v>44792</v>
      </c>
      <c r="N410" t="s">
        <v>67</v>
      </c>
      <c r="O410" t="s">
        <v>31</v>
      </c>
      <c r="P410" t="str">
        <f t="shared" si="136"/>
        <v>P0409</v>
      </c>
      <c r="Q410" t="str">
        <f t="shared" si="132"/>
        <v>Oncology</v>
      </c>
      <c r="R410">
        <f t="shared" si="133"/>
        <v>23</v>
      </c>
      <c r="S410" t="str">
        <f t="shared" ca="1" si="137"/>
        <v>No</v>
      </c>
      <c r="T410" t="str">
        <f t="shared" ca="1" si="138"/>
        <v>Moderate</v>
      </c>
      <c r="U410" t="str">
        <f t="shared" ca="1" si="139"/>
        <v>ICU</v>
      </c>
      <c r="V410" t="str">
        <f t="shared" si="140"/>
        <v>BED0409</v>
      </c>
      <c r="W410" t="str">
        <f t="shared" ca="1" si="141"/>
        <v>Semi-Private</v>
      </c>
      <c r="X410" t="str">
        <f t="shared" si="142"/>
        <v>NUR009</v>
      </c>
      <c r="Y410" t="str">
        <f t="shared" ca="1" si="143"/>
        <v>Morning</v>
      </c>
      <c r="Z410" t="str">
        <f t="shared" ca="1" si="144"/>
        <v>X-Ray</v>
      </c>
      <c r="AA410" t="str">
        <f t="shared" ca="1" si="145"/>
        <v>In Use</v>
      </c>
      <c r="AB410" t="str">
        <f t="shared" ca="1" si="146"/>
        <v>Partially Paid</v>
      </c>
      <c r="AC410" t="str">
        <f t="shared" ca="1" si="147"/>
        <v>Credit Card</v>
      </c>
      <c r="AD410" t="str">
        <f t="shared" ca="1" si="148"/>
        <v>No</v>
      </c>
      <c r="AE410" t="str">
        <f t="shared" ca="1" si="149"/>
        <v>No</v>
      </c>
      <c r="AF410" t="str">
        <f t="shared" ca="1" si="150"/>
        <v>Transferred</v>
      </c>
      <c r="AG410" t="str">
        <f t="shared" ca="1" si="151"/>
        <v>Northeast</v>
      </c>
      <c r="AH410" t="str">
        <f t="shared" si="134"/>
        <v>July</v>
      </c>
      <c r="AI410">
        <f t="shared" si="135"/>
        <v>2022</v>
      </c>
      <c r="AJ410" t="str">
        <f t="shared" ca="1" si="152"/>
        <v>Occupied</v>
      </c>
      <c r="AK410">
        <f t="shared" ca="1" si="153"/>
        <v>4</v>
      </c>
    </row>
    <row r="411" spans="1:37" x14ac:dyDescent="0.3">
      <c r="A411" t="s">
        <v>4846</v>
      </c>
      <c r="B411">
        <v>33</v>
      </c>
      <c r="C411" t="s">
        <v>15</v>
      </c>
      <c r="D411" t="s">
        <v>24</v>
      </c>
      <c r="E411" t="s">
        <v>17</v>
      </c>
      <c r="F411" s="1">
        <v>45415</v>
      </c>
      <c r="G411" t="s">
        <v>862</v>
      </c>
      <c r="H411" t="s">
        <v>863</v>
      </c>
      <c r="I411" t="s">
        <v>36</v>
      </c>
      <c r="J411">
        <v>36890</v>
      </c>
      <c r="K411">
        <v>374</v>
      </c>
      <c r="L411" t="s">
        <v>42</v>
      </c>
      <c r="M411" s="1">
        <v>45427</v>
      </c>
      <c r="N411" t="s">
        <v>67</v>
      </c>
      <c r="O411" t="s">
        <v>23</v>
      </c>
      <c r="P411" t="str">
        <f t="shared" si="136"/>
        <v>P0410</v>
      </c>
      <c r="Q411" t="str">
        <f t="shared" si="132"/>
        <v>Oncology</v>
      </c>
      <c r="R411">
        <f t="shared" si="133"/>
        <v>12</v>
      </c>
      <c r="S411" t="str">
        <f t="shared" ca="1" si="137"/>
        <v>No</v>
      </c>
      <c r="T411" t="str">
        <f t="shared" ca="1" si="138"/>
        <v>Moderate</v>
      </c>
      <c r="U411" t="str">
        <f t="shared" ca="1" si="139"/>
        <v>General Ward</v>
      </c>
      <c r="V411" t="str">
        <f t="shared" si="140"/>
        <v>BED0410</v>
      </c>
      <c r="W411" t="str">
        <f t="shared" ca="1" si="141"/>
        <v>ICU</v>
      </c>
      <c r="X411" t="str">
        <f t="shared" si="142"/>
        <v>NUR010</v>
      </c>
      <c r="Y411" t="str">
        <f t="shared" ca="1" si="143"/>
        <v>Morning</v>
      </c>
      <c r="Z411" t="str">
        <f t="shared" ca="1" si="144"/>
        <v>MRI Scanner</v>
      </c>
      <c r="AA411" t="str">
        <f t="shared" ca="1" si="145"/>
        <v>Available</v>
      </c>
      <c r="AB411" t="str">
        <f t="shared" ca="1" si="146"/>
        <v>Pending</v>
      </c>
      <c r="AC411" t="str">
        <f t="shared" ca="1" si="147"/>
        <v>Debit Card</v>
      </c>
      <c r="AD411" t="str">
        <f t="shared" ca="1" si="148"/>
        <v>No</v>
      </c>
      <c r="AE411" t="str">
        <f t="shared" ca="1" si="149"/>
        <v>Yes</v>
      </c>
      <c r="AF411" t="str">
        <f t="shared" ca="1" si="150"/>
        <v>Under Observation</v>
      </c>
      <c r="AG411" t="str">
        <f t="shared" ca="1" si="151"/>
        <v>Southwest</v>
      </c>
      <c r="AH411" t="str">
        <f t="shared" si="134"/>
        <v>May</v>
      </c>
      <c r="AI411">
        <f t="shared" si="135"/>
        <v>2024</v>
      </c>
      <c r="AJ411" t="str">
        <f t="shared" ca="1" si="152"/>
        <v>Vacant</v>
      </c>
      <c r="AK411">
        <f t="shared" ca="1" si="153"/>
        <v>2</v>
      </c>
    </row>
    <row r="412" spans="1:37" x14ac:dyDescent="0.3">
      <c r="A412" t="s">
        <v>4847</v>
      </c>
      <c r="B412">
        <v>21</v>
      </c>
      <c r="C412" t="s">
        <v>15</v>
      </c>
      <c r="D412" t="s">
        <v>38</v>
      </c>
      <c r="E412" t="s">
        <v>76</v>
      </c>
      <c r="F412" s="1">
        <v>43705</v>
      </c>
      <c r="G412" t="s">
        <v>864</v>
      </c>
      <c r="H412" t="s">
        <v>865</v>
      </c>
      <c r="I412" t="s">
        <v>36</v>
      </c>
      <c r="J412">
        <v>5716</v>
      </c>
      <c r="K412">
        <v>293</v>
      </c>
      <c r="L412" t="s">
        <v>29</v>
      </c>
      <c r="M412" s="1">
        <v>43724</v>
      </c>
      <c r="N412" t="s">
        <v>37</v>
      </c>
      <c r="O412" t="s">
        <v>43</v>
      </c>
      <c r="P412" t="str">
        <f t="shared" si="136"/>
        <v>P0411</v>
      </c>
      <c r="Q412" t="str">
        <f t="shared" si="132"/>
        <v>Orthopedics</v>
      </c>
      <c r="R412">
        <f t="shared" si="133"/>
        <v>19</v>
      </c>
      <c r="S412" t="str">
        <f t="shared" ca="1" si="137"/>
        <v>No</v>
      </c>
      <c r="T412" t="str">
        <f t="shared" ca="1" si="138"/>
        <v>Critical</v>
      </c>
      <c r="U412" t="str">
        <f t="shared" ca="1" si="139"/>
        <v>Private Ward</v>
      </c>
      <c r="V412" t="str">
        <f t="shared" si="140"/>
        <v>BED0411</v>
      </c>
      <c r="W412" t="str">
        <f t="shared" ca="1" si="141"/>
        <v>ICU</v>
      </c>
      <c r="X412" t="str">
        <f t="shared" si="142"/>
        <v>NUR011</v>
      </c>
      <c r="Y412" t="str">
        <f t="shared" ca="1" si="143"/>
        <v>Evening</v>
      </c>
      <c r="Z412" t="str">
        <f t="shared" ca="1" si="144"/>
        <v>CT Scanner</v>
      </c>
      <c r="AA412" t="str">
        <f t="shared" ca="1" si="145"/>
        <v>In Use</v>
      </c>
      <c r="AB412" t="str">
        <f t="shared" ca="1" si="146"/>
        <v>Paid</v>
      </c>
      <c r="AC412" t="str">
        <f t="shared" ca="1" si="147"/>
        <v>Debit Card</v>
      </c>
      <c r="AD412" t="str">
        <f t="shared" ca="1" si="148"/>
        <v>Yes</v>
      </c>
      <c r="AE412" t="str">
        <f t="shared" ca="1" si="149"/>
        <v>No</v>
      </c>
      <c r="AF412" t="str">
        <f t="shared" ca="1" si="150"/>
        <v>Transferred</v>
      </c>
      <c r="AG412" t="str">
        <f t="shared" ca="1" si="151"/>
        <v>Northeast</v>
      </c>
      <c r="AH412" t="str">
        <f t="shared" si="134"/>
        <v>August</v>
      </c>
      <c r="AI412">
        <f t="shared" si="135"/>
        <v>2019</v>
      </c>
      <c r="AJ412" t="str">
        <f t="shared" ca="1" si="152"/>
        <v>Occupied</v>
      </c>
      <c r="AK412">
        <f t="shared" ca="1" si="153"/>
        <v>4</v>
      </c>
    </row>
    <row r="413" spans="1:37" x14ac:dyDescent="0.3">
      <c r="A413" t="s">
        <v>4848</v>
      </c>
      <c r="B413">
        <v>80</v>
      </c>
      <c r="C413" t="s">
        <v>15</v>
      </c>
      <c r="D413" t="s">
        <v>16</v>
      </c>
      <c r="E413" t="s">
        <v>39</v>
      </c>
      <c r="F413" s="1">
        <v>45403</v>
      </c>
      <c r="G413" t="s">
        <v>866</v>
      </c>
      <c r="H413" t="s">
        <v>867</v>
      </c>
      <c r="I413" t="s">
        <v>20</v>
      </c>
      <c r="J413">
        <v>10462</v>
      </c>
      <c r="K413">
        <v>481</v>
      </c>
      <c r="L413" t="s">
        <v>29</v>
      </c>
      <c r="M413" s="1">
        <v>45419</v>
      </c>
      <c r="N413" t="s">
        <v>37</v>
      </c>
      <c r="O413" t="s">
        <v>43</v>
      </c>
      <c r="P413" t="str">
        <f t="shared" si="136"/>
        <v>P0412</v>
      </c>
      <c r="Q413" t="str">
        <f t="shared" si="132"/>
        <v>Endocrinology</v>
      </c>
      <c r="R413">
        <f t="shared" si="133"/>
        <v>16</v>
      </c>
      <c r="S413" t="str">
        <f t="shared" ca="1" si="137"/>
        <v>No</v>
      </c>
      <c r="T413" t="str">
        <f t="shared" ca="1" si="138"/>
        <v>Severe</v>
      </c>
      <c r="U413" t="str">
        <f t="shared" ca="1" si="139"/>
        <v>ICU</v>
      </c>
      <c r="V413" t="str">
        <f t="shared" si="140"/>
        <v>BED0412</v>
      </c>
      <c r="W413" t="str">
        <f t="shared" ca="1" si="141"/>
        <v>Semi-Private</v>
      </c>
      <c r="X413" t="str">
        <f t="shared" si="142"/>
        <v>NUR012</v>
      </c>
      <c r="Y413" t="str">
        <f t="shared" ca="1" si="143"/>
        <v>Night</v>
      </c>
      <c r="Z413" t="str">
        <f t="shared" ca="1" si="144"/>
        <v>CT Scanner</v>
      </c>
      <c r="AA413" t="str">
        <f t="shared" ca="1" si="145"/>
        <v>In Use</v>
      </c>
      <c r="AB413" t="str">
        <f t="shared" ca="1" si="146"/>
        <v>Partially Paid</v>
      </c>
      <c r="AC413" t="str">
        <f t="shared" ca="1" si="147"/>
        <v>Debit Card</v>
      </c>
      <c r="AD413" t="str">
        <f t="shared" ca="1" si="148"/>
        <v>No</v>
      </c>
      <c r="AE413" t="str">
        <f t="shared" ca="1" si="149"/>
        <v>No</v>
      </c>
      <c r="AF413" t="str">
        <f t="shared" ca="1" si="150"/>
        <v>Recovered</v>
      </c>
      <c r="AG413" t="str">
        <f t="shared" ca="1" si="151"/>
        <v>Midwest</v>
      </c>
      <c r="AH413" t="str">
        <f t="shared" si="134"/>
        <v>April</v>
      </c>
      <c r="AI413">
        <f t="shared" si="135"/>
        <v>2024</v>
      </c>
      <c r="AJ413" t="str">
        <f t="shared" ca="1" si="152"/>
        <v>Occupied</v>
      </c>
      <c r="AK413">
        <f t="shared" ca="1" si="153"/>
        <v>2</v>
      </c>
    </row>
    <row r="414" spans="1:37" x14ac:dyDescent="0.3">
      <c r="A414" t="s">
        <v>4849</v>
      </c>
      <c r="B414">
        <v>79</v>
      </c>
      <c r="C414" t="s">
        <v>32</v>
      </c>
      <c r="D414" t="s">
        <v>38</v>
      </c>
      <c r="E414" t="s">
        <v>76</v>
      </c>
      <c r="F414" s="1">
        <v>45363</v>
      </c>
      <c r="G414" t="s">
        <v>868</v>
      </c>
      <c r="H414" t="s">
        <v>869</v>
      </c>
      <c r="I414" t="s">
        <v>20</v>
      </c>
      <c r="J414">
        <v>37880</v>
      </c>
      <c r="K414">
        <v>110</v>
      </c>
      <c r="L414" t="s">
        <v>21</v>
      </c>
      <c r="M414" s="1">
        <v>45386</v>
      </c>
      <c r="N414" t="s">
        <v>37</v>
      </c>
      <c r="O414" t="s">
        <v>43</v>
      </c>
      <c r="P414" t="str">
        <f t="shared" si="136"/>
        <v>P0413</v>
      </c>
      <c r="Q414" t="str">
        <f t="shared" si="132"/>
        <v>Orthopedics</v>
      </c>
      <c r="R414">
        <f t="shared" si="133"/>
        <v>23</v>
      </c>
      <c r="S414" t="str">
        <f t="shared" ca="1" si="137"/>
        <v>No</v>
      </c>
      <c r="T414" t="str">
        <f t="shared" ca="1" si="138"/>
        <v>Severe</v>
      </c>
      <c r="U414" t="str">
        <f t="shared" ca="1" si="139"/>
        <v>Private Ward</v>
      </c>
      <c r="V414" t="str">
        <f t="shared" si="140"/>
        <v>BED0413</v>
      </c>
      <c r="W414" t="str">
        <f t="shared" ca="1" si="141"/>
        <v>Semi-Private</v>
      </c>
      <c r="X414" t="str">
        <f t="shared" si="142"/>
        <v>NUR013</v>
      </c>
      <c r="Y414" t="str">
        <f t="shared" ca="1" si="143"/>
        <v>Morning</v>
      </c>
      <c r="Z414" t="str">
        <f t="shared" ca="1" si="144"/>
        <v>X-Ray</v>
      </c>
      <c r="AA414" t="str">
        <f t="shared" ca="1" si="145"/>
        <v>Available</v>
      </c>
      <c r="AB414" t="str">
        <f t="shared" ca="1" si="146"/>
        <v>Pending</v>
      </c>
      <c r="AC414" t="str">
        <f t="shared" ca="1" si="147"/>
        <v>Insurance</v>
      </c>
      <c r="AD414" t="str">
        <f t="shared" ca="1" si="148"/>
        <v>Yes</v>
      </c>
      <c r="AE414" t="str">
        <f t="shared" ca="1" si="149"/>
        <v>No</v>
      </c>
      <c r="AF414" t="str">
        <f t="shared" ca="1" si="150"/>
        <v>Transferred</v>
      </c>
      <c r="AG414" t="str">
        <f t="shared" ca="1" si="151"/>
        <v>West Coast</v>
      </c>
      <c r="AH414" t="str">
        <f t="shared" si="134"/>
        <v>March</v>
      </c>
      <c r="AI414">
        <f t="shared" si="135"/>
        <v>2024</v>
      </c>
      <c r="AJ414" t="str">
        <f t="shared" ca="1" si="152"/>
        <v>Occupied</v>
      </c>
      <c r="AK414">
        <f t="shared" ca="1" si="153"/>
        <v>2</v>
      </c>
    </row>
    <row r="415" spans="1:37" x14ac:dyDescent="0.3">
      <c r="A415" t="s">
        <v>4850</v>
      </c>
      <c r="B415">
        <v>44</v>
      </c>
      <c r="C415" t="s">
        <v>15</v>
      </c>
      <c r="D415" t="s">
        <v>24</v>
      </c>
      <c r="E415" t="s">
        <v>25</v>
      </c>
      <c r="F415" s="1">
        <v>43737</v>
      </c>
      <c r="G415" t="s">
        <v>870</v>
      </c>
      <c r="H415" t="s">
        <v>871</v>
      </c>
      <c r="I415" t="s">
        <v>51</v>
      </c>
      <c r="J415">
        <v>44355</v>
      </c>
      <c r="K415">
        <v>177</v>
      </c>
      <c r="L415" t="s">
        <v>42</v>
      </c>
      <c r="M415" s="1">
        <v>43743</v>
      </c>
      <c r="N415" t="s">
        <v>37</v>
      </c>
      <c r="O415" t="s">
        <v>31</v>
      </c>
      <c r="P415" t="str">
        <f t="shared" si="136"/>
        <v>P0414</v>
      </c>
      <c r="Q415" t="str">
        <f t="shared" si="132"/>
        <v>Nutrition</v>
      </c>
      <c r="R415">
        <f t="shared" si="133"/>
        <v>6</v>
      </c>
      <c r="S415" t="str">
        <f t="shared" ca="1" si="137"/>
        <v>No</v>
      </c>
      <c r="T415" t="str">
        <f t="shared" ca="1" si="138"/>
        <v>Severe</v>
      </c>
      <c r="U415" t="str">
        <f t="shared" ca="1" si="139"/>
        <v>Private Ward</v>
      </c>
      <c r="V415" t="str">
        <f t="shared" si="140"/>
        <v>BED0414</v>
      </c>
      <c r="W415" t="str">
        <f t="shared" ca="1" si="141"/>
        <v>Private</v>
      </c>
      <c r="X415" t="str">
        <f t="shared" si="142"/>
        <v>NUR014</v>
      </c>
      <c r="Y415" t="str">
        <f t="shared" ca="1" si="143"/>
        <v>Night</v>
      </c>
      <c r="Z415" t="str">
        <f t="shared" ca="1" si="144"/>
        <v>Ultrasound</v>
      </c>
      <c r="AA415" t="str">
        <f t="shared" ca="1" si="145"/>
        <v>Available</v>
      </c>
      <c r="AB415" t="str">
        <f t="shared" ca="1" si="146"/>
        <v>Partially Paid</v>
      </c>
      <c r="AC415" t="str">
        <f t="shared" ca="1" si="147"/>
        <v>Debit Card</v>
      </c>
      <c r="AD415" t="str">
        <f t="shared" ca="1" si="148"/>
        <v>No</v>
      </c>
      <c r="AE415" t="str">
        <f t="shared" ca="1" si="149"/>
        <v>No</v>
      </c>
      <c r="AF415" t="str">
        <f t="shared" ca="1" si="150"/>
        <v>Under Observation</v>
      </c>
      <c r="AG415" t="str">
        <f t="shared" ca="1" si="151"/>
        <v>West Coast</v>
      </c>
      <c r="AH415" t="str">
        <f t="shared" si="134"/>
        <v>September</v>
      </c>
      <c r="AI415">
        <f t="shared" si="135"/>
        <v>2019</v>
      </c>
      <c r="AJ415" t="str">
        <f t="shared" ca="1" si="152"/>
        <v>Occupied</v>
      </c>
      <c r="AK415">
        <f t="shared" ca="1" si="153"/>
        <v>2</v>
      </c>
    </row>
    <row r="416" spans="1:37" x14ac:dyDescent="0.3">
      <c r="A416" t="s">
        <v>4851</v>
      </c>
      <c r="B416">
        <v>23</v>
      </c>
      <c r="C416" t="s">
        <v>15</v>
      </c>
      <c r="D416" t="s">
        <v>44</v>
      </c>
      <c r="E416" t="s">
        <v>25</v>
      </c>
      <c r="F416" s="1">
        <v>44792</v>
      </c>
      <c r="G416" t="s">
        <v>872</v>
      </c>
      <c r="H416" t="s">
        <v>873</v>
      </c>
      <c r="I416" t="s">
        <v>28</v>
      </c>
      <c r="J416">
        <v>28355</v>
      </c>
      <c r="K416">
        <v>327</v>
      </c>
      <c r="L416" t="s">
        <v>21</v>
      </c>
      <c r="M416" s="1">
        <v>44797</v>
      </c>
      <c r="N416" t="s">
        <v>47</v>
      </c>
      <c r="O416" t="s">
        <v>23</v>
      </c>
      <c r="P416" t="str">
        <f t="shared" si="136"/>
        <v>P0415</v>
      </c>
      <c r="Q416" t="str">
        <f t="shared" si="132"/>
        <v>Nutrition</v>
      </c>
      <c r="R416">
        <f t="shared" si="133"/>
        <v>5</v>
      </c>
      <c r="S416" t="str">
        <f t="shared" ca="1" si="137"/>
        <v>No</v>
      </c>
      <c r="T416" t="str">
        <f t="shared" ca="1" si="138"/>
        <v>Critical</v>
      </c>
      <c r="U416" t="str">
        <f t="shared" ca="1" si="139"/>
        <v>General Ward</v>
      </c>
      <c r="V416" t="str">
        <f t="shared" si="140"/>
        <v>BED0415</v>
      </c>
      <c r="W416" t="str">
        <f t="shared" ca="1" si="141"/>
        <v>Private</v>
      </c>
      <c r="X416" t="str">
        <f t="shared" si="142"/>
        <v>NUR015</v>
      </c>
      <c r="Y416" t="str">
        <f t="shared" ca="1" si="143"/>
        <v>Night</v>
      </c>
      <c r="Z416" t="str">
        <f t="shared" ca="1" si="144"/>
        <v>CT Scanner</v>
      </c>
      <c r="AA416" t="str">
        <f t="shared" ca="1" si="145"/>
        <v>Maintenance</v>
      </c>
      <c r="AB416" t="str">
        <f t="shared" ca="1" si="146"/>
        <v>Pending</v>
      </c>
      <c r="AC416" t="str">
        <f t="shared" ca="1" si="147"/>
        <v>Debit Card</v>
      </c>
      <c r="AD416" t="str">
        <f t="shared" ca="1" si="148"/>
        <v>Yes</v>
      </c>
      <c r="AE416" t="str">
        <f t="shared" ca="1" si="149"/>
        <v>No</v>
      </c>
      <c r="AF416" t="str">
        <f t="shared" ca="1" si="150"/>
        <v>Transferred</v>
      </c>
      <c r="AG416" t="str">
        <f t="shared" ca="1" si="151"/>
        <v>West Coast</v>
      </c>
      <c r="AH416" t="str">
        <f t="shared" si="134"/>
        <v>August</v>
      </c>
      <c r="AI416">
        <f t="shared" si="135"/>
        <v>2022</v>
      </c>
      <c r="AJ416" t="str">
        <f t="shared" ca="1" si="152"/>
        <v>Occupied</v>
      </c>
      <c r="AK416">
        <f t="shared" ca="1" si="153"/>
        <v>2</v>
      </c>
    </row>
    <row r="417" spans="1:37" x14ac:dyDescent="0.3">
      <c r="A417" t="s">
        <v>4852</v>
      </c>
      <c r="B417">
        <v>75</v>
      </c>
      <c r="C417" t="s">
        <v>15</v>
      </c>
      <c r="D417" t="s">
        <v>33</v>
      </c>
      <c r="E417" t="s">
        <v>17</v>
      </c>
      <c r="F417" s="1">
        <v>44487</v>
      </c>
      <c r="G417" t="s">
        <v>874</v>
      </c>
      <c r="H417" t="s">
        <v>875</v>
      </c>
      <c r="I417" t="s">
        <v>20</v>
      </c>
      <c r="J417">
        <v>22935</v>
      </c>
      <c r="K417">
        <v>217</v>
      </c>
      <c r="L417" t="s">
        <v>42</v>
      </c>
      <c r="M417" s="1">
        <v>44501</v>
      </c>
      <c r="N417" t="s">
        <v>30</v>
      </c>
      <c r="O417" t="s">
        <v>23</v>
      </c>
      <c r="P417" t="str">
        <f t="shared" si="136"/>
        <v>P0416</v>
      </c>
      <c r="Q417" t="str">
        <f t="shared" si="132"/>
        <v>Oncology</v>
      </c>
      <c r="R417">
        <f t="shared" si="133"/>
        <v>14</v>
      </c>
      <c r="S417" t="str">
        <f t="shared" ca="1" si="137"/>
        <v>No</v>
      </c>
      <c r="T417" t="str">
        <f t="shared" ca="1" si="138"/>
        <v>Moderate</v>
      </c>
      <c r="U417" t="str">
        <f t="shared" ca="1" si="139"/>
        <v>General Ward</v>
      </c>
      <c r="V417" t="str">
        <f t="shared" si="140"/>
        <v>BED0416</v>
      </c>
      <c r="W417" t="str">
        <f t="shared" ca="1" si="141"/>
        <v>Private</v>
      </c>
      <c r="X417" t="str">
        <f t="shared" si="142"/>
        <v>NUR016</v>
      </c>
      <c r="Y417" t="str">
        <f t="shared" ca="1" si="143"/>
        <v>Morning</v>
      </c>
      <c r="Z417" t="str">
        <f t="shared" ca="1" si="144"/>
        <v>Ultrasound</v>
      </c>
      <c r="AA417" t="str">
        <f t="shared" ca="1" si="145"/>
        <v>Available</v>
      </c>
      <c r="AB417" t="str">
        <f t="shared" ca="1" si="146"/>
        <v>Pending</v>
      </c>
      <c r="AC417" t="str">
        <f t="shared" ca="1" si="147"/>
        <v>Credit Card</v>
      </c>
      <c r="AD417" t="str">
        <f t="shared" ca="1" si="148"/>
        <v>Yes</v>
      </c>
      <c r="AE417" t="str">
        <f t="shared" ca="1" si="149"/>
        <v>No</v>
      </c>
      <c r="AF417" t="str">
        <f t="shared" ca="1" si="150"/>
        <v>Under Observation</v>
      </c>
      <c r="AG417" t="str">
        <f t="shared" ca="1" si="151"/>
        <v>Southwest</v>
      </c>
      <c r="AH417" t="str">
        <f t="shared" si="134"/>
        <v>October</v>
      </c>
      <c r="AI417">
        <f t="shared" si="135"/>
        <v>2021</v>
      </c>
      <c r="AJ417" t="str">
        <f t="shared" ca="1" si="152"/>
        <v>Occupied</v>
      </c>
      <c r="AK417">
        <f t="shared" ca="1" si="153"/>
        <v>1</v>
      </c>
    </row>
    <row r="418" spans="1:37" x14ac:dyDescent="0.3">
      <c r="A418" t="s">
        <v>4853</v>
      </c>
      <c r="B418">
        <v>60</v>
      </c>
      <c r="C418" t="s">
        <v>15</v>
      </c>
      <c r="D418" t="s">
        <v>33</v>
      </c>
      <c r="E418" t="s">
        <v>64</v>
      </c>
      <c r="F418" s="1">
        <v>45023</v>
      </c>
      <c r="G418" t="s">
        <v>876</v>
      </c>
      <c r="H418" t="s">
        <v>877</v>
      </c>
      <c r="I418" t="s">
        <v>28</v>
      </c>
      <c r="J418">
        <v>42606</v>
      </c>
      <c r="K418">
        <v>366</v>
      </c>
      <c r="L418" t="s">
        <v>42</v>
      </c>
      <c r="M418" s="1">
        <v>45051</v>
      </c>
      <c r="N418" t="s">
        <v>67</v>
      </c>
      <c r="O418" t="s">
        <v>23</v>
      </c>
      <c r="P418" t="str">
        <f t="shared" si="136"/>
        <v>P0417</v>
      </c>
      <c r="Q418" t="str">
        <f t="shared" si="132"/>
        <v>Cardiology</v>
      </c>
      <c r="R418">
        <f t="shared" si="133"/>
        <v>28</v>
      </c>
      <c r="S418" t="str">
        <f t="shared" ca="1" si="137"/>
        <v>No</v>
      </c>
      <c r="T418" t="str">
        <f t="shared" ca="1" si="138"/>
        <v>Severe</v>
      </c>
      <c r="U418" t="str">
        <f t="shared" ca="1" si="139"/>
        <v>Semi-Private</v>
      </c>
      <c r="V418" t="str">
        <f t="shared" si="140"/>
        <v>BED0417</v>
      </c>
      <c r="W418" t="str">
        <f t="shared" ca="1" si="141"/>
        <v>General</v>
      </c>
      <c r="X418" t="str">
        <f t="shared" si="142"/>
        <v>NUR017</v>
      </c>
      <c r="Y418" t="str">
        <f t="shared" ca="1" si="143"/>
        <v>Evening</v>
      </c>
      <c r="Z418" t="str">
        <f t="shared" ca="1" si="144"/>
        <v>Ventilator</v>
      </c>
      <c r="AA418" t="str">
        <f t="shared" ca="1" si="145"/>
        <v>Maintenance</v>
      </c>
      <c r="AB418" t="str">
        <f t="shared" ca="1" si="146"/>
        <v>Pending</v>
      </c>
      <c r="AC418" t="str">
        <f t="shared" ca="1" si="147"/>
        <v>Cash</v>
      </c>
      <c r="AD418" t="str">
        <f t="shared" ca="1" si="148"/>
        <v>No</v>
      </c>
      <c r="AE418" t="str">
        <f t="shared" ca="1" si="149"/>
        <v>No</v>
      </c>
      <c r="AF418" t="str">
        <f t="shared" ca="1" si="150"/>
        <v>Transferred</v>
      </c>
      <c r="AG418" t="str">
        <f t="shared" ca="1" si="151"/>
        <v>Midwest</v>
      </c>
      <c r="AH418" t="str">
        <f t="shared" si="134"/>
        <v>April</v>
      </c>
      <c r="AI418">
        <f t="shared" si="135"/>
        <v>2023</v>
      </c>
      <c r="AJ418" t="str">
        <f t="shared" ca="1" si="152"/>
        <v>Vacant</v>
      </c>
      <c r="AK418">
        <f t="shared" ca="1" si="153"/>
        <v>4</v>
      </c>
    </row>
    <row r="419" spans="1:37" x14ac:dyDescent="0.3">
      <c r="A419" t="s">
        <v>4854</v>
      </c>
      <c r="B419">
        <v>83</v>
      </c>
      <c r="C419" t="s">
        <v>15</v>
      </c>
      <c r="D419" t="s">
        <v>52</v>
      </c>
      <c r="E419" t="s">
        <v>48</v>
      </c>
      <c r="F419" s="1">
        <v>43766</v>
      </c>
      <c r="G419" t="s">
        <v>878</v>
      </c>
      <c r="H419" t="s">
        <v>879</v>
      </c>
      <c r="I419" t="s">
        <v>51</v>
      </c>
      <c r="J419">
        <v>24024</v>
      </c>
      <c r="K419">
        <v>118</v>
      </c>
      <c r="L419" t="s">
        <v>42</v>
      </c>
      <c r="M419" s="1">
        <v>43793</v>
      </c>
      <c r="N419" t="s">
        <v>30</v>
      </c>
      <c r="O419" t="s">
        <v>31</v>
      </c>
      <c r="P419" t="str">
        <f t="shared" si="136"/>
        <v>P0418</v>
      </c>
      <c r="Q419" t="str">
        <f t="shared" si="132"/>
        <v>Pulmonology</v>
      </c>
      <c r="R419">
        <f t="shared" si="133"/>
        <v>27</v>
      </c>
      <c r="S419" t="str">
        <f t="shared" ca="1" si="137"/>
        <v>No</v>
      </c>
      <c r="T419" t="str">
        <f t="shared" ca="1" si="138"/>
        <v>Critical</v>
      </c>
      <c r="U419" t="str">
        <f t="shared" ca="1" si="139"/>
        <v>Private Ward</v>
      </c>
      <c r="V419" t="str">
        <f t="shared" si="140"/>
        <v>BED0418</v>
      </c>
      <c r="W419" t="str">
        <f t="shared" ca="1" si="141"/>
        <v>Private</v>
      </c>
      <c r="X419" t="str">
        <f t="shared" si="142"/>
        <v>NUR018</v>
      </c>
      <c r="Y419" t="str">
        <f t="shared" ca="1" si="143"/>
        <v>Evening</v>
      </c>
      <c r="Z419" t="str">
        <f t="shared" ca="1" si="144"/>
        <v>Ventilator</v>
      </c>
      <c r="AA419" t="str">
        <f t="shared" ca="1" si="145"/>
        <v>Available</v>
      </c>
      <c r="AB419" t="str">
        <f t="shared" ca="1" si="146"/>
        <v>Pending</v>
      </c>
      <c r="AC419" t="str">
        <f t="shared" ca="1" si="147"/>
        <v>Debit Card</v>
      </c>
      <c r="AD419" t="str">
        <f t="shared" ca="1" si="148"/>
        <v>No</v>
      </c>
      <c r="AE419" t="str">
        <f t="shared" ca="1" si="149"/>
        <v>No</v>
      </c>
      <c r="AF419" t="str">
        <f t="shared" ca="1" si="150"/>
        <v>Recovered</v>
      </c>
      <c r="AG419" t="str">
        <f t="shared" ca="1" si="151"/>
        <v>Midwest</v>
      </c>
      <c r="AH419" t="str">
        <f t="shared" si="134"/>
        <v>October</v>
      </c>
      <c r="AI419">
        <f t="shared" si="135"/>
        <v>2019</v>
      </c>
      <c r="AJ419" t="str">
        <f t="shared" ca="1" si="152"/>
        <v>Occupied</v>
      </c>
      <c r="AK419">
        <f t="shared" ca="1" si="153"/>
        <v>1</v>
      </c>
    </row>
    <row r="420" spans="1:37" x14ac:dyDescent="0.3">
      <c r="A420" t="s">
        <v>4855</v>
      </c>
      <c r="B420">
        <v>61</v>
      </c>
      <c r="C420" t="s">
        <v>32</v>
      </c>
      <c r="D420" t="s">
        <v>44</v>
      </c>
      <c r="E420" t="s">
        <v>64</v>
      </c>
      <c r="F420" s="1">
        <v>44011</v>
      </c>
      <c r="G420" t="s">
        <v>880</v>
      </c>
      <c r="H420" t="s">
        <v>881</v>
      </c>
      <c r="I420" t="s">
        <v>51</v>
      </c>
      <c r="J420">
        <v>20578</v>
      </c>
      <c r="K420">
        <v>387</v>
      </c>
      <c r="L420" t="s">
        <v>42</v>
      </c>
      <c r="M420" s="1">
        <v>44038</v>
      </c>
      <c r="N420" t="s">
        <v>47</v>
      </c>
      <c r="O420" t="s">
        <v>23</v>
      </c>
      <c r="P420" t="str">
        <f t="shared" si="136"/>
        <v>P0419</v>
      </c>
      <c r="Q420" t="str">
        <f t="shared" si="132"/>
        <v>Cardiology</v>
      </c>
      <c r="R420">
        <f t="shared" si="133"/>
        <v>27</v>
      </c>
      <c r="S420" t="str">
        <f t="shared" ca="1" si="137"/>
        <v>No</v>
      </c>
      <c r="T420" t="str">
        <f t="shared" ca="1" si="138"/>
        <v>Mild</v>
      </c>
      <c r="U420" t="str">
        <f t="shared" ca="1" si="139"/>
        <v>General Ward</v>
      </c>
      <c r="V420" t="str">
        <f t="shared" si="140"/>
        <v>BED0419</v>
      </c>
      <c r="W420" t="str">
        <f t="shared" ca="1" si="141"/>
        <v>Semi-Private</v>
      </c>
      <c r="X420" t="str">
        <f t="shared" si="142"/>
        <v>NUR019</v>
      </c>
      <c r="Y420" t="str">
        <f t="shared" ca="1" si="143"/>
        <v>Morning</v>
      </c>
      <c r="Z420" t="str">
        <f t="shared" ca="1" si="144"/>
        <v>Ultrasound</v>
      </c>
      <c r="AA420" t="str">
        <f t="shared" ca="1" si="145"/>
        <v>Available</v>
      </c>
      <c r="AB420" t="str">
        <f t="shared" ca="1" si="146"/>
        <v>Partially Paid</v>
      </c>
      <c r="AC420" t="str">
        <f t="shared" ca="1" si="147"/>
        <v>Bank Transfer</v>
      </c>
      <c r="AD420" t="str">
        <f t="shared" ca="1" si="148"/>
        <v>No</v>
      </c>
      <c r="AE420" t="str">
        <f t="shared" ca="1" si="149"/>
        <v>No</v>
      </c>
      <c r="AF420" t="str">
        <f t="shared" ca="1" si="150"/>
        <v>Under Observation</v>
      </c>
      <c r="AG420" t="str">
        <f t="shared" ca="1" si="151"/>
        <v>Northeast</v>
      </c>
      <c r="AH420" t="str">
        <f t="shared" si="134"/>
        <v>June</v>
      </c>
      <c r="AI420">
        <f t="shared" si="135"/>
        <v>2020</v>
      </c>
      <c r="AJ420" t="str">
        <f t="shared" ca="1" si="152"/>
        <v>Vacant</v>
      </c>
      <c r="AK420">
        <f t="shared" ca="1" si="153"/>
        <v>4</v>
      </c>
    </row>
    <row r="421" spans="1:37" x14ac:dyDescent="0.3">
      <c r="A421" t="s">
        <v>4856</v>
      </c>
      <c r="B421">
        <v>82</v>
      </c>
      <c r="C421" t="s">
        <v>32</v>
      </c>
      <c r="D421" t="s">
        <v>44</v>
      </c>
      <c r="E421" t="s">
        <v>39</v>
      </c>
      <c r="F421" s="1">
        <v>44825</v>
      </c>
      <c r="G421" t="s">
        <v>882</v>
      </c>
      <c r="H421" t="s">
        <v>883</v>
      </c>
      <c r="I421" t="s">
        <v>36</v>
      </c>
      <c r="J421">
        <v>7265</v>
      </c>
      <c r="K421">
        <v>237</v>
      </c>
      <c r="L421" t="s">
        <v>29</v>
      </c>
      <c r="M421" s="1">
        <v>44837</v>
      </c>
      <c r="N421" t="s">
        <v>37</v>
      </c>
      <c r="O421" t="s">
        <v>23</v>
      </c>
      <c r="P421" t="str">
        <f t="shared" si="136"/>
        <v>P0420</v>
      </c>
      <c r="Q421" t="str">
        <f t="shared" si="132"/>
        <v>Endocrinology</v>
      </c>
      <c r="R421">
        <f t="shared" si="133"/>
        <v>12</v>
      </c>
      <c r="S421" t="str">
        <f t="shared" ca="1" si="137"/>
        <v>No</v>
      </c>
      <c r="T421" t="str">
        <f t="shared" ca="1" si="138"/>
        <v>Mild</v>
      </c>
      <c r="U421" t="str">
        <f t="shared" ca="1" si="139"/>
        <v>ICU</v>
      </c>
      <c r="V421" t="str">
        <f t="shared" si="140"/>
        <v>BED0420</v>
      </c>
      <c r="W421" t="str">
        <f t="shared" ca="1" si="141"/>
        <v>ICU</v>
      </c>
      <c r="X421" t="str">
        <f t="shared" si="142"/>
        <v>NUR020</v>
      </c>
      <c r="Y421" t="str">
        <f t="shared" ca="1" si="143"/>
        <v>Night</v>
      </c>
      <c r="Z421" t="str">
        <f t="shared" ca="1" si="144"/>
        <v>Ultrasound</v>
      </c>
      <c r="AA421" t="str">
        <f t="shared" ca="1" si="145"/>
        <v>In Use</v>
      </c>
      <c r="AB421" t="str">
        <f t="shared" ca="1" si="146"/>
        <v>Pending</v>
      </c>
      <c r="AC421" t="str">
        <f t="shared" ca="1" si="147"/>
        <v>Insurance</v>
      </c>
      <c r="AD421" t="str">
        <f t="shared" ca="1" si="148"/>
        <v>No</v>
      </c>
      <c r="AE421" t="str">
        <f t="shared" ca="1" si="149"/>
        <v>No</v>
      </c>
      <c r="AF421" t="str">
        <f t="shared" ca="1" si="150"/>
        <v>Transferred</v>
      </c>
      <c r="AG421" t="str">
        <f t="shared" ca="1" si="151"/>
        <v>West Coast</v>
      </c>
      <c r="AH421" t="str">
        <f t="shared" si="134"/>
        <v>September</v>
      </c>
      <c r="AI421">
        <f t="shared" si="135"/>
        <v>2022</v>
      </c>
      <c r="AJ421" t="str">
        <f t="shared" ca="1" si="152"/>
        <v>Occupied</v>
      </c>
      <c r="AK421">
        <f t="shared" ca="1" si="153"/>
        <v>4</v>
      </c>
    </row>
    <row r="422" spans="1:37" x14ac:dyDescent="0.3">
      <c r="A422" t="s">
        <v>4857</v>
      </c>
      <c r="B422">
        <v>40</v>
      </c>
      <c r="C422" t="s">
        <v>15</v>
      </c>
      <c r="D422" t="s">
        <v>33</v>
      </c>
      <c r="E422" t="s">
        <v>76</v>
      </c>
      <c r="F422" s="1">
        <v>45148</v>
      </c>
      <c r="G422" t="s">
        <v>884</v>
      </c>
      <c r="H422" t="s">
        <v>885</v>
      </c>
      <c r="I422" t="s">
        <v>57</v>
      </c>
      <c r="J422">
        <v>29914</v>
      </c>
      <c r="K422">
        <v>317</v>
      </c>
      <c r="L422" t="s">
        <v>21</v>
      </c>
      <c r="M422" s="1">
        <v>45153</v>
      </c>
      <c r="N422" t="s">
        <v>30</v>
      </c>
      <c r="O422" t="s">
        <v>23</v>
      </c>
      <c r="P422" t="str">
        <f t="shared" si="136"/>
        <v>P0421</v>
      </c>
      <c r="Q422" t="str">
        <f t="shared" si="132"/>
        <v>Orthopedics</v>
      </c>
      <c r="R422">
        <f t="shared" si="133"/>
        <v>5</v>
      </c>
      <c r="S422" t="str">
        <f t="shared" ca="1" si="137"/>
        <v>No</v>
      </c>
      <c r="T422" t="str">
        <f t="shared" ca="1" si="138"/>
        <v>Critical</v>
      </c>
      <c r="U422" t="str">
        <f t="shared" ca="1" si="139"/>
        <v>Private Ward</v>
      </c>
      <c r="V422" t="str">
        <f t="shared" si="140"/>
        <v>BED0421</v>
      </c>
      <c r="W422" t="str">
        <f t="shared" ca="1" si="141"/>
        <v>General</v>
      </c>
      <c r="X422" t="str">
        <f t="shared" si="142"/>
        <v>NUR021</v>
      </c>
      <c r="Y422" t="str">
        <f t="shared" ca="1" si="143"/>
        <v>Evening</v>
      </c>
      <c r="Z422" t="str">
        <f t="shared" ca="1" si="144"/>
        <v>ECG Machine</v>
      </c>
      <c r="AA422" t="str">
        <f t="shared" ca="1" si="145"/>
        <v>Maintenance</v>
      </c>
      <c r="AB422" t="str">
        <f t="shared" ca="1" si="146"/>
        <v>Partially Paid</v>
      </c>
      <c r="AC422" t="str">
        <f t="shared" ca="1" si="147"/>
        <v>Bank Transfer</v>
      </c>
      <c r="AD422" t="str">
        <f t="shared" ca="1" si="148"/>
        <v>No</v>
      </c>
      <c r="AE422" t="str">
        <f t="shared" ca="1" si="149"/>
        <v>No</v>
      </c>
      <c r="AF422" t="str">
        <f t="shared" ca="1" si="150"/>
        <v>Recovered</v>
      </c>
      <c r="AG422" t="str">
        <f t="shared" ca="1" si="151"/>
        <v>Northeast</v>
      </c>
      <c r="AH422" t="str">
        <f t="shared" si="134"/>
        <v>August</v>
      </c>
      <c r="AI422">
        <f t="shared" si="135"/>
        <v>2023</v>
      </c>
      <c r="AJ422" t="str">
        <f t="shared" ca="1" si="152"/>
        <v>Occupied</v>
      </c>
      <c r="AK422">
        <f t="shared" ca="1" si="153"/>
        <v>1</v>
      </c>
    </row>
    <row r="423" spans="1:37" x14ac:dyDescent="0.3">
      <c r="A423" t="s">
        <v>4858</v>
      </c>
      <c r="B423">
        <v>70</v>
      </c>
      <c r="C423" t="s">
        <v>32</v>
      </c>
      <c r="D423" t="s">
        <v>83</v>
      </c>
      <c r="E423" t="s">
        <v>64</v>
      </c>
      <c r="F423" s="1">
        <v>44697</v>
      </c>
      <c r="G423" t="s">
        <v>886</v>
      </c>
      <c r="H423" t="s">
        <v>887</v>
      </c>
      <c r="I423" t="s">
        <v>57</v>
      </c>
      <c r="J423">
        <v>43353</v>
      </c>
      <c r="K423">
        <v>266</v>
      </c>
      <c r="L423" t="s">
        <v>42</v>
      </c>
      <c r="M423" s="1">
        <v>44707</v>
      </c>
      <c r="N423" t="s">
        <v>67</v>
      </c>
      <c r="O423" t="s">
        <v>23</v>
      </c>
      <c r="P423" t="str">
        <f t="shared" si="136"/>
        <v>P0422</v>
      </c>
      <c r="Q423" t="str">
        <f t="shared" si="132"/>
        <v>Cardiology</v>
      </c>
      <c r="R423">
        <f t="shared" si="133"/>
        <v>10</v>
      </c>
      <c r="S423" t="str">
        <f t="shared" ca="1" si="137"/>
        <v>No</v>
      </c>
      <c r="T423" t="str">
        <f t="shared" ca="1" si="138"/>
        <v>Mild</v>
      </c>
      <c r="U423" t="str">
        <f t="shared" ca="1" si="139"/>
        <v>Emergency</v>
      </c>
      <c r="V423" t="str">
        <f t="shared" si="140"/>
        <v>BED0422</v>
      </c>
      <c r="W423" t="str">
        <f t="shared" ca="1" si="141"/>
        <v>Private</v>
      </c>
      <c r="X423" t="str">
        <f t="shared" si="142"/>
        <v>NUR022</v>
      </c>
      <c r="Y423" t="str">
        <f t="shared" ca="1" si="143"/>
        <v>Night</v>
      </c>
      <c r="Z423" t="str">
        <f t="shared" ca="1" si="144"/>
        <v>Ventilator</v>
      </c>
      <c r="AA423" t="str">
        <f t="shared" ca="1" si="145"/>
        <v>Available</v>
      </c>
      <c r="AB423" t="str">
        <f t="shared" ca="1" si="146"/>
        <v>Paid</v>
      </c>
      <c r="AC423" t="str">
        <f t="shared" ca="1" si="147"/>
        <v>Insurance</v>
      </c>
      <c r="AD423" t="str">
        <f t="shared" ca="1" si="148"/>
        <v>No</v>
      </c>
      <c r="AE423" t="str">
        <f t="shared" ca="1" si="149"/>
        <v>No</v>
      </c>
      <c r="AF423" t="str">
        <f t="shared" ca="1" si="150"/>
        <v>Recovered</v>
      </c>
      <c r="AG423" t="str">
        <f t="shared" ca="1" si="151"/>
        <v>Northeast</v>
      </c>
      <c r="AH423" t="str">
        <f t="shared" si="134"/>
        <v>May</v>
      </c>
      <c r="AI423">
        <f t="shared" si="135"/>
        <v>2022</v>
      </c>
      <c r="AJ423" t="str">
        <f t="shared" ca="1" si="152"/>
        <v>Vacant</v>
      </c>
      <c r="AK423">
        <f t="shared" ca="1" si="153"/>
        <v>4</v>
      </c>
    </row>
    <row r="424" spans="1:37" x14ac:dyDescent="0.3">
      <c r="A424" t="s">
        <v>4859</v>
      </c>
      <c r="B424">
        <v>68</v>
      </c>
      <c r="C424" t="s">
        <v>32</v>
      </c>
      <c r="D424" t="s">
        <v>38</v>
      </c>
      <c r="E424" t="s">
        <v>17</v>
      </c>
      <c r="F424" s="1">
        <v>44068</v>
      </c>
      <c r="G424" t="s">
        <v>888</v>
      </c>
      <c r="H424" t="s">
        <v>889</v>
      </c>
      <c r="I424" t="s">
        <v>20</v>
      </c>
      <c r="J424">
        <v>18383</v>
      </c>
      <c r="K424">
        <v>355</v>
      </c>
      <c r="L424" t="s">
        <v>42</v>
      </c>
      <c r="M424" s="1">
        <v>44089</v>
      </c>
      <c r="N424" t="s">
        <v>67</v>
      </c>
      <c r="O424" t="s">
        <v>43</v>
      </c>
      <c r="P424" t="str">
        <f t="shared" si="136"/>
        <v>P0423</v>
      </c>
      <c r="Q424" t="str">
        <f t="shared" si="132"/>
        <v>Oncology</v>
      </c>
      <c r="R424">
        <f t="shared" si="133"/>
        <v>21</v>
      </c>
      <c r="S424" t="str">
        <f t="shared" ca="1" si="137"/>
        <v>No</v>
      </c>
      <c r="T424" t="str">
        <f t="shared" ca="1" si="138"/>
        <v>Moderate</v>
      </c>
      <c r="U424" t="str">
        <f t="shared" ca="1" si="139"/>
        <v>General Ward</v>
      </c>
      <c r="V424" t="str">
        <f t="shared" si="140"/>
        <v>BED0423</v>
      </c>
      <c r="W424" t="str">
        <f t="shared" ca="1" si="141"/>
        <v>ICU</v>
      </c>
      <c r="X424" t="str">
        <f t="shared" si="142"/>
        <v>NUR023</v>
      </c>
      <c r="Y424" t="str">
        <f t="shared" ca="1" si="143"/>
        <v>Morning</v>
      </c>
      <c r="Z424" t="str">
        <f t="shared" ca="1" si="144"/>
        <v>MRI Scanner</v>
      </c>
      <c r="AA424" t="str">
        <f t="shared" ca="1" si="145"/>
        <v>Available</v>
      </c>
      <c r="AB424" t="str">
        <f t="shared" ca="1" si="146"/>
        <v>Paid</v>
      </c>
      <c r="AC424" t="str">
        <f t="shared" ca="1" si="147"/>
        <v>Cash</v>
      </c>
      <c r="AD424" t="str">
        <f t="shared" ca="1" si="148"/>
        <v>No</v>
      </c>
      <c r="AE424" t="str">
        <f t="shared" ca="1" si="149"/>
        <v>No</v>
      </c>
      <c r="AF424" t="str">
        <f t="shared" ca="1" si="150"/>
        <v>Recovered</v>
      </c>
      <c r="AG424" t="str">
        <f t="shared" ca="1" si="151"/>
        <v>West Coast</v>
      </c>
      <c r="AH424" t="str">
        <f t="shared" si="134"/>
        <v>August</v>
      </c>
      <c r="AI424">
        <f t="shared" si="135"/>
        <v>2020</v>
      </c>
      <c r="AJ424" t="str">
        <f t="shared" ca="1" si="152"/>
        <v>Occupied</v>
      </c>
      <c r="AK424">
        <f t="shared" ca="1" si="153"/>
        <v>2</v>
      </c>
    </row>
    <row r="425" spans="1:37" x14ac:dyDescent="0.3">
      <c r="A425" t="s">
        <v>4860</v>
      </c>
      <c r="B425">
        <v>31</v>
      </c>
      <c r="C425" t="s">
        <v>32</v>
      </c>
      <c r="D425" t="s">
        <v>16</v>
      </c>
      <c r="E425" t="s">
        <v>17</v>
      </c>
      <c r="F425" s="1">
        <v>45203</v>
      </c>
      <c r="G425" t="s">
        <v>890</v>
      </c>
      <c r="H425" t="s">
        <v>891</v>
      </c>
      <c r="I425" t="s">
        <v>20</v>
      </c>
      <c r="J425">
        <v>49420</v>
      </c>
      <c r="K425">
        <v>328</v>
      </c>
      <c r="L425" t="s">
        <v>42</v>
      </c>
      <c r="M425" s="1">
        <v>45210</v>
      </c>
      <c r="N425" t="s">
        <v>30</v>
      </c>
      <c r="O425" t="s">
        <v>31</v>
      </c>
      <c r="P425" t="str">
        <f t="shared" si="136"/>
        <v>P0424</v>
      </c>
      <c r="Q425" t="str">
        <f t="shared" si="132"/>
        <v>Oncology</v>
      </c>
      <c r="R425">
        <f t="shared" si="133"/>
        <v>7</v>
      </c>
      <c r="S425" t="str">
        <f t="shared" ca="1" si="137"/>
        <v>No</v>
      </c>
      <c r="T425" t="str">
        <f t="shared" ca="1" si="138"/>
        <v>Critical</v>
      </c>
      <c r="U425" t="str">
        <f t="shared" ca="1" si="139"/>
        <v>Semi-Private</v>
      </c>
      <c r="V425" t="str">
        <f t="shared" si="140"/>
        <v>BED0424</v>
      </c>
      <c r="W425" t="str">
        <f t="shared" ca="1" si="141"/>
        <v>ICU</v>
      </c>
      <c r="X425" t="str">
        <f t="shared" si="142"/>
        <v>NUR024</v>
      </c>
      <c r="Y425" t="str">
        <f t="shared" ca="1" si="143"/>
        <v>Morning</v>
      </c>
      <c r="Z425" t="str">
        <f t="shared" ca="1" si="144"/>
        <v>Ventilator</v>
      </c>
      <c r="AA425" t="str">
        <f t="shared" ca="1" si="145"/>
        <v>Available</v>
      </c>
      <c r="AB425" t="str">
        <f t="shared" ca="1" si="146"/>
        <v>Paid</v>
      </c>
      <c r="AC425" t="str">
        <f t="shared" ca="1" si="147"/>
        <v>Credit Card</v>
      </c>
      <c r="AD425" t="str">
        <f t="shared" ca="1" si="148"/>
        <v>Yes</v>
      </c>
      <c r="AE425" t="str">
        <f t="shared" ca="1" si="149"/>
        <v>No</v>
      </c>
      <c r="AF425" t="str">
        <f t="shared" ca="1" si="150"/>
        <v>Recovered</v>
      </c>
      <c r="AG425" t="str">
        <f t="shared" ca="1" si="151"/>
        <v>Midwest</v>
      </c>
      <c r="AH425" t="str">
        <f t="shared" si="134"/>
        <v>October</v>
      </c>
      <c r="AI425">
        <f t="shared" si="135"/>
        <v>2023</v>
      </c>
      <c r="AJ425" t="str">
        <f t="shared" ca="1" si="152"/>
        <v>Vacant</v>
      </c>
      <c r="AK425">
        <f t="shared" ca="1" si="153"/>
        <v>2</v>
      </c>
    </row>
    <row r="426" spans="1:37" x14ac:dyDescent="0.3">
      <c r="A426" t="s">
        <v>4861</v>
      </c>
      <c r="B426">
        <v>28</v>
      </c>
      <c r="C426" t="s">
        <v>15</v>
      </c>
      <c r="D426" t="s">
        <v>38</v>
      </c>
      <c r="E426" t="s">
        <v>48</v>
      </c>
      <c r="F426" s="1">
        <v>44679</v>
      </c>
      <c r="G426" t="s">
        <v>892</v>
      </c>
      <c r="H426" t="s">
        <v>893</v>
      </c>
      <c r="I426" t="s">
        <v>36</v>
      </c>
      <c r="J426">
        <v>9958</v>
      </c>
      <c r="K426">
        <v>364</v>
      </c>
      <c r="L426" t="s">
        <v>29</v>
      </c>
      <c r="M426" s="1">
        <v>44708</v>
      </c>
      <c r="N426" t="s">
        <v>47</v>
      </c>
      <c r="O426" t="s">
        <v>31</v>
      </c>
      <c r="P426" t="str">
        <f t="shared" si="136"/>
        <v>P0425</v>
      </c>
      <c r="Q426" t="str">
        <f t="shared" si="132"/>
        <v>Pulmonology</v>
      </c>
      <c r="R426">
        <f t="shared" si="133"/>
        <v>29</v>
      </c>
      <c r="S426" t="str">
        <f t="shared" ca="1" si="137"/>
        <v>No</v>
      </c>
      <c r="T426" t="str">
        <f t="shared" ca="1" si="138"/>
        <v>Moderate</v>
      </c>
      <c r="U426" t="str">
        <f t="shared" ca="1" si="139"/>
        <v>ICU</v>
      </c>
      <c r="V426" t="str">
        <f t="shared" si="140"/>
        <v>BED0425</v>
      </c>
      <c r="W426" t="str">
        <f t="shared" ca="1" si="141"/>
        <v>ICU</v>
      </c>
      <c r="X426" t="str">
        <f t="shared" si="142"/>
        <v>NUR025</v>
      </c>
      <c r="Y426" t="str">
        <f t="shared" ca="1" si="143"/>
        <v>Evening</v>
      </c>
      <c r="Z426" t="str">
        <f t="shared" ca="1" si="144"/>
        <v>MRI Scanner</v>
      </c>
      <c r="AA426" t="str">
        <f t="shared" ca="1" si="145"/>
        <v>In Use</v>
      </c>
      <c r="AB426" t="str">
        <f t="shared" ca="1" si="146"/>
        <v>Paid</v>
      </c>
      <c r="AC426" t="str">
        <f t="shared" ca="1" si="147"/>
        <v>Insurance</v>
      </c>
      <c r="AD426" t="str">
        <f t="shared" ca="1" si="148"/>
        <v>No</v>
      </c>
      <c r="AE426" t="str">
        <f t="shared" ca="1" si="149"/>
        <v>No</v>
      </c>
      <c r="AF426" t="str">
        <f t="shared" ca="1" si="150"/>
        <v>Transferred</v>
      </c>
      <c r="AG426" t="str">
        <f t="shared" ca="1" si="151"/>
        <v>Southeast</v>
      </c>
      <c r="AH426" t="str">
        <f t="shared" si="134"/>
        <v>April</v>
      </c>
      <c r="AI426">
        <f t="shared" si="135"/>
        <v>2022</v>
      </c>
      <c r="AJ426" t="str">
        <f t="shared" ca="1" si="152"/>
        <v>Occupied</v>
      </c>
      <c r="AK426">
        <f t="shared" ca="1" si="153"/>
        <v>2</v>
      </c>
    </row>
    <row r="427" spans="1:37" x14ac:dyDescent="0.3">
      <c r="A427" t="s">
        <v>4862</v>
      </c>
      <c r="B427">
        <v>84</v>
      </c>
      <c r="C427" t="s">
        <v>15</v>
      </c>
      <c r="D427" t="s">
        <v>38</v>
      </c>
      <c r="E427" t="s">
        <v>64</v>
      </c>
      <c r="F427" s="1">
        <v>43614</v>
      </c>
      <c r="G427" t="s">
        <v>894</v>
      </c>
      <c r="H427" t="s">
        <v>895</v>
      </c>
      <c r="I427" t="s">
        <v>20</v>
      </c>
      <c r="J427">
        <v>21438</v>
      </c>
      <c r="K427">
        <v>217</v>
      </c>
      <c r="L427" t="s">
        <v>42</v>
      </c>
      <c r="M427" s="1">
        <v>43633</v>
      </c>
      <c r="N427" t="s">
        <v>37</v>
      </c>
      <c r="O427" t="s">
        <v>43</v>
      </c>
      <c r="P427" t="str">
        <f t="shared" si="136"/>
        <v>P0426</v>
      </c>
      <c r="Q427" t="str">
        <f t="shared" si="132"/>
        <v>Cardiology</v>
      </c>
      <c r="R427">
        <f t="shared" si="133"/>
        <v>19</v>
      </c>
      <c r="S427" t="str">
        <f t="shared" ca="1" si="137"/>
        <v>No</v>
      </c>
      <c r="T427" t="str">
        <f t="shared" ca="1" si="138"/>
        <v>Critical</v>
      </c>
      <c r="U427" t="str">
        <f t="shared" ca="1" si="139"/>
        <v>General Ward</v>
      </c>
      <c r="V427" t="str">
        <f t="shared" si="140"/>
        <v>BED0426</v>
      </c>
      <c r="W427" t="str">
        <f t="shared" ca="1" si="141"/>
        <v>ICU</v>
      </c>
      <c r="X427" t="str">
        <f t="shared" si="142"/>
        <v>NUR026</v>
      </c>
      <c r="Y427" t="str">
        <f t="shared" ca="1" si="143"/>
        <v>Night</v>
      </c>
      <c r="Z427" t="str">
        <f t="shared" ca="1" si="144"/>
        <v>Ventilator</v>
      </c>
      <c r="AA427" t="str">
        <f t="shared" ca="1" si="145"/>
        <v>Maintenance</v>
      </c>
      <c r="AB427" t="str">
        <f t="shared" ca="1" si="146"/>
        <v>Paid</v>
      </c>
      <c r="AC427" t="str">
        <f t="shared" ca="1" si="147"/>
        <v>Cash</v>
      </c>
      <c r="AD427" t="str">
        <f t="shared" ca="1" si="148"/>
        <v>Yes</v>
      </c>
      <c r="AE427" t="str">
        <f t="shared" ca="1" si="149"/>
        <v>No</v>
      </c>
      <c r="AF427" t="str">
        <f t="shared" ca="1" si="150"/>
        <v>Recovered</v>
      </c>
      <c r="AG427" t="str">
        <f t="shared" ca="1" si="151"/>
        <v>Northeast</v>
      </c>
      <c r="AH427" t="str">
        <f t="shared" si="134"/>
        <v>May</v>
      </c>
      <c r="AI427">
        <f t="shared" si="135"/>
        <v>2019</v>
      </c>
      <c r="AJ427" t="str">
        <f t="shared" ca="1" si="152"/>
        <v>Vacant</v>
      </c>
      <c r="AK427">
        <f t="shared" ca="1" si="153"/>
        <v>4</v>
      </c>
    </row>
    <row r="428" spans="1:37" x14ac:dyDescent="0.3">
      <c r="A428" t="s">
        <v>4863</v>
      </c>
      <c r="B428">
        <v>34</v>
      </c>
      <c r="C428" t="s">
        <v>32</v>
      </c>
      <c r="D428" t="s">
        <v>44</v>
      </c>
      <c r="E428" t="s">
        <v>76</v>
      </c>
      <c r="F428" s="1">
        <v>45360</v>
      </c>
      <c r="G428" t="s">
        <v>896</v>
      </c>
      <c r="H428" t="s">
        <v>897</v>
      </c>
      <c r="I428" t="s">
        <v>36</v>
      </c>
      <c r="J428">
        <v>1820</v>
      </c>
      <c r="K428">
        <v>356</v>
      </c>
      <c r="L428" t="s">
        <v>29</v>
      </c>
      <c r="M428" s="1">
        <v>45374</v>
      </c>
      <c r="N428" t="s">
        <v>37</v>
      </c>
      <c r="O428" t="s">
        <v>43</v>
      </c>
      <c r="P428" t="str">
        <f t="shared" si="136"/>
        <v>P0427</v>
      </c>
      <c r="Q428" t="str">
        <f t="shared" si="132"/>
        <v>Orthopedics</v>
      </c>
      <c r="R428">
        <f t="shared" si="133"/>
        <v>14</v>
      </c>
      <c r="S428" t="str">
        <f t="shared" ca="1" si="137"/>
        <v>Yes</v>
      </c>
      <c r="T428" t="str">
        <f t="shared" ca="1" si="138"/>
        <v>Critical</v>
      </c>
      <c r="U428" t="str">
        <f t="shared" ca="1" si="139"/>
        <v>General Ward</v>
      </c>
      <c r="V428" t="str">
        <f t="shared" si="140"/>
        <v>BED0427</v>
      </c>
      <c r="W428" t="str">
        <f t="shared" ca="1" si="141"/>
        <v>General</v>
      </c>
      <c r="X428" t="str">
        <f t="shared" si="142"/>
        <v>NUR027</v>
      </c>
      <c r="Y428" t="str">
        <f t="shared" ca="1" si="143"/>
        <v>Evening</v>
      </c>
      <c r="Z428" t="str">
        <f t="shared" ca="1" si="144"/>
        <v>X-Ray</v>
      </c>
      <c r="AA428" t="str">
        <f t="shared" ca="1" si="145"/>
        <v>Available</v>
      </c>
      <c r="AB428" t="str">
        <f t="shared" ca="1" si="146"/>
        <v>Paid</v>
      </c>
      <c r="AC428" t="str">
        <f t="shared" ca="1" si="147"/>
        <v>Cash</v>
      </c>
      <c r="AD428" t="str">
        <f t="shared" ca="1" si="148"/>
        <v>No</v>
      </c>
      <c r="AE428" t="str">
        <f t="shared" ca="1" si="149"/>
        <v>No</v>
      </c>
      <c r="AF428" t="str">
        <f t="shared" ca="1" si="150"/>
        <v>Recovered</v>
      </c>
      <c r="AG428" t="str">
        <f t="shared" ca="1" si="151"/>
        <v>Midwest</v>
      </c>
      <c r="AH428" t="str">
        <f t="shared" si="134"/>
        <v>March</v>
      </c>
      <c r="AI428">
        <f t="shared" si="135"/>
        <v>2024</v>
      </c>
      <c r="AJ428" t="str">
        <f t="shared" ca="1" si="152"/>
        <v>Occupied</v>
      </c>
      <c r="AK428">
        <f t="shared" ca="1" si="153"/>
        <v>2</v>
      </c>
    </row>
    <row r="429" spans="1:37" x14ac:dyDescent="0.3">
      <c r="A429" t="s">
        <v>151</v>
      </c>
      <c r="B429">
        <v>25</v>
      </c>
      <c r="C429" t="s">
        <v>32</v>
      </c>
      <c r="D429" t="s">
        <v>83</v>
      </c>
      <c r="E429" t="s">
        <v>64</v>
      </c>
      <c r="F429" s="1">
        <v>43837</v>
      </c>
      <c r="G429" t="s">
        <v>898</v>
      </c>
      <c r="H429" t="s">
        <v>899</v>
      </c>
      <c r="I429" t="s">
        <v>57</v>
      </c>
      <c r="J429">
        <v>32760</v>
      </c>
      <c r="K429">
        <v>476</v>
      </c>
      <c r="L429" t="s">
        <v>21</v>
      </c>
      <c r="M429" s="1">
        <v>43862</v>
      </c>
      <c r="N429" t="s">
        <v>37</v>
      </c>
      <c r="O429" t="s">
        <v>23</v>
      </c>
      <c r="P429" t="str">
        <f t="shared" si="136"/>
        <v>P0428</v>
      </c>
      <c r="Q429" t="str">
        <f t="shared" si="132"/>
        <v>Cardiology</v>
      </c>
      <c r="R429">
        <f t="shared" si="133"/>
        <v>25</v>
      </c>
      <c r="S429" t="str">
        <f t="shared" ca="1" si="137"/>
        <v>No</v>
      </c>
      <c r="T429" t="str">
        <f t="shared" ca="1" si="138"/>
        <v>Moderate</v>
      </c>
      <c r="U429" t="str">
        <f t="shared" ca="1" si="139"/>
        <v>General Ward</v>
      </c>
      <c r="V429" t="str">
        <f t="shared" si="140"/>
        <v>BED0428</v>
      </c>
      <c r="W429" t="str">
        <f t="shared" ca="1" si="141"/>
        <v>Private</v>
      </c>
      <c r="X429" t="str">
        <f t="shared" si="142"/>
        <v>NUR028</v>
      </c>
      <c r="Y429" t="str">
        <f t="shared" ca="1" si="143"/>
        <v>Evening</v>
      </c>
      <c r="Z429" t="str">
        <f t="shared" ca="1" si="144"/>
        <v>X-Ray</v>
      </c>
      <c r="AA429" t="str">
        <f t="shared" ca="1" si="145"/>
        <v>Maintenance</v>
      </c>
      <c r="AB429" t="str">
        <f t="shared" ca="1" si="146"/>
        <v>Partially Paid</v>
      </c>
      <c r="AC429" t="str">
        <f t="shared" ca="1" si="147"/>
        <v>Debit Card</v>
      </c>
      <c r="AD429" t="str">
        <f t="shared" ca="1" si="148"/>
        <v>No</v>
      </c>
      <c r="AE429" t="str">
        <f t="shared" ca="1" si="149"/>
        <v>No</v>
      </c>
      <c r="AF429" t="str">
        <f t="shared" ca="1" si="150"/>
        <v>Transferred</v>
      </c>
      <c r="AG429" t="str">
        <f t="shared" ca="1" si="151"/>
        <v>Northeast</v>
      </c>
      <c r="AH429" t="str">
        <f t="shared" si="134"/>
        <v>January</v>
      </c>
      <c r="AI429">
        <f t="shared" si="135"/>
        <v>2020</v>
      </c>
      <c r="AJ429" t="str">
        <f t="shared" ca="1" si="152"/>
        <v>Occupied</v>
      </c>
      <c r="AK429">
        <f t="shared" ca="1" si="153"/>
        <v>1</v>
      </c>
    </row>
    <row r="430" spans="1:37" x14ac:dyDescent="0.3">
      <c r="A430" t="s">
        <v>4864</v>
      </c>
      <c r="B430">
        <v>58</v>
      </c>
      <c r="C430" t="s">
        <v>32</v>
      </c>
      <c r="D430" t="s">
        <v>83</v>
      </c>
      <c r="E430" t="s">
        <v>48</v>
      </c>
      <c r="F430" s="1">
        <v>43779</v>
      </c>
      <c r="G430" t="s">
        <v>900</v>
      </c>
      <c r="H430" t="s">
        <v>901</v>
      </c>
      <c r="I430" t="s">
        <v>28</v>
      </c>
      <c r="J430">
        <v>35422</v>
      </c>
      <c r="K430">
        <v>134</v>
      </c>
      <c r="L430" t="s">
        <v>42</v>
      </c>
      <c r="M430" s="1">
        <v>43805</v>
      </c>
      <c r="N430" t="s">
        <v>22</v>
      </c>
      <c r="O430" t="s">
        <v>43</v>
      </c>
      <c r="P430" t="str">
        <f t="shared" si="136"/>
        <v>P0429</v>
      </c>
      <c r="Q430" t="str">
        <f t="shared" si="132"/>
        <v>Pulmonology</v>
      </c>
      <c r="R430">
        <f t="shared" si="133"/>
        <v>26</v>
      </c>
      <c r="S430" t="str">
        <f t="shared" ca="1" si="137"/>
        <v>No</v>
      </c>
      <c r="T430" t="str">
        <f t="shared" ca="1" si="138"/>
        <v>Critical</v>
      </c>
      <c r="U430" t="str">
        <f t="shared" ca="1" si="139"/>
        <v>Semi-Private</v>
      </c>
      <c r="V430" t="str">
        <f t="shared" si="140"/>
        <v>BED0429</v>
      </c>
      <c r="W430" t="str">
        <f t="shared" ca="1" si="141"/>
        <v>Private</v>
      </c>
      <c r="X430" t="str">
        <f t="shared" si="142"/>
        <v>NUR029</v>
      </c>
      <c r="Y430" t="str">
        <f t="shared" ca="1" si="143"/>
        <v>Morning</v>
      </c>
      <c r="Z430" t="str">
        <f t="shared" ca="1" si="144"/>
        <v>Ventilator</v>
      </c>
      <c r="AA430" t="str">
        <f t="shared" ca="1" si="145"/>
        <v>Maintenance</v>
      </c>
      <c r="AB430" t="str">
        <f t="shared" ca="1" si="146"/>
        <v>Paid</v>
      </c>
      <c r="AC430" t="str">
        <f t="shared" ca="1" si="147"/>
        <v>Cash</v>
      </c>
      <c r="AD430" t="str">
        <f t="shared" ca="1" si="148"/>
        <v>No</v>
      </c>
      <c r="AE430" t="str">
        <f t="shared" ca="1" si="149"/>
        <v>Yes</v>
      </c>
      <c r="AF430" t="str">
        <f t="shared" ca="1" si="150"/>
        <v>Recovered</v>
      </c>
      <c r="AG430" t="str">
        <f t="shared" ca="1" si="151"/>
        <v>Midwest</v>
      </c>
      <c r="AH430" t="str">
        <f t="shared" si="134"/>
        <v>November</v>
      </c>
      <c r="AI430">
        <f t="shared" si="135"/>
        <v>2019</v>
      </c>
      <c r="AJ430" t="str">
        <f t="shared" ca="1" si="152"/>
        <v>Occupied</v>
      </c>
      <c r="AK430">
        <f t="shared" ca="1" si="153"/>
        <v>4</v>
      </c>
    </row>
    <row r="431" spans="1:37" x14ac:dyDescent="0.3">
      <c r="A431" t="s">
        <v>4865</v>
      </c>
      <c r="B431">
        <v>78</v>
      </c>
      <c r="C431" t="s">
        <v>32</v>
      </c>
      <c r="D431" t="s">
        <v>38</v>
      </c>
      <c r="E431" t="s">
        <v>39</v>
      </c>
      <c r="F431" s="1">
        <v>44950</v>
      </c>
      <c r="G431" t="s">
        <v>902</v>
      </c>
      <c r="H431" t="s">
        <v>903</v>
      </c>
      <c r="I431" t="s">
        <v>28</v>
      </c>
      <c r="J431">
        <v>44393</v>
      </c>
      <c r="K431">
        <v>169</v>
      </c>
      <c r="L431" t="s">
        <v>42</v>
      </c>
      <c r="M431" s="1">
        <v>44958</v>
      </c>
      <c r="N431" t="s">
        <v>37</v>
      </c>
      <c r="O431" t="s">
        <v>31</v>
      </c>
      <c r="P431" t="str">
        <f t="shared" si="136"/>
        <v>P0430</v>
      </c>
      <c r="Q431" t="str">
        <f t="shared" si="132"/>
        <v>Endocrinology</v>
      </c>
      <c r="R431">
        <f t="shared" si="133"/>
        <v>8</v>
      </c>
      <c r="S431" t="str">
        <f t="shared" ca="1" si="137"/>
        <v>No</v>
      </c>
      <c r="T431" t="str">
        <f t="shared" ca="1" si="138"/>
        <v>Severe</v>
      </c>
      <c r="U431" t="str">
        <f t="shared" ca="1" si="139"/>
        <v>General Ward</v>
      </c>
      <c r="V431" t="str">
        <f t="shared" si="140"/>
        <v>BED0430</v>
      </c>
      <c r="W431" t="str">
        <f t="shared" ca="1" si="141"/>
        <v>Semi-Private</v>
      </c>
      <c r="X431" t="str">
        <f t="shared" si="142"/>
        <v>NUR030</v>
      </c>
      <c r="Y431" t="str">
        <f t="shared" ca="1" si="143"/>
        <v>Evening</v>
      </c>
      <c r="Z431" t="str">
        <f t="shared" ca="1" si="144"/>
        <v>X-Ray</v>
      </c>
      <c r="AA431" t="str">
        <f t="shared" ca="1" si="145"/>
        <v>Maintenance</v>
      </c>
      <c r="AB431" t="str">
        <f t="shared" ca="1" si="146"/>
        <v>Partially Paid</v>
      </c>
      <c r="AC431" t="str">
        <f t="shared" ca="1" si="147"/>
        <v>Bank Transfer</v>
      </c>
      <c r="AD431" t="str">
        <f t="shared" ca="1" si="148"/>
        <v>No</v>
      </c>
      <c r="AE431" t="str">
        <f t="shared" ca="1" si="149"/>
        <v>No</v>
      </c>
      <c r="AF431" t="str">
        <f t="shared" ca="1" si="150"/>
        <v>Under Observation</v>
      </c>
      <c r="AG431" t="str">
        <f t="shared" ca="1" si="151"/>
        <v>Southeast</v>
      </c>
      <c r="AH431" t="str">
        <f t="shared" si="134"/>
        <v>January</v>
      </c>
      <c r="AI431">
        <f t="shared" si="135"/>
        <v>2023</v>
      </c>
      <c r="AJ431" t="str">
        <f t="shared" ca="1" si="152"/>
        <v>Vacant</v>
      </c>
      <c r="AK431">
        <f t="shared" ca="1" si="153"/>
        <v>4</v>
      </c>
    </row>
    <row r="432" spans="1:37" x14ac:dyDescent="0.3">
      <c r="A432" t="s">
        <v>4866</v>
      </c>
      <c r="B432">
        <v>56</v>
      </c>
      <c r="C432" t="s">
        <v>15</v>
      </c>
      <c r="D432" t="s">
        <v>44</v>
      </c>
      <c r="E432" t="s">
        <v>39</v>
      </c>
      <c r="F432" s="1">
        <v>43674</v>
      </c>
      <c r="G432" t="s">
        <v>904</v>
      </c>
      <c r="H432" t="s">
        <v>905</v>
      </c>
      <c r="I432" t="s">
        <v>20</v>
      </c>
      <c r="J432">
        <v>16579</v>
      </c>
      <c r="K432">
        <v>282</v>
      </c>
      <c r="L432" t="s">
        <v>21</v>
      </c>
      <c r="M432" s="1">
        <v>43703</v>
      </c>
      <c r="N432" t="s">
        <v>47</v>
      </c>
      <c r="O432" t="s">
        <v>31</v>
      </c>
      <c r="P432" t="str">
        <f t="shared" si="136"/>
        <v>P0431</v>
      </c>
      <c r="Q432" t="str">
        <f t="shared" si="132"/>
        <v>Endocrinology</v>
      </c>
      <c r="R432">
        <f t="shared" si="133"/>
        <v>29</v>
      </c>
      <c r="S432" t="str">
        <f t="shared" ca="1" si="137"/>
        <v>No</v>
      </c>
      <c r="T432" t="str">
        <f t="shared" ca="1" si="138"/>
        <v>Moderate</v>
      </c>
      <c r="U432" t="str">
        <f t="shared" ca="1" si="139"/>
        <v>Semi-Private</v>
      </c>
      <c r="V432" t="str">
        <f t="shared" si="140"/>
        <v>BED0431</v>
      </c>
      <c r="W432" t="str">
        <f t="shared" ca="1" si="141"/>
        <v>Private</v>
      </c>
      <c r="X432" t="str">
        <f t="shared" si="142"/>
        <v>NUR031</v>
      </c>
      <c r="Y432" t="str">
        <f t="shared" ca="1" si="143"/>
        <v>Night</v>
      </c>
      <c r="Z432" t="str">
        <f t="shared" ca="1" si="144"/>
        <v>Ventilator</v>
      </c>
      <c r="AA432" t="str">
        <f t="shared" ca="1" si="145"/>
        <v>Maintenance</v>
      </c>
      <c r="AB432" t="str">
        <f t="shared" ca="1" si="146"/>
        <v>Partially Paid</v>
      </c>
      <c r="AC432" t="str">
        <f t="shared" ca="1" si="147"/>
        <v>Debit Card</v>
      </c>
      <c r="AD432" t="str">
        <f t="shared" ca="1" si="148"/>
        <v>No</v>
      </c>
      <c r="AE432" t="str">
        <f t="shared" ca="1" si="149"/>
        <v>Yes</v>
      </c>
      <c r="AF432" t="str">
        <f t="shared" ca="1" si="150"/>
        <v>Recovered</v>
      </c>
      <c r="AG432" t="str">
        <f t="shared" ca="1" si="151"/>
        <v>Southeast</v>
      </c>
      <c r="AH432" t="str">
        <f t="shared" si="134"/>
        <v>July</v>
      </c>
      <c r="AI432">
        <f t="shared" si="135"/>
        <v>2019</v>
      </c>
      <c r="AJ432" t="str">
        <f t="shared" ca="1" si="152"/>
        <v>Occupied</v>
      </c>
      <c r="AK432">
        <f t="shared" ca="1" si="153"/>
        <v>1</v>
      </c>
    </row>
    <row r="433" spans="1:37" x14ac:dyDescent="0.3">
      <c r="A433" t="s">
        <v>4867</v>
      </c>
      <c r="B433">
        <v>77</v>
      </c>
      <c r="C433" t="s">
        <v>15</v>
      </c>
      <c r="D433" t="s">
        <v>52</v>
      </c>
      <c r="E433" t="s">
        <v>76</v>
      </c>
      <c r="F433" s="1">
        <v>44760</v>
      </c>
      <c r="G433" t="s">
        <v>906</v>
      </c>
      <c r="H433" t="s">
        <v>907</v>
      </c>
      <c r="I433" t="s">
        <v>28</v>
      </c>
      <c r="J433">
        <v>33750</v>
      </c>
      <c r="K433">
        <v>112</v>
      </c>
      <c r="L433" t="s">
        <v>29</v>
      </c>
      <c r="M433" s="1">
        <v>44780</v>
      </c>
      <c r="N433" t="s">
        <v>22</v>
      </c>
      <c r="O433" t="s">
        <v>43</v>
      </c>
      <c r="P433" t="str">
        <f t="shared" si="136"/>
        <v>P0432</v>
      </c>
      <c r="Q433" t="str">
        <f t="shared" si="132"/>
        <v>Orthopedics</v>
      </c>
      <c r="R433">
        <f t="shared" si="133"/>
        <v>20</v>
      </c>
      <c r="S433" t="str">
        <f t="shared" ca="1" si="137"/>
        <v>No</v>
      </c>
      <c r="T433" t="str">
        <f t="shared" ca="1" si="138"/>
        <v>Mild</v>
      </c>
      <c r="U433" t="str">
        <f t="shared" ca="1" si="139"/>
        <v>Private Ward</v>
      </c>
      <c r="V433" t="str">
        <f t="shared" si="140"/>
        <v>BED0432</v>
      </c>
      <c r="W433" t="str">
        <f t="shared" ca="1" si="141"/>
        <v>General</v>
      </c>
      <c r="X433" t="str">
        <f t="shared" si="142"/>
        <v>NUR032</v>
      </c>
      <c r="Y433" t="str">
        <f t="shared" ca="1" si="143"/>
        <v>Night</v>
      </c>
      <c r="Z433" t="str">
        <f t="shared" ca="1" si="144"/>
        <v>X-Ray</v>
      </c>
      <c r="AA433" t="str">
        <f t="shared" ca="1" si="145"/>
        <v>Maintenance</v>
      </c>
      <c r="AB433" t="str">
        <f t="shared" ca="1" si="146"/>
        <v>Paid</v>
      </c>
      <c r="AC433" t="str">
        <f t="shared" ca="1" si="147"/>
        <v>Credit Card</v>
      </c>
      <c r="AD433" t="str">
        <f t="shared" ca="1" si="148"/>
        <v>Yes</v>
      </c>
      <c r="AE433" t="str">
        <f t="shared" ca="1" si="149"/>
        <v>No</v>
      </c>
      <c r="AF433" t="str">
        <f t="shared" ca="1" si="150"/>
        <v>Transferred</v>
      </c>
      <c r="AG433" t="str">
        <f t="shared" ca="1" si="151"/>
        <v>Northeast</v>
      </c>
      <c r="AH433" t="str">
        <f t="shared" si="134"/>
        <v>July</v>
      </c>
      <c r="AI433">
        <f t="shared" si="135"/>
        <v>2022</v>
      </c>
      <c r="AJ433" t="str">
        <f t="shared" ca="1" si="152"/>
        <v>Vacant</v>
      </c>
      <c r="AK433">
        <f t="shared" ca="1" si="153"/>
        <v>1</v>
      </c>
    </row>
    <row r="434" spans="1:37" x14ac:dyDescent="0.3">
      <c r="A434" t="s">
        <v>4868</v>
      </c>
      <c r="B434">
        <v>61</v>
      </c>
      <c r="C434" t="s">
        <v>32</v>
      </c>
      <c r="D434" t="s">
        <v>24</v>
      </c>
      <c r="E434" t="s">
        <v>48</v>
      </c>
      <c r="F434" s="1">
        <v>43989</v>
      </c>
      <c r="G434" t="s">
        <v>908</v>
      </c>
      <c r="H434" t="s">
        <v>909</v>
      </c>
      <c r="I434" t="s">
        <v>51</v>
      </c>
      <c r="J434">
        <v>3904</v>
      </c>
      <c r="K434">
        <v>301</v>
      </c>
      <c r="L434" t="s">
        <v>21</v>
      </c>
      <c r="M434" s="1">
        <v>44013</v>
      </c>
      <c r="N434" t="s">
        <v>47</v>
      </c>
      <c r="O434" t="s">
        <v>43</v>
      </c>
      <c r="P434" t="str">
        <f t="shared" si="136"/>
        <v>P0433</v>
      </c>
      <c r="Q434" t="str">
        <f t="shared" si="132"/>
        <v>Pulmonology</v>
      </c>
      <c r="R434">
        <f t="shared" si="133"/>
        <v>24</v>
      </c>
      <c r="S434" t="str">
        <f t="shared" ca="1" si="137"/>
        <v>No</v>
      </c>
      <c r="T434" t="str">
        <f t="shared" ca="1" si="138"/>
        <v>Severe</v>
      </c>
      <c r="U434" t="str">
        <f t="shared" ca="1" si="139"/>
        <v>Semi-Private</v>
      </c>
      <c r="V434" t="str">
        <f t="shared" si="140"/>
        <v>BED0433</v>
      </c>
      <c r="W434" t="str">
        <f t="shared" ca="1" si="141"/>
        <v>Private</v>
      </c>
      <c r="X434" t="str">
        <f t="shared" si="142"/>
        <v>NUR033</v>
      </c>
      <c r="Y434" t="str">
        <f t="shared" ca="1" si="143"/>
        <v>Evening</v>
      </c>
      <c r="Z434" t="str">
        <f t="shared" ca="1" si="144"/>
        <v>X-Ray</v>
      </c>
      <c r="AA434" t="str">
        <f t="shared" ca="1" si="145"/>
        <v>In Use</v>
      </c>
      <c r="AB434" t="str">
        <f t="shared" ca="1" si="146"/>
        <v>Partially Paid</v>
      </c>
      <c r="AC434" t="str">
        <f t="shared" ca="1" si="147"/>
        <v>Insurance</v>
      </c>
      <c r="AD434" t="str">
        <f t="shared" ca="1" si="148"/>
        <v>No</v>
      </c>
      <c r="AE434" t="str">
        <f t="shared" ca="1" si="149"/>
        <v>No</v>
      </c>
      <c r="AF434" t="str">
        <f t="shared" ca="1" si="150"/>
        <v>Recovered</v>
      </c>
      <c r="AG434" t="str">
        <f t="shared" ca="1" si="151"/>
        <v>West Coast</v>
      </c>
      <c r="AH434" t="str">
        <f t="shared" si="134"/>
        <v>June</v>
      </c>
      <c r="AI434">
        <f t="shared" si="135"/>
        <v>2020</v>
      </c>
      <c r="AJ434" t="str">
        <f t="shared" ca="1" si="152"/>
        <v>Occupied</v>
      </c>
      <c r="AK434">
        <f t="shared" ca="1" si="153"/>
        <v>1</v>
      </c>
    </row>
    <row r="435" spans="1:37" x14ac:dyDescent="0.3">
      <c r="A435" t="s">
        <v>4869</v>
      </c>
      <c r="B435">
        <v>40</v>
      </c>
      <c r="C435" t="s">
        <v>32</v>
      </c>
      <c r="D435" t="s">
        <v>16</v>
      </c>
      <c r="E435" t="s">
        <v>17</v>
      </c>
      <c r="F435" s="1">
        <v>44172</v>
      </c>
      <c r="G435" t="s">
        <v>910</v>
      </c>
      <c r="H435" t="s">
        <v>911</v>
      </c>
      <c r="I435" t="s">
        <v>28</v>
      </c>
      <c r="J435">
        <v>22720</v>
      </c>
      <c r="K435">
        <v>463</v>
      </c>
      <c r="L435" t="s">
        <v>29</v>
      </c>
      <c r="M435" s="1">
        <v>44185</v>
      </c>
      <c r="N435" t="s">
        <v>67</v>
      </c>
      <c r="O435" t="s">
        <v>43</v>
      </c>
      <c r="P435" t="str">
        <f t="shared" si="136"/>
        <v>P0434</v>
      </c>
      <c r="Q435" t="str">
        <f t="shared" si="132"/>
        <v>Oncology</v>
      </c>
      <c r="R435">
        <f t="shared" si="133"/>
        <v>13</v>
      </c>
      <c r="S435" t="str">
        <f t="shared" ca="1" si="137"/>
        <v>No</v>
      </c>
      <c r="T435" t="str">
        <f t="shared" ca="1" si="138"/>
        <v>Mild</v>
      </c>
      <c r="U435" t="str">
        <f t="shared" ca="1" si="139"/>
        <v>ICU</v>
      </c>
      <c r="V435" t="str">
        <f t="shared" si="140"/>
        <v>BED0434</v>
      </c>
      <c r="W435" t="str">
        <f t="shared" ca="1" si="141"/>
        <v>Semi-Private</v>
      </c>
      <c r="X435" t="str">
        <f t="shared" si="142"/>
        <v>NUR034</v>
      </c>
      <c r="Y435" t="str">
        <f t="shared" ca="1" si="143"/>
        <v>Night</v>
      </c>
      <c r="Z435" t="str">
        <f t="shared" ca="1" si="144"/>
        <v>CT Scanner</v>
      </c>
      <c r="AA435" t="str">
        <f t="shared" ca="1" si="145"/>
        <v>In Use</v>
      </c>
      <c r="AB435" t="str">
        <f t="shared" ca="1" si="146"/>
        <v>Partially Paid</v>
      </c>
      <c r="AC435" t="str">
        <f t="shared" ca="1" si="147"/>
        <v>Insurance</v>
      </c>
      <c r="AD435" t="str">
        <f t="shared" ca="1" si="148"/>
        <v>No</v>
      </c>
      <c r="AE435" t="str">
        <f t="shared" ca="1" si="149"/>
        <v>No</v>
      </c>
      <c r="AF435" t="str">
        <f t="shared" ca="1" si="150"/>
        <v>Under Observation</v>
      </c>
      <c r="AG435" t="str">
        <f t="shared" ca="1" si="151"/>
        <v>Southeast</v>
      </c>
      <c r="AH435" t="str">
        <f t="shared" si="134"/>
        <v>December</v>
      </c>
      <c r="AI435">
        <f t="shared" si="135"/>
        <v>2020</v>
      </c>
      <c r="AJ435" t="str">
        <f t="shared" ca="1" si="152"/>
        <v>Occupied</v>
      </c>
      <c r="AK435">
        <f t="shared" ca="1" si="153"/>
        <v>1</v>
      </c>
    </row>
    <row r="436" spans="1:37" x14ac:dyDescent="0.3">
      <c r="A436" t="s">
        <v>4870</v>
      </c>
      <c r="B436">
        <v>80</v>
      </c>
      <c r="C436" t="s">
        <v>15</v>
      </c>
      <c r="D436" t="s">
        <v>52</v>
      </c>
      <c r="E436" t="s">
        <v>39</v>
      </c>
      <c r="F436" s="1">
        <v>43931</v>
      </c>
      <c r="G436" t="s">
        <v>912</v>
      </c>
      <c r="H436" t="s">
        <v>913</v>
      </c>
      <c r="I436" t="s">
        <v>28</v>
      </c>
      <c r="J436">
        <v>35411</v>
      </c>
      <c r="K436">
        <v>282</v>
      </c>
      <c r="L436" t="s">
        <v>42</v>
      </c>
      <c r="M436" s="1">
        <v>43951</v>
      </c>
      <c r="N436" t="s">
        <v>22</v>
      </c>
      <c r="O436" t="s">
        <v>43</v>
      </c>
      <c r="P436" t="str">
        <f t="shared" si="136"/>
        <v>P0435</v>
      </c>
      <c r="Q436" t="str">
        <f t="shared" si="132"/>
        <v>Endocrinology</v>
      </c>
      <c r="R436">
        <f t="shared" si="133"/>
        <v>20</v>
      </c>
      <c r="S436" t="str">
        <f t="shared" ca="1" si="137"/>
        <v>No</v>
      </c>
      <c r="T436" t="str">
        <f t="shared" ca="1" si="138"/>
        <v>Severe</v>
      </c>
      <c r="U436" t="str">
        <f t="shared" ca="1" si="139"/>
        <v>Emergency</v>
      </c>
      <c r="V436" t="str">
        <f t="shared" si="140"/>
        <v>BED0435</v>
      </c>
      <c r="W436" t="str">
        <f t="shared" ca="1" si="141"/>
        <v>Semi-Private</v>
      </c>
      <c r="X436" t="str">
        <f t="shared" si="142"/>
        <v>NUR035</v>
      </c>
      <c r="Y436" t="str">
        <f t="shared" ca="1" si="143"/>
        <v>Morning</v>
      </c>
      <c r="Z436" t="str">
        <f t="shared" ca="1" si="144"/>
        <v>Ultrasound</v>
      </c>
      <c r="AA436" t="str">
        <f t="shared" ca="1" si="145"/>
        <v>Available</v>
      </c>
      <c r="AB436" t="str">
        <f t="shared" ca="1" si="146"/>
        <v>Partially Paid</v>
      </c>
      <c r="AC436" t="str">
        <f t="shared" ca="1" si="147"/>
        <v>Insurance</v>
      </c>
      <c r="AD436" t="str">
        <f t="shared" ca="1" si="148"/>
        <v>No</v>
      </c>
      <c r="AE436" t="str">
        <f t="shared" ca="1" si="149"/>
        <v>No</v>
      </c>
      <c r="AF436" t="str">
        <f t="shared" ca="1" si="150"/>
        <v>Under Observation</v>
      </c>
      <c r="AG436" t="str">
        <f t="shared" ca="1" si="151"/>
        <v>Midwest</v>
      </c>
      <c r="AH436" t="str">
        <f t="shared" si="134"/>
        <v>April</v>
      </c>
      <c r="AI436">
        <f t="shared" si="135"/>
        <v>2020</v>
      </c>
      <c r="AJ436" t="str">
        <f t="shared" ca="1" si="152"/>
        <v>Occupied</v>
      </c>
      <c r="AK436">
        <f t="shared" ca="1" si="153"/>
        <v>2</v>
      </c>
    </row>
    <row r="437" spans="1:37" x14ac:dyDescent="0.3">
      <c r="A437" t="s">
        <v>4871</v>
      </c>
      <c r="B437">
        <v>35</v>
      </c>
      <c r="C437" t="s">
        <v>15</v>
      </c>
      <c r="D437" t="s">
        <v>33</v>
      </c>
      <c r="E437" t="s">
        <v>64</v>
      </c>
      <c r="F437" s="1">
        <v>45119</v>
      </c>
      <c r="G437" t="s">
        <v>914</v>
      </c>
      <c r="H437" t="s">
        <v>915</v>
      </c>
      <c r="I437" t="s">
        <v>28</v>
      </c>
      <c r="J437">
        <v>27342</v>
      </c>
      <c r="K437">
        <v>279</v>
      </c>
      <c r="L437" t="s">
        <v>21</v>
      </c>
      <c r="M437" s="1">
        <v>45129</v>
      </c>
      <c r="N437" t="s">
        <v>37</v>
      </c>
      <c r="O437" t="s">
        <v>23</v>
      </c>
      <c r="P437" t="str">
        <f t="shared" si="136"/>
        <v>P0436</v>
      </c>
      <c r="Q437" t="str">
        <f t="shared" si="132"/>
        <v>Cardiology</v>
      </c>
      <c r="R437">
        <f t="shared" si="133"/>
        <v>10</v>
      </c>
      <c r="S437" t="str">
        <f t="shared" ca="1" si="137"/>
        <v>No</v>
      </c>
      <c r="T437" t="str">
        <f t="shared" ca="1" si="138"/>
        <v>Mild</v>
      </c>
      <c r="U437" t="str">
        <f t="shared" ca="1" si="139"/>
        <v>General Ward</v>
      </c>
      <c r="V437" t="str">
        <f t="shared" si="140"/>
        <v>BED0436</v>
      </c>
      <c r="W437" t="str">
        <f t="shared" ca="1" si="141"/>
        <v>ICU</v>
      </c>
      <c r="X437" t="str">
        <f t="shared" si="142"/>
        <v>NUR036</v>
      </c>
      <c r="Y437" t="str">
        <f t="shared" ca="1" si="143"/>
        <v>Night</v>
      </c>
      <c r="Z437" t="str">
        <f t="shared" ca="1" si="144"/>
        <v>X-Ray</v>
      </c>
      <c r="AA437" t="str">
        <f t="shared" ca="1" si="145"/>
        <v>Maintenance</v>
      </c>
      <c r="AB437" t="str">
        <f t="shared" ca="1" si="146"/>
        <v>Pending</v>
      </c>
      <c r="AC437" t="str">
        <f t="shared" ca="1" si="147"/>
        <v>Credit Card</v>
      </c>
      <c r="AD437" t="str">
        <f t="shared" ca="1" si="148"/>
        <v>No</v>
      </c>
      <c r="AE437" t="str">
        <f t="shared" ca="1" si="149"/>
        <v>No</v>
      </c>
      <c r="AF437" t="str">
        <f t="shared" ca="1" si="150"/>
        <v>Under Observation</v>
      </c>
      <c r="AG437" t="str">
        <f t="shared" ca="1" si="151"/>
        <v>Southwest</v>
      </c>
      <c r="AH437" t="str">
        <f t="shared" si="134"/>
        <v>July</v>
      </c>
      <c r="AI437">
        <f t="shared" si="135"/>
        <v>2023</v>
      </c>
      <c r="AJ437" t="str">
        <f t="shared" ca="1" si="152"/>
        <v>Occupied</v>
      </c>
      <c r="AK437">
        <f t="shared" ca="1" si="153"/>
        <v>1</v>
      </c>
    </row>
    <row r="438" spans="1:37" x14ac:dyDescent="0.3">
      <c r="A438" t="s">
        <v>4872</v>
      </c>
      <c r="B438">
        <v>85</v>
      </c>
      <c r="C438" t="s">
        <v>32</v>
      </c>
      <c r="D438" t="s">
        <v>24</v>
      </c>
      <c r="E438" t="s">
        <v>17</v>
      </c>
      <c r="F438" s="1">
        <v>44814</v>
      </c>
      <c r="G438" t="s">
        <v>916</v>
      </c>
      <c r="H438" t="s">
        <v>484</v>
      </c>
      <c r="I438" t="s">
        <v>20</v>
      </c>
      <c r="J438">
        <v>27971</v>
      </c>
      <c r="K438">
        <v>120</v>
      </c>
      <c r="L438" t="s">
        <v>29</v>
      </c>
      <c r="M438" s="1">
        <v>44818</v>
      </c>
      <c r="N438" t="s">
        <v>67</v>
      </c>
      <c r="O438" t="s">
        <v>43</v>
      </c>
      <c r="P438" t="str">
        <f t="shared" si="136"/>
        <v>P0437</v>
      </c>
      <c r="Q438" t="str">
        <f t="shared" si="132"/>
        <v>Oncology</v>
      </c>
      <c r="R438">
        <f t="shared" si="133"/>
        <v>4</v>
      </c>
      <c r="S438" t="str">
        <f t="shared" ca="1" si="137"/>
        <v>No</v>
      </c>
      <c r="T438" t="str">
        <f t="shared" ca="1" si="138"/>
        <v>Mild</v>
      </c>
      <c r="U438" t="str">
        <f t="shared" ca="1" si="139"/>
        <v>Private Ward</v>
      </c>
      <c r="V438" t="str">
        <f t="shared" si="140"/>
        <v>BED0437</v>
      </c>
      <c r="W438" t="str">
        <f t="shared" ca="1" si="141"/>
        <v>Semi-Private</v>
      </c>
      <c r="X438" t="str">
        <f t="shared" si="142"/>
        <v>NUR037</v>
      </c>
      <c r="Y438" t="str">
        <f t="shared" ca="1" si="143"/>
        <v>Evening</v>
      </c>
      <c r="Z438" t="str">
        <f t="shared" ca="1" si="144"/>
        <v>CT Scanner</v>
      </c>
      <c r="AA438" t="str">
        <f t="shared" ca="1" si="145"/>
        <v>In Use</v>
      </c>
      <c r="AB438" t="str">
        <f t="shared" ca="1" si="146"/>
        <v>Pending</v>
      </c>
      <c r="AC438" t="str">
        <f t="shared" ca="1" si="147"/>
        <v>Cash</v>
      </c>
      <c r="AD438" t="str">
        <f t="shared" ca="1" si="148"/>
        <v>No</v>
      </c>
      <c r="AE438" t="str">
        <f t="shared" ca="1" si="149"/>
        <v>Yes</v>
      </c>
      <c r="AF438" t="str">
        <f t="shared" ca="1" si="150"/>
        <v>Recovered</v>
      </c>
      <c r="AG438" t="str">
        <f t="shared" ca="1" si="151"/>
        <v>Northeast</v>
      </c>
      <c r="AH438" t="str">
        <f t="shared" si="134"/>
        <v>September</v>
      </c>
      <c r="AI438">
        <f t="shared" si="135"/>
        <v>2022</v>
      </c>
      <c r="AJ438" t="str">
        <f t="shared" ca="1" si="152"/>
        <v>Occupied</v>
      </c>
      <c r="AK438">
        <f t="shared" ca="1" si="153"/>
        <v>2</v>
      </c>
    </row>
    <row r="439" spans="1:37" x14ac:dyDescent="0.3">
      <c r="A439" t="s">
        <v>4873</v>
      </c>
      <c r="B439">
        <v>64</v>
      </c>
      <c r="C439" t="s">
        <v>15</v>
      </c>
      <c r="D439" t="s">
        <v>52</v>
      </c>
      <c r="E439" t="s">
        <v>64</v>
      </c>
      <c r="F439" s="1">
        <v>44301</v>
      </c>
      <c r="G439" t="s">
        <v>917</v>
      </c>
      <c r="H439" t="s">
        <v>918</v>
      </c>
      <c r="I439" t="s">
        <v>57</v>
      </c>
      <c r="J439">
        <v>26894</v>
      </c>
      <c r="K439">
        <v>208</v>
      </c>
      <c r="L439" t="s">
        <v>29</v>
      </c>
      <c r="M439" s="1">
        <v>44323</v>
      </c>
      <c r="N439" t="s">
        <v>37</v>
      </c>
      <c r="O439" t="s">
        <v>23</v>
      </c>
      <c r="P439" t="str">
        <f t="shared" si="136"/>
        <v>P0438</v>
      </c>
      <c r="Q439" t="str">
        <f t="shared" si="132"/>
        <v>Cardiology</v>
      </c>
      <c r="R439">
        <f t="shared" si="133"/>
        <v>22</v>
      </c>
      <c r="S439" t="str">
        <f t="shared" ca="1" si="137"/>
        <v>No</v>
      </c>
      <c r="T439" t="str">
        <f t="shared" ca="1" si="138"/>
        <v>Severe</v>
      </c>
      <c r="U439" t="str">
        <f t="shared" ca="1" si="139"/>
        <v>ICU</v>
      </c>
      <c r="V439" t="str">
        <f t="shared" si="140"/>
        <v>BED0438</v>
      </c>
      <c r="W439" t="str">
        <f t="shared" ca="1" si="141"/>
        <v>General</v>
      </c>
      <c r="X439" t="str">
        <f t="shared" si="142"/>
        <v>NUR038</v>
      </c>
      <c r="Y439" t="str">
        <f t="shared" ca="1" si="143"/>
        <v>Evening</v>
      </c>
      <c r="Z439" t="str">
        <f t="shared" ca="1" si="144"/>
        <v>X-Ray</v>
      </c>
      <c r="AA439" t="str">
        <f t="shared" ca="1" si="145"/>
        <v>In Use</v>
      </c>
      <c r="AB439" t="str">
        <f t="shared" ca="1" si="146"/>
        <v>Paid</v>
      </c>
      <c r="AC439" t="str">
        <f t="shared" ca="1" si="147"/>
        <v>Debit Card</v>
      </c>
      <c r="AD439" t="str">
        <f t="shared" ca="1" si="148"/>
        <v>No</v>
      </c>
      <c r="AE439" t="str">
        <f t="shared" ca="1" si="149"/>
        <v>Yes</v>
      </c>
      <c r="AF439" t="str">
        <f t="shared" ca="1" si="150"/>
        <v>Under Observation</v>
      </c>
      <c r="AG439" t="str">
        <f t="shared" ca="1" si="151"/>
        <v>West Coast</v>
      </c>
      <c r="AH439" t="str">
        <f t="shared" si="134"/>
        <v>April</v>
      </c>
      <c r="AI439">
        <f t="shared" si="135"/>
        <v>2021</v>
      </c>
      <c r="AJ439" t="str">
        <f t="shared" ca="1" si="152"/>
        <v>Occupied</v>
      </c>
      <c r="AK439">
        <f t="shared" ca="1" si="153"/>
        <v>2</v>
      </c>
    </row>
    <row r="440" spans="1:37" x14ac:dyDescent="0.3">
      <c r="A440" t="s">
        <v>4874</v>
      </c>
      <c r="B440">
        <v>30</v>
      </c>
      <c r="C440" t="s">
        <v>32</v>
      </c>
      <c r="D440" t="s">
        <v>98</v>
      </c>
      <c r="E440" t="s">
        <v>17</v>
      </c>
      <c r="F440" s="1">
        <v>44063</v>
      </c>
      <c r="G440" t="s">
        <v>919</v>
      </c>
      <c r="H440" t="s">
        <v>920</v>
      </c>
      <c r="I440" t="s">
        <v>28</v>
      </c>
      <c r="J440">
        <v>36551</v>
      </c>
      <c r="K440">
        <v>111</v>
      </c>
      <c r="L440" t="s">
        <v>29</v>
      </c>
      <c r="M440" s="1">
        <v>44066</v>
      </c>
      <c r="N440" t="s">
        <v>30</v>
      </c>
      <c r="O440" t="s">
        <v>43</v>
      </c>
      <c r="P440" t="str">
        <f t="shared" si="136"/>
        <v>P0439</v>
      </c>
      <c r="Q440" t="str">
        <f t="shared" si="132"/>
        <v>Oncology</v>
      </c>
      <c r="R440">
        <f t="shared" si="133"/>
        <v>3</v>
      </c>
      <c r="S440" t="str">
        <f t="shared" ca="1" si="137"/>
        <v>Yes</v>
      </c>
      <c r="T440" t="str">
        <f t="shared" ca="1" si="138"/>
        <v>Critical</v>
      </c>
      <c r="U440" t="str">
        <f t="shared" ca="1" si="139"/>
        <v>Emergency</v>
      </c>
      <c r="V440" t="str">
        <f t="shared" si="140"/>
        <v>BED0439</v>
      </c>
      <c r="W440" t="str">
        <f t="shared" ca="1" si="141"/>
        <v>ICU</v>
      </c>
      <c r="X440" t="str">
        <f t="shared" si="142"/>
        <v>NUR039</v>
      </c>
      <c r="Y440" t="str">
        <f t="shared" ca="1" si="143"/>
        <v>Night</v>
      </c>
      <c r="Z440" t="str">
        <f t="shared" ca="1" si="144"/>
        <v>MRI Scanner</v>
      </c>
      <c r="AA440" t="str">
        <f t="shared" ca="1" si="145"/>
        <v>Maintenance</v>
      </c>
      <c r="AB440" t="str">
        <f t="shared" ca="1" si="146"/>
        <v>Paid</v>
      </c>
      <c r="AC440" t="str">
        <f t="shared" ca="1" si="147"/>
        <v>Credit Card</v>
      </c>
      <c r="AD440" t="str">
        <f t="shared" ca="1" si="148"/>
        <v>No</v>
      </c>
      <c r="AE440" t="str">
        <f t="shared" ca="1" si="149"/>
        <v>No</v>
      </c>
      <c r="AF440" t="str">
        <f t="shared" ca="1" si="150"/>
        <v>Recovered</v>
      </c>
      <c r="AG440" t="str">
        <f t="shared" ca="1" si="151"/>
        <v>Northeast</v>
      </c>
      <c r="AH440" t="str">
        <f t="shared" si="134"/>
        <v>August</v>
      </c>
      <c r="AI440">
        <f t="shared" si="135"/>
        <v>2020</v>
      </c>
      <c r="AJ440" t="str">
        <f t="shared" ca="1" si="152"/>
        <v>Occupied</v>
      </c>
      <c r="AK440">
        <f t="shared" ca="1" si="153"/>
        <v>2</v>
      </c>
    </row>
    <row r="441" spans="1:37" x14ac:dyDescent="0.3">
      <c r="A441" t="s">
        <v>4875</v>
      </c>
      <c r="B441">
        <v>19</v>
      </c>
      <c r="C441" t="s">
        <v>32</v>
      </c>
      <c r="D441" t="s">
        <v>24</v>
      </c>
      <c r="E441" t="s">
        <v>76</v>
      </c>
      <c r="F441" s="1">
        <v>44057</v>
      </c>
      <c r="G441" t="s">
        <v>921</v>
      </c>
      <c r="H441" t="s">
        <v>922</v>
      </c>
      <c r="I441" t="s">
        <v>28</v>
      </c>
      <c r="J441">
        <v>10693</v>
      </c>
      <c r="K441">
        <v>435</v>
      </c>
      <c r="L441" t="s">
        <v>42</v>
      </c>
      <c r="M441" s="1">
        <v>44071</v>
      </c>
      <c r="N441" t="s">
        <v>30</v>
      </c>
      <c r="O441" t="s">
        <v>43</v>
      </c>
      <c r="P441" t="str">
        <f t="shared" si="136"/>
        <v>P0440</v>
      </c>
      <c r="Q441" t="str">
        <f t="shared" si="132"/>
        <v>Orthopedics</v>
      </c>
      <c r="R441">
        <f t="shared" si="133"/>
        <v>14</v>
      </c>
      <c r="S441" t="str">
        <f t="shared" ca="1" si="137"/>
        <v>No</v>
      </c>
      <c r="T441" t="str">
        <f t="shared" ca="1" si="138"/>
        <v>Mild</v>
      </c>
      <c r="U441" t="str">
        <f t="shared" ca="1" si="139"/>
        <v>Private Ward</v>
      </c>
      <c r="V441" t="str">
        <f t="shared" si="140"/>
        <v>BED0440</v>
      </c>
      <c r="W441" t="str">
        <f t="shared" ca="1" si="141"/>
        <v>Private</v>
      </c>
      <c r="X441" t="str">
        <f t="shared" si="142"/>
        <v>NUR040</v>
      </c>
      <c r="Y441" t="str">
        <f t="shared" ca="1" si="143"/>
        <v>Night</v>
      </c>
      <c r="Z441" t="str">
        <f t="shared" ca="1" si="144"/>
        <v>MRI Scanner</v>
      </c>
      <c r="AA441" t="str">
        <f t="shared" ca="1" si="145"/>
        <v>Available</v>
      </c>
      <c r="AB441" t="str">
        <f t="shared" ca="1" si="146"/>
        <v>Partially Paid</v>
      </c>
      <c r="AC441" t="str">
        <f t="shared" ca="1" si="147"/>
        <v>Cash</v>
      </c>
      <c r="AD441" t="str">
        <f t="shared" ca="1" si="148"/>
        <v>No</v>
      </c>
      <c r="AE441" t="str">
        <f t="shared" ca="1" si="149"/>
        <v>Yes</v>
      </c>
      <c r="AF441" t="str">
        <f t="shared" ca="1" si="150"/>
        <v>Transferred</v>
      </c>
      <c r="AG441" t="str">
        <f t="shared" ca="1" si="151"/>
        <v>Southwest</v>
      </c>
      <c r="AH441" t="str">
        <f t="shared" si="134"/>
        <v>August</v>
      </c>
      <c r="AI441">
        <f t="shared" si="135"/>
        <v>2020</v>
      </c>
      <c r="AJ441" t="str">
        <f t="shared" ca="1" si="152"/>
        <v>Occupied</v>
      </c>
      <c r="AK441">
        <f t="shared" ca="1" si="153"/>
        <v>4</v>
      </c>
    </row>
    <row r="442" spans="1:37" x14ac:dyDescent="0.3">
      <c r="A442" t="s">
        <v>4876</v>
      </c>
      <c r="B442">
        <v>64</v>
      </c>
      <c r="C442" t="s">
        <v>15</v>
      </c>
      <c r="D442" t="s">
        <v>24</v>
      </c>
      <c r="E442" t="s">
        <v>39</v>
      </c>
      <c r="F442" s="1">
        <v>44394</v>
      </c>
      <c r="G442" t="s">
        <v>923</v>
      </c>
      <c r="H442" t="s">
        <v>924</v>
      </c>
      <c r="I442" t="s">
        <v>51</v>
      </c>
      <c r="J442">
        <v>28835</v>
      </c>
      <c r="K442">
        <v>270</v>
      </c>
      <c r="L442" t="s">
        <v>21</v>
      </c>
      <c r="M442" s="1">
        <v>44411</v>
      </c>
      <c r="N442" t="s">
        <v>67</v>
      </c>
      <c r="O442" t="s">
        <v>31</v>
      </c>
      <c r="P442" t="str">
        <f t="shared" si="136"/>
        <v>P0441</v>
      </c>
      <c r="Q442" t="str">
        <f t="shared" si="132"/>
        <v>Endocrinology</v>
      </c>
      <c r="R442">
        <f t="shared" si="133"/>
        <v>17</v>
      </c>
      <c r="S442" t="str">
        <f t="shared" ca="1" si="137"/>
        <v>No</v>
      </c>
      <c r="T442" t="str">
        <f t="shared" ca="1" si="138"/>
        <v>Mild</v>
      </c>
      <c r="U442" t="str">
        <f t="shared" ca="1" si="139"/>
        <v>ICU</v>
      </c>
      <c r="V442" t="str">
        <f t="shared" si="140"/>
        <v>BED0441</v>
      </c>
      <c r="W442" t="str">
        <f t="shared" ca="1" si="141"/>
        <v>Semi-Private</v>
      </c>
      <c r="X442" t="str">
        <f t="shared" si="142"/>
        <v>NUR041</v>
      </c>
      <c r="Y442" t="str">
        <f t="shared" ca="1" si="143"/>
        <v>Evening</v>
      </c>
      <c r="Z442" t="str">
        <f t="shared" ca="1" si="144"/>
        <v>Ultrasound</v>
      </c>
      <c r="AA442" t="str">
        <f t="shared" ca="1" si="145"/>
        <v>In Use</v>
      </c>
      <c r="AB442" t="str">
        <f t="shared" ca="1" si="146"/>
        <v>Paid</v>
      </c>
      <c r="AC442" t="str">
        <f t="shared" ca="1" si="147"/>
        <v>Debit Card</v>
      </c>
      <c r="AD442" t="str">
        <f t="shared" ca="1" si="148"/>
        <v>No</v>
      </c>
      <c r="AE442" t="str">
        <f t="shared" ca="1" si="149"/>
        <v>No</v>
      </c>
      <c r="AF442" t="str">
        <f t="shared" ca="1" si="150"/>
        <v>Recovered</v>
      </c>
      <c r="AG442" t="str">
        <f t="shared" ca="1" si="151"/>
        <v>Southeast</v>
      </c>
      <c r="AH442" t="str">
        <f t="shared" si="134"/>
        <v>July</v>
      </c>
      <c r="AI442">
        <f t="shared" si="135"/>
        <v>2021</v>
      </c>
      <c r="AJ442" t="str">
        <f t="shared" ca="1" si="152"/>
        <v>Vacant</v>
      </c>
      <c r="AK442">
        <f t="shared" ca="1" si="153"/>
        <v>4</v>
      </c>
    </row>
    <row r="443" spans="1:37" x14ac:dyDescent="0.3">
      <c r="A443" t="s">
        <v>4877</v>
      </c>
      <c r="B443">
        <v>44</v>
      </c>
      <c r="C443" t="s">
        <v>15</v>
      </c>
      <c r="D443" t="s">
        <v>83</v>
      </c>
      <c r="E443" t="s">
        <v>39</v>
      </c>
      <c r="F443" s="1">
        <v>44953</v>
      </c>
      <c r="G443" t="s">
        <v>925</v>
      </c>
      <c r="H443" t="s">
        <v>926</v>
      </c>
      <c r="I443" t="s">
        <v>28</v>
      </c>
      <c r="J443">
        <v>7084</v>
      </c>
      <c r="K443">
        <v>317</v>
      </c>
      <c r="L443" t="s">
        <v>42</v>
      </c>
      <c r="M443" s="1">
        <v>44959</v>
      </c>
      <c r="N443" t="s">
        <v>67</v>
      </c>
      <c r="O443" t="s">
        <v>31</v>
      </c>
      <c r="P443" t="str">
        <f t="shared" si="136"/>
        <v>P0442</v>
      </c>
      <c r="Q443" t="str">
        <f t="shared" si="132"/>
        <v>Endocrinology</v>
      </c>
      <c r="R443">
        <f t="shared" si="133"/>
        <v>6</v>
      </c>
      <c r="S443" t="str">
        <f t="shared" ca="1" si="137"/>
        <v>No</v>
      </c>
      <c r="T443" t="str">
        <f t="shared" ca="1" si="138"/>
        <v>Critical</v>
      </c>
      <c r="U443" t="str">
        <f t="shared" ca="1" si="139"/>
        <v>Emergency</v>
      </c>
      <c r="V443" t="str">
        <f t="shared" si="140"/>
        <v>BED0442</v>
      </c>
      <c r="W443" t="str">
        <f t="shared" ca="1" si="141"/>
        <v>Private</v>
      </c>
      <c r="X443" t="str">
        <f t="shared" si="142"/>
        <v>NUR042</v>
      </c>
      <c r="Y443" t="str">
        <f t="shared" ca="1" si="143"/>
        <v>Night</v>
      </c>
      <c r="Z443" t="str">
        <f t="shared" ca="1" si="144"/>
        <v>X-Ray</v>
      </c>
      <c r="AA443" t="str">
        <f t="shared" ca="1" si="145"/>
        <v>In Use</v>
      </c>
      <c r="AB443" t="str">
        <f t="shared" ca="1" si="146"/>
        <v>Pending</v>
      </c>
      <c r="AC443" t="str">
        <f t="shared" ca="1" si="147"/>
        <v>Debit Card</v>
      </c>
      <c r="AD443" t="str">
        <f t="shared" ca="1" si="148"/>
        <v>Yes</v>
      </c>
      <c r="AE443" t="str">
        <f t="shared" ca="1" si="149"/>
        <v>No</v>
      </c>
      <c r="AF443" t="str">
        <f t="shared" ca="1" si="150"/>
        <v>Under Observation</v>
      </c>
      <c r="AG443" t="str">
        <f t="shared" ca="1" si="151"/>
        <v>West Coast</v>
      </c>
      <c r="AH443" t="str">
        <f t="shared" si="134"/>
        <v>January</v>
      </c>
      <c r="AI443">
        <f t="shared" si="135"/>
        <v>2023</v>
      </c>
      <c r="AJ443" t="str">
        <f t="shared" ca="1" si="152"/>
        <v>Occupied</v>
      </c>
      <c r="AK443">
        <f t="shared" ca="1" si="153"/>
        <v>1</v>
      </c>
    </row>
    <row r="444" spans="1:37" x14ac:dyDescent="0.3">
      <c r="A444" t="s">
        <v>4878</v>
      </c>
      <c r="B444">
        <v>66</v>
      </c>
      <c r="C444" t="s">
        <v>32</v>
      </c>
      <c r="D444" t="s">
        <v>98</v>
      </c>
      <c r="E444" t="s">
        <v>48</v>
      </c>
      <c r="F444" s="1">
        <v>44078</v>
      </c>
      <c r="G444" t="s">
        <v>927</v>
      </c>
      <c r="H444" t="s">
        <v>928</v>
      </c>
      <c r="I444" t="s">
        <v>28</v>
      </c>
      <c r="J444">
        <v>2068</v>
      </c>
      <c r="K444">
        <v>302</v>
      </c>
      <c r="L444" t="s">
        <v>21</v>
      </c>
      <c r="M444" s="1">
        <v>44094</v>
      </c>
      <c r="N444" t="s">
        <v>47</v>
      </c>
      <c r="O444" t="s">
        <v>31</v>
      </c>
      <c r="P444" t="str">
        <f t="shared" si="136"/>
        <v>P0443</v>
      </c>
      <c r="Q444" t="str">
        <f t="shared" si="132"/>
        <v>Pulmonology</v>
      </c>
      <c r="R444">
        <f t="shared" si="133"/>
        <v>16</v>
      </c>
      <c r="S444" t="str">
        <f t="shared" ca="1" si="137"/>
        <v>No</v>
      </c>
      <c r="T444" t="str">
        <f t="shared" ca="1" si="138"/>
        <v>Mild</v>
      </c>
      <c r="U444" t="str">
        <f t="shared" ca="1" si="139"/>
        <v>ICU</v>
      </c>
      <c r="V444" t="str">
        <f t="shared" si="140"/>
        <v>BED0443</v>
      </c>
      <c r="W444" t="str">
        <f t="shared" ca="1" si="141"/>
        <v>Private</v>
      </c>
      <c r="X444" t="str">
        <f t="shared" si="142"/>
        <v>NUR043</v>
      </c>
      <c r="Y444" t="str">
        <f t="shared" ca="1" si="143"/>
        <v>Morning</v>
      </c>
      <c r="Z444" t="str">
        <f t="shared" ca="1" si="144"/>
        <v>X-Ray</v>
      </c>
      <c r="AA444" t="str">
        <f t="shared" ca="1" si="145"/>
        <v>Maintenance</v>
      </c>
      <c r="AB444" t="str">
        <f t="shared" ca="1" si="146"/>
        <v>Paid</v>
      </c>
      <c r="AC444" t="str">
        <f t="shared" ca="1" si="147"/>
        <v>Insurance</v>
      </c>
      <c r="AD444" t="str">
        <f t="shared" ca="1" si="148"/>
        <v>Yes</v>
      </c>
      <c r="AE444" t="str">
        <f t="shared" ca="1" si="149"/>
        <v>No</v>
      </c>
      <c r="AF444" t="str">
        <f t="shared" ca="1" si="150"/>
        <v>Under Observation</v>
      </c>
      <c r="AG444" t="str">
        <f t="shared" ca="1" si="151"/>
        <v>Midwest</v>
      </c>
      <c r="AH444" t="str">
        <f t="shared" si="134"/>
        <v>September</v>
      </c>
      <c r="AI444">
        <f t="shared" si="135"/>
        <v>2020</v>
      </c>
      <c r="AJ444" t="str">
        <f t="shared" ca="1" si="152"/>
        <v>Occupied</v>
      </c>
      <c r="AK444">
        <f t="shared" ca="1" si="153"/>
        <v>4</v>
      </c>
    </row>
    <row r="445" spans="1:37" x14ac:dyDescent="0.3">
      <c r="A445" t="s">
        <v>4879</v>
      </c>
      <c r="B445">
        <v>79</v>
      </c>
      <c r="C445" t="s">
        <v>32</v>
      </c>
      <c r="D445" t="s">
        <v>44</v>
      </c>
      <c r="E445" t="s">
        <v>64</v>
      </c>
      <c r="F445" s="1">
        <v>43869</v>
      </c>
      <c r="G445" t="s">
        <v>929</v>
      </c>
      <c r="H445" t="s">
        <v>930</v>
      </c>
      <c r="I445" t="s">
        <v>20</v>
      </c>
      <c r="J445">
        <v>42956</v>
      </c>
      <c r="K445">
        <v>382</v>
      </c>
      <c r="L445" t="s">
        <v>42</v>
      </c>
      <c r="M445" s="1">
        <v>43882</v>
      </c>
      <c r="N445" t="s">
        <v>37</v>
      </c>
      <c r="O445" t="s">
        <v>23</v>
      </c>
      <c r="P445" t="str">
        <f t="shared" si="136"/>
        <v>P0444</v>
      </c>
      <c r="Q445" t="str">
        <f t="shared" si="132"/>
        <v>Cardiology</v>
      </c>
      <c r="R445">
        <f t="shared" si="133"/>
        <v>13</v>
      </c>
      <c r="S445" t="str">
        <f t="shared" ca="1" si="137"/>
        <v>No</v>
      </c>
      <c r="T445" t="str">
        <f t="shared" ca="1" si="138"/>
        <v>Severe</v>
      </c>
      <c r="U445" t="str">
        <f t="shared" ca="1" si="139"/>
        <v>Emergency</v>
      </c>
      <c r="V445" t="str">
        <f t="shared" si="140"/>
        <v>BED0444</v>
      </c>
      <c r="W445" t="str">
        <f t="shared" ca="1" si="141"/>
        <v>ICU</v>
      </c>
      <c r="X445" t="str">
        <f t="shared" si="142"/>
        <v>NUR044</v>
      </c>
      <c r="Y445" t="str">
        <f t="shared" ca="1" si="143"/>
        <v>Morning</v>
      </c>
      <c r="Z445" t="str">
        <f t="shared" ca="1" si="144"/>
        <v>ECG Machine</v>
      </c>
      <c r="AA445" t="str">
        <f t="shared" ca="1" si="145"/>
        <v>Maintenance</v>
      </c>
      <c r="AB445" t="str">
        <f t="shared" ca="1" si="146"/>
        <v>Partially Paid</v>
      </c>
      <c r="AC445" t="str">
        <f t="shared" ca="1" si="147"/>
        <v>Insurance</v>
      </c>
      <c r="AD445" t="str">
        <f t="shared" ca="1" si="148"/>
        <v>Yes</v>
      </c>
      <c r="AE445" t="str">
        <f t="shared" ca="1" si="149"/>
        <v>No</v>
      </c>
      <c r="AF445" t="str">
        <f t="shared" ca="1" si="150"/>
        <v>Recovered</v>
      </c>
      <c r="AG445" t="str">
        <f t="shared" ca="1" si="151"/>
        <v>Midwest</v>
      </c>
      <c r="AH445" t="str">
        <f t="shared" si="134"/>
        <v>February</v>
      </c>
      <c r="AI445">
        <f t="shared" si="135"/>
        <v>2020</v>
      </c>
      <c r="AJ445" t="str">
        <f t="shared" ca="1" si="152"/>
        <v>Vacant</v>
      </c>
      <c r="AK445">
        <f t="shared" ca="1" si="153"/>
        <v>4</v>
      </c>
    </row>
    <row r="446" spans="1:37" x14ac:dyDescent="0.3">
      <c r="A446" t="s">
        <v>4880</v>
      </c>
      <c r="B446">
        <v>59</v>
      </c>
      <c r="C446" t="s">
        <v>32</v>
      </c>
      <c r="D446" t="s">
        <v>38</v>
      </c>
      <c r="E446" t="s">
        <v>39</v>
      </c>
      <c r="F446" s="1">
        <v>43647</v>
      </c>
      <c r="G446" t="s">
        <v>931</v>
      </c>
      <c r="H446" t="s">
        <v>932</v>
      </c>
      <c r="I446" t="s">
        <v>36</v>
      </c>
      <c r="J446">
        <v>17307</v>
      </c>
      <c r="K446">
        <v>255</v>
      </c>
      <c r="L446" t="s">
        <v>21</v>
      </c>
      <c r="M446" s="1">
        <v>43651</v>
      </c>
      <c r="N446" t="s">
        <v>47</v>
      </c>
      <c r="O446" t="s">
        <v>43</v>
      </c>
      <c r="P446" t="str">
        <f t="shared" si="136"/>
        <v>P0445</v>
      </c>
      <c r="Q446" t="str">
        <f t="shared" si="132"/>
        <v>Endocrinology</v>
      </c>
      <c r="R446">
        <f t="shared" si="133"/>
        <v>4</v>
      </c>
      <c r="S446" t="str">
        <f t="shared" ca="1" si="137"/>
        <v>No</v>
      </c>
      <c r="T446" t="str">
        <f t="shared" ca="1" si="138"/>
        <v>Critical</v>
      </c>
      <c r="U446" t="str">
        <f t="shared" ca="1" si="139"/>
        <v>Emergency</v>
      </c>
      <c r="V446" t="str">
        <f t="shared" si="140"/>
        <v>BED0445</v>
      </c>
      <c r="W446" t="str">
        <f t="shared" ca="1" si="141"/>
        <v>ICU</v>
      </c>
      <c r="X446" t="str">
        <f t="shared" si="142"/>
        <v>NUR045</v>
      </c>
      <c r="Y446" t="str">
        <f t="shared" ca="1" si="143"/>
        <v>Morning</v>
      </c>
      <c r="Z446" t="str">
        <f t="shared" ca="1" si="144"/>
        <v>CT Scanner</v>
      </c>
      <c r="AA446" t="str">
        <f t="shared" ca="1" si="145"/>
        <v>Available</v>
      </c>
      <c r="AB446" t="str">
        <f t="shared" ca="1" si="146"/>
        <v>Pending</v>
      </c>
      <c r="AC446" t="str">
        <f t="shared" ca="1" si="147"/>
        <v>Credit Card</v>
      </c>
      <c r="AD446" t="str">
        <f t="shared" ca="1" si="148"/>
        <v>Yes</v>
      </c>
      <c r="AE446" t="str">
        <f t="shared" ca="1" si="149"/>
        <v>No</v>
      </c>
      <c r="AF446" t="str">
        <f t="shared" ca="1" si="150"/>
        <v>Under Observation</v>
      </c>
      <c r="AG446" t="str">
        <f t="shared" ca="1" si="151"/>
        <v>Midwest</v>
      </c>
      <c r="AH446" t="str">
        <f t="shared" si="134"/>
        <v>July</v>
      </c>
      <c r="AI446">
        <f t="shared" si="135"/>
        <v>2019</v>
      </c>
      <c r="AJ446" t="str">
        <f t="shared" ca="1" si="152"/>
        <v>Occupied</v>
      </c>
      <c r="AK446">
        <f t="shared" ca="1" si="153"/>
        <v>2</v>
      </c>
    </row>
    <row r="447" spans="1:37" x14ac:dyDescent="0.3">
      <c r="A447" t="s">
        <v>4881</v>
      </c>
      <c r="B447">
        <v>47</v>
      </c>
      <c r="C447" t="s">
        <v>15</v>
      </c>
      <c r="D447" t="s">
        <v>38</v>
      </c>
      <c r="E447" t="s">
        <v>48</v>
      </c>
      <c r="F447" s="1">
        <v>45292</v>
      </c>
      <c r="G447" t="s">
        <v>933</v>
      </c>
      <c r="H447" t="s">
        <v>934</v>
      </c>
      <c r="I447" t="s">
        <v>36</v>
      </c>
      <c r="J447">
        <v>41492</v>
      </c>
      <c r="K447">
        <v>388</v>
      </c>
      <c r="L447" t="s">
        <v>42</v>
      </c>
      <c r="M447" s="1">
        <v>45303</v>
      </c>
      <c r="N447" t="s">
        <v>37</v>
      </c>
      <c r="O447" t="s">
        <v>23</v>
      </c>
      <c r="P447" t="str">
        <f t="shared" si="136"/>
        <v>P0446</v>
      </c>
      <c r="Q447" t="str">
        <f t="shared" si="132"/>
        <v>Pulmonology</v>
      </c>
      <c r="R447">
        <f t="shared" si="133"/>
        <v>11</v>
      </c>
      <c r="S447" t="str">
        <f t="shared" ca="1" si="137"/>
        <v>No</v>
      </c>
      <c r="T447" t="str">
        <f t="shared" ca="1" si="138"/>
        <v>Moderate</v>
      </c>
      <c r="U447" t="str">
        <f t="shared" ca="1" si="139"/>
        <v>ICU</v>
      </c>
      <c r="V447" t="str">
        <f t="shared" si="140"/>
        <v>BED0446</v>
      </c>
      <c r="W447" t="str">
        <f t="shared" ca="1" si="141"/>
        <v>Private</v>
      </c>
      <c r="X447" t="str">
        <f t="shared" si="142"/>
        <v>NUR046</v>
      </c>
      <c r="Y447" t="str">
        <f t="shared" ca="1" si="143"/>
        <v>Morning</v>
      </c>
      <c r="Z447" t="str">
        <f t="shared" ca="1" si="144"/>
        <v>Ventilator</v>
      </c>
      <c r="AA447" t="str">
        <f t="shared" ca="1" si="145"/>
        <v>Maintenance</v>
      </c>
      <c r="AB447" t="str">
        <f t="shared" ca="1" si="146"/>
        <v>Pending</v>
      </c>
      <c r="AC447" t="str">
        <f t="shared" ca="1" si="147"/>
        <v>Cash</v>
      </c>
      <c r="AD447" t="str">
        <f t="shared" ca="1" si="148"/>
        <v>No</v>
      </c>
      <c r="AE447" t="str">
        <f t="shared" ca="1" si="149"/>
        <v>No</v>
      </c>
      <c r="AF447" t="str">
        <f t="shared" ca="1" si="150"/>
        <v>Under Observation</v>
      </c>
      <c r="AG447" t="str">
        <f t="shared" ca="1" si="151"/>
        <v>West Coast</v>
      </c>
      <c r="AH447" t="str">
        <f t="shared" si="134"/>
        <v>January</v>
      </c>
      <c r="AI447">
        <f t="shared" si="135"/>
        <v>2024</v>
      </c>
      <c r="AJ447" t="str">
        <f t="shared" ca="1" si="152"/>
        <v>Occupied</v>
      </c>
      <c r="AK447">
        <f t="shared" ca="1" si="153"/>
        <v>4</v>
      </c>
    </row>
    <row r="448" spans="1:37" x14ac:dyDescent="0.3">
      <c r="A448" t="s">
        <v>4882</v>
      </c>
      <c r="B448">
        <v>49</v>
      </c>
      <c r="C448" t="s">
        <v>15</v>
      </c>
      <c r="D448" t="s">
        <v>44</v>
      </c>
      <c r="E448" t="s">
        <v>25</v>
      </c>
      <c r="F448" s="1">
        <v>44265</v>
      </c>
      <c r="G448" t="s">
        <v>935</v>
      </c>
      <c r="H448" t="s">
        <v>936</v>
      </c>
      <c r="I448" t="s">
        <v>51</v>
      </c>
      <c r="J448">
        <v>16098</v>
      </c>
      <c r="K448">
        <v>310</v>
      </c>
      <c r="L448" t="s">
        <v>29</v>
      </c>
      <c r="M448" s="1">
        <v>44293</v>
      </c>
      <c r="N448" t="s">
        <v>22</v>
      </c>
      <c r="O448" t="s">
        <v>23</v>
      </c>
      <c r="P448" t="str">
        <f t="shared" si="136"/>
        <v>P0447</v>
      </c>
      <c r="Q448" t="str">
        <f t="shared" si="132"/>
        <v>Nutrition</v>
      </c>
      <c r="R448">
        <f t="shared" si="133"/>
        <v>28</v>
      </c>
      <c r="S448" t="str">
        <f t="shared" ca="1" si="137"/>
        <v>No</v>
      </c>
      <c r="T448" t="str">
        <f t="shared" ca="1" si="138"/>
        <v>Critical</v>
      </c>
      <c r="U448" t="str">
        <f t="shared" ca="1" si="139"/>
        <v>ICU</v>
      </c>
      <c r="V448" t="str">
        <f t="shared" si="140"/>
        <v>BED0447</v>
      </c>
      <c r="W448" t="str">
        <f t="shared" ca="1" si="141"/>
        <v>ICU</v>
      </c>
      <c r="X448" t="str">
        <f t="shared" si="142"/>
        <v>NUR047</v>
      </c>
      <c r="Y448" t="str">
        <f t="shared" ca="1" si="143"/>
        <v>Morning</v>
      </c>
      <c r="Z448" t="str">
        <f t="shared" ca="1" si="144"/>
        <v>MRI Scanner</v>
      </c>
      <c r="AA448" t="str">
        <f t="shared" ca="1" si="145"/>
        <v>Maintenance</v>
      </c>
      <c r="AB448" t="str">
        <f t="shared" ca="1" si="146"/>
        <v>Paid</v>
      </c>
      <c r="AC448" t="str">
        <f t="shared" ca="1" si="147"/>
        <v>Debit Card</v>
      </c>
      <c r="AD448" t="str">
        <f t="shared" ca="1" si="148"/>
        <v>No</v>
      </c>
      <c r="AE448" t="str">
        <f t="shared" ca="1" si="149"/>
        <v>No</v>
      </c>
      <c r="AF448" t="str">
        <f t="shared" ca="1" si="150"/>
        <v>Under Observation</v>
      </c>
      <c r="AG448" t="str">
        <f t="shared" ca="1" si="151"/>
        <v>Midwest</v>
      </c>
      <c r="AH448" t="str">
        <f t="shared" si="134"/>
        <v>March</v>
      </c>
      <c r="AI448">
        <f t="shared" si="135"/>
        <v>2021</v>
      </c>
      <c r="AJ448" t="str">
        <f t="shared" ca="1" si="152"/>
        <v>Occupied</v>
      </c>
      <c r="AK448">
        <f t="shared" ca="1" si="153"/>
        <v>2</v>
      </c>
    </row>
    <row r="449" spans="1:37" x14ac:dyDescent="0.3">
      <c r="A449" t="s">
        <v>4883</v>
      </c>
      <c r="B449">
        <v>35</v>
      </c>
      <c r="C449" t="s">
        <v>15</v>
      </c>
      <c r="D449" t="s">
        <v>44</v>
      </c>
      <c r="E449" t="s">
        <v>17</v>
      </c>
      <c r="F449" s="1">
        <v>43727</v>
      </c>
      <c r="G449" t="s">
        <v>937</v>
      </c>
      <c r="H449" t="s">
        <v>938</v>
      </c>
      <c r="I449" t="s">
        <v>20</v>
      </c>
      <c r="J449">
        <v>44496</v>
      </c>
      <c r="K449">
        <v>469</v>
      </c>
      <c r="L449" t="s">
        <v>42</v>
      </c>
      <c r="M449" s="1">
        <v>43754</v>
      </c>
      <c r="N449" t="s">
        <v>22</v>
      </c>
      <c r="O449" t="s">
        <v>31</v>
      </c>
      <c r="P449" t="str">
        <f t="shared" si="136"/>
        <v>P0448</v>
      </c>
      <c r="Q449" t="str">
        <f t="shared" si="132"/>
        <v>Oncology</v>
      </c>
      <c r="R449">
        <f t="shared" si="133"/>
        <v>27</v>
      </c>
      <c r="S449" t="str">
        <f t="shared" ca="1" si="137"/>
        <v>No</v>
      </c>
      <c r="T449" t="str">
        <f t="shared" ca="1" si="138"/>
        <v>Mild</v>
      </c>
      <c r="U449" t="str">
        <f t="shared" ca="1" si="139"/>
        <v>Private Ward</v>
      </c>
      <c r="V449" t="str">
        <f t="shared" si="140"/>
        <v>BED0448</v>
      </c>
      <c r="W449" t="str">
        <f t="shared" ca="1" si="141"/>
        <v>ICU</v>
      </c>
      <c r="X449" t="str">
        <f t="shared" si="142"/>
        <v>NUR048</v>
      </c>
      <c r="Y449" t="str">
        <f t="shared" ca="1" si="143"/>
        <v>Evening</v>
      </c>
      <c r="Z449" t="str">
        <f t="shared" ca="1" si="144"/>
        <v>CT Scanner</v>
      </c>
      <c r="AA449" t="str">
        <f t="shared" ca="1" si="145"/>
        <v>Available</v>
      </c>
      <c r="AB449" t="str">
        <f t="shared" ca="1" si="146"/>
        <v>Pending</v>
      </c>
      <c r="AC449" t="str">
        <f t="shared" ca="1" si="147"/>
        <v>Debit Card</v>
      </c>
      <c r="AD449" t="str">
        <f t="shared" ca="1" si="148"/>
        <v>No</v>
      </c>
      <c r="AE449" t="str">
        <f t="shared" ca="1" si="149"/>
        <v>No</v>
      </c>
      <c r="AF449" t="str">
        <f t="shared" ca="1" si="150"/>
        <v>Under Observation</v>
      </c>
      <c r="AG449" t="str">
        <f t="shared" ca="1" si="151"/>
        <v>Southwest</v>
      </c>
      <c r="AH449" t="str">
        <f t="shared" si="134"/>
        <v>September</v>
      </c>
      <c r="AI449">
        <f t="shared" si="135"/>
        <v>2019</v>
      </c>
      <c r="AJ449" t="str">
        <f t="shared" ca="1" si="152"/>
        <v>Occupied</v>
      </c>
      <c r="AK449">
        <f t="shared" ca="1" si="153"/>
        <v>2</v>
      </c>
    </row>
    <row r="450" spans="1:37" x14ac:dyDescent="0.3">
      <c r="A450" t="s">
        <v>4884</v>
      </c>
      <c r="B450">
        <v>69</v>
      </c>
      <c r="C450" t="s">
        <v>32</v>
      </c>
      <c r="D450" t="s">
        <v>83</v>
      </c>
      <c r="E450" t="s">
        <v>25</v>
      </c>
      <c r="F450" s="1">
        <v>44981</v>
      </c>
      <c r="G450" t="s">
        <v>939</v>
      </c>
      <c r="H450" t="s">
        <v>940</v>
      </c>
      <c r="I450" t="s">
        <v>20</v>
      </c>
      <c r="J450">
        <v>2937</v>
      </c>
      <c r="K450">
        <v>223</v>
      </c>
      <c r="L450" t="s">
        <v>29</v>
      </c>
      <c r="M450" s="1">
        <v>44982</v>
      </c>
      <c r="N450" t="s">
        <v>37</v>
      </c>
      <c r="O450" t="s">
        <v>43</v>
      </c>
      <c r="P450" t="str">
        <f t="shared" si="136"/>
        <v>P0449</v>
      </c>
      <c r="Q450" t="str">
        <f t="shared" ref="Q450:Q513" si="154">IF(E450="Cancer","Oncology",IF(E450="Obesity","Nutrition",IF(E450="Diabetes","Endocrinology",IF(E450="Asthma","Pulmonology",IF(E450="Arthritis","Orthopedics",IF(E450="Hypertension","Cardiology","General Medicine"))))))</f>
        <v>Nutrition</v>
      </c>
      <c r="R450">
        <f t="shared" ref="R450:R513" si="155">M450-F450</f>
        <v>1</v>
      </c>
      <c r="S450" t="str">
        <f t="shared" ca="1" si="137"/>
        <v>No</v>
      </c>
      <c r="T450" t="str">
        <f t="shared" ca="1" si="138"/>
        <v>Critical</v>
      </c>
      <c r="U450" t="str">
        <f t="shared" ca="1" si="139"/>
        <v>Semi-Private</v>
      </c>
      <c r="V450" t="str">
        <f t="shared" si="140"/>
        <v>BED0449</v>
      </c>
      <c r="W450" t="str">
        <f t="shared" ca="1" si="141"/>
        <v>Private</v>
      </c>
      <c r="X450" t="str">
        <f t="shared" si="142"/>
        <v>NUR049</v>
      </c>
      <c r="Y450" t="str">
        <f t="shared" ca="1" si="143"/>
        <v>Morning</v>
      </c>
      <c r="Z450" t="str">
        <f t="shared" ca="1" si="144"/>
        <v>ECG Machine</v>
      </c>
      <c r="AA450" t="str">
        <f t="shared" ca="1" si="145"/>
        <v>In Use</v>
      </c>
      <c r="AB450" t="str">
        <f t="shared" ca="1" si="146"/>
        <v>Partially Paid</v>
      </c>
      <c r="AC450" t="str">
        <f t="shared" ca="1" si="147"/>
        <v>Credit Card</v>
      </c>
      <c r="AD450" t="str">
        <f t="shared" ca="1" si="148"/>
        <v>No</v>
      </c>
      <c r="AE450" t="str">
        <f t="shared" ca="1" si="149"/>
        <v>No</v>
      </c>
      <c r="AF450" t="str">
        <f t="shared" ca="1" si="150"/>
        <v>Under Observation</v>
      </c>
      <c r="AG450" t="str">
        <f t="shared" ca="1" si="151"/>
        <v>West Coast</v>
      </c>
      <c r="AH450" t="str">
        <f t="shared" ref="AH450:AH513" si="156">TEXT(F450,"MMMM")</f>
        <v>February</v>
      </c>
      <c r="AI450">
        <f t="shared" ref="AI450:AI513" si="157">YEAR(F450)</f>
        <v>2023</v>
      </c>
      <c r="AJ450" t="str">
        <f t="shared" ca="1" si="152"/>
        <v>Occupied</v>
      </c>
      <c r="AK450">
        <f t="shared" ca="1" si="153"/>
        <v>4</v>
      </c>
    </row>
    <row r="451" spans="1:37" x14ac:dyDescent="0.3">
      <c r="A451" t="s">
        <v>4885</v>
      </c>
      <c r="B451">
        <v>57</v>
      </c>
      <c r="C451" t="s">
        <v>15</v>
      </c>
      <c r="D451" t="s">
        <v>38</v>
      </c>
      <c r="E451" t="s">
        <v>25</v>
      </c>
      <c r="F451" s="1">
        <v>44650</v>
      </c>
      <c r="G451" t="s">
        <v>941</v>
      </c>
      <c r="H451" t="s">
        <v>942</v>
      </c>
      <c r="I451" t="s">
        <v>51</v>
      </c>
      <c r="J451">
        <v>43374</v>
      </c>
      <c r="K451">
        <v>232</v>
      </c>
      <c r="L451" t="s">
        <v>29</v>
      </c>
      <c r="M451" s="1">
        <v>44665</v>
      </c>
      <c r="N451" t="s">
        <v>67</v>
      </c>
      <c r="O451" t="s">
        <v>31</v>
      </c>
      <c r="P451" t="str">
        <f t="shared" ref="P451:P514" si="158">"P"&amp;TEXT(ROW()-1,"0000")</f>
        <v>P0450</v>
      </c>
      <c r="Q451" t="str">
        <f t="shared" si="154"/>
        <v>Nutrition</v>
      </c>
      <c r="R451">
        <f t="shared" si="155"/>
        <v>15</v>
      </c>
      <c r="S451" t="str">
        <f t="shared" ref="S451:S514" ca="1" si="159">IF(RAND()&lt;0.1,"Yes","No")</f>
        <v>No</v>
      </c>
      <c r="T451" t="str">
        <f t="shared" ref="T451:T514" ca="1" si="160">CHOOSE(RANDBETWEEN(1,4),"Mild","Moderate","Severe","Critical")</f>
        <v>Severe</v>
      </c>
      <c r="U451" t="str">
        <f t="shared" ref="U451:U514" ca="1" si="161">CHOOSE(RANDBETWEEN(1,5),"General Ward","ICU","Emergency","Private Ward","Semi-Private")</f>
        <v>Semi-Private</v>
      </c>
      <c r="V451" t="str">
        <f t="shared" ref="V451:V514" si="162">"BED"&amp;TEXT(ROW()-1,"0000")</f>
        <v>BED0450</v>
      </c>
      <c r="W451" t="str">
        <f t="shared" ref="W451:W514" ca="1" si="163">CHOOSE(RANDBETWEEN(1,4),"General","Private","Semi-Private","ICU")</f>
        <v>General</v>
      </c>
      <c r="X451" t="str">
        <f t="shared" ref="X451:X514" si="164">"NUR"&amp;TEXT(MOD(ROW()-2,50)+1,"000")</f>
        <v>NUR050</v>
      </c>
      <c r="Y451" t="str">
        <f t="shared" ref="Y451:Y514" ca="1" si="165">CHOOSE(RANDBETWEEN(1,3),"Morning","Evening","Night")</f>
        <v>Night</v>
      </c>
      <c r="Z451" t="str">
        <f t="shared" ref="Z451:Z514" ca="1" si="166">CHOOSE(RANDBETWEEN(1,6),"MRI Scanner","CT Scanner","Ventilator","X-Ray","ECG Machine","Ultrasound")</f>
        <v>MRI Scanner</v>
      </c>
      <c r="AA451" t="str">
        <f t="shared" ref="AA451:AA514" ca="1" si="167">CHOOSE(RANDBETWEEN(1,3),"Available","In Use","Maintenance")</f>
        <v>Maintenance</v>
      </c>
      <c r="AB451" t="str">
        <f t="shared" ref="AB451:AB514" ca="1" si="168">CHOOSE(RANDBETWEEN(1,3),"Paid","Pending","Partially Paid")</f>
        <v>Paid</v>
      </c>
      <c r="AC451" t="str">
        <f t="shared" ref="AC451:AC514" ca="1" si="169">CHOOSE(RANDBETWEEN(1,5),"Cash","Credit Card","Debit Card","Insurance","Bank Transfer")</f>
        <v>Cash</v>
      </c>
      <c r="AD451" t="str">
        <f t="shared" ref="AD451:AD514" ca="1" si="170">IF(RAND()&lt;0.2,"Yes","No")</f>
        <v>No</v>
      </c>
      <c r="AE451" t="str">
        <f t="shared" ref="AE451:AE514" ca="1" si="171">IF(RAND()&lt;0.15,"Yes","No")</f>
        <v>Yes</v>
      </c>
      <c r="AF451" t="str">
        <f t="shared" ref="AF451:AF514" ca="1" si="172">CHOOSE(RANDBETWEEN(1,3),"Recovered","Transferred","Under Observation")</f>
        <v>Under Observation</v>
      </c>
      <c r="AG451" t="str">
        <f t="shared" ref="AG451:AG514" ca="1" si="173">CHOOSE(RANDBETWEEN(1,5),"Northeast","Southeast","Midwest","Southwest","West Coast")</f>
        <v>Southeast</v>
      </c>
      <c r="AH451" t="str">
        <f t="shared" si="156"/>
        <v>March</v>
      </c>
      <c r="AI451">
        <f t="shared" si="157"/>
        <v>2022</v>
      </c>
      <c r="AJ451" t="str">
        <f t="shared" ref="AJ451:AJ514" ca="1" si="174">IF(RANDBETWEEN(1,100)&lt;=80,"Occupied","Vacant")</f>
        <v>Occupied</v>
      </c>
      <c r="AK451">
        <f t="shared" ref="AK451:AK514" ca="1" si="175">CHOOSE(RANDBETWEEN(1,3),1,2,4)</f>
        <v>4</v>
      </c>
    </row>
    <row r="452" spans="1:37" x14ac:dyDescent="0.3">
      <c r="A452" t="s">
        <v>4886</v>
      </c>
      <c r="B452">
        <v>51</v>
      </c>
      <c r="C452" t="s">
        <v>32</v>
      </c>
      <c r="D452" t="s">
        <v>24</v>
      </c>
      <c r="E452" t="s">
        <v>48</v>
      </c>
      <c r="F452" s="1">
        <v>43707</v>
      </c>
      <c r="G452" t="s">
        <v>943</v>
      </c>
      <c r="H452" t="s">
        <v>944</v>
      </c>
      <c r="I452" t="s">
        <v>36</v>
      </c>
      <c r="J452">
        <v>6950</v>
      </c>
      <c r="K452">
        <v>366</v>
      </c>
      <c r="L452" t="s">
        <v>21</v>
      </c>
      <c r="M452" s="1">
        <v>43725</v>
      </c>
      <c r="N452" t="s">
        <v>22</v>
      </c>
      <c r="O452" t="s">
        <v>31</v>
      </c>
      <c r="P452" t="str">
        <f t="shared" si="158"/>
        <v>P0451</v>
      </c>
      <c r="Q452" t="str">
        <f t="shared" si="154"/>
        <v>Pulmonology</v>
      </c>
      <c r="R452">
        <f t="shared" si="155"/>
        <v>18</v>
      </c>
      <c r="S452" t="str">
        <f t="shared" ca="1" si="159"/>
        <v>Yes</v>
      </c>
      <c r="T452" t="str">
        <f t="shared" ca="1" si="160"/>
        <v>Critical</v>
      </c>
      <c r="U452" t="str">
        <f t="shared" ca="1" si="161"/>
        <v>Semi-Private</v>
      </c>
      <c r="V452" t="str">
        <f t="shared" si="162"/>
        <v>BED0451</v>
      </c>
      <c r="W452" t="str">
        <f t="shared" ca="1" si="163"/>
        <v>General</v>
      </c>
      <c r="X452" t="str">
        <f t="shared" si="164"/>
        <v>NUR001</v>
      </c>
      <c r="Y452" t="str">
        <f t="shared" ca="1" si="165"/>
        <v>Evening</v>
      </c>
      <c r="Z452" t="str">
        <f t="shared" ca="1" si="166"/>
        <v>Ultrasound</v>
      </c>
      <c r="AA452" t="str">
        <f t="shared" ca="1" si="167"/>
        <v>Available</v>
      </c>
      <c r="AB452" t="str">
        <f t="shared" ca="1" si="168"/>
        <v>Partially Paid</v>
      </c>
      <c r="AC452" t="str">
        <f t="shared" ca="1" si="169"/>
        <v>Cash</v>
      </c>
      <c r="AD452" t="str">
        <f t="shared" ca="1" si="170"/>
        <v>No</v>
      </c>
      <c r="AE452" t="str">
        <f t="shared" ca="1" si="171"/>
        <v>No</v>
      </c>
      <c r="AF452" t="str">
        <f t="shared" ca="1" si="172"/>
        <v>Transferred</v>
      </c>
      <c r="AG452" t="str">
        <f t="shared" ca="1" si="173"/>
        <v>West Coast</v>
      </c>
      <c r="AH452" t="str">
        <f t="shared" si="156"/>
        <v>August</v>
      </c>
      <c r="AI452">
        <f t="shared" si="157"/>
        <v>2019</v>
      </c>
      <c r="AJ452" t="str">
        <f t="shared" ca="1" si="174"/>
        <v>Occupied</v>
      </c>
      <c r="AK452">
        <f t="shared" ca="1" si="175"/>
        <v>4</v>
      </c>
    </row>
    <row r="453" spans="1:37" x14ac:dyDescent="0.3">
      <c r="A453" t="s">
        <v>4887</v>
      </c>
      <c r="B453">
        <v>31</v>
      </c>
      <c r="C453" t="s">
        <v>32</v>
      </c>
      <c r="D453" t="s">
        <v>38</v>
      </c>
      <c r="E453" t="s">
        <v>76</v>
      </c>
      <c r="F453" s="1">
        <v>43820</v>
      </c>
      <c r="G453" t="s">
        <v>945</v>
      </c>
      <c r="H453" t="s">
        <v>946</v>
      </c>
      <c r="I453" t="s">
        <v>20</v>
      </c>
      <c r="J453">
        <v>15449</v>
      </c>
      <c r="K453">
        <v>384</v>
      </c>
      <c r="L453" t="s">
        <v>42</v>
      </c>
      <c r="M453" s="1">
        <v>43830</v>
      </c>
      <c r="N453" t="s">
        <v>67</v>
      </c>
      <c r="O453" t="s">
        <v>43</v>
      </c>
      <c r="P453" t="str">
        <f t="shared" si="158"/>
        <v>P0452</v>
      </c>
      <c r="Q453" t="str">
        <f t="shared" si="154"/>
        <v>Orthopedics</v>
      </c>
      <c r="R453">
        <f t="shared" si="155"/>
        <v>10</v>
      </c>
      <c r="S453" t="str">
        <f t="shared" ca="1" si="159"/>
        <v>No</v>
      </c>
      <c r="T453" t="str">
        <f t="shared" ca="1" si="160"/>
        <v>Moderate</v>
      </c>
      <c r="U453" t="str">
        <f t="shared" ca="1" si="161"/>
        <v>Emergency</v>
      </c>
      <c r="V453" t="str">
        <f t="shared" si="162"/>
        <v>BED0452</v>
      </c>
      <c r="W453" t="str">
        <f t="shared" ca="1" si="163"/>
        <v>ICU</v>
      </c>
      <c r="X453" t="str">
        <f t="shared" si="164"/>
        <v>NUR002</v>
      </c>
      <c r="Y453" t="str">
        <f t="shared" ca="1" si="165"/>
        <v>Morning</v>
      </c>
      <c r="Z453" t="str">
        <f t="shared" ca="1" si="166"/>
        <v>X-Ray</v>
      </c>
      <c r="AA453" t="str">
        <f t="shared" ca="1" si="167"/>
        <v>Available</v>
      </c>
      <c r="AB453" t="str">
        <f t="shared" ca="1" si="168"/>
        <v>Partially Paid</v>
      </c>
      <c r="AC453" t="str">
        <f t="shared" ca="1" si="169"/>
        <v>Insurance</v>
      </c>
      <c r="AD453" t="str">
        <f t="shared" ca="1" si="170"/>
        <v>No</v>
      </c>
      <c r="AE453" t="str">
        <f t="shared" ca="1" si="171"/>
        <v>No</v>
      </c>
      <c r="AF453" t="str">
        <f t="shared" ca="1" si="172"/>
        <v>Recovered</v>
      </c>
      <c r="AG453" t="str">
        <f t="shared" ca="1" si="173"/>
        <v>Southwest</v>
      </c>
      <c r="AH453" t="str">
        <f t="shared" si="156"/>
        <v>December</v>
      </c>
      <c r="AI453">
        <f t="shared" si="157"/>
        <v>2019</v>
      </c>
      <c r="AJ453" t="str">
        <f t="shared" ca="1" si="174"/>
        <v>Vacant</v>
      </c>
      <c r="AK453">
        <f t="shared" ca="1" si="175"/>
        <v>1</v>
      </c>
    </row>
    <row r="454" spans="1:37" x14ac:dyDescent="0.3">
      <c r="A454" t="s">
        <v>4888</v>
      </c>
      <c r="B454">
        <v>34</v>
      </c>
      <c r="C454" t="s">
        <v>32</v>
      </c>
      <c r="D454" t="s">
        <v>33</v>
      </c>
      <c r="E454" t="s">
        <v>25</v>
      </c>
      <c r="F454" s="1">
        <v>43708</v>
      </c>
      <c r="G454" t="s">
        <v>947</v>
      </c>
      <c r="H454" t="s">
        <v>948</v>
      </c>
      <c r="I454" t="s">
        <v>20</v>
      </c>
      <c r="J454">
        <v>37458</v>
      </c>
      <c r="K454">
        <v>184</v>
      </c>
      <c r="L454" t="s">
        <v>42</v>
      </c>
      <c r="M454" s="1">
        <v>43736</v>
      </c>
      <c r="N454" t="s">
        <v>22</v>
      </c>
      <c r="O454" t="s">
        <v>43</v>
      </c>
      <c r="P454" t="str">
        <f t="shared" si="158"/>
        <v>P0453</v>
      </c>
      <c r="Q454" t="str">
        <f t="shared" si="154"/>
        <v>Nutrition</v>
      </c>
      <c r="R454">
        <f t="shared" si="155"/>
        <v>28</v>
      </c>
      <c r="S454" t="str">
        <f t="shared" ca="1" si="159"/>
        <v>No</v>
      </c>
      <c r="T454" t="str">
        <f t="shared" ca="1" si="160"/>
        <v>Critical</v>
      </c>
      <c r="U454" t="str">
        <f t="shared" ca="1" si="161"/>
        <v>Emergency</v>
      </c>
      <c r="V454" t="str">
        <f t="shared" si="162"/>
        <v>BED0453</v>
      </c>
      <c r="W454" t="str">
        <f t="shared" ca="1" si="163"/>
        <v>General</v>
      </c>
      <c r="X454" t="str">
        <f t="shared" si="164"/>
        <v>NUR003</v>
      </c>
      <c r="Y454" t="str">
        <f t="shared" ca="1" si="165"/>
        <v>Night</v>
      </c>
      <c r="Z454" t="str">
        <f t="shared" ca="1" si="166"/>
        <v>Ventilator</v>
      </c>
      <c r="AA454" t="str">
        <f t="shared" ca="1" si="167"/>
        <v>Available</v>
      </c>
      <c r="AB454" t="str">
        <f t="shared" ca="1" si="168"/>
        <v>Paid</v>
      </c>
      <c r="AC454" t="str">
        <f t="shared" ca="1" si="169"/>
        <v>Debit Card</v>
      </c>
      <c r="AD454" t="str">
        <f t="shared" ca="1" si="170"/>
        <v>No</v>
      </c>
      <c r="AE454" t="str">
        <f t="shared" ca="1" si="171"/>
        <v>No</v>
      </c>
      <c r="AF454" t="str">
        <f t="shared" ca="1" si="172"/>
        <v>Recovered</v>
      </c>
      <c r="AG454" t="str">
        <f t="shared" ca="1" si="173"/>
        <v>Northeast</v>
      </c>
      <c r="AH454" t="str">
        <f t="shared" si="156"/>
        <v>August</v>
      </c>
      <c r="AI454">
        <f t="shared" si="157"/>
        <v>2019</v>
      </c>
      <c r="AJ454" t="str">
        <f t="shared" ca="1" si="174"/>
        <v>Vacant</v>
      </c>
      <c r="AK454">
        <f t="shared" ca="1" si="175"/>
        <v>2</v>
      </c>
    </row>
    <row r="455" spans="1:37" x14ac:dyDescent="0.3">
      <c r="A455" t="s">
        <v>4889</v>
      </c>
      <c r="B455">
        <v>57</v>
      </c>
      <c r="C455" t="s">
        <v>15</v>
      </c>
      <c r="D455" t="s">
        <v>38</v>
      </c>
      <c r="E455" t="s">
        <v>17</v>
      </c>
      <c r="F455" s="1">
        <v>44650</v>
      </c>
      <c r="G455" t="s">
        <v>949</v>
      </c>
      <c r="H455" t="s">
        <v>950</v>
      </c>
      <c r="I455" t="s">
        <v>28</v>
      </c>
      <c r="J455">
        <v>5919</v>
      </c>
      <c r="K455">
        <v>455</v>
      </c>
      <c r="L455" t="s">
        <v>42</v>
      </c>
      <c r="M455" s="1">
        <v>44662</v>
      </c>
      <c r="N455" t="s">
        <v>30</v>
      </c>
      <c r="O455" t="s">
        <v>23</v>
      </c>
      <c r="P455" t="str">
        <f t="shared" si="158"/>
        <v>P0454</v>
      </c>
      <c r="Q455" t="str">
        <f t="shared" si="154"/>
        <v>Oncology</v>
      </c>
      <c r="R455">
        <f t="shared" si="155"/>
        <v>12</v>
      </c>
      <c r="S455" t="str">
        <f t="shared" ca="1" si="159"/>
        <v>No</v>
      </c>
      <c r="T455" t="str">
        <f t="shared" ca="1" si="160"/>
        <v>Mild</v>
      </c>
      <c r="U455" t="str">
        <f t="shared" ca="1" si="161"/>
        <v>Private Ward</v>
      </c>
      <c r="V455" t="str">
        <f t="shared" si="162"/>
        <v>BED0454</v>
      </c>
      <c r="W455" t="str">
        <f t="shared" ca="1" si="163"/>
        <v>ICU</v>
      </c>
      <c r="X455" t="str">
        <f t="shared" si="164"/>
        <v>NUR004</v>
      </c>
      <c r="Y455" t="str">
        <f t="shared" ca="1" si="165"/>
        <v>Night</v>
      </c>
      <c r="Z455" t="str">
        <f t="shared" ca="1" si="166"/>
        <v>Ultrasound</v>
      </c>
      <c r="AA455" t="str">
        <f t="shared" ca="1" si="167"/>
        <v>In Use</v>
      </c>
      <c r="AB455" t="str">
        <f t="shared" ca="1" si="168"/>
        <v>Pending</v>
      </c>
      <c r="AC455" t="str">
        <f t="shared" ca="1" si="169"/>
        <v>Insurance</v>
      </c>
      <c r="AD455" t="str">
        <f t="shared" ca="1" si="170"/>
        <v>No</v>
      </c>
      <c r="AE455" t="str">
        <f t="shared" ca="1" si="171"/>
        <v>No</v>
      </c>
      <c r="AF455" t="str">
        <f t="shared" ca="1" si="172"/>
        <v>Recovered</v>
      </c>
      <c r="AG455" t="str">
        <f t="shared" ca="1" si="173"/>
        <v>Southeast</v>
      </c>
      <c r="AH455" t="str">
        <f t="shared" si="156"/>
        <v>March</v>
      </c>
      <c r="AI455">
        <f t="shared" si="157"/>
        <v>2022</v>
      </c>
      <c r="AJ455" t="str">
        <f t="shared" ca="1" si="174"/>
        <v>Occupied</v>
      </c>
      <c r="AK455">
        <f t="shared" ca="1" si="175"/>
        <v>1</v>
      </c>
    </row>
    <row r="456" spans="1:37" x14ac:dyDescent="0.3">
      <c r="A456" t="s">
        <v>4890</v>
      </c>
      <c r="B456">
        <v>51</v>
      </c>
      <c r="C456" t="s">
        <v>32</v>
      </c>
      <c r="D456" t="s">
        <v>38</v>
      </c>
      <c r="E456" t="s">
        <v>76</v>
      </c>
      <c r="F456" s="1">
        <v>45149</v>
      </c>
      <c r="G456" t="s">
        <v>951</v>
      </c>
      <c r="H456" t="s">
        <v>952</v>
      </c>
      <c r="I456" t="s">
        <v>57</v>
      </c>
      <c r="J456">
        <v>21535</v>
      </c>
      <c r="K456">
        <v>198</v>
      </c>
      <c r="L456" t="s">
        <v>29</v>
      </c>
      <c r="M456" s="1">
        <v>45158</v>
      </c>
      <c r="N456" t="s">
        <v>47</v>
      </c>
      <c r="O456" t="s">
        <v>23</v>
      </c>
      <c r="P456" t="str">
        <f t="shared" si="158"/>
        <v>P0455</v>
      </c>
      <c r="Q456" t="str">
        <f t="shared" si="154"/>
        <v>Orthopedics</v>
      </c>
      <c r="R456">
        <f t="shared" si="155"/>
        <v>9</v>
      </c>
      <c r="S456" t="str">
        <f t="shared" ca="1" si="159"/>
        <v>No</v>
      </c>
      <c r="T456" t="str">
        <f t="shared" ca="1" si="160"/>
        <v>Severe</v>
      </c>
      <c r="U456" t="str">
        <f t="shared" ca="1" si="161"/>
        <v>Semi-Private</v>
      </c>
      <c r="V456" t="str">
        <f t="shared" si="162"/>
        <v>BED0455</v>
      </c>
      <c r="W456" t="str">
        <f t="shared" ca="1" si="163"/>
        <v>Semi-Private</v>
      </c>
      <c r="X456" t="str">
        <f t="shared" si="164"/>
        <v>NUR005</v>
      </c>
      <c r="Y456" t="str">
        <f t="shared" ca="1" si="165"/>
        <v>Night</v>
      </c>
      <c r="Z456" t="str">
        <f t="shared" ca="1" si="166"/>
        <v>Ultrasound</v>
      </c>
      <c r="AA456" t="str">
        <f t="shared" ca="1" si="167"/>
        <v>Available</v>
      </c>
      <c r="AB456" t="str">
        <f t="shared" ca="1" si="168"/>
        <v>Partially Paid</v>
      </c>
      <c r="AC456" t="str">
        <f t="shared" ca="1" si="169"/>
        <v>Bank Transfer</v>
      </c>
      <c r="AD456" t="str">
        <f t="shared" ca="1" si="170"/>
        <v>No</v>
      </c>
      <c r="AE456" t="str">
        <f t="shared" ca="1" si="171"/>
        <v>Yes</v>
      </c>
      <c r="AF456" t="str">
        <f t="shared" ca="1" si="172"/>
        <v>Transferred</v>
      </c>
      <c r="AG456" t="str">
        <f t="shared" ca="1" si="173"/>
        <v>Northeast</v>
      </c>
      <c r="AH456" t="str">
        <f t="shared" si="156"/>
        <v>August</v>
      </c>
      <c r="AI456">
        <f t="shared" si="157"/>
        <v>2023</v>
      </c>
      <c r="AJ456" t="str">
        <f t="shared" ca="1" si="174"/>
        <v>Occupied</v>
      </c>
      <c r="AK456">
        <f t="shared" ca="1" si="175"/>
        <v>2</v>
      </c>
    </row>
    <row r="457" spans="1:37" x14ac:dyDescent="0.3">
      <c r="A457" t="s">
        <v>4891</v>
      </c>
      <c r="B457">
        <v>85</v>
      </c>
      <c r="C457" t="s">
        <v>15</v>
      </c>
      <c r="D457" t="s">
        <v>83</v>
      </c>
      <c r="E457" t="s">
        <v>48</v>
      </c>
      <c r="F457" s="1">
        <v>44498</v>
      </c>
      <c r="G457" t="s">
        <v>953</v>
      </c>
      <c r="H457" t="s">
        <v>954</v>
      </c>
      <c r="I457" t="s">
        <v>57</v>
      </c>
      <c r="J457">
        <v>43394</v>
      </c>
      <c r="K457">
        <v>123</v>
      </c>
      <c r="L457" t="s">
        <v>42</v>
      </c>
      <c r="M457" s="1">
        <v>44525</v>
      </c>
      <c r="N457" t="s">
        <v>47</v>
      </c>
      <c r="O457" t="s">
        <v>31</v>
      </c>
      <c r="P457" t="str">
        <f t="shared" si="158"/>
        <v>P0456</v>
      </c>
      <c r="Q457" t="str">
        <f t="shared" si="154"/>
        <v>Pulmonology</v>
      </c>
      <c r="R457">
        <f t="shared" si="155"/>
        <v>27</v>
      </c>
      <c r="S457" t="str">
        <f t="shared" ca="1" si="159"/>
        <v>Yes</v>
      </c>
      <c r="T457" t="str">
        <f t="shared" ca="1" si="160"/>
        <v>Severe</v>
      </c>
      <c r="U457" t="str">
        <f t="shared" ca="1" si="161"/>
        <v>Semi-Private</v>
      </c>
      <c r="V457" t="str">
        <f t="shared" si="162"/>
        <v>BED0456</v>
      </c>
      <c r="W457" t="str">
        <f t="shared" ca="1" si="163"/>
        <v>Semi-Private</v>
      </c>
      <c r="X457" t="str">
        <f t="shared" si="164"/>
        <v>NUR006</v>
      </c>
      <c r="Y457" t="str">
        <f t="shared" ca="1" si="165"/>
        <v>Night</v>
      </c>
      <c r="Z457" t="str">
        <f t="shared" ca="1" si="166"/>
        <v>X-Ray</v>
      </c>
      <c r="AA457" t="str">
        <f t="shared" ca="1" si="167"/>
        <v>Available</v>
      </c>
      <c r="AB457" t="str">
        <f t="shared" ca="1" si="168"/>
        <v>Partially Paid</v>
      </c>
      <c r="AC457" t="str">
        <f t="shared" ca="1" si="169"/>
        <v>Credit Card</v>
      </c>
      <c r="AD457" t="str">
        <f t="shared" ca="1" si="170"/>
        <v>No</v>
      </c>
      <c r="AE457" t="str">
        <f t="shared" ca="1" si="171"/>
        <v>No</v>
      </c>
      <c r="AF457" t="str">
        <f t="shared" ca="1" si="172"/>
        <v>Recovered</v>
      </c>
      <c r="AG457" t="str">
        <f t="shared" ca="1" si="173"/>
        <v>Midwest</v>
      </c>
      <c r="AH457" t="str">
        <f t="shared" si="156"/>
        <v>October</v>
      </c>
      <c r="AI457">
        <f t="shared" si="157"/>
        <v>2021</v>
      </c>
      <c r="AJ457" t="str">
        <f t="shared" ca="1" si="174"/>
        <v>Occupied</v>
      </c>
      <c r="AK457">
        <f t="shared" ca="1" si="175"/>
        <v>4</v>
      </c>
    </row>
    <row r="458" spans="1:37" x14ac:dyDescent="0.3">
      <c r="A458" t="s">
        <v>4892</v>
      </c>
      <c r="B458">
        <v>51</v>
      </c>
      <c r="C458" t="s">
        <v>15</v>
      </c>
      <c r="D458" t="s">
        <v>33</v>
      </c>
      <c r="E458" t="s">
        <v>17</v>
      </c>
      <c r="F458" s="1">
        <v>44092</v>
      </c>
      <c r="G458" t="s">
        <v>955</v>
      </c>
      <c r="H458" t="s">
        <v>956</v>
      </c>
      <c r="I458" t="s">
        <v>28</v>
      </c>
      <c r="J458">
        <v>50333</v>
      </c>
      <c r="K458">
        <v>394</v>
      </c>
      <c r="L458" t="s">
        <v>29</v>
      </c>
      <c r="M458" s="1">
        <v>44116</v>
      </c>
      <c r="N458" t="s">
        <v>37</v>
      </c>
      <c r="O458" t="s">
        <v>43</v>
      </c>
      <c r="P458" t="str">
        <f t="shared" si="158"/>
        <v>P0457</v>
      </c>
      <c r="Q458" t="str">
        <f t="shared" si="154"/>
        <v>Oncology</v>
      </c>
      <c r="R458">
        <f t="shared" si="155"/>
        <v>24</v>
      </c>
      <c r="S458" t="str">
        <f t="shared" ca="1" si="159"/>
        <v>Yes</v>
      </c>
      <c r="T458" t="str">
        <f t="shared" ca="1" si="160"/>
        <v>Mild</v>
      </c>
      <c r="U458" t="str">
        <f t="shared" ca="1" si="161"/>
        <v>Emergency</v>
      </c>
      <c r="V458" t="str">
        <f t="shared" si="162"/>
        <v>BED0457</v>
      </c>
      <c r="W458" t="str">
        <f t="shared" ca="1" si="163"/>
        <v>General</v>
      </c>
      <c r="X458" t="str">
        <f t="shared" si="164"/>
        <v>NUR007</v>
      </c>
      <c r="Y458" t="str">
        <f t="shared" ca="1" si="165"/>
        <v>Morning</v>
      </c>
      <c r="Z458" t="str">
        <f t="shared" ca="1" si="166"/>
        <v>MRI Scanner</v>
      </c>
      <c r="AA458" t="str">
        <f t="shared" ca="1" si="167"/>
        <v>Maintenance</v>
      </c>
      <c r="AB458" t="str">
        <f t="shared" ca="1" si="168"/>
        <v>Paid</v>
      </c>
      <c r="AC458" t="str">
        <f t="shared" ca="1" si="169"/>
        <v>Bank Transfer</v>
      </c>
      <c r="AD458" t="str">
        <f t="shared" ca="1" si="170"/>
        <v>No</v>
      </c>
      <c r="AE458" t="str">
        <f t="shared" ca="1" si="171"/>
        <v>No</v>
      </c>
      <c r="AF458" t="str">
        <f t="shared" ca="1" si="172"/>
        <v>Recovered</v>
      </c>
      <c r="AG458" t="str">
        <f t="shared" ca="1" si="173"/>
        <v>Southeast</v>
      </c>
      <c r="AH458" t="str">
        <f t="shared" si="156"/>
        <v>September</v>
      </c>
      <c r="AI458">
        <f t="shared" si="157"/>
        <v>2020</v>
      </c>
      <c r="AJ458" t="str">
        <f t="shared" ca="1" si="174"/>
        <v>Occupied</v>
      </c>
      <c r="AK458">
        <f t="shared" ca="1" si="175"/>
        <v>4</v>
      </c>
    </row>
    <row r="459" spans="1:37" x14ac:dyDescent="0.3">
      <c r="A459" t="s">
        <v>4893</v>
      </c>
      <c r="B459">
        <v>39</v>
      </c>
      <c r="C459" t="s">
        <v>15</v>
      </c>
      <c r="D459" t="s">
        <v>44</v>
      </c>
      <c r="E459" t="s">
        <v>17</v>
      </c>
      <c r="F459" s="1">
        <v>44251</v>
      </c>
      <c r="G459" t="s">
        <v>957</v>
      </c>
      <c r="H459" t="s">
        <v>958</v>
      </c>
      <c r="I459" t="s">
        <v>36</v>
      </c>
      <c r="J459">
        <v>18063</v>
      </c>
      <c r="K459">
        <v>140</v>
      </c>
      <c r="L459" t="s">
        <v>21</v>
      </c>
      <c r="M459" s="1">
        <v>44272</v>
      </c>
      <c r="N459" t="s">
        <v>22</v>
      </c>
      <c r="O459" t="s">
        <v>31</v>
      </c>
      <c r="P459" t="str">
        <f t="shared" si="158"/>
        <v>P0458</v>
      </c>
      <c r="Q459" t="str">
        <f t="shared" si="154"/>
        <v>Oncology</v>
      </c>
      <c r="R459">
        <f t="shared" si="155"/>
        <v>21</v>
      </c>
      <c r="S459" t="str">
        <f t="shared" ca="1" si="159"/>
        <v>No</v>
      </c>
      <c r="T459" t="str">
        <f t="shared" ca="1" si="160"/>
        <v>Severe</v>
      </c>
      <c r="U459" t="str">
        <f t="shared" ca="1" si="161"/>
        <v>General Ward</v>
      </c>
      <c r="V459" t="str">
        <f t="shared" si="162"/>
        <v>BED0458</v>
      </c>
      <c r="W459" t="str">
        <f t="shared" ca="1" si="163"/>
        <v>Semi-Private</v>
      </c>
      <c r="X459" t="str">
        <f t="shared" si="164"/>
        <v>NUR008</v>
      </c>
      <c r="Y459" t="str">
        <f t="shared" ca="1" si="165"/>
        <v>Night</v>
      </c>
      <c r="Z459" t="str">
        <f t="shared" ca="1" si="166"/>
        <v>ECG Machine</v>
      </c>
      <c r="AA459" t="str">
        <f t="shared" ca="1" si="167"/>
        <v>Available</v>
      </c>
      <c r="AB459" t="str">
        <f t="shared" ca="1" si="168"/>
        <v>Partially Paid</v>
      </c>
      <c r="AC459" t="str">
        <f t="shared" ca="1" si="169"/>
        <v>Cash</v>
      </c>
      <c r="AD459" t="str">
        <f t="shared" ca="1" si="170"/>
        <v>No</v>
      </c>
      <c r="AE459" t="str">
        <f t="shared" ca="1" si="171"/>
        <v>No</v>
      </c>
      <c r="AF459" t="str">
        <f t="shared" ca="1" si="172"/>
        <v>Recovered</v>
      </c>
      <c r="AG459" t="str">
        <f t="shared" ca="1" si="173"/>
        <v>Northeast</v>
      </c>
      <c r="AH459" t="str">
        <f t="shared" si="156"/>
        <v>February</v>
      </c>
      <c r="AI459">
        <f t="shared" si="157"/>
        <v>2021</v>
      </c>
      <c r="AJ459" t="str">
        <f t="shared" ca="1" si="174"/>
        <v>Vacant</v>
      </c>
      <c r="AK459">
        <f t="shared" ca="1" si="175"/>
        <v>1</v>
      </c>
    </row>
    <row r="460" spans="1:37" x14ac:dyDescent="0.3">
      <c r="A460" t="s">
        <v>4894</v>
      </c>
      <c r="B460">
        <v>75</v>
      </c>
      <c r="C460" t="s">
        <v>15</v>
      </c>
      <c r="D460" t="s">
        <v>52</v>
      </c>
      <c r="E460" t="s">
        <v>64</v>
      </c>
      <c r="F460" s="1">
        <v>45114</v>
      </c>
      <c r="G460" t="s">
        <v>959</v>
      </c>
      <c r="H460" t="s">
        <v>960</v>
      </c>
      <c r="I460" t="s">
        <v>51</v>
      </c>
      <c r="J460">
        <v>30064</v>
      </c>
      <c r="K460">
        <v>110</v>
      </c>
      <c r="L460" t="s">
        <v>21</v>
      </c>
      <c r="M460" s="1">
        <v>45120</v>
      </c>
      <c r="N460" t="s">
        <v>22</v>
      </c>
      <c r="O460" t="s">
        <v>23</v>
      </c>
      <c r="P460" t="str">
        <f t="shared" si="158"/>
        <v>P0459</v>
      </c>
      <c r="Q460" t="str">
        <f t="shared" si="154"/>
        <v>Cardiology</v>
      </c>
      <c r="R460">
        <f t="shared" si="155"/>
        <v>6</v>
      </c>
      <c r="S460" t="str">
        <f t="shared" ca="1" si="159"/>
        <v>No</v>
      </c>
      <c r="T460" t="str">
        <f t="shared" ca="1" si="160"/>
        <v>Critical</v>
      </c>
      <c r="U460" t="str">
        <f t="shared" ca="1" si="161"/>
        <v>Semi-Private</v>
      </c>
      <c r="V460" t="str">
        <f t="shared" si="162"/>
        <v>BED0459</v>
      </c>
      <c r="W460" t="str">
        <f t="shared" ca="1" si="163"/>
        <v>Private</v>
      </c>
      <c r="X460" t="str">
        <f t="shared" si="164"/>
        <v>NUR009</v>
      </c>
      <c r="Y460" t="str">
        <f t="shared" ca="1" si="165"/>
        <v>Morning</v>
      </c>
      <c r="Z460" t="str">
        <f t="shared" ca="1" si="166"/>
        <v>CT Scanner</v>
      </c>
      <c r="AA460" t="str">
        <f t="shared" ca="1" si="167"/>
        <v>Available</v>
      </c>
      <c r="AB460" t="str">
        <f t="shared" ca="1" si="168"/>
        <v>Partially Paid</v>
      </c>
      <c r="AC460" t="str">
        <f t="shared" ca="1" si="169"/>
        <v>Bank Transfer</v>
      </c>
      <c r="AD460" t="str">
        <f t="shared" ca="1" si="170"/>
        <v>No</v>
      </c>
      <c r="AE460" t="str">
        <f t="shared" ca="1" si="171"/>
        <v>No</v>
      </c>
      <c r="AF460" t="str">
        <f t="shared" ca="1" si="172"/>
        <v>Transferred</v>
      </c>
      <c r="AG460" t="str">
        <f t="shared" ca="1" si="173"/>
        <v>Southeast</v>
      </c>
      <c r="AH460" t="str">
        <f t="shared" si="156"/>
        <v>July</v>
      </c>
      <c r="AI460">
        <f t="shared" si="157"/>
        <v>2023</v>
      </c>
      <c r="AJ460" t="str">
        <f t="shared" ca="1" si="174"/>
        <v>Occupied</v>
      </c>
      <c r="AK460">
        <f t="shared" ca="1" si="175"/>
        <v>1</v>
      </c>
    </row>
    <row r="461" spans="1:37" x14ac:dyDescent="0.3">
      <c r="A461" t="s">
        <v>4895</v>
      </c>
      <c r="B461">
        <v>46</v>
      </c>
      <c r="C461" t="s">
        <v>32</v>
      </c>
      <c r="D461" t="s">
        <v>38</v>
      </c>
      <c r="E461" t="s">
        <v>64</v>
      </c>
      <c r="F461" s="1">
        <v>45103</v>
      </c>
      <c r="G461" t="s">
        <v>961</v>
      </c>
      <c r="H461" t="s">
        <v>962</v>
      </c>
      <c r="I461" t="s">
        <v>20</v>
      </c>
      <c r="J461">
        <v>45441</v>
      </c>
      <c r="K461">
        <v>462</v>
      </c>
      <c r="L461" t="s">
        <v>42</v>
      </c>
      <c r="M461" s="1">
        <v>45130</v>
      </c>
      <c r="N461" t="s">
        <v>30</v>
      </c>
      <c r="O461" t="s">
        <v>31</v>
      </c>
      <c r="P461" t="str">
        <f t="shared" si="158"/>
        <v>P0460</v>
      </c>
      <c r="Q461" t="str">
        <f t="shared" si="154"/>
        <v>Cardiology</v>
      </c>
      <c r="R461">
        <f t="shared" si="155"/>
        <v>27</v>
      </c>
      <c r="S461" t="str">
        <f t="shared" ca="1" si="159"/>
        <v>No</v>
      </c>
      <c r="T461" t="str">
        <f t="shared" ca="1" si="160"/>
        <v>Critical</v>
      </c>
      <c r="U461" t="str">
        <f t="shared" ca="1" si="161"/>
        <v>Private Ward</v>
      </c>
      <c r="V461" t="str">
        <f t="shared" si="162"/>
        <v>BED0460</v>
      </c>
      <c r="W461" t="str">
        <f t="shared" ca="1" si="163"/>
        <v>Private</v>
      </c>
      <c r="X461" t="str">
        <f t="shared" si="164"/>
        <v>NUR010</v>
      </c>
      <c r="Y461" t="str">
        <f t="shared" ca="1" si="165"/>
        <v>Night</v>
      </c>
      <c r="Z461" t="str">
        <f t="shared" ca="1" si="166"/>
        <v>CT Scanner</v>
      </c>
      <c r="AA461" t="str">
        <f t="shared" ca="1" si="167"/>
        <v>Maintenance</v>
      </c>
      <c r="AB461" t="str">
        <f t="shared" ca="1" si="168"/>
        <v>Pending</v>
      </c>
      <c r="AC461" t="str">
        <f t="shared" ca="1" si="169"/>
        <v>Debit Card</v>
      </c>
      <c r="AD461" t="str">
        <f t="shared" ca="1" si="170"/>
        <v>No</v>
      </c>
      <c r="AE461" t="str">
        <f t="shared" ca="1" si="171"/>
        <v>No</v>
      </c>
      <c r="AF461" t="str">
        <f t="shared" ca="1" si="172"/>
        <v>Under Observation</v>
      </c>
      <c r="AG461" t="str">
        <f t="shared" ca="1" si="173"/>
        <v>West Coast</v>
      </c>
      <c r="AH461" t="str">
        <f t="shared" si="156"/>
        <v>June</v>
      </c>
      <c r="AI461">
        <f t="shared" si="157"/>
        <v>2023</v>
      </c>
      <c r="AJ461" t="str">
        <f t="shared" ca="1" si="174"/>
        <v>Occupied</v>
      </c>
      <c r="AK461">
        <f t="shared" ca="1" si="175"/>
        <v>1</v>
      </c>
    </row>
    <row r="462" spans="1:37" x14ac:dyDescent="0.3">
      <c r="A462" t="s">
        <v>4896</v>
      </c>
      <c r="B462">
        <v>47</v>
      </c>
      <c r="C462" t="s">
        <v>15</v>
      </c>
      <c r="D462" t="s">
        <v>98</v>
      </c>
      <c r="E462" t="s">
        <v>25</v>
      </c>
      <c r="F462" s="1">
        <v>44512</v>
      </c>
      <c r="G462" t="s">
        <v>963</v>
      </c>
      <c r="H462" t="s">
        <v>964</v>
      </c>
      <c r="I462" t="s">
        <v>36</v>
      </c>
      <c r="J462">
        <v>12073</v>
      </c>
      <c r="K462">
        <v>400</v>
      </c>
      <c r="L462" t="s">
        <v>21</v>
      </c>
      <c r="M462" s="1">
        <v>44534</v>
      </c>
      <c r="N462" t="s">
        <v>22</v>
      </c>
      <c r="O462" t="s">
        <v>23</v>
      </c>
      <c r="P462" t="str">
        <f t="shared" si="158"/>
        <v>P0461</v>
      </c>
      <c r="Q462" t="str">
        <f t="shared" si="154"/>
        <v>Nutrition</v>
      </c>
      <c r="R462">
        <f t="shared" si="155"/>
        <v>22</v>
      </c>
      <c r="S462" t="str">
        <f t="shared" ca="1" si="159"/>
        <v>No</v>
      </c>
      <c r="T462" t="str">
        <f t="shared" ca="1" si="160"/>
        <v>Severe</v>
      </c>
      <c r="U462" t="str">
        <f t="shared" ca="1" si="161"/>
        <v>Private Ward</v>
      </c>
      <c r="V462" t="str">
        <f t="shared" si="162"/>
        <v>BED0461</v>
      </c>
      <c r="W462" t="str">
        <f t="shared" ca="1" si="163"/>
        <v>General</v>
      </c>
      <c r="X462" t="str">
        <f t="shared" si="164"/>
        <v>NUR011</v>
      </c>
      <c r="Y462" t="str">
        <f t="shared" ca="1" si="165"/>
        <v>Morning</v>
      </c>
      <c r="Z462" t="str">
        <f t="shared" ca="1" si="166"/>
        <v>X-Ray</v>
      </c>
      <c r="AA462" t="str">
        <f t="shared" ca="1" si="167"/>
        <v>Available</v>
      </c>
      <c r="AB462" t="str">
        <f t="shared" ca="1" si="168"/>
        <v>Partially Paid</v>
      </c>
      <c r="AC462" t="str">
        <f t="shared" ca="1" si="169"/>
        <v>Credit Card</v>
      </c>
      <c r="AD462" t="str">
        <f t="shared" ca="1" si="170"/>
        <v>No</v>
      </c>
      <c r="AE462" t="str">
        <f t="shared" ca="1" si="171"/>
        <v>No</v>
      </c>
      <c r="AF462" t="str">
        <f t="shared" ca="1" si="172"/>
        <v>Under Observation</v>
      </c>
      <c r="AG462" t="str">
        <f t="shared" ca="1" si="173"/>
        <v>Northeast</v>
      </c>
      <c r="AH462" t="str">
        <f t="shared" si="156"/>
        <v>November</v>
      </c>
      <c r="AI462">
        <f t="shared" si="157"/>
        <v>2021</v>
      </c>
      <c r="AJ462" t="str">
        <f t="shared" ca="1" si="174"/>
        <v>Vacant</v>
      </c>
      <c r="AK462">
        <f t="shared" ca="1" si="175"/>
        <v>2</v>
      </c>
    </row>
    <row r="463" spans="1:37" x14ac:dyDescent="0.3">
      <c r="A463" t="s">
        <v>4897</v>
      </c>
      <c r="B463">
        <v>38</v>
      </c>
      <c r="C463" t="s">
        <v>32</v>
      </c>
      <c r="D463" t="s">
        <v>38</v>
      </c>
      <c r="E463" t="s">
        <v>76</v>
      </c>
      <c r="F463" s="1">
        <v>44492</v>
      </c>
      <c r="G463" t="s">
        <v>965</v>
      </c>
      <c r="H463" t="s">
        <v>966</v>
      </c>
      <c r="I463" t="s">
        <v>51</v>
      </c>
      <c r="J463">
        <v>48065</v>
      </c>
      <c r="K463">
        <v>147</v>
      </c>
      <c r="L463" t="s">
        <v>21</v>
      </c>
      <c r="M463" s="1">
        <v>44508</v>
      </c>
      <c r="N463" t="s">
        <v>22</v>
      </c>
      <c r="O463" t="s">
        <v>43</v>
      </c>
      <c r="P463" t="str">
        <f t="shared" si="158"/>
        <v>P0462</v>
      </c>
      <c r="Q463" t="str">
        <f t="shared" si="154"/>
        <v>Orthopedics</v>
      </c>
      <c r="R463">
        <f t="shared" si="155"/>
        <v>16</v>
      </c>
      <c r="S463" t="str">
        <f t="shared" ca="1" si="159"/>
        <v>No</v>
      </c>
      <c r="T463" t="str">
        <f t="shared" ca="1" si="160"/>
        <v>Moderate</v>
      </c>
      <c r="U463" t="str">
        <f t="shared" ca="1" si="161"/>
        <v>Semi-Private</v>
      </c>
      <c r="V463" t="str">
        <f t="shared" si="162"/>
        <v>BED0462</v>
      </c>
      <c r="W463" t="str">
        <f t="shared" ca="1" si="163"/>
        <v>ICU</v>
      </c>
      <c r="X463" t="str">
        <f t="shared" si="164"/>
        <v>NUR012</v>
      </c>
      <c r="Y463" t="str">
        <f t="shared" ca="1" si="165"/>
        <v>Night</v>
      </c>
      <c r="Z463" t="str">
        <f t="shared" ca="1" si="166"/>
        <v>X-Ray</v>
      </c>
      <c r="AA463" t="str">
        <f t="shared" ca="1" si="167"/>
        <v>Maintenance</v>
      </c>
      <c r="AB463" t="str">
        <f t="shared" ca="1" si="168"/>
        <v>Pending</v>
      </c>
      <c r="AC463" t="str">
        <f t="shared" ca="1" si="169"/>
        <v>Credit Card</v>
      </c>
      <c r="AD463" t="str">
        <f t="shared" ca="1" si="170"/>
        <v>No</v>
      </c>
      <c r="AE463" t="str">
        <f t="shared" ca="1" si="171"/>
        <v>No</v>
      </c>
      <c r="AF463" t="str">
        <f t="shared" ca="1" si="172"/>
        <v>Recovered</v>
      </c>
      <c r="AG463" t="str">
        <f t="shared" ca="1" si="173"/>
        <v>Northeast</v>
      </c>
      <c r="AH463" t="str">
        <f t="shared" si="156"/>
        <v>October</v>
      </c>
      <c r="AI463">
        <f t="shared" si="157"/>
        <v>2021</v>
      </c>
      <c r="AJ463" t="str">
        <f t="shared" ca="1" si="174"/>
        <v>Vacant</v>
      </c>
      <c r="AK463">
        <f t="shared" ca="1" si="175"/>
        <v>4</v>
      </c>
    </row>
    <row r="464" spans="1:37" x14ac:dyDescent="0.3">
      <c r="A464" t="s">
        <v>4898</v>
      </c>
      <c r="B464">
        <v>25</v>
      </c>
      <c r="C464" t="s">
        <v>32</v>
      </c>
      <c r="D464" t="s">
        <v>38</v>
      </c>
      <c r="E464" t="s">
        <v>76</v>
      </c>
      <c r="F464" s="1">
        <v>43799</v>
      </c>
      <c r="G464" t="s">
        <v>967</v>
      </c>
      <c r="H464" t="s">
        <v>968</v>
      </c>
      <c r="I464" t="s">
        <v>36</v>
      </c>
      <c r="J464">
        <v>16342</v>
      </c>
      <c r="K464">
        <v>255</v>
      </c>
      <c r="L464" t="s">
        <v>29</v>
      </c>
      <c r="M464" s="1">
        <v>43819</v>
      </c>
      <c r="N464" t="s">
        <v>67</v>
      </c>
      <c r="O464" t="s">
        <v>31</v>
      </c>
      <c r="P464" t="str">
        <f t="shared" si="158"/>
        <v>P0463</v>
      </c>
      <c r="Q464" t="str">
        <f t="shared" si="154"/>
        <v>Orthopedics</v>
      </c>
      <c r="R464">
        <f t="shared" si="155"/>
        <v>20</v>
      </c>
      <c r="S464" t="str">
        <f t="shared" ca="1" si="159"/>
        <v>No</v>
      </c>
      <c r="T464" t="str">
        <f t="shared" ca="1" si="160"/>
        <v>Critical</v>
      </c>
      <c r="U464" t="str">
        <f t="shared" ca="1" si="161"/>
        <v>General Ward</v>
      </c>
      <c r="V464" t="str">
        <f t="shared" si="162"/>
        <v>BED0463</v>
      </c>
      <c r="W464" t="str">
        <f t="shared" ca="1" si="163"/>
        <v>General</v>
      </c>
      <c r="X464" t="str">
        <f t="shared" si="164"/>
        <v>NUR013</v>
      </c>
      <c r="Y464" t="str">
        <f t="shared" ca="1" si="165"/>
        <v>Evening</v>
      </c>
      <c r="Z464" t="str">
        <f t="shared" ca="1" si="166"/>
        <v>X-Ray</v>
      </c>
      <c r="AA464" t="str">
        <f t="shared" ca="1" si="167"/>
        <v>Maintenance</v>
      </c>
      <c r="AB464" t="str">
        <f t="shared" ca="1" si="168"/>
        <v>Partially Paid</v>
      </c>
      <c r="AC464" t="str">
        <f t="shared" ca="1" si="169"/>
        <v>Credit Card</v>
      </c>
      <c r="AD464" t="str">
        <f t="shared" ca="1" si="170"/>
        <v>Yes</v>
      </c>
      <c r="AE464" t="str">
        <f t="shared" ca="1" si="171"/>
        <v>No</v>
      </c>
      <c r="AF464" t="str">
        <f t="shared" ca="1" si="172"/>
        <v>Transferred</v>
      </c>
      <c r="AG464" t="str">
        <f t="shared" ca="1" si="173"/>
        <v>Midwest</v>
      </c>
      <c r="AH464" t="str">
        <f t="shared" si="156"/>
        <v>November</v>
      </c>
      <c r="AI464">
        <f t="shared" si="157"/>
        <v>2019</v>
      </c>
      <c r="AJ464" t="str">
        <f t="shared" ca="1" si="174"/>
        <v>Vacant</v>
      </c>
      <c r="AK464">
        <f t="shared" ca="1" si="175"/>
        <v>2</v>
      </c>
    </row>
    <row r="465" spans="1:37" x14ac:dyDescent="0.3">
      <c r="A465" t="s">
        <v>4899</v>
      </c>
      <c r="B465">
        <v>65</v>
      </c>
      <c r="C465" t="s">
        <v>15</v>
      </c>
      <c r="D465" t="s">
        <v>44</v>
      </c>
      <c r="E465" t="s">
        <v>64</v>
      </c>
      <c r="F465" s="1">
        <v>45004</v>
      </c>
      <c r="G465" t="s">
        <v>969</v>
      </c>
      <c r="H465" t="s">
        <v>970</v>
      </c>
      <c r="I465" t="s">
        <v>57</v>
      </c>
      <c r="J465">
        <v>21767</v>
      </c>
      <c r="K465">
        <v>410</v>
      </c>
      <c r="L465" t="s">
        <v>42</v>
      </c>
      <c r="M465" s="1">
        <v>45032</v>
      </c>
      <c r="N465" t="s">
        <v>67</v>
      </c>
      <c r="O465" t="s">
        <v>23</v>
      </c>
      <c r="P465" t="str">
        <f t="shared" si="158"/>
        <v>P0464</v>
      </c>
      <c r="Q465" t="str">
        <f t="shared" si="154"/>
        <v>Cardiology</v>
      </c>
      <c r="R465">
        <f t="shared" si="155"/>
        <v>28</v>
      </c>
      <c r="S465" t="str">
        <f t="shared" ca="1" si="159"/>
        <v>No</v>
      </c>
      <c r="T465" t="str">
        <f t="shared" ca="1" si="160"/>
        <v>Critical</v>
      </c>
      <c r="U465" t="str">
        <f t="shared" ca="1" si="161"/>
        <v>Semi-Private</v>
      </c>
      <c r="V465" t="str">
        <f t="shared" si="162"/>
        <v>BED0464</v>
      </c>
      <c r="W465" t="str">
        <f t="shared" ca="1" si="163"/>
        <v>ICU</v>
      </c>
      <c r="X465" t="str">
        <f t="shared" si="164"/>
        <v>NUR014</v>
      </c>
      <c r="Y465" t="str">
        <f t="shared" ca="1" si="165"/>
        <v>Evening</v>
      </c>
      <c r="Z465" t="str">
        <f t="shared" ca="1" si="166"/>
        <v>Ventilator</v>
      </c>
      <c r="AA465" t="str">
        <f t="shared" ca="1" si="167"/>
        <v>Available</v>
      </c>
      <c r="AB465" t="str">
        <f t="shared" ca="1" si="168"/>
        <v>Paid</v>
      </c>
      <c r="AC465" t="str">
        <f t="shared" ca="1" si="169"/>
        <v>Bank Transfer</v>
      </c>
      <c r="AD465" t="str">
        <f t="shared" ca="1" si="170"/>
        <v>No</v>
      </c>
      <c r="AE465" t="str">
        <f t="shared" ca="1" si="171"/>
        <v>Yes</v>
      </c>
      <c r="AF465" t="str">
        <f t="shared" ca="1" si="172"/>
        <v>Under Observation</v>
      </c>
      <c r="AG465" t="str">
        <f t="shared" ca="1" si="173"/>
        <v>Midwest</v>
      </c>
      <c r="AH465" t="str">
        <f t="shared" si="156"/>
        <v>March</v>
      </c>
      <c r="AI465">
        <f t="shared" si="157"/>
        <v>2023</v>
      </c>
      <c r="AJ465" t="str">
        <f t="shared" ca="1" si="174"/>
        <v>Vacant</v>
      </c>
      <c r="AK465">
        <f t="shared" ca="1" si="175"/>
        <v>4</v>
      </c>
    </row>
    <row r="466" spans="1:37" x14ac:dyDescent="0.3">
      <c r="A466" t="s">
        <v>4900</v>
      </c>
      <c r="B466">
        <v>50</v>
      </c>
      <c r="C466" t="s">
        <v>32</v>
      </c>
      <c r="D466" t="s">
        <v>98</v>
      </c>
      <c r="E466" t="s">
        <v>64</v>
      </c>
      <c r="F466" s="1">
        <v>44594</v>
      </c>
      <c r="G466" t="s">
        <v>971</v>
      </c>
      <c r="H466" t="s">
        <v>972</v>
      </c>
      <c r="I466" t="s">
        <v>20</v>
      </c>
      <c r="J466">
        <v>16056</v>
      </c>
      <c r="K466">
        <v>393</v>
      </c>
      <c r="L466" t="s">
        <v>29</v>
      </c>
      <c r="M466" s="1">
        <v>44597</v>
      </c>
      <c r="N466" t="s">
        <v>37</v>
      </c>
      <c r="O466" t="s">
        <v>31</v>
      </c>
      <c r="P466" t="str">
        <f t="shared" si="158"/>
        <v>P0465</v>
      </c>
      <c r="Q466" t="str">
        <f t="shared" si="154"/>
        <v>Cardiology</v>
      </c>
      <c r="R466">
        <f t="shared" si="155"/>
        <v>3</v>
      </c>
      <c r="S466" t="str">
        <f t="shared" ca="1" si="159"/>
        <v>No</v>
      </c>
      <c r="T466" t="str">
        <f t="shared" ca="1" si="160"/>
        <v>Critical</v>
      </c>
      <c r="U466" t="str">
        <f t="shared" ca="1" si="161"/>
        <v>Private Ward</v>
      </c>
      <c r="V466" t="str">
        <f t="shared" si="162"/>
        <v>BED0465</v>
      </c>
      <c r="W466" t="str">
        <f t="shared" ca="1" si="163"/>
        <v>Private</v>
      </c>
      <c r="X466" t="str">
        <f t="shared" si="164"/>
        <v>NUR015</v>
      </c>
      <c r="Y466" t="str">
        <f t="shared" ca="1" si="165"/>
        <v>Morning</v>
      </c>
      <c r="Z466" t="str">
        <f t="shared" ca="1" si="166"/>
        <v>MRI Scanner</v>
      </c>
      <c r="AA466" t="str">
        <f t="shared" ca="1" si="167"/>
        <v>Available</v>
      </c>
      <c r="AB466" t="str">
        <f t="shared" ca="1" si="168"/>
        <v>Pending</v>
      </c>
      <c r="AC466" t="str">
        <f t="shared" ca="1" si="169"/>
        <v>Debit Card</v>
      </c>
      <c r="AD466" t="str">
        <f t="shared" ca="1" si="170"/>
        <v>Yes</v>
      </c>
      <c r="AE466" t="str">
        <f t="shared" ca="1" si="171"/>
        <v>No</v>
      </c>
      <c r="AF466" t="str">
        <f t="shared" ca="1" si="172"/>
        <v>Transferred</v>
      </c>
      <c r="AG466" t="str">
        <f t="shared" ca="1" si="173"/>
        <v>West Coast</v>
      </c>
      <c r="AH466" t="str">
        <f t="shared" si="156"/>
        <v>February</v>
      </c>
      <c r="AI466">
        <f t="shared" si="157"/>
        <v>2022</v>
      </c>
      <c r="AJ466" t="str">
        <f t="shared" ca="1" si="174"/>
        <v>Occupied</v>
      </c>
      <c r="AK466">
        <f t="shared" ca="1" si="175"/>
        <v>4</v>
      </c>
    </row>
    <row r="467" spans="1:37" x14ac:dyDescent="0.3">
      <c r="A467" t="s">
        <v>4901</v>
      </c>
      <c r="B467">
        <v>40</v>
      </c>
      <c r="C467" t="s">
        <v>15</v>
      </c>
      <c r="D467" t="s">
        <v>44</v>
      </c>
      <c r="E467" t="s">
        <v>25</v>
      </c>
      <c r="F467" s="1">
        <v>45194</v>
      </c>
      <c r="G467" t="s">
        <v>973</v>
      </c>
      <c r="H467" t="s">
        <v>974</v>
      </c>
      <c r="I467" t="s">
        <v>51</v>
      </c>
      <c r="J467">
        <v>30124</v>
      </c>
      <c r="K467">
        <v>423</v>
      </c>
      <c r="L467" t="s">
        <v>21</v>
      </c>
      <c r="M467" s="1">
        <v>45204</v>
      </c>
      <c r="N467" t="s">
        <v>37</v>
      </c>
      <c r="O467" t="s">
        <v>23</v>
      </c>
      <c r="P467" t="str">
        <f t="shared" si="158"/>
        <v>P0466</v>
      </c>
      <c r="Q467" t="str">
        <f t="shared" si="154"/>
        <v>Nutrition</v>
      </c>
      <c r="R467">
        <f t="shared" si="155"/>
        <v>10</v>
      </c>
      <c r="S467" t="str">
        <f t="shared" ca="1" si="159"/>
        <v>No</v>
      </c>
      <c r="T467" t="str">
        <f t="shared" ca="1" si="160"/>
        <v>Severe</v>
      </c>
      <c r="U467" t="str">
        <f t="shared" ca="1" si="161"/>
        <v>Semi-Private</v>
      </c>
      <c r="V467" t="str">
        <f t="shared" si="162"/>
        <v>BED0466</v>
      </c>
      <c r="W467" t="str">
        <f t="shared" ca="1" si="163"/>
        <v>ICU</v>
      </c>
      <c r="X467" t="str">
        <f t="shared" si="164"/>
        <v>NUR016</v>
      </c>
      <c r="Y467" t="str">
        <f t="shared" ca="1" si="165"/>
        <v>Evening</v>
      </c>
      <c r="Z467" t="str">
        <f t="shared" ca="1" si="166"/>
        <v>X-Ray</v>
      </c>
      <c r="AA467" t="str">
        <f t="shared" ca="1" si="167"/>
        <v>Maintenance</v>
      </c>
      <c r="AB467" t="str">
        <f t="shared" ca="1" si="168"/>
        <v>Pending</v>
      </c>
      <c r="AC467" t="str">
        <f t="shared" ca="1" si="169"/>
        <v>Credit Card</v>
      </c>
      <c r="AD467" t="str">
        <f t="shared" ca="1" si="170"/>
        <v>No</v>
      </c>
      <c r="AE467" t="str">
        <f t="shared" ca="1" si="171"/>
        <v>No</v>
      </c>
      <c r="AF467" t="str">
        <f t="shared" ca="1" si="172"/>
        <v>Transferred</v>
      </c>
      <c r="AG467" t="str">
        <f t="shared" ca="1" si="173"/>
        <v>Southwest</v>
      </c>
      <c r="AH467" t="str">
        <f t="shared" si="156"/>
        <v>September</v>
      </c>
      <c r="AI467">
        <f t="shared" si="157"/>
        <v>2023</v>
      </c>
      <c r="AJ467" t="str">
        <f t="shared" ca="1" si="174"/>
        <v>Occupied</v>
      </c>
      <c r="AK467">
        <f t="shared" ca="1" si="175"/>
        <v>4</v>
      </c>
    </row>
    <row r="468" spans="1:37" x14ac:dyDescent="0.3">
      <c r="A468" t="s">
        <v>4902</v>
      </c>
      <c r="B468">
        <v>70</v>
      </c>
      <c r="C468" t="s">
        <v>15</v>
      </c>
      <c r="D468" t="s">
        <v>83</v>
      </c>
      <c r="E468" t="s">
        <v>76</v>
      </c>
      <c r="F468" s="1">
        <v>44497</v>
      </c>
      <c r="G468" t="s">
        <v>975</v>
      </c>
      <c r="H468" t="s">
        <v>976</v>
      </c>
      <c r="I468" t="s">
        <v>51</v>
      </c>
      <c r="J468">
        <v>38572</v>
      </c>
      <c r="K468">
        <v>123</v>
      </c>
      <c r="L468" t="s">
        <v>29</v>
      </c>
      <c r="M468" s="1">
        <v>44500</v>
      </c>
      <c r="N468" t="s">
        <v>30</v>
      </c>
      <c r="O468" t="s">
        <v>31</v>
      </c>
      <c r="P468" t="str">
        <f t="shared" si="158"/>
        <v>P0467</v>
      </c>
      <c r="Q468" t="str">
        <f t="shared" si="154"/>
        <v>Orthopedics</v>
      </c>
      <c r="R468">
        <f t="shared" si="155"/>
        <v>3</v>
      </c>
      <c r="S468" t="str">
        <f t="shared" ca="1" si="159"/>
        <v>No</v>
      </c>
      <c r="T468" t="str">
        <f t="shared" ca="1" si="160"/>
        <v>Severe</v>
      </c>
      <c r="U468" t="str">
        <f t="shared" ca="1" si="161"/>
        <v>General Ward</v>
      </c>
      <c r="V468" t="str">
        <f t="shared" si="162"/>
        <v>BED0467</v>
      </c>
      <c r="W468" t="str">
        <f t="shared" ca="1" si="163"/>
        <v>Private</v>
      </c>
      <c r="X468" t="str">
        <f t="shared" si="164"/>
        <v>NUR017</v>
      </c>
      <c r="Y468" t="str">
        <f t="shared" ca="1" si="165"/>
        <v>Evening</v>
      </c>
      <c r="Z468" t="str">
        <f t="shared" ca="1" si="166"/>
        <v>Ventilator</v>
      </c>
      <c r="AA468" t="str">
        <f t="shared" ca="1" si="167"/>
        <v>Available</v>
      </c>
      <c r="AB468" t="str">
        <f t="shared" ca="1" si="168"/>
        <v>Pending</v>
      </c>
      <c r="AC468" t="str">
        <f t="shared" ca="1" si="169"/>
        <v>Cash</v>
      </c>
      <c r="AD468" t="str">
        <f t="shared" ca="1" si="170"/>
        <v>No</v>
      </c>
      <c r="AE468" t="str">
        <f t="shared" ca="1" si="171"/>
        <v>No</v>
      </c>
      <c r="AF468" t="str">
        <f t="shared" ca="1" si="172"/>
        <v>Recovered</v>
      </c>
      <c r="AG468" t="str">
        <f t="shared" ca="1" si="173"/>
        <v>Northeast</v>
      </c>
      <c r="AH468" t="str">
        <f t="shared" si="156"/>
        <v>October</v>
      </c>
      <c r="AI468">
        <f t="shared" si="157"/>
        <v>2021</v>
      </c>
      <c r="AJ468" t="str">
        <f t="shared" ca="1" si="174"/>
        <v>Occupied</v>
      </c>
      <c r="AK468">
        <f t="shared" ca="1" si="175"/>
        <v>4</v>
      </c>
    </row>
    <row r="469" spans="1:37" x14ac:dyDescent="0.3">
      <c r="A469" t="s">
        <v>3527</v>
      </c>
      <c r="B469">
        <v>56</v>
      </c>
      <c r="C469" t="s">
        <v>32</v>
      </c>
      <c r="D469" t="s">
        <v>52</v>
      </c>
      <c r="E469" t="s">
        <v>64</v>
      </c>
      <c r="F469" s="1">
        <v>43998</v>
      </c>
      <c r="G469" t="s">
        <v>977</v>
      </c>
      <c r="H469" t="s">
        <v>978</v>
      </c>
      <c r="I469" t="s">
        <v>20</v>
      </c>
      <c r="J469">
        <v>37799</v>
      </c>
      <c r="K469">
        <v>392</v>
      </c>
      <c r="L469" t="s">
        <v>21</v>
      </c>
      <c r="M469" s="1">
        <v>44026</v>
      </c>
      <c r="N469" t="s">
        <v>30</v>
      </c>
      <c r="O469" t="s">
        <v>43</v>
      </c>
      <c r="P469" t="str">
        <f t="shared" si="158"/>
        <v>P0468</v>
      </c>
      <c r="Q469" t="str">
        <f t="shared" si="154"/>
        <v>Cardiology</v>
      </c>
      <c r="R469">
        <f t="shared" si="155"/>
        <v>28</v>
      </c>
      <c r="S469" t="str">
        <f t="shared" ca="1" si="159"/>
        <v>No</v>
      </c>
      <c r="T469" t="str">
        <f t="shared" ca="1" si="160"/>
        <v>Mild</v>
      </c>
      <c r="U469" t="str">
        <f t="shared" ca="1" si="161"/>
        <v>ICU</v>
      </c>
      <c r="V469" t="str">
        <f t="shared" si="162"/>
        <v>BED0468</v>
      </c>
      <c r="W469" t="str">
        <f t="shared" ca="1" si="163"/>
        <v>Semi-Private</v>
      </c>
      <c r="X469" t="str">
        <f t="shared" si="164"/>
        <v>NUR018</v>
      </c>
      <c r="Y469" t="str">
        <f t="shared" ca="1" si="165"/>
        <v>Evening</v>
      </c>
      <c r="Z469" t="str">
        <f t="shared" ca="1" si="166"/>
        <v>MRI Scanner</v>
      </c>
      <c r="AA469" t="str">
        <f t="shared" ca="1" si="167"/>
        <v>Maintenance</v>
      </c>
      <c r="AB469" t="str">
        <f t="shared" ca="1" si="168"/>
        <v>Paid</v>
      </c>
      <c r="AC469" t="str">
        <f t="shared" ca="1" si="169"/>
        <v>Bank Transfer</v>
      </c>
      <c r="AD469" t="str">
        <f t="shared" ca="1" si="170"/>
        <v>No</v>
      </c>
      <c r="AE469" t="str">
        <f t="shared" ca="1" si="171"/>
        <v>No</v>
      </c>
      <c r="AF469" t="str">
        <f t="shared" ca="1" si="172"/>
        <v>Transferred</v>
      </c>
      <c r="AG469" t="str">
        <f t="shared" ca="1" si="173"/>
        <v>Southwest</v>
      </c>
      <c r="AH469" t="str">
        <f t="shared" si="156"/>
        <v>June</v>
      </c>
      <c r="AI469">
        <f t="shared" si="157"/>
        <v>2020</v>
      </c>
      <c r="AJ469" t="str">
        <f t="shared" ca="1" si="174"/>
        <v>Occupied</v>
      </c>
      <c r="AK469">
        <f t="shared" ca="1" si="175"/>
        <v>1</v>
      </c>
    </row>
    <row r="470" spans="1:37" x14ac:dyDescent="0.3">
      <c r="A470" t="s">
        <v>4903</v>
      </c>
      <c r="B470">
        <v>25</v>
      </c>
      <c r="C470" t="s">
        <v>15</v>
      </c>
      <c r="D470" t="s">
        <v>38</v>
      </c>
      <c r="E470" t="s">
        <v>39</v>
      </c>
      <c r="F470" s="1">
        <v>44476</v>
      </c>
      <c r="G470" t="s">
        <v>979</v>
      </c>
      <c r="H470" t="s">
        <v>980</v>
      </c>
      <c r="I470" t="s">
        <v>28</v>
      </c>
      <c r="J470">
        <v>38716</v>
      </c>
      <c r="K470">
        <v>283</v>
      </c>
      <c r="L470" t="s">
        <v>29</v>
      </c>
      <c r="M470" s="1">
        <v>44506</v>
      </c>
      <c r="N470" t="s">
        <v>30</v>
      </c>
      <c r="O470" t="s">
        <v>23</v>
      </c>
      <c r="P470" t="str">
        <f t="shared" si="158"/>
        <v>P0469</v>
      </c>
      <c r="Q470" t="str">
        <f t="shared" si="154"/>
        <v>Endocrinology</v>
      </c>
      <c r="R470">
        <f t="shared" si="155"/>
        <v>30</v>
      </c>
      <c r="S470" t="str">
        <f t="shared" ca="1" si="159"/>
        <v>No</v>
      </c>
      <c r="T470" t="str">
        <f t="shared" ca="1" si="160"/>
        <v>Severe</v>
      </c>
      <c r="U470" t="str">
        <f t="shared" ca="1" si="161"/>
        <v>Semi-Private</v>
      </c>
      <c r="V470" t="str">
        <f t="shared" si="162"/>
        <v>BED0469</v>
      </c>
      <c r="W470" t="str">
        <f t="shared" ca="1" si="163"/>
        <v>Private</v>
      </c>
      <c r="X470" t="str">
        <f t="shared" si="164"/>
        <v>NUR019</v>
      </c>
      <c r="Y470" t="str">
        <f t="shared" ca="1" si="165"/>
        <v>Night</v>
      </c>
      <c r="Z470" t="str">
        <f t="shared" ca="1" si="166"/>
        <v>Ventilator</v>
      </c>
      <c r="AA470" t="str">
        <f t="shared" ca="1" si="167"/>
        <v>Available</v>
      </c>
      <c r="AB470" t="str">
        <f t="shared" ca="1" si="168"/>
        <v>Partially Paid</v>
      </c>
      <c r="AC470" t="str">
        <f t="shared" ca="1" si="169"/>
        <v>Insurance</v>
      </c>
      <c r="AD470" t="str">
        <f t="shared" ca="1" si="170"/>
        <v>No</v>
      </c>
      <c r="AE470" t="str">
        <f t="shared" ca="1" si="171"/>
        <v>No</v>
      </c>
      <c r="AF470" t="str">
        <f t="shared" ca="1" si="172"/>
        <v>Recovered</v>
      </c>
      <c r="AG470" t="str">
        <f t="shared" ca="1" si="173"/>
        <v>Northeast</v>
      </c>
      <c r="AH470" t="str">
        <f t="shared" si="156"/>
        <v>October</v>
      </c>
      <c r="AI470">
        <f t="shared" si="157"/>
        <v>2021</v>
      </c>
      <c r="AJ470" t="str">
        <f t="shared" ca="1" si="174"/>
        <v>Vacant</v>
      </c>
      <c r="AK470">
        <f t="shared" ca="1" si="175"/>
        <v>2</v>
      </c>
    </row>
    <row r="471" spans="1:37" x14ac:dyDescent="0.3">
      <c r="A471" t="s">
        <v>4904</v>
      </c>
      <c r="B471">
        <v>20</v>
      </c>
      <c r="C471" t="s">
        <v>15</v>
      </c>
      <c r="D471" t="s">
        <v>33</v>
      </c>
      <c r="E471" t="s">
        <v>39</v>
      </c>
      <c r="F471" s="1">
        <v>44315</v>
      </c>
      <c r="G471" t="s">
        <v>981</v>
      </c>
      <c r="H471" t="s">
        <v>982</v>
      </c>
      <c r="I471" t="s">
        <v>36</v>
      </c>
      <c r="J471">
        <v>13666</v>
      </c>
      <c r="K471">
        <v>471</v>
      </c>
      <c r="L471" t="s">
        <v>42</v>
      </c>
      <c r="M471" s="1">
        <v>44333</v>
      </c>
      <c r="N471" t="s">
        <v>22</v>
      </c>
      <c r="O471" t="s">
        <v>31</v>
      </c>
      <c r="P471" t="str">
        <f t="shared" si="158"/>
        <v>P0470</v>
      </c>
      <c r="Q471" t="str">
        <f t="shared" si="154"/>
        <v>Endocrinology</v>
      </c>
      <c r="R471">
        <f t="shared" si="155"/>
        <v>18</v>
      </c>
      <c r="S471" t="str">
        <f t="shared" ca="1" si="159"/>
        <v>No</v>
      </c>
      <c r="T471" t="str">
        <f t="shared" ca="1" si="160"/>
        <v>Severe</v>
      </c>
      <c r="U471" t="str">
        <f t="shared" ca="1" si="161"/>
        <v>Emergency</v>
      </c>
      <c r="V471" t="str">
        <f t="shared" si="162"/>
        <v>BED0470</v>
      </c>
      <c r="W471" t="str">
        <f t="shared" ca="1" si="163"/>
        <v>Semi-Private</v>
      </c>
      <c r="X471" t="str">
        <f t="shared" si="164"/>
        <v>NUR020</v>
      </c>
      <c r="Y471" t="str">
        <f t="shared" ca="1" si="165"/>
        <v>Morning</v>
      </c>
      <c r="Z471" t="str">
        <f t="shared" ca="1" si="166"/>
        <v>Ultrasound</v>
      </c>
      <c r="AA471" t="str">
        <f t="shared" ca="1" si="167"/>
        <v>Maintenance</v>
      </c>
      <c r="AB471" t="str">
        <f t="shared" ca="1" si="168"/>
        <v>Paid</v>
      </c>
      <c r="AC471" t="str">
        <f t="shared" ca="1" si="169"/>
        <v>Bank Transfer</v>
      </c>
      <c r="AD471" t="str">
        <f t="shared" ca="1" si="170"/>
        <v>No</v>
      </c>
      <c r="AE471" t="str">
        <f t="shared" ca="1" si="171"/>
        <v>No</v>
      </c>
      <c r="AF471" t="str">
        <f t="shared" ca="1" si="172"/>
        <v>Recovered</v>
      </c>
      <c r="AG471" t="str">
        <f t="shared" ca="1" si="173"/>
        <v>Northeast</v>
      </c>
      <c r="AH471" t="str">
        <f t="shared" si="156"/>
        <v>April</v>
      </c>
      <c r="AI471">
        <f t="shared" si="157"/>
        <v>2021</v>
      </c>
      <c r="AJ471" t="str">
        <f t="shared" ca="1" si="174"/>
        <v>Occupied</v>
      </c>
      <c r="AK471">
        <f t="shared" ca="1" si="175"/>
        <v>4</v>
      </c>
    </row>
    <row r="472" spans="1:37" x14ac:dyDescent="0.3">
      <c r="A472" t="s">
        <v>4905</v>
      </c>
      <c r="B472">
        <v>73</v>
      </c>
      <c r="C472" t="s">
        <v>32</v>
      </c>
      <c r="D472" t="s">
        <v>52</v>
      </c>
      <c r="E472" t="s">
        <v>39</v>
      </c>
      <c r="F472" s="1">
        <v>43597</v>
      </c>
      <c r="G472" t="s">
        <v>983</v>
      </c>
      <c r="H472" t="s">
        <v>984</v>
      </c>
      <c r="I472" t="s">
        <v>57</v>
      </c>
      <c r="J472">
        <v>30754</v>
      </c>
      <c r="K472">
        <v>236</v>
      </c>
      <c r="L472" t="s">
        <v>42</v>
      </c>
      <c r="M472" s="1">
        <v>43623</v>
      </c>
      <c r="N472" t="s">
        <v>67</v>
      </c>
      <c r="O472" t="s">
        <v>43</v>
      </c>
      <c r="P472" t="str">
        <f t="shared" si="158"/>
        <v>P0471</v>
      </c>
      <c r="Q472" t="str">
        <f t="shared" si="154"/>
        <v>Endocrinology</v>
      </c>
      <c r="R472">
        <f t="shared" si="155"/>
        <v>26</v>
      </c>
      <c r="S472" t="str">
        <f t="shared" ca="1" si="159"/>
        <v>Yes</v>
      </c>
      <c r="T472" t="str">
        <f t="shared" ca="1" si="160"/>
        <v>Severe</v>
      </c>
      <c r="U472" t="str">
        <f t="shared" ca="1" si="161"/>
        <v>Emergency</v>
      </c>
      <c r="V472" t="str">
        <f t="shared" si="162"/>
        <v>BED0471</v>
      </c>
      <c r="W472" t="str">
        <f t="shared" ca="1" si="163"/>
        <v>Semi-Private</v>
      </c>
      <c r="X472" t="str">
        <f t="shared" si="164"/>
        <v>NUR021</v>
      </c>
      <c r="Y472" t="str">
        <f t="shared" ca="1" si="165"/>
        <v>Night</v>
      </c>
      <c r="Z472" t="str">
        <f t="shared" ca="1" si="166"/>
        <v>CT Scanner</v>
      </c>
      <c r="AA472" t="str">
        <f t="shared" ca="1" si="167"/>
        <v>Available</v>
      </c>
      <c r="AB472" t="str">
        <f t="shared" ca="1" si="168"/>
        <v>Paid</v>
      </c>
      <c r="AC472" t="str">
        <f t="shared" ca="1" si="169"/>
        <v>Insurance</v>
      </c>
      <c r="AD472" t="str">
        <f t="shared" ca="1" si="170"/>
        <v>Yes</v>
      </c>
      <c r="AE472" t="str">
        <f t="shared" ca="1" si="171"/>
        <v>No</v>
      </c>
      <c r="AF472" t="str">
        <f t="shared" ca="1" si="172"/>
        <v>Transferred</v>
      </c>
      <c r="AG472" t="str">
        <f t="shared" ca="1" si="173"/>
        <v>West Coast</v>
      </c>
      <c r="AH472" t="str">
        <f t="shared" si="156"/>
        <v>May</v>
      </c>
      <c r="AI472">
        <f t="shared" si="157"/>
        <v>2019</v>
      </c>
      <c r="AJ472" t="str">
        <f t="shared" ca="1" si="174"/>
        <v>Occupied</v>
      </c>
      <c r="AK472">
        <f t="shared" ca="1" si="175"/>
        <v>1</v>
      </c>
    </row>
    <row r="473" spans="1:37" x14ac:dyDescent="0.3">
      <c r="A473" t="s">
        <v>3151</v>
      </c>
      <c r="B473">
        <v>82</v>
      </c>
      <c r="C473" t="s">
        <v>15</v>
      </c>
      <c r="D473" t="s">
        <v>16</v>
      </c>
      <c r="E473" t="s">
        <v>25</v>
      </c>
      <c r="F473" s="1">
        <v>44451</v>
      </c>
      <c r="G473" t="s">
        <v>985</v>
      </c>
      <c r="H473" t="s">
        <v>986</v>
      </c>
      <c r="I473" t="s">
        <v>51</v>
      </c>
      <c r="J473">
        <v>44278</v>
      </c>
      <c r="K473">
        <v>295</v>
      </c>
      <c r="L473" t="s">
        <v>42</v>
      </c>
      <c r="M473" s="1">
        <v>44456</v>
      </c>
      <c r="N473" t="s">
        <v>37</v>
      </c>
      <c r="O473" t="s">
        <v>31</v>
      </c>
      <c r="P473" t="str">
        <f t="shared" si="158"/>
        <v>P0472</v>
      </c>
      <c r="Q473" t="str">
        <f t="shared" si="154"/>
        <v>Nutrition</v>
      </c>
      <c r="R473">
        <f t="shared" si="155"/>
        <v>5</v>
      </c>
      <c r="S473" t="str">
        <f t="shared" ca="1" si="159"/>
        <v>No</v>
      </c>
      <c r="T473" t="str">
        <f t="shared" ca="1" si="160"/>
        <v>Severe</v>
      </c>
      <c r="U473" t="str">
        <f t="shared" ca="1" si="161"/>
        <v>General Ward</v>
      </c>
      <c r="V473" t="str">
        <f t="shared" si="162"/>
        <v>BED0472</v>
      </c>
      <c r="W473" t="str">
        <f t="shared" ca="1" si="163"/>
        <v>Private</v>
      </c>
      <c r="X473" t="str">
        <f t="shared" si="164"/>
        <v>NUR022</v>
      </c>
      <c r="Y473" t="str">
        <f t="shared" ca="1" si="165"/>
        <v>Night</v>
      </c>
      <c r="Z473" t="str">
        <f t="shared" ca="1" si="166"/>
        <v>Ultrasound</v>
      </c>
      <c r="AA473" t="str">
        <f t="shared" ca="1" si="167"/>
        <v>Maintenance</v>
      </c>
      <c r="AB473" t="str">
        <f t="shared" ca="1" si="168"/>
        <v>Pending</v>
      </c>
      <c r="AC473" t="str">
        <f t="shared" ca="1" si="169"/>
        <v>Debit Card</v>
      </c>
      <c r="AD473" t="str">
        <f t="shared" ca="1" si="170"/>
        <v>No</v>
      </c>
      <c r="AE473" t="str">
        <f t="shared" ca="1" si="171"/>
        <v>No</v>
      </c>
      <c r="AF473" t="str">
        <f t="shared" ca="1" si="172"/>
        <v>Transferred</v>
      </c>
      <c r="AG473" t="str">
        <f t="shared" ca="1" si="173"/>
        <v>Southwest</v>
      </c>
      <c r="AH473" t="str">
        <f t="shared" si="156"/>
        <v>September</v>
      </c>
      <c r="AI473">
        <f t="shared" si="157"/>
        <v>2021</v>
      </c>
      <c r="AJ473" t="str">
        <f t="shared" ca="1" si="174"/>
        <v>Occupied</v>
      </c>
      <c r="AK473">
        <f t="shared" ca="1" si="175"/>
        <v>1</v>
      </c>
    </row>
    <row r="474" spans="1:37" x14ac:dyDescent="0.3">
      <c r="A474" t="s">
        <v>4906</v>
      </c>
      <c r="B474">
        <v>31</v>
      </c>
      <c r="C474" t="s">
        <v>15</v>
      </c>
      <c r="D474" t="s">
        <v>83</v>
      </c>
      <c r="E474" t="s">
        <v>39</v>
      </c>
      <c r="F474" s="1">
        <v>44221</v>
      </c>
      <c r="G474" t="s">
        <v>987</v>
      </c>
      <c r="H474" t="s">
        <v>988</v>
      </c>
      <c r="I474" t="s">
        <v>36</v>
      </c>
      <c r="J474">
        <v>6268</v>
      </c>
      <c r="K474">
        <v>140</v>
      </c>
      <c r="L474" t="s">
        <v>21</v>
      </c>
      <c r="M474" s="1">
        <v>44223</v>
      </c>
      <c r="N474" t="s">
        <v>30</v>
      </c>
      <c r="O474" t="s">
        <v>23</v>
      </c>
      <c r="P474" t="str">
        <f t="shared" si="158"/>
        <v>P0473</v>
      </c>
      <c r="Q474" t="str">
        <f t="shared" si="154"/>
        <v>Endocrinology</v>
      </c>
      <c r="R474">
        <f t="shared" si="155"/>
        <v>2</v>
      </c>
      <c r="S474" t="str">
        <f t="shared" ca="1" si="159"/>
        <v>No</v>
      </c>
      <c r="T474" t="str">
        <f t="shared" ca="1" si="160"/>
        <v>Critical</v>
      </c>
      <c r="U474" t="str">
        <f t="shared" ca="1" si="161"/>
        <v>General Ward</v>
      </c>
      <c r="V474" t="str">
        <f t="shared" si="162"/>
        <v>BED0473</v>
      </c>
      <c r="W474" t="str">
        <f t="shared" ca="1" si="163"/>
        <v>Private</v>
      </c>
      <c r="X474" t="str">
        <f t="shared" si="164"/>
        <v>NUR023</v>
      </c>
      <c r="Y474" t="str">
        <f t="shared" ca="1" si="165"/>
        <v>Morning</v>
      </c>
      <c r="Z474" t="str">
        <f t="shared" ca="1" si="166"/>
        <v>MRI Scanner</v>
      </c>
      <c r="AA474" t="str">
        <f t="shared" ca="1" si="167"/>
        <v>In Use</v>
      </c>
      <c r="AB474" t="str">
        <f t="shared" ca="1" si="168"/>
        <v>Paid</v>
      </c>
      <c r="AC474" t="str">
        <f t="shared" ca="1" si="169"/>
        <v>Debit Card</v>
      </c>
      <c r="AD474" t="str">
        <f t="shared" ca="1" si="170"/>
        <v>No</v>
      </c>
      <c r="AE474" t="str">
        <f t="shared" ca="1" si="171"/>
        <v>No</v>
      </c>
      <c r="AF474" t="str">
        <f t="shared" ca="1" si="172"/>
        <v>Under Observation</v>
      </c>
      <c r="AG474" t="str">
        <f t="shared" ca="1" si="173"/>
        <v>Southwest</v>
      </c>
      <c r="AH474" t="str">
        <f t="shared" si="156"/>
        <v>January</v>
      </c>
      <c r="AI474">
        <f t="shared" si="157"/>
        <v>2021</v>
      </c>
      <c r="AJ474" t="str">
        <f t="shared" ca="1" si="174"/>
        <v>Occupied</v>
      </c>
      <c r="AK474">
        <f t="shared" ca="1" si="175"/>
        <v>2</v>
      </c>
    </row>
    <row r="475" spans="1:37" x14ac:dyDescent="0.3">
      <c r="A475" t="s">
        <v>4907</v>
      </c>
      <c r="B475">
        <v>74</v>
      </c>
      <c r="C475" t="s">
        <v>15</v>
      </c>
      <c r="D475" t="s">
        <v>98</v>
      </c>
      <c r="E475" t="s">
        <v>17</v>
      </c>
      <c r="F475" s="1">
        <v>43973</v>
      </c>
      <c r="G475" t="s">
        <v>989</v>
      </c>
      <c r="H475" t="s">
        <v>990</v>
      </c>
      <c r="I475" t="s">
        <v>36</v>
      </c>
      <c r="J475">
        <v>26277</v>
      </c>
      <c r="K475">
        <v>242</v>
      </c>
      <c r="L475" t="s">
        <v>42</v>
      </c>
      <c r="M475" s="1">
        <v>43999</v>
      </c>
      <c r="N475" t="s">
        <v>30</v>
      </c>
      <c r="O475" t="s">
        <v>23</v>
      </c>
      <c r="P475" t="str">
        <f t="shared" si="158"/>
        <v>P0474</v>
      </c>
      <c r="Q475" t="str">
        <f t="shared" si="154"/>
        <v>Oncology</v>
      </c>
      <c r="R475">
        <f t="shared" si="155"/>
        <v>26</v>
      </c>
      <c r="S475" t="str">
        <f t="shared" ca="1" si="159"/>
        <v>Yes</v>
      </c>
      <c r="T475" t="str">
        <f t="shared" ca="1" si="160"/>
        <v>Severe</v>
      </c>
      <c r="U475" t="str">
        <f t="shared" ca="1" si="161"/>
        <v>ICU</v>
      </c>
      <c r="V475" t="str">
        <f t="shared" si="162"/>
        <v>BED0474</v>
      </c>
      <c r="W475" t="str">
        <f t="shared" ca="1" si="163"/>
        <v>General</v>
      </c>
      <c r="X475" t="str">
        <f t="shared" si="164"/>
        <v>NUR024</v>
      </c>
      <c r="Y475" t="str">
        <f t="shared" ca="1" si="165"/>
        <v>Morning</v>
      </c>
      <c r="Z475" t="str">
        <f t="shared" ca="1" si="166"/>
        <v>Ventilator</v>
      </c>
      <c r="AA475" t="str">
        <f t="shared" ca="1" si="167"/>
        <v>In Use</v>
      </c>
      <c r="AB475" t="str">
        <f t="shared" ca="1" si="168"/>
        <v>Partially Paid</v>
      </c>
      <c r="AC475" t="str">
        <f t="shared" ca="1" si="169"/>
        <v>Insurance</v>
      </c>
      <c r="AD475" t="str">
        <f t="shared" ca="1" si="170"/>
        <v>No</v>
      </c>
      <c r="AE475" t="str">
        <f t="shared" ca="1" si="171"/>
        <v>Yes</v>
      </c>
      <c r="AF475" t="str">
        <f t="shared" ca="1" si="172"/>
        <v>Under Observation</v>
      </c>
      <c r="AG475" t="str">
        <f t="shared" ca="1" si="173"/>
        <v>Midwest</v>
      </c>
      <c r="AH475" t="str">
        <f t="shared" si="156"/>
        <v>May</v>
      </c>
      <c r="AI475">
        <f t="shared" si="157"/>
        <v>2020</v>
      </c>
      <c r="AJ475" t="str">
        <f t="shared" ca="1" si="174"/>
        <v>Vacant</v>
      </c>
      <c r="AK475">
        <f t="shared" ca="1" si="175"/>
        <v>1</v>
      </c>
    </row>
    <row r="476" spans="1:37" x14ac:dyDescent="0.3">
      <c r="A476" t="s">
        <v>4908</v>
      </c>
      <c r="B476">
        <v>38</v>
      </c>
      <c r="C476" t="s">
        <v>32</v>
      </c>
      <c r="D476" t="s">
        <v>16</v>
      </c>
      <c r="E476" t="s">
        <v>48</v>
      </c>
      <c r="F476" s="1">
        <v>44732</v>
      </c>
      <c r="G476" t="s">
        <v>991</v>
      </c>
      <c r="H476" t="s">
        <v>992</v>
      </c>
      <c r="I476" t="s">
        <v>20</v>
      </c>
      <c r="J476">
        <v>33171</v>
      </c>
      <c r="K476">
        <v>319</v>
      </c>
      <c r="L476" t="s">
        <v>42</v>
      </c>
      <c r="M476" s="1">
        <v>44756</v>
      </c>
      <c r="N476" t="s">
        <v>37</v>
      </c>
      <c r="O476" t="s">
        <v>31</v>
      </c>
      <c r="P476" t="str">
        <f t="shared" si="158"/>
        <v>P0475</v>
      </c>
      <c r="Q476" t="str">
        <f t="shared" si="154"/>
        <v>Pulmonology</v>
      </c>
      <c r="R476">
        <f t="shared" si="155"/>
        <v>24</v>
      </c>
      <c r="S476" t="str">
        <f t="shared" ca="1" si="159"/>
        <v>No</v>
      </c>
      <c r="T476" t="str">
        <f t="shared" ca="1" si="160"/>
        <v>Moderate</v>
      </c>
      <c r="U476" t="str">
        <f t="shared" ca="1" si="161"/>
        <v>General Ward</v>
      </c>
      <c r="V476" t="str">
        <f t="shared" si="162"/>
        <v>BED0475</v>
      </c>
      <c r="W476" t="str">
        <f t="shared" ca="1" si="163"/>
        <v>ICU</v>
      </c>
      <c r="X476" t="str">
        <f t="shared" si="164"/>
        <v>NUR025</v>
      </c>
      <c r="Y476" t="str">
        <f t="shared" ca="1" si="165"/>
        <v>Evening</v>
      </c>
      <c r="Z476" t="str">
        <f t="shared" ca="1" si="166"/>
        <v>MRI Scanner</v>
      </c>
      <c r="AA476" t="str">
        <f t="shared" ca="1" si="167"/>
        <v>Available</v>
      </c>
      <c r="AB476" t="str">
        <f t="shared" ca="1" si="168"/>
        <v>Pending</v>
      </c>
      <c r="AC476" t="str">
        <f t="shared" ca="1" si="169"/>
        <v>Debit Card</v>
      </c>
      <c r="AD476" t="str">
        <f t="shared" ca="1" si="170"/>
        <v>No</v>
      </c>
      <c r="AE476" t="str">
        <f t="shared" ca="1" si="171"/>
        <v>No</v>
      </c>
      <c r="AF476" t="str">
        <f t="shared" ca="1" si="172"/>
        <v>Recovered</v>
      </c>
      <c r="AG476" t="str">
        <f t="shared" ca="1" si="173"/>
        <v>Midwest</v>
      </c>
      <c r="AH476" t="str">
        <f t="shared" si="156"/>
        <v>June</v>
      </c>
      <c r="AI476">
        <f t="shared" si="157"/>
        <v>2022</v>
      </c>
      <c r="AJ476" t="str">
        <f t="shared" ca="1" si="174"/>
        <v>Occupied</v>
      </c>
      <c r="AK476">
        <f t="shared" ca="1" si="175"/>
        <v>2</v>
      </c>
    </row>
    <row r="477" spans="1:37" x14ac:dyDescent="0.3">
      <c r="A477" t="s">
        <v>4909</v>
      </c>
      <c r="B477">
        <v>63</v>
      </c>
      <c r="C477" t="s">
        <v>32</v>
      </c>
      <c r="D477" t="s">
        <v>52</v>
      </c>
      <c r="E477" t="s">
        <v>17</v>
      </c>
      <c r="F477" s="1">
        <v>44151</v>
      </c>
      <c r="G477" t="s">
        <v>993</v>
      </c>
      <c r="H477" t="s">
        <v>994</v>
      </c>
      <c r="I477" t="s">
        <v>51</v>
      </c>
      <c r="J477">
        <v>44984</v>
      </c>
      <c r="K477">
        <v>124</v>
      </c>
      <c r="L477" t="s">
        <v>42</v>
      </c>
      <c r="M477" s="1">
        <v>44171</v>
      </c>
      <c r="N477" t="s">
        <v>22</v>
      </c>
      <c r="O477" t="s">
        <v>23</v>
      </c>
      <c r="P477" t="str">
        <f t="shared" si="158"/>
        <v>P0476</v>
      </c>
      <c r="Q477" t="str">
        <f t="shared" si="154"/>
        <v>Oncology</v>
      </c>
      <c r="R477">
        <f t="shared" si="155"/>
        <v>20</v>
      </c>
      <c r="S477" t="str">
        <f t="shared" ca="1" si="159"/>
        <v>No</v>
      </c>
      <c r="T477" t="str">
        <f t="shared" ca="1" si="160"/>
        <v>Critical</v>
      </c>
      <c r="U477" t="str">
        <f t="shared" ca="1" si="161"/>
        <v>General Ward</v>
      </c>
      <c r="V477" t="str">
        <f t="shared" si="162"/>
        <v>BED0476</v>
      </c>
      <c r="W477" t="str">
        <f t="shared" ca="1" si="163"/>
        <v>General</v>
      </c>
      <c r="X477" t="str">
        <f t="shared" si="164"/>
        <v>NUR026</v>
      </c>
      <c r="Y477" t="str">
        <f t="shared" ca="1" si="165"/>
        <v>Evening</v>
      </c>
      <c r="Z477" t="str">
        <f t="shared" ca="1" si="166"/>
        <v>CT Scanner</v>
      </c>
      <c r="AA477" t="str">
        <f t="shared" ca="1" si="167"/>
        <v>Maintenance</v>
      </c>
      <c r="AB477" t="str">
        <f t="shared" ca="1" si="168"/>
        <v>Paid</v>
      </c>
      <c r="AC477" t="str">
        <f t="shared" ca="1" si="169"/>
        <v>Credit Card</v>
      </c>
      <c r="AD477" t="str">
        <f t="shared" ca="1" si="170"/>
        <v>No</v>
      </c>
      <c r="AE477" t="str">
        <f t="shared" ca="1" si="171"/>
        <v>No</v>
      </c>
      <c r="AF477" t="str">
        <f t="shared" ca="1" si="172"/>
        <v>Recovered</v>
      </c>
      <c r="AG477" t="str">
        <f t="shared" ca="1" si="173"/>
        <v>West Coast</v>
      </c>
      <c r="AH477" t="str">
        <f t="shared" si="156"/>
        <v>November</v>
      </c>
      <c r="AI477">
        <f t="shared" si="157"/>
        <v>2020</v>
      </c>
      <c r="AJ477" t="str">
        <f t="shared" ca="1" si="174"/>
        <v>Occupied</v>
      </c>
      <c r="AK477">
        <f t="shared" ca="1" si="175"/>
        <v>1</v>
      </c>
    </row>
    <row r="478" spans="1:37" x14ac:dyDescent="0.3">
      <c r="A478" t="s">
        <v>2172</v>
      </c>
      <c r="B478">
        <v>62</v>
      </c>
      <c r="C478" t="s">
        <v>32</v>
      </c>
      <c r="D478" t="s">
        <v>16</v>
      </c>
      <c r="E478" t="s">
        <v>25</v>
      </c>
      <c r="F478" s="1">
        <v>44113</v>
      </c>
      <c r="G478" t="s">
        <v>995</v>
      </c>
      <c r="H478" t="s">
        <v>996</v>
      </c>
      <c r="I478" t="s">
        <v>57</v>
      </c>
      <c r="J478">
        <v>27092</v>
      </c>
      <c r="K478">
        <v>315</v>
      </c>
      <c r="L478" t="s">
        <v>21</v>
      </c>
      <c r="M478" s="1">
        <v>44118</v>
      </c>
      <c r="N478" t="s">
        <v>30</v>
      </c>
      <c r="O478" t="s">
        <v>31</v>
      </c>
      <c r="P478" t="str">
        <f t="shared" si="158"/>
        <v>P0477</v>
      </c>
      <c r="Q478" t="str">
        <f t="shared" si="154"/>
        <v>Nutrition</v>
      </c>
      <c r="R478">
        <f t="shared" si="155"/>
        <v>5</v>
      </c>
      <c r="S478" t="str">
        <f t="shared" ca="1" si="159"/>
        <v>No</v>
      </c>
      <c r="T478" t="str">
        <f t="shared" ca="1" si="160"/>
        <v>Moderate</v>
      </c>
      <c r="U478" t="str">
        <f t="shared" ca="1" si="161"/>
        <v>General Ward</v>
      </c>
      <c r="V478" t="str">
        <f t="shared" si="162"/>
        <v>BED0477</v>
      </c>
      <c r="W478" t="str">
        <f t="shared" ca="1" si="163"/>
        <v>ICU</v>
      </c>
      <c r="X478" t="str">
        <f t="shared" si="164"/>
        <v>NUR027</v>
      </c>
      <c r="Y478" t="str">
        <f t="shared" ca="1" si="165"/>
        <v>Morning</v>
      </c>
      <c r="Z478" t="str">
        <f t="shared" ca="1" si="166"/>
        <v>X-Ray</v>
      </c>
      <c r="AA478" t="str">
        <f t="shared" ca="1" si="167"/>
        <v>Available</v>
      </c>
      <c r="AB478" t="str">
        <f t="shared" ca="1" si="168"/>
        <v>Pending</v>
      </c>
      <c r="AC478" t="str">
        <f t="shared" ca="1" si="169"/>
        <v>Bank Transfer</v>
      </c>
      <c r="AD478" t="str">
        <f t="shared" ca="1" si="170"/>
        <v>Yes</v>
      </c>
      <c r="AE478" t="str">
        <f t="shared" ca="1" si="171"/>
        <v>Yes</v>
      </c>
      <c r="AF478" t="str">
        <f t="shared" ca="1" si="172"/>
        <v>Under Observation</v>
      </c>
      <c r="AG478" t="str">
        <f t="shared" ca="1" si="173"/>
        <v>Midwest</v>
      </c>
      <c r="AH478" t="str">
        <f t="shared" si="156"/>
        <v>October</v>
      </c>
      <c r="AI478">
        <f t="shared" si="157"/>
        <v>2020</v>
      </c>
      <c r="AJ478" t="str">
        <f t="shared" ca="1" si="174"/>
        <v>Occupied</v>
      </c>
      <c r="AK478">
        <f t="shared" ca="1" si="175"/>
        <v>4</v>
      </c>
    </row>
    <row r="479" spans="1:37" x14ac:dyDescent="0.3">
      <c r="A479" t="s">
        <v>4910</v>
      </c>
      <c r="B479">
        <v>80</v>
      </c>
      <c r="C479" t="s">
        <v>15</v>
      </c>
      <c r="D479" t="s">
        <v>38</v>
      </c>
      <c r="E479" t="s">
        <v>25</v>
      </c>
      <c r="F479" s="1">
        <v>45272</v>
      </c>
      <c r="G479" t="s">
        <v>997</v>
      </c>
      <c r="H479" t="s">
        <v>998</v>
      </c>
      <c r="I479" t="s">
        <v>51</v>
      </c>
      <c r="J479">
        <v>32388</v>
      </c>
      <c r="K479">
        <v>264</v>
      </c>
      <c r="L479" t="s">
        <v>21</v>
      </c>
      <c r="M479" s="1">
        <v>45287</v>
      </c>
      <c r="N479" t="s">
        <v>30</v>
      </c>
      <c r="O479" t="s">
        <v>23</v>
      </c>
      <c r="P479" t="str">
        <f t="shared" si="158"/>
        <v>P0478</v>
      </c>
      <c r="Q479" t="str">
        <f t="shared" si="154"/>
        <v>Nutrition</v>
      </c>
      <c r="R479">
        <f t="shared" si="155"/>
        <v>15</v>
      </c>
      <c r="S479" t="str">
        <f t="shared" ca="1" si="159"/>
        <v>No</v>
      </c>
      <c r="T479" t="str">
        <f t="shared" ca="1" si="160"/>
        <v>Severe</v>
      </c>
      <c r="U479" t="str">
        <f t="shared" ca="1" si="161"/>
        <v>Emergency</v>
      </c>
      <c r="V479" t="str">
        <f t="shared" si="162"/>
        <v>BED0478</v>
      </c>
      <c r="W479" t="str">
        <f t="shared" ca="1" si="163"/>
        <v>Private</v>
      </c>
      <c r="X479" t="str">
        <f t="shared" si="164"/>
        <v>NUR028</v>
      </c>
      <c r="Y479" t="str">
        <f t="shared" ca="1" si="165"/>
        <v>Evening</v>
      </c>
      <c r="Z479" t="str">
        <f t="shared" ca="1" si="166"/>
        <v>X-Ray</v>
      </c>
      <c r="AA479" t="str">
        <f t="shared" ca="1" si="167"/>
        <v>Available</v>
      </c>
      <c r="AB479" t="str">
        <f t="shared" ca="1" si="168"/>
        <v>Pending</v>
      </c>
      <c r="AC479" t="str">
        <f t="shared" ca="1" si="169"/>
        <v>Insurance</v>
      </c>
      <c r="AD479" t="str">
        <f t="shared" ca="1" si="170"/>
        <v>No</v>
      </c>
      <c r="AE479" t="str">
        <f t="shared" ca="1" si="171"/>
        <v>No</v>
      </c>
      <c r="AF479" t="str">
        <f t="shared" ca="1" si="172"/>
        <v>Transferred</v>
      </c>
      <c r="AG479" t="str">
        <f t="shared" ca="1" si="173"/>
        <v>West Coast</v>
      </c>
      <c r="AH479" t="str">
        <f t="shared" si="156"/>
        <v>December</v>
      </c>
      <c r="AI479">
        <f t="shared" si="157"/>
        <v>2023</v>
      </c>
      <c r="AJ479" t="str">
        <f t="shared" ca="1" si="174"/>
        <v>Vacant</v>
      </c>
      <c r="AK479">
        <f t="shared" ca="1" si="175"/>
        <v>4</v>
      </c>
    </row>
    <row r="480" spans="1:37" x14ac:dyDescent="0.3">
      <c r="A480" t="s">
        <v>3652</v>
      </c>
      <c r="B480">
        <v>25</v>
      </c>
      <c r="C480" t="s">
        <v>32</v>
      </c>
      <c r="D480" t="s">
        <v>52</v>
      </c>
      <c r="E480" t="s">
        <v>17</v>
      </c>
      <c r="F480" s="1">
        <v>44726</v>
      </c>
      <c r="G480" t="s">
        <v>999</v>
      </c>
      <c r="H480" t="s">
        <v>1000</v>
      </c>
      <c r="I480" t="s">
        <v>57</v>
      </c>
      <c r="J480">
        <v>32905</v>
      </c>
      <c r="K480">
        <v>289</v>
      </c>
      <c r="L480" t="s">
        <v>29</v>
      </c>
      <c r="M480" s="1">
        <v>44745</v>
      </c>
      <c r="N480" t="s">
        <v>67</v>
      </c>
      <c r="O480" t="s">
        <v>43</v>
      </c>
      <c r="P480" t="str">
        <f t="shared" si="158"/>
        <v>P0479</v>
      </c>
      <c r="Q480" t="str">
        <f t="shared" si="154"/>
        <v>Oncology</v>
      </c>
      <c r="R480">
        <f t="shared" si="155"/>
        <v>19</v>
      </c>
      <c r="S480" t="str">
        <f t="shared" ca="1" si="159"/>
        <v>No</v>
      </c>
      <c r="T480" t="str">
        <f t="shared" ca="1" si="160"/>
        <v>Critical</v>
      </c>
      <c r="U480" t="str">
        <f t="shared" ca="1" si="161"/>
        <v>General Ward</v>
      </c>
      <c r="V480" t="str">
        <f t="shared" si="162"/>
        <v>BED0479</v>
      </c>
      <c r="W480" t="str">
        <f t="shared" ca="1" si="163"/>
        <v>General</v>
      </c>
      <c r="X480" t="str">
        <f t="shared" si="164"/>
        <v>NUR029</v>
      </c>
      <c r="Y480" t="str">
        <f t="shared" ca="1" si="165"/>
        <v>Morning</v>
      </c>
      <c r="Z480" t="str">
        <f t="shared" ca="1" si="166"/>
        <v>X-Ray</v>
      </c>
      <c r="AA480" t="str">
        <f t="shared" ca="1" si="167"/>
        <v>In Use</v>
      </c>
      <c r="AB480" t="str">
        <f t="shared" ca="1" si="168"/>
        <v>Partially Paid</v>
      </c>
      <c r="AC480" t="str">
        <f t="shared" ca="1" si="169"/>
        <v>Insurance</v>
      </c>
      <c r="AD480" t="str">
        <f t="shared" ca="1" si="170"/>
        <v>No</v>
      </c>
      <c r="AE480" t="str">
        <f t="shared" ca="1" si="171"/>
        <v>No</v>
      </c>
      <c r="AF480" t="str">
        <f t="shared" ca="1" si="172"/>
        <v>Under Observation</v>
      </c>
      <c r="AG480" t="str">
        <f t="shared" ca="1" si="173"/>
        <v>Midwest</v>
      </c>
      <c r="AH480" t="str">
        <f t="shared" si="156"/>
        <v>June</v>
      </c>
      <c r="AI480">
        <f t="shared" si="157"/>
        <v>2022</v>
      </c>
      <c r="AJ480" t="str">
        <f t="shared" ca="1" si="174"/>
        <v>Occupied</v>
      </c>
      <c r="AK480">
        <f t="shared" ca="1" si="175"/>
        <v>1</v>
      </c>
    </row>
    <row r="481" spans="1:37" x14ac:dyDescent="0.3">
      <c r="A481" t="s">
        <v>4911</v>
      </c>
      <c r="B481">
        <v>51</v>
      </c>
      <c r="C481" t="s">
        <v>15</v>
      </c>
      <c r="D481" t="s">
        <v>33</v>
      </c>
      <c r="E481" t="s">
        <v>39</v>
      </c>
      <c r="F481" s="1">
        <v>44980</v>
      </c>
      <c r="G481" t="s">
        <v>1001</v>
      </c>
      <c r="H481" t="s">
        <v>1002</v>
      </c>
      <c r="I481" t="s">
        <v>20</v>
      </c>
      <c r="J481">
        <v>1332</v>
      </c>
      <c r="K481">
        <v>489</v>
      </c>
      <c r="L481" t="s">
        <v>29</v>
      </c>
      <c r="M481" s="1">
        <v>45003</v>
      </c>
      <c r="N481" t="s">
        <v>37</v>
      </c>
      <c r="O481" t="s">
        <v>43</v>
      </c>
      <c r="P481" t="str">
        <f t="shared" si="158"/>
        <v>P0480</v>
      </c>
      <c r="Q481" t="str">
        <f t="shared" si="154"/>
        <v>Endocrinology</v>
      </c>
      <c r="R481">
        <f t="shared" si="155"/>
        <v>23</v>
      </c>
      <c r="S481" t="str">
        <f t="shared" ca="1" si="159"/>
        <v>No</v>
      </c>
      <c r="T481" t="str">
        <f t="shared" ca="1" si="160"/>
        <v>Mild</v>
      </c>
      <c r="U481" t="str">
        <f t="shared" ca="1" si="161"/>
        <v>ICU</v>
      </c>
      <c r="V481" t="str">
        <f t="shared" si="162"/>
        <v>BED0480</v>
      </c>
      <c r="W481" t="str">
        <f t="shared" ca="1" si="163"/>
        <v>Semi-Private</v>
      </c>
      <c r="X481" t="str">
        <f t="shared" si="164"/>
        <v>NUR030</v>
      </c>
      <c r="Y481" t="str">
        <f t="shared" ca="1" si="165"/>
        <v>Morning</v>
      </c>
      <c r="Z481" t="str">
        <f t="shared" ca="1" si="166"/>
        <v>MRI Scanner</v>
      </c>
      <c r="AA481" t="str">
        <f t="shared" ca="1" si="167"/>
        <v>Maintenance</v>
      </c>
      <c r="AB481" t="str">
        <f t="shared" ca="1" si="168"/>
        <v>Pending</v>
      </c>
      <c r="AC481" t="str">
        <f t="shared" ca="1" si="169"/>
        <v>Credit Card</v>
      </c>
      <c r="AD481" t="str">
        <f t="shared" ca="1" si="170"/>
        <v>No</v>
      </c>
      <c r="AE481" t="str">
        <f t="shared" ca="1" si="171"/>
        <v>No</v>
      </c>
      <c r="AF481" t="str">
        <f t="shared" ca="1" si="172"/>
        <v>Transferred</v>
      </c>
      <c r="AG481" t="str">
        <f t="shared" ca="1" si="173"/>
        <v>Southeast</v>
      </c>
      <c r="AH481" t="str">
        <f t="shared" si="156"/>
        <v>February</v>
      </c>
      <c r="AI481">
        <f t="shared" si="157"/>
        <v>2023</v>
      </c>
      <c r="AJ481" t="str">
        <f t="shared" ca="1" si="174"/>
        <v>Occupied</v>
      </c>
      <c r="AK481">
        <f t="shared" ca="1" si="175"/>
        <v>4</v>
      </c>
    </row>
    <row r="482" spans="1:37" x14ac:dyDescent="0.3">
      <c r="A482" t="s">
        <v>4912</v>
      </c>
      <c r="B482">
        <v>46</v>
      </c>
      <c r="C482" t="s">
        <v>32</v>
      </c>
      <c r="D482" t="s">
        <v>44</v>
      </c>
      <c r="E482" t="s">
        <v>25</v>
      </c>
      <c r="F482" s="1">
        <v>45407</v>
      </c>
      <c r="G482" t="s">
        <v>1003</v>
      </c>
      <c r="H482" t="s">
        <v>1004</v>
      </c>
      <c r="I482" t="s">
        <v>36</v>
      </c>
      <c r="J482">
        <v>17703</v>
      </c>
      <c r="K482">
        <v>385</v>
      </c>
      <c r="L482" t="s">
        <v>21</v>
      </c>
      <c r="M482" s="1">
        <v>45424</v>
      </c>
      <c r="N482" t="s">
        <v>30</v>
      </c>
      <c r="O482" t="s">
        <v>31</v>
      </c>
      <c r="P482" t="str">
        <f t="shared" si="158"/>
        <v>P0481</v>
      </c>
      <c r="Q482" t="str">
        <f t="shared" si="154"/>
        <v>Nutrition</v>
      </c>
      <c r="R482">
        <f t="shared" si="155"/>
        <v>17</v>
      </c>
      <c r="S482" t="str">
        <f t="shared" ca="1" si="159"/>
        <v>No</v>
      </c>
      <c r="T482" t="str">
        <f t="shared" ca="1" si="160"/>
        <v>Mild</v>
      </c>
      <c r="U482" t="str">
        <f t="shared" ca="1" si="161"/>
        <v>ICU</v>
      </c>
      <c r="V482" t="str">
        <f t="shared" si="162"/>
        <v>BED0481</v>
      </c>
      <c r="W482" t="str">
        <f t="shared" ca="1" si="163"/>
        <v>General</v>
      </c>
      <c r="X482" t="str">
        <f t="shared" si="164"/>
        <v>NUR031</v>
      </c>
      <c r="Y482" t="str">
        <f t="shared" ca="1" si="165"/>
        <v>Morning</v>
      </c>
      <c r="Z482" t="str">
        <f t="shared" ca="1" si="166"/>
        <v>CT Scanner</v>
      </c>
      <c r="AA482" t="str">
        <f t="shared" ca="1" si="167"/>
        <v>Maintenance</v>
      </c>
      <c r="AB482" t="str">
        <f t="shared" ca="1" si="168"/>
        <v>Paid</v>
      </c>
      <c r="AC482" t="str">
        <f t="shared" ca="1" si="169"/>
        <v>Bank Transfer</v>
      </c>
      <c r="AD482" t="str">
        <f t="shared" ca="1" si="170"/>
        <v>No</v>
      </c>
      <c r="AE482" t="str">
        <f t="shared" ca="1" si="171"/>
        <v>Yes</v>
      </c>
      <c r="AF482" t="str">
        <f t="shared" ca="1" si="172"/>
        <v>Under Observation</v>
      </c>
      <c r="AG482" t="str">
        <f t="shared" ca="1" si="173"/>
        <v>Southeast</v>
      </c>
      <c r="AH482" t="str">
        <f t="shared" si="156"/>
        <v>April</v>
      </c>
      <c r="AI482">
        <f t="shared" si="157"/>
        <v>2024</v>
      </c>
      <c r="AJ482" t="str">
        <f t="shared" ca="1" si="174"/>
        <v>Occupied</v>
      </c>
      <c r="AK482">
        <f t="shared" ca="1" si="175"/>
        <v>4</v>
      </c>
    </row>
    <row r="483" spans="1:37" x14ac:dyDescent="0.3">
      <c r="A483" t="s">
        <v>4913</v>
      </c>
      <c r="B483">
        <v>18</v>
      </c>
      <c r="C483" t="s">
        <v>32</v>
      </c>
      <c r="D483" t="s">
        <v>24</v>
      </c>
      <c r="E483" t="s">
        <v>48</v>
      </c>
      <c r="F483" s="1">
        <v>44720</v>
      </c>
      <c r="G483" t="s">
        <v>1005</v>
      </c>
      <c r="H483" t="s">
        <v>1006</v>
      </c>
      <c r="I483" t="s">
        <v>51</v>
      </c>
      <c r="J483">
        <v>33444</v>
      </c>
      <c r="K483">
        <v>342</v>
      </c>
      <c r="L483" t="s">
        <v>29</v>
      </c>
      <c r="M483" s="1">
        <v>44734</v>
      </c>
      <c r="N483" t="s">
        <v>47</v>
      </c>
      <c r="O483" t="s">
        <v>23</v>
      </c>
      <c r="P483" t="str">
        <f t="shared" si="158"/>
        <v>P0482</v>
      </c>
      <c r="Q483" t="str">
        <f t="shared" si="154"/>
        <v>Pulmonology</v>
      </c>
      <c r="R483">
        <f t="shared" si="155"/>
        <v>14</v>
      </c>
      <c r="S483" t="str">
        <f t="shared" ca="1" si="159"/>
        <v>No</v>
      </c>
      <c r="T483" t="str">
        <f t="shared" ca="1" si="160"/>
        <v>Moderate</v>
      </c>
      <c r="U483" t="str">
        <f t="shared" ca="1" si="161"/>
        <v>ICU</v>
      </c>
      <c r="V483" t="str">
        <f t="shared" si="162"/>
        <v>BED0482</v>
      </c>
      <c r="W483" t="str">
        <f t="shared" ca="1" si="163"/>
        <v>General</v>
      </c>
      <c r="X483" t="str">
        <f t="shared" si="164"/>
        <v>NUR032</v>
      </c>
      <c r="Y483" t="str">
        <f t="shared" ca="1" si="165"/>
        <v>Night</v>
      </c>
      <c r="Z483" t="str">
        <f t="shared" ca="1" si="166"/>
        <v>ECG Machine</v>
      </c>
      <c r="AA483" t="str">
        <f t="shared" ca="1" si="167"/>
        <v>Maintenance</v>
      </c>
      <c r="AB483" t="str">
        <f t="shared" ca="1" si="168"/>
        <v>Partially Paid</v>
      </c>
      <c r="AC483" t="str">
        <f t="shared" ca="1" si="169"/>
        <v>Credit Card</v>
      </c>
      <c r="AD483" t="str">
        <f t="shared" ca="1" si="170"/>
        <v>No</v>
      </c>
      <c r="AE483" t="str">
        <f t="shared" ca="1" si="171"/>
        <v>No</v>
      </c>
      <c r="AF483" t="str">
        <f t="shared" ca="1" si="172"/>
        <v>Transferred</v>
      </c>
      <c r="AG483" t="str">
        <f t="shared" ca="1" si="173"/>
        <v>Southeast</v>
      </c>
      <c r="AH483" t="str">
        <f t="shared" si="156"/>
        <v>June</v>
      </c>
      <c r="AI483">
        <f t="shared" si="157"/>
        <v>2022</v>
      </c>
      <c r="AJ483" t="str">
        <f t="shared" ca="1" si="174"/>
        <v>Vacant</v>
      </c>
      <c r="AK483">
        <f t="shared" ca="1" si="175"/>
        <v>2</v>
      </c>
    </row>
    <row r="484" spans="1:37" x14ac:dyDescent="0.3">
      <c r="A484" t="s">
        <v>4914</v>
      </c>
      <c r="B484">
        <v>30</v>
      </c>
      <c r="C484" t="s">
        <v>32</v>
      </c>
      <c r="D484" t="s">
        <v>16</v>
      </c>
      <c r="E484" t="s">
        <v>17</v>
      </c>
      <c r="F484" s="1">
        <v>45267</v>
      </c>
      <c r="G484" t="s">
        <v>1007</v>
      </c>
      <c r="H484" t="s">
        <v>1008</v>
      </c>
      <c r="I484" t="s">
        <v>57</v>
      </c>
      <c r="J484">
        <v>23175</v>
      </c>
      <c r="K484">
        <v>326</v>
      </c>
      <c r="L484" t="s">
        <v>29</v>
      </c>
      <c r="M484" s="1">
        <v>45284</v>
      </c>
      <c r="N484" t="s">
        <v>30</v>
      </c>
      <c r="O484" t="s">
        <v>23</v>
      </c>
      <c r="P484" t="str">
        <f t="shared" si="158"/>
        <v>P0483</v>
      </c>
      <c r="Q484" t="str">
        <f t="shared" si="154"/>
        <v>Oncology</v>
      </c>
      <c r="R484">
        <f t="shared" si="155"/>
        <v>17</v>
      </c>
      <c r="S484" t="str">
        <f t="shared" ca="1" si="159"/>
        <v>No</v>
      </c>
      <c r="T484" t="str">
        <f t="shared" ca="1" si="160"/>
        <v>Critical</v>
      </c>
      <c r="U484" t="str">
        <f t="shared" ca="1" si="161"/>
        <v>Private Ward</v>
      </c>
      <c r="V484" t="str">
        <f t="shared" si="162"/>
        <v>BED0483</v>
      </c>
      <c r="W484" t="str">
        <f t="shared" ca="1" si="163"/>
        <v>Semi-Private</v>
      </c>
      <c r="X484" t="str">
        <f t="shared" si="164"/>
        <v>NUR033</v>
      </c>
      <c r="Y484" t="str">
        <f t="shared" ca="1" si="165"/>
        <v>Morning</v>
      </c>
      <c r="Z484" t="str">
        <f t="shared" ca="1" si="166"/>
        <v>Ventilator</v>
      </c>
      <c r="AA484" t="str">
        <f t="shared" ca="1" si="167"/>
        <v>Maintenance</v>
      </c>
      <c r="AB484" t="str">
        <f t="shared" ca="1" si="168"/>
        <v>Paid</v>
      </c>
      <c r="AC484" t="str">
        <f t="shared" ca="1" si="169"/>
        <v>Debit Card</v>
      </c>
      <c r="AD484" t="str">
        <f t="shared" ca="1" si="170"/>
        <v>No</v>
      </c>
      <c r="AE484" t="str">
        <f t="shared" ca="1" si="171"/>
        <v>No</v>
      </c>
      <c r="AF484" t="str">
        <f t="shared" ca="1" si="172"/>
        <v>Under Observation</v>
      </c>
      <c r="AG484" t="str">
        <f t="shared" ca="1" si="173"/>
        <v>Northeast</v>
      </c>
      <c r="AH484" t="str">
        <f t="shared" si="156"/>
        <v>December</v>
      </c>
      <c r="AI484">
        <f t="shared" si="157"/>
        <v>2023</v>
      </c>
      <c r="AJ484" t="str">
        <f t="shared" ca="1" si="174"/>
        <v>Vacant</v>
      </c>
      <c r="AK484">
        <f t="shared" ca="1" si="175"/>
        <v>1</v>
      </c>
    </row>
    <row r="485" spans="1:37" x14ac:dyDescent="0.3">
      <c r="A485" t="s">
        <v>4915</v>
      </c>
      <c r="B485">
        <v>43</v>
      </c>
      <c r="C485" t="s">
        <v>15</v>
      </c>
      <c r="D485" t="s">
        <v>52</v>
      </c>
      <c r="E485" t="s">
        <v>17</v>
      </c>
      <c r="F485" s="1">
        <v>44138</v>
      </c>
      <c r="G485" t="s">
        <v>1009</v>
      </c>
      <c r="H485" t="s">
        <v>1010</v>
      </c>
      <c r="I485" t="s">
        <v>28</v>
      </c>
      <c r="J485">
        <v>14224</v>
      </c>
      <c r="K485">
        <v>426</v>
      </c>
      <c r="L485" t="s">
        <v>29</v>
      </c>
      <c r="M485" s="1">
        <v>44166</v>
      </c>
      <c r="N485" t="s">
        <v>22</v>
      </c>
      <c r="O485" t="s">
        <v>43</v>
      </c>
      <c r="P485" t="str">
        <f t="shared" si="158"/>
        <v>P0484</v>
      </c>
      <c r="Q485" t="str">
        <f t="shared" si="154"/>
        <v>Oncology</v>
      </c>
      <c r="R485">
        <f t="shared" si="155"/>
        <v>28</v>
      </c>
      <c r="S485" t="str">
        <f t="shared" ca="1" si="159"/>
        <v>No</v>
      </c>
      <c r="T485" t="str">
        <f t="shared" ca="1" si="160"/>
        <v>Mild</v>
      </c>
      <c r="U485" t="str">
        <f t="shared" ca="1" si="161"/>
        <v>Private Ward</v>
      </c>
      <c r="V485" t="str">
        <f t="shared" si="162"/>
        <v>BED0484</v>
      </c>
      <c r="W485" t="str">
        <f t="shared" ca="1" si="163"/>
        <v>General</v>
      </c>
      <c r="X485" t="str">
        <f t="shared" si="164"/>
        <v>NUR034</v>
      </c>
      <c r="Y485" t="str">
        <f t="shared" ca="1" si="165"/>
        <v>Evening</v>
      </c>
      <c r="Z485" t="str">
        <f t="shared" ca="1" si="166"/>
        <v>Ultrasound</v>
      </c>
      <c r="AA485" t="str">
        <f t="shared" ca="1" si="167"/>
        <v>Maintenance</v>
      </c>
      <c r="AB485" t="str">
        <f t="shared" ca="1" si="168"/>
        <v>Partially Paid</v>
      </c>
      <c r="AC485" t="str">
        <f t="shared" ca="1" si="169"/>
        <v>Credit Card</v>
      </c>
      <c r="AD485" t="str">
        <f t="shared" ca="1" si="170"/>
        <v>No</v>
      </c>
      <c r="AE485" t="str">
        <f t="shared" ca="1" si="171"/>
        <v>Yes</v>
      </c>
      <c r="AF485" t="str">
        <f t="shared" ca="1" si="172"/>
        <v>Transferred</v>
      </c>
      <c r="AG485" t="str">
        <f t="shared" ca="1" si="173"/>
        <v>Northeast</v>
      </c>
      <c r="AH485" t="str">
        <f t="shared" si="156"/>
        <v>November</v>
      </c>
      <c r="AI485">
        <f t="shared" si="157"/>
        <v>2020</v>
      </c>
      <c r="AJ485" t="str">
        <f t="shared" ca="1" si="174"/>
        <v>Occupied</v>
      </c>
      <c r="AK485">
        <f t="shared" ca="1" si="175"/>
        <v>2</v>
      </c>
    </row>
    <row r="486" spans="1:37" x14ac:dyDescent="0.3">
      <c r="A486" t="s">
        <v>4916</v>
      </c>
      <c r="B486">
        <v>21</v>
      </c>
      <c r="C486" t="s">
        <v>15</v>
      </c>
      <c r="D486" t="s">
        <v>44</v>
      </c>
      <c r="E486" t="s">
        <v>64</v>
      </c>
      <c r="F486" s="1">
        <v>45202</v>
      </c>
      <c r="G486" t="s">
        <v>1011</v>
      </c>
      <c r="H486" t="s">
        <v>1012</v>
      </c>
      <c r="I486" t="s">
        <v>28</v>
      </c>
      <c r="J486">
        <v>23483</v>
      </c>
      <c r="K486">
        <v>357</v>
      </c>
      <c r="L486" t="s">
        <v>21</v>
      </c>
      <c r="M486" s="1">
        <v>45217</v>
      </c>
      <c r="N486" t="s">
        <v>22</v>
      </c>
      <c r="O486" t="s">
        <v>23</v>
      </c>
      <c r="P486" t="str">
        <f t="shared" si="158"/>
        <v>P0485</v>
      </c>
      <c r="Q486" t="str">
        <f t="shared" si="154"/>
        <v>Cardiology</v>
      </c>
      <c r="R486">
        <f t="shared" si="155"/>
        <v>15</v>
      </c>
      <c r="S486" t="str">
        <f t="shared" ca="1" si="159"/>
        <v>No</v>
      </c>
      <c r="T486" t="str">
        <f t="shared" ca="1" si="160"/>
        <v>Mild</v>
      </c>
      <c r="U486" t="str">
        <f t="shared" ca="1" si="161"/>
        <v>Emergency</v>
      </c>
      <c r="V486" t="str">
        <f t="shared" si="162"/>
        <v>BED0485</v>
      </c>
      <c r="W486" t="str">
        <f t="shared" ca="1" si="163"/>
        <v>General</v>
      </c>
      <c r="X486" t="str">
        <f t="shared" si="164"/>
        <v>NUR035</v>
      </c>
      <c r="Y486" t="str">
        <f t="shared" ca="1" si="165"/>
        <v>Night</v>
      </c>
      <c r="Z486" t="str">
        <f t="shared" ca="1" si="166"/>
        <v>Ultrasound</v>
      </c>
      <c r="AA486" t="str">
        <f t="shared" ca="1" si="167"/>
        <v>Maintenance</v>
      </c>
      <c r="AB486" t="str">
        <f t="shared" ca="1" si="168"/>
        <v>Pending</v>
      </c>
      <c r="AC486" t="str">
        <f t="shared" ca="1" si="169"/>
        <v>Cash</v>
      </c>
      <c r="AD486" t="str">
        <f t="shared" ca="1" si="170"/>
        <v>No</v>
      </c>
      <c r="AE486" t="str">
        <f t="shared" ca="1" si="171"/>
        <v>No</v>
      </c>
      <c r="AF486" t="str">
        <f t="shared" ca="1" si="172"/>
        <v>Under Observation</v>
      </c>
      <c r="AG486" t="str">
        <f t="shared" ca="1" si="173"/>
        <v>Southeast</v>
      </c>
      <c r="AH486" t="str">
        <f t="shared" si="156"/>
        <v>October</v>
      </c>
      <c r="AI486">
        <f t="shared" si="157"/>
        <v>2023</v>
      </c>
      <c r="AJ486" t="str">
        <f t="shared" ca="1" si="174"/>
        <v>Occupied</v>
      </c>
      <c r="AK486">
        <f t="shared" ca="1" si="175"/>
        <v>4</v>
      </c>
    </row>
    <row r="487" spans="1:37" x14ac:dyDescent="0.3">
      <c r="A487" t="s">
        <v>4917</v>
      </c>
      <c r="B487">
        <v>28</v>
      </c>
      <c r="C487" t="s">
        <v>32</v>
      </c>
      <c r="D487" t="s">
        <v>16</v>
      </c>
      <c r="E487" t="s">
        <v>64</v>
      </c>
      <c r="F487" s="1">
        <v>44723</v>
      </c>
      <c r="G487" t="s">
        <v>1013</v>
      </c>
      <c r="H487" t="s">
        <v>1014</v>
      </c>
      <c r="I487" t="s">
        <v>51</v>
      </c>
      <c r="J487">
        <v>31327</v>
      </c>
      <c r="K487">
        <v>299</v>
      </c>
      <c r="L487" t="s">
        <v>29</v>
      </c>
      <c r="M487" s="1">
        <v>44740</v>
      </c>
      <c r="N487" t="s">
        <v>22</v>
      </c>
      <c r="O487" t="s">
        <v>43</v>
      </c>
      <c r="P487" t="str">
        <f t="shared" si="158"/>
        <v>P0486</v>
      </c>
      <c r="Q487" t="str">
        <f t="shared" si="154"/>
        <v>Cardiology</v>
      </c>
      <c r="R487">
        <f t="shared" si="155"/>
        <v>17</v>
      </c>
      <c r="S487" t="str">
        <f t="shared" ca="1" si="159"/>
        <v>No</v>
      </c>
      <c r="T487" t="str">
        <f t="shared" ca="1" si="160"/>
        <v>Severe</v>
      </c>
      <c r="U487" t="str">
        <f t="shared" ca="1" si="161"/>
        <v>ICU</v>
      </c>
      <c r="V487" t="str">
        <f t="shared" si="162"/>
        <v>BED0486</v>
      </c>
      <c r="W487" t="str">
        <f t="shared" ca="1" si="163"/>
        <v>Semi-Private</v>
      </c>
      <c r="X487" t="str">
        <f t="shared" si="164"/>
        <v>NUR036</v>
      </c>
      <c r="Y487" t="str">
        <f t="shared" ca="1" si="165"/>
        <v>Evening</v>
      </c>
      <c r="Z487" t="str">
        <f t="shared" ca="1" si="166"/>
        <v>X-Ray</v>
      </c>
      <c r="AA487" t="str">
        <f t="shared" ca="1" si="167"/>
        <v>Maintenance</v>
      </c>
      <c r="AB487" t="str">
        <f t="shared" ca="1" si="168"/>
        <v>Pending</v>
      </c>
      <c r="AC487" t="str">
        <f t="shared" ca="1" si="169"/>
        <v>Cash</v>
      </c>
      <c r="AD487" t="str">
        <f t="shared" ca="1" si="170"/>
        <v>No</v>
      </c>
      <c r="AE487" t="str">
        <f t="shared" ca="1" si="171"/>
        <v>No</v>
      </c>
      <c r="AF487" t="str">
        <f t="shared" ca="1" si="172"/>
        <v>Recovered</v>
      </c>
      <c r="AG487" t="str">
        <f t="shared" ca="1" si="173"/>
        <v>Midwest</v>
      </c>
      <c r="AH487" t="str">
        <f t="shared" si="156"/>
        <v>June</v>
      </c>
      <c r="AI487">
        <f t="shared" si="157"/>
        <v>2022</v>
      </c>
      <c r="AJ487" t="str">
        <f t="shared" ca="1" si="174"/>
        <v>Occupied</v>
      </c>
      <c r="AK487">
        <f t="shared" ca="1" si="175"/>
        <v>4</v>
      </c>
    </row>
    <row r="488" spans="1:37" x14ac:dyDescent="0.3">
      <c r="A488" t="s">
        <v>4918</v>
      </c>
      <c r="B488">
        <v>26</v>
      </c>
      <c r="C488" t="s">
        <v>32</v>
      </c>
      <c r="D488" t="s">
        <v>98</v>
      </c>
      <c r="E488" t="s">
        <v>64</v>
      </c>
      <c r="F488" s="1">
        <v>44380</v>
      </c>
      <c r="G488" t="s">
        <v>1015</v>
      </c>
      <c r="H488" t="s">
        <v>1016</v>
      </c>
      <c r="I488" t="s">
        <v>36</v>
      </c>
      <c r="J488">
        <v>48652</v>
      </c>
      <c r="K488">
        <v>124</v>
      </c>
      <c r="L488" t="s">
        <v>21</v>
      </c>
      <c r="M488" s="1">
        <v>44406</v>
      </c>
      <c r="N488" t="s">
        <v>47</v>
      </c>
      <c r="O488" t="s">
        <v>31</v>
      </c>
      <c r="P488" t="str">
        <f t="shared" si="158"/>
        <v>P0487</v>
      </c>
      <c r="Q488" t="str">
        <f t="shared" si="154"/>
        <v>Cardiology</v>
      </c>
      <c r="R488">
        <f t="shared" si="155"/>
        <v>26</v>
      </c>
      <c r="S488" t="str">
        <f t="shared" ca="1" si="159"/>
        <v>No</v>
      </c>
      <c r="T488" t="str">
        <f t="shared" ca="1" si="160"/>
        <v>Critical</v>
      </c>
      <c r="U488" t="str">
        <f t="shared" ca="1" si="161"/>
        <v>Private Ward</v>
      </c>
      <c r="V488" t="str">
        <f t="shared" si="162"/>
        <v>BED0487</v>
      </c>
      <c r="W488" t="str">
        <f t="shared" ca="1" si="163"/>
        <v>ICU</v>
      </c>
      <c r="X488" t="str">
        <f t="shared" si="164"/>
        <v>NUR037</v>
      </c>
      <c r="Y488" t="str">
        <f t="shared" ca="1" si="165"/>
        <v>Evening</v>
      </c>
      <c r="Z488" t="str">
        <f t="shared" ca="1" si="166"/>
        <v>Ultrasound</v>
      </c>
      <c r="AA488" t="str">
        <f t="shared" ca="1" si="167"/>
        <v>Maintenance</v>
      </c>
      <c r="AB488" t="str">
        <f t="shared" ca="1" si="168"/>
        <v>Partially Paid</v>
      </c>
      <c r="AC488" t="str">
        <f t="shared" ca="1" si="169"/>
        <v>Cash</v>
      </c>
      <c r="AD488" t="str">
        <f t="shared" ca="1" si="170"/>
        <v>No</v>
      </c>
      <c r="AE488" t="str">
        <f t="shared" ca="1" si="171"/>
        <v>Yes</v>
      </c>
      <c r="AF488" t="str">
        <f t="shared" ca="1" si="172"/>
        <v>Recovered</v>
      </c>
      <c r="AG488" t="str">
        <f t="shared" ca="1" si="173"/>
        <v>Northeast</v>
      </c>
      <c r="AH488" t="str">
        <f t="shared" si="156"/>
        <v>July</v>
      </c>
      <c r="AI488">
        <f t="shared" si="157"/>
        <v>2021</v>
      </c>
      <c r="AJ488" t="str">
        <f t="shared" ca="1" si="174"/>
        <v>Occupied</v>
      </c>
      <c r="AK488">
        <f t="shared" ca="1" si="175"/>
        <v>1</v>
      </c>
    </row>
    <row r="489" spans="1:37" x14ac:dyDescent="0.3">
      <c r="A489" t="s">
        <v>4919</v>
      </c>
      <c r="B489">
        <v>24</v>
      </c>
      <c r="C489" t="s">
        <v>15</v>
      </c>
      <c r="D489" t="s">
        <v>33</v>
      </c>
      <c r="E489" t="s">
        <v>48</v>
      </c>
      <c r="F489" s="1">
        <v>45370</v>
      </c>
      <c r="G489" t="s">
        <v>1017</v>
      </c>
      <c r="H489" t="s">
        <v>1018</v>
      </c>
      <c r="I489" t="s">
        <v>36</v>
      </c>
      <c r="J489">
        <v>18932</v>
      </c>
      <c r="K489">
        <v>115</v>
      </c>
      <c r="L489" t="s">
        <v>42</v>
      </c>
      <c r="M489" s="1">
        <v>45384</v>
      </c>
      <c r="N489" t="s">
        <v>47</v>
      </c>
      <c r="O489" t="s">
        <v>31</v>
      </c>
      <c r="P489" t="str">
        <f t="shared" si="158"/>
        <v>P0488</v>
      </c>
      <c r="Q489" t="str">
        <f t="shared" si="154"/>
        <v>Pulmonology</v>
      </c>
      <c r="R489">
        <f t="shared" si="155"/>
        <v>14</v>
      </c>
      <c r="S489" t="str">
        <f t="shared" ca="1" si="159"/>
        <v>Yes</v>
      </c>
      <c r="T489" t="str">
        <f t="shared" ca="1" si="160"/>
        <v>Severe</v>
      </c>
      <c r="U489" t="str">
        <f t="shared" ca="1" si="161"/>
        <v>Private Ward</v>
      </c>
      <c r="V489" t="str">
        <f t="shared" si="162"/>
        <v>BED0488</v>
      </c>
      <c r="W489" t="str">
        <f t="shared" ca="1" si="163"/>
        <v>Private</v>
      </c>
      <c r="X489" t="str">
        <f t="shared" si="164"/>
        <v>NUR038</v>
      </c>
      <c r="Y489" t="str">
        <f t="shared" ca="1" si="165"/>
        <v>Morning</v>
      </c>
      <c r="Z489" t="str">
        <f t="shared" ca="1" si="166"/>
        <v>Ventilator</v>
      </c>
      <c r="AA489" t="str">
        <f t="shared" ca="1" si="167"/>
        <v>In Use</v>
      </c>
      <c r="AB489" t="str">
        <f t="shared" ca="1" si="168"/>
        <v>Partially Paid</v>
      </c>
      <c r="AC489" t="str">
        <f t="shared" ca="1" si="169"/>
        <v>Bank Transfer</v>
      </c>
      <c r="AD489" t="str">
        <f t="shared" ca="1" si="170"/>
        <v>No</v>
      </c>
      <c r="AE489" t="str">
        <f t="shared" ca="1" si="171"/>
        <v>No</v>
      </c>
      <c r="AF489" t="str">
        <f t="shared" ca="1" si="172"/>
        <v>Recovered</v>
      </c>
      <c r="AG489" t="str">
        <f t="shared" ca="1" si="173"/>
        <v>Southeast</v>
      </c>
      <c r="AH489" t="str">
        <f t="shared" si="156"/>
        <v>March</v>
      </c>
      <c r="AI489">
        <f t="shared" si="157"/>
        <v>2024</v>
      </c>
      <c r="AJ489" t="str">
        <f t="shared" ca="1" si="174"/>
        <v>Occupied</v>
      </c>
      <c r="AK489">
        <f t="shared" ca="1" si="175"/>
        <v>1</v>
      </c>
    </row>
    <row r="490" spans="1:37" x14ac:dyDescent="0.3">
      <c r="A490" t="s">
        <v>4363</v>
      </c>
      <c r="B490">
        <v>55</v>
      </c>
      <c r="C490" t="s">
        <v>32</v>
      </c>
      <c r="D490" t="s">
        <v>52</v>
      </c>
      <c r="E490" t="s">
        <v>39</v>
      </c>
      <c r="F490" s="1">
        <v>45302</v>
      </c>
      <c r="G490" t="s">
        <v>1019</v>
      </c>
      <c r="H490" t="s">
        <v>1020</v>
      </c>
      <c r="I490" t="s">
        <v>20</v>
      </c>
      <c r="J490">
        <v>22063</v>
      </c>
      <c r="K490">
        <v>147</v>
      </c>
      <c r="L490" t="s">
        <v>42</v>
      </c>
      <c r="M490" s="1">
        <v>45321</v>
      </c>
      <c r="N490" t="s">
        <v>22</v>
      </c>
      <c r="O490" t="s">
        <v>31</v>
      </c>
      <c r="P490" t="str">
        <f t="shared" si="158"/>
        <v>P0489</v>
      </c>
      <c r="Q490" t="str">
        <f t="shared" si="154"/>
        <v>Endocrinology</v>
      </c>
      <c r="R490">
        <f t="shared" si="155"/>
        <v>19</v>
      </c>
      <c r="S490" t="str">
        <f t="shared" ca="1" si="159"/>
        <v>No</v>
      </c>
      <c r="T490" t="str">
        <f t="shared" ca="1" si="160"/>
        <v>Critical</v>
      </c>
      <c r="U490" t="str">
        <f t="shared" ca="1" si="161"/>
        <v>Private Ward</v>
      </c>
      <c r="V490" t="str">
        <f t="shared" si="162"/>
        <v>BED0489</v>
      </c>
      <c r="W490" t="str">
        <f t="shared" ca="1" si="163"/>
        <v>ICU</v>
      </c>
      <c r="X490" t="str">
        <f t="shared" si="164"/>
        <v>NUR039</v>
      </c>
      <c r="Y490" t="str">
        <f t="shared" ca="1" si="165"/>
        <v>Night</v>
      </c>
      <c r="Z490" t="str">
        <f t="shared" ca="1" si="166"/>
        <v>Ventilator</v>
      </c>
      <c r="AA490" t="str">
        <f t="shared" ca="1" si="167"/>
        <v>Maintenance</v>
      </c>
      <c r="AB490" t="str">
        <f t="shared" ca="1" si="168"/>
        <v>Partially Paid</v>
      </c>
      <c r="AC490" t="str">
        <f t="shared" ca="1" si="169"/>
        <v>Debit Card</v>
      </c>
      <c r="AD490" t="str">
        <f t="shared" ca="1" si="170"/>
        <v>No</v>
      </c>
      <c r="AE490" t="str">
        <f t="shared" ca="1" si="171"/>
        <v>No</v>
      </c>
      <c r="AF490" t="str">
        <f t="shared" ca="1" si="172"/>
        <v>Under Observation</v>
      </c>
      <c r="AG490" t="str">
        <f t="shared" ca="1" si="173"/>
        <v>Southwest</v>
      </c>
      <c r="AH490" t="str">
        <f t="shared" si="156"/>
        <v>January</v>
      </c>
      <c r="AI490">
        <f t="shared" si="157"/>
        <v>2024</v>
      </c>
      <c r="AJ490" t="str">
        <f t="shared" ca="1" si="174"/>
        <v>Occupied</v>
      </c>
      <c r="AK490">
        <f t="shared" ca="1" si="175"/>
        <v>2</v>
      </c>
    </row>
    <row r="491" spans="1:37" x14ac:dyDescent="0.3">
      <c r="A491" t="s">
        <v>4920</v>
      </c>
      <c r="B491">
        <v>41</v>
      </c>
      <c r="C491" t="s">
        <v>32</v>
      </c>
      <c r="D491" t="s">
        <v>24</v>
      </c>
      <c r="E491" t="s">
        <v>17</v>
      </c>
      <c r="F491" s="1">
        <v>44373</v>
      </c>
      <c r="G491" t="s">
        <v>1021</v>
      </c>
      <c r="H491" t="s">
        <v>1022</v>
      </c>
      <c r="I491" t="s">
        <v>28</v>
      </c>
      <c r="J491">
        <v>20715</v>
      </c>
      <c r="K491">
        <v>234</v>
      </c>
      <c r="L491" t="s">
        <v>21</v>
      </c>
      <c r="M491" s="1">
        <v>44398</v>
      </c>
      <c r="N491" t="s">
        <v>67</v>
      </c>
      <c r="O491" t="s">
        <v>31</v>
      </c>
      <c r="P491" t="str">
        <f t="shared" si="158"/>
        <v>P0490</v>
      </c>
      <c r="Q491" t="str">
        <f t="shared" si="154"/>
        <v>Oncology</v>
      </c>
      <c r="R491">
        <f t="shared" si="155"/>
        <v>25</v>
      </c>
      <c r="S491" t="str">
        <f t="shared" ca="1" si="159"/>
        <v>No</v>
      </c>
      <c r="T491" t="str">
        <f t="shared" ca="1" si="160"/>
        <v>Mild</v>
      </c>
      <c r="U491" t="str">
        <f t="shared" ca="1" si="161"/>
        <v>Semi-Private</v>
      </c>
      <c r="V491" t="str">
        <f t="shared" si="162"/>
        <v>BED0490</v>
      </c>
      <c r="W491" t="str">
        <f t="shared" ca="1" si="163"/>
        <v>General</v>
      </c>
      <c r="X491" t="str">
        <f t="shared" si="164"/>
        <v>NUR040</v>
      </c>
      <c r="Y491" t="str">
        <f t="shared" ca="1" si="165"/>
        <v>Night</v>
      </c>
      <c r="Z491" t="str">
        <f t="shared" ca="1" si="166"/>
        <v>X-Ray</v>
      </c>
      <c r="AA491" t="str">
        <f t="shared" ca="1" si="167"/>
        <v>Maintenance</v>
      </c>
      <c r="AB491" t="str">
        <f t="shared" ca="1" si="168"/>
        <v>Partially Paid</v>
      </c>
      <c r="AC491" t="str">
        <f t="shared" ca="1" si="169"/>
        <v>Debit Card</v>
      </c>
      <c r="AD491" t="str">
        <f t="shared" ca="1" si="170"/>
        <v>Yes</v>
      </c>
      <c r="AE491" t="str">
        <f t="shared" ca="1" si="171"/>
        <v>No</v>
      </c>
      <c r="AF491" t="str">
        <f t="shared" ca="1" si="172"/>
        <v>Under Observation</v>
      </c>
      <c r="AG491" t="str">
        <f t="shared" ca="1" si="173"/>
        <v>Midwest</v>
      </c>
      <c r="AH491" t="str">
        <f t="shared" si="156"/>
        <v>June</v>
      </c>
      <c r="AI491">
        <f t="shared" si="157"/>
        <v>2021</v>
      </c>
      <c r="AJ491" t="str">
        <f t="shared" ca="1" si="174"/>
        <v>Occupied</v>
      </c>
      <c r="AK491">
        <f t="shared" ca="1" si="175"/>
        <v>4</v>
      </c>
    </row>
    <row r="492" spans="1:37" x14ac:dyDescent="0.3">
      <c r="A492" t="s">
        <v>4921</v>
      </c>
      <c r="B492">
        <v>85</v>
      </c>
      <c r="C492" t="s">
        <v>15</v>
      </c>
      <c r="D492" t="s">
        <v>38</v>
      </c>
      <c r="E492" t="s">
        <v>48</v>
      </c>
      <c r="F492" s="1">
        <v>45310</v>
      </c>
      <c r="G492" t="s">
        <v>1023</v>
      </c>
      <c r="H492" t="s">
        <v>1024</v>
      </c>
      <c r="I492" t="s">
        <v>51</v>
      </c>
      <c r="J492">
        <v>34511</v>
      </c>
      <c r="K492">
        <v>292</v>
      </c>
      <c r="L492" t="s">
        <v>42</v>
      </c>
      <c r="M492" s="1">
        <v>45327</v>
      </c>
      <c r="N492" t="s">
        <v>30</v>
      </c>
      <c r="O492" t="s">
        <v>31</v>
      </c>
      <c r="P492" t="str">
        <f t="shared" si="158"/>
        <v>P0491</v>
      </c>
      <c r="Q492" t="str">
        <f t="shared" si="154"/>
        <v>Pulmonology</v>
      </c>
      <c r="R492">
        <f t="shared" si="155"/>
        <v>17</v>
      </c>
      <c r="S492" t="str">
        <f t="shared" ca="1" si="159"/>
        <v>No</v>
      </c>
      <c r="T492" t="str">
        <f t="shared" ca="1" si="160"/>
        <v>Moderate</v>
      </c>
      <c r="U492" t="str">
        <f t="shared" ca="1" si="161"/>
        <v>Emergency</v>
      </c>
      <c r="V492" t="str">
        <f t="shared" si="162"/>
        <v>BED0491</v>
      </c>
      <c r="W492" t="str">
        <f t="shared" ca="1" si="163"/>
        <v>Semi-Private</v>
      </c>
      <c r="X492" t="str">
        <f t="shared" si="164"/>
        <v>NUR041</v>
      </c>
      <c r="Y492" t="str">
        <f t="shared" ca="1" si="165"/>
        <v>Evening</v>
      </c>
      <c r="Z492" t="str">
        <f t="shared" ca="1" si="166"/>
        <v>Ventilator</v>
      </c>
      <c r="AA492" t="str">
        <f t="shared" ca="1" si="167"/>
        <v>Maintenance</v>
      </c>
      <c r="AB492" t="str">
        <f t="shared" ca="1" si="168"/>
        <v>Paid</v>
      </c>
      <c r="AC492" t="str">
        <f t="shared" ca="1" si="169"/>
        <v>Insurance</v>
      </c>
      <c r="AD492" t="str">
        <f t="shared" ca="1" si="170"/>
        <v>No</v>
      </c>
      <c r="AE492" t="str">
        <f t="shared" ca="1" si="171"/>
        <v>No</v>
      </c>
      <c r="AF492" t="str">
        <f t="shared" ca="1" si="172"/>
        <v>Transferred</v>
      </c>
      <c r="AG492" t="str">
        <f t="shared" ca="1" si="173"/>
        <v>Northeast</v>
      </c>
      <c r="AH492" t="str">
        <f t="shared" si="156"/>
        <v>January</v>
      </c>
      <c r="AI492">
        <f t="shared" si="157"/>
        <v>2024</v>
      </c>
      <c r="AJ492" t="str">
        <f t="shared" ca="1" si="174"/>
        <v>Occupied</v>
      </c>
      <c r="AK492">
        <f t="shared" ca="1" si="175"/>
        <v>1</v>
      </c>
    </row>
    <row r="493" spans="1:37" x14ac:dyDescent="0.3">
      <c r="A493" t="s">
        <v>4922</v>
      </c>
      <c r="B493">
        <v>45</v>
      </c>
      <c r="C493" t="s">
        <v>15</v>
      </c>
      <c r="D493" t="s">
        <v>98</v>
      </c>
      <c r="E493" t="s">
        <v>64</v>
      </c>
      <c r="F493" s="1">
        <v>44180</v>
      </c>
      <c r="G493" t="s">
        <v>1025</v>
      </c>
      <c r="H493" t="s">
        <v>1026</v>
      </c>
      <c r="I493" t="s">
        <v>20</v>
      </c>
      <c r="J493">
        <v>42201</v>
      </c>
      <c r="K493">
        <v>115</v>
      </c>
      <c r="L493" t="s">
        <v>42</v>
      </c>
      <c r="M493" s="1">
        <v>44209</v>
      </c>
      <c r="N493" t="s">
        <v>67</v>
      </c>
      <c r="O493" t="s">
        <v>31</v>
      </c>
      <c r="P493" t="str">
        <f t="shared" si="158"/>
        <v>P0492</v>
      </c>
      <c r="Q493" t="str">
        <f t="shared" si="154"/>
        <v>Cardiology</v>
      </c>
      <c r="R493">
        <f t="shared" si="155"/>
        <v>29</v>
      </c>
      <c r="S493" t="str">
        <f t="shared" ca="1" si="159"/>
        <v>No</v>
      </c>
      <c r="T493" t="str">
        <f t="shared" ca="1" si="160"/>
        <v>Mild</v>
      </c>
      <c r="U493" t="str">
        <f t="shared" ca="1" si="161"/>
        <v>ICU</v>
      </c>
      <c r="V493" t="str">
        <f t="shared" si="162"/>
        <v>BED0492</v>
      </c>
      <c r="W493" t="str">
        <f t="shared" ca="1" si="163"/>
        <v>ICU</v>
      </c>
      <c r="X493" t="str">
        <f t="shared" si="164"/>
        <v>NUR042</v>
      </c>
      <c r="Y493" t="str">
        <f t="shared" ca="1" si="165"/>
        <v>Morning</v>
      </c>
      <c r="Z493" t="str">
        <f t="shared" ca="1" si="166"/>
        <v>X-Ray</v>
      </c>
      <c r="AA493" t="str">
        <f t="shared" ca="1" si="167"/>
        <v>Available</v>
      </c>
      <c r="AB493" t="str">
        <f t="shared" ca="1" si="168"/>
        <v>Pending</v>
      </c>
      <c r="AC493" t="str">
        <f t="shared" ca="1" si="169"/>
        <v>Credit Card</v>
      </c>
      <c r="AD493" t="str">
        <f t="shared" ca="1" si="170"/>
        <v>No</v>
      </c>
      <c r="AE493" t="str">
        <f t="shared" ca="1" si="171"/>
        <v>Yes</v>
      </c>
      <c r="AF493" t="str">
        <f t="shared" ca="1" si="172"/>
        <v>Transferred</v>
      </c>
      <c r="AG493" t="str">
        <f t="shared" ca="1" si="173"/>
        <v>Southwest</v>
      </c>
      <c r="AH493" t="str">
        <f t="shared" si="156"/>
        <v>December</v>
      </c>
      <c r="AI493">
        <f t="shared" si="157"/>
        <v>2020</v>
      </c>
      <c r="AJ493" t="str">
        <f t="shared" ca="1" si="174"/>
        <v>Occupied</v>
      </c>
      <c r="AK493">
        <f t="shared" ca="1" si="175"/>
        <v>1</v>
      </c>
    </row>
    <row r="494" spans="1:37" x14ac:dyDescent="0.3">
      <c r="A494" t="s">
        <v>4923</v>
      </c>
      <c r="B494">
        <v>22</v>
      </c>
      <c r="C494" t="s">
        <v>32</v>
      </c>
      <c r="D494" t="s">
        <v>83</v>
      </c>
      <c r="E494" t="s">
        <v>64</v>
      </c>
      <c r="F494" s="1">
        <v>44330</v>
      </c>
      <c r="G494" t="s">
        <v>1027</v>
      </c>
      <c r="H494" t="s">
        <v>1028</v>
      </c>
      <c r="I494" t="s">
        <v>57</v>
      </c>
      <c r="J494">
        <v>24451</v>
      </c>
      <c r="K494">
        <v>413</v>
      </c>
      <c r="L494" t="s">
        <v>29</v>
      </c>
      <c r="M494" s="1">
        <v>44344</v>
      </c>
      <c r="N494" t="s">
        <v>22</v>
      </c>
      <c r="O494" t="s">
        <v>43</v>
      </c>
      <c r="P494" t="str">
        <f t="shared" si="158"/>
        <v>P0493</v>
      </c>
      <c r="Q494" t="str">
        <f t="shared" si="154"/>
        <v>Cardiology</v>
      </c>
      <c r="R494">
        <f t="shared" si="155"/>
        <v>14</v>
      </c>
      <c r="S494" t="str">
        <f t="shared" ca="1" si="159"/>
        <v>No</v>
      </c>
      <c r="T494" t="str">
        <f t="shared" ca="1" si="160"/>
        <v>Severe</v>
      </c>
      <c r="U494" t="str">
        <f t="shared" ca="1" si="161"/>
        <v>General Ward</v>
      </c>
      <c r="V494" t="str">
        <f t="shared" si="162"/>
        <v>BED0493</v>
      </c>
      <c r="W494" t="str">
        <f t="shared" ca="1" si="163"/>
        <v>Semi-Private</v>
      </c>
      <c r="X494" t="str">
        <f t="shared" si="164"/>
        <v>NUR043</v>
      </c>
      <c r="Y494" t="str">
        <f t="shared" ca="1" si="165"/>
        <v>Morning</v>
      </c>
      <c r="Z494" t="str">
        <f t="shared" ca="1" si="166"/>
        <v>ECG Machine</v>
      </c>
      <c r="AA494" t="str">
        <f t="shared" ca="1" si="167"/>
        <v>Available</v>
      </c>
      <c r="AB494" t="str">
        <f t="shared" ca="1" si="168"/>
        <v>Partially Paid</v>
      </c>
      <c r="AC494" t="str">
        <f t="shared" ca="1" si="169"/>
        <v>Bank Transfer</v>
      </c>
      <c r="AD494" t="str">
        <f t="shared" ca="1" si="170"/>
        <v>No</v>
      </c>
      <c r="AE494" t="str">
        <f t="shared" ca="1" si="171"/>
        <v>No</v>
      </c>
      <c r="AF494" t="str">
        <f t="shared" ca="1" si="172"/>
        <v>Recovered</v>
      </c>
      <c r="AG494" t="str">
        <f t="shared" ca="1" si="173"/>
        <v>Midwest</v>
      </c>
      <c r="AH494" t="str">
        <f t="shared" si="156"/>
        <v>May</v>
      </c>
      <c r="AI494">
        <f t="shared" si="157"/>
        <v>2021</v>
      </c>
      <c r="AJ494" t="str">
        <f t="shared" ca="1" si="174"/>
        <v>Occupied</v>
      </c>
      <c r="AK494">
        <f t="shared" ca="1" si="175"/>
        <v>1</v>
      </c>
    </row>
    <row r="495" spans="1:37" x14ac:dyDescent="0.3">
      <c r="A495" t="s">
        <v>4924</v>
      </c>
      <c r="B495">
        <v>18</v>
      </c>
      <c r="C495" t="s">
        <v>15</v>
      </c>
      <c r="D495" t="s">
        <v>83</v>
      </c>
      <c r="E495" t="s">
        <v>39</v>
      </c>
      <c r="F495" s="1">
        <v>44387</v>
      </c>
      <c r="G495" t="s">
        <v>1029</v>
      </c>
      <c r="H495" t="s">
        <v>1030</v>
      </c>
      <c r="I495" t="s">
        <v>51</v>
      </c>
      <c r="J495">
        <v>30290</v>
      </c>
      <c r="K495">
        <v>165</v>
      </c>
      <c r="L495" t="s">
        <v>29</v>
      </c>
      <c r="M495" s="1">
        <v>44389</v>
      </c>
      <c r="N495" t="s">
        <v>22</v>
      </c>
      <c r="O495" t="s">
        <v>23</v>
      </c>
      <c r="P495" t="str">
        <f t="shared" si="158"/>
        <v>P0494</v>
      </c>
      <c r="Q495" t="str">
        <f t="shared" si="154"/>
        <v>Endocrinology</v>
      </c>
      <c r="R495">
        <f t="shared" si="155"/>
        <v>2</v>
      </c>
      <c r="S495" t="str">
        <f t="shared" ca="1" si="159"/>
        <v>No</v>
      </c>
      <c r="T495" t="str">
        <f t="shared" ca="1" si="160"/>
        <v>Severe</v>
      </c>
      <c r="U495" t="str">
        <f t="shared" ca="1" si="161"/>
        <v>ICU</v>
      </c>
      <c r="V495" t="str">
        <f t="shared" si="162"/>
        <v>BED0494</v>
      </c>
      <c r="W495" t="str">
        <f t="shared" ca="1" si="163"/>
        <v>ICU</v>
      </c>
      <c r="X495" t="str">
        <f t="shared" si="164"/>
        <v>NUR044</v>
      </c>
      <c r="Y495" t="str">
        <f t="shared" ca="1" si="165"/>
        <v>Evening</v>
      </c>
      <c r="Z495" t="str">
        <f t="shared" ca="1" si="166"/>
        <v>Ultrasound</v>
      </c>
      <c r="AA495" t="str">
        <f t="shared" ca="1" si="167"/>
        <v>Maintenance</v>
      </c>
      <c r="AB495" t="str">
        <f t="shared" ca="1" si="168"/>
        <v>Paid</v>
      </c>
      <c r="AC495" t="str">
        <f t="shared" ca="1" si="169"/>
        <v>Bank Transfer</v>
      </c>
      <c r="AD495" t="str">
        <f t="shared" ca="1" si="170"/>
        <v>No</v>
      </c>
      <c r="AE495" t="str">
        <f t="shared" ca="1" si="171"/>
        <v>No</v>
      </c>
      <c r="AF495" t="str">
        <f t="shared" ca="1" si="172"/>
        <v>Transferred</v>
      </c>
      <c r="AG495" t="str">
        <f t="shared" ca="1" si="173"/>
        <v>Midwest</v>
      </c>
      <c r="AH495" t="str">
        <f t="shared" si="156"/>
        <v>July</v>
      </c>
      <c r="AI495">
        <f t="shared" si="157"/>
        <v>2021</v>
      </c>
      <c r="AJ495" t="str">
        <f t="shared" ca="1" si="174"/>
        <v>Occupied</v>
      </c>
      <c r="AK495">
        <f t="shared" ca="1" si="175"/>
        <v>4</v>
      </c>
    </row>
    <row r="496" spans="1:37" x14ac:dyDescent="0.3">
      <c r="A496" t="s">
        <v>4925</v>
      </c>
      <c r="B496">
        <v>60</v>
      </c>
      <c r="C496" t="s">
        <v>15</v>
      </c>
      <c r="D496" t="s">
        <v>16</v>
      </c>
      <c r="E496" t="s">
        <v>39</v>
      </c>
      <c r="F496" s="1">
        <v>44037</v>
      </c>
      <c r="G496" t="s">
        <v>1031</v>
      </c>
      <c r="H496" t="s">
        <v>1032</v>
      </c>
      <c r="I496" t="s">
        <v>28</v>
      </c>
      <c r="J496">
        <v>35317</v>
      </c>
      <c r="K496">
        <v>431</v>
      </c>
      <c r="L496" t="s">
        <v>21</v>
      </c>
      <c r="M496" s="1">
        <v>44041</v>
      </c>
      <c r="N496" t="s">
        <v>67</v>
      </c>
      <c r="O496" t="s">
        <v>23</v>
      </c>
      <c r="P496" t="str">
        <f t="shared" si="158"/>
        <v>P0495</v>
      </c>
      <c r="Q496" t="str">
        <f t="shared" si="154"/>
        <v>Endocrinology</v>
      </c>
      <c r="R496">
        <f t="shared" si="155"/>
        <v>4</v>
      </c>
      <c r="S496" t="str">
        <f t="shared" ca="1" si="159"/>
        <v>No</v>
      </c>
      <c r="T496" t="str">
        <f t="shared" ca="1" si="160"/>
        <v>Critical</v>
      </c>
      <c r="U496" t="str">
        <f t="shared" ca="1" si="161"/>
        <v>Emergency</v>
      </c>
      <c r="V496" t="str">
        <f t="shared" si="162"/>
        <v>BED0495</v>
      </c>
      <c r="W496" t="str">
        <f t="shared" ca="1" si="163"/>
        <v>Semi-Private</v>
      </c>
      <c r="X496" t="str">
        <f t="shared" si="164"/>
        <v>NUR045</v>
      </c>
      <c r="Y496" t="str">
        <f t="shared" ca="1" si="165"/>
        <v>Morning</v>
      </c>
      <c r="Z496" t="str">
        <f t="shared" ca="1" si="166"/>
        <v>CT Scanner</v>
      </c>
      <c r="AA496" t="str">
        <f t="shared" ca="1" si="167"/>
        <v>Available</v>
      </c>
      <c r="AB496" t="str">
        <f t="shared" ca="1" si="168"/>
        <v>Partially Paid</v>
      </c>
      <c r="AC496" t="str">
        <f t="shared" ca="1" si="169"/>
        <v>Bank Transfer</v>
      </c>
      <c r="AD496" t="str">
        <f t="shared" ca="1" si="170"/>
        <v>No</v>
      </c>
      <c r="AE496" t="str">
        <f t="shared" ca="1" si="171"/>
        <v>No</v>
      </c>
      <c r="AF496" t="str">
        <f t="shared" ca="1" si="172"/>
        <v>Recovered</v>
      </c>
      <c r="AG496" t="str">
        <f t="shared" ca="1" si="173"/>
        <v>Southwest</v>
      </c>
      <c r="AH496" t="str">
        <f t="shared" si="156"/>
        <v>July</v>
      </c>
      <c r="AI496">
        <f t="shared" si="157"/>
        <v>2020</v>
      </c>
      <c r="AJ496" t="str">
        <f t="shared" ca="1" si="174"/>
        <v>Occupied</v>
      </c>
      <c r="AK496">
        <f t="shared" ca="1" si="175"/>
        <v>1</v>
      </c>
    </row>
    <row r="497" spans="1:37" x14ac:dyDescent="0.3">
      <c r="A497" t="s">
        <v>4926</v>
      </c>
      <c r="B497">
        <v>22</v>
      </c>
      <c r="C497" t="s">
        <v>32</v>
      </c>
      <c r="D497" t="s">
        <v>44</v>
      </c>
      <c r="E497" t="s">
        <v>25</v>
      </c>
      <c r="F497" s="1">
        <v>43725</v>
      </c>
      <c r="G497" t="s">
        <v>1033</v>
      </c>
      <c r="H497" t="s">
        <v>1034</v>
      </c>
      <c r="I497" t="s">
        <v>57</v>
      </c>
      <c r="J497">
        <v>8034</v>
      </c>
      <c r="K497">
        <v>293</v>
      </c>
      <c r="L497" t="s">
        <v>42</v>
      </c>
      <c r="M497" s="1">
        <v>43739</v>
      </c>
      <c r="N497" t="s">
        <v>67</v>
      </c>
      <c r="O497" t="s">
        <v>31</v>
      </c>
      <c r="P497" t="str">
        <f t="shared" si="158"/>
        <v>P0496</v>
      </c>
      <c r="Q497" t="str">
        <f t="shared" si="154"/>
        <v>Nutrition</v>
      </c>
      <c r="R497">
        <f t="shared" si="155"/>
        <v>14</v>
      </c>
      <c r="S497" t="str">
        <f t="shared" ca="1" si="159"/>
        <v>Yes</v>
      </c>
      <c r="T497" t="str">
        <f t="shared" ca="1" si="160"/>
        <v>Mild</v>
      </c>
      <c r="U497" t="str">
        <f t="shared" ca="1" si="161"/>
        <v>Emergency</v>
      </c>
      <c r="V497" t="str">
        <f t="shared" si="162"/>
        <v>BED0496</v>
      </c>
      <c r="W497" t="str">
        <f t="shared" ca="1" si="163"/>
        <v>General</v>
      </c>
      <c r="X497" t="str">
        <f t="shared" si="164"/>
        <v>NUR046</v>
      </c>
      <c r="Y497" t="str">
        <f t="shared" ca="1" si="165"/>
        <v>Evening</v>
      </c>
      <c r="Z497" t="str">
        <f t="shared" ca="1" si="166"/>
        <v>ECG Machine</v>
      </c>
      <c r="AA497" t="str">
        <f t="shared" ca="1" si="167"/>
        <v>Maintenance</v>
      </c>
      <c r="AB497" t="str">
        <f t="shared" ca="1" si="168"/>
        <v>Pending</v>
      </c>
      <c r="AC497" t="str">
        <f t="shared" ca="1" si="169"/>
        <v>Insurance</v>
      </c>
      <c r="AD497" t="str">
        <f t="shared" ca="1" si="170"/>
        <v>No</v>
      </c>
      <c r="AE497" t="str">
        <f t="shared" ca="1" si="171"/>
        <v>No</v>
      </c>
      <c r="AF497" t="str">
        <f t="shared" ca="1" si="172"/>
        <v>Under Observation</v>
      </c>
      <c r="AG497" t="str">
        <f t="shared" ca="1" si="173"/>
        <v>Southwest</v>
      </c>
      <c r="AH497" t="str">
        <f t="shared" si="156"/>
        <v>September</v>
      </c>
      <c r="AI497">
        <f t="shared" si="157"/>
        <v>2019</v>
      </c>
      <c r="AJ497" t="str">
        <f t="shared" ca="1" si="174"/>
        <v>Occupied</v>
      </c>
      <c r="AK497">
        <f t="shared" ca="1" si="175"/>
        <v>2</v>
      </c>
    </row>
    <row r="498" spans="1:37" x14ac:dyDescent="0.3">
      <c r="A498" t="s">
        <v>4927</v>
      </c>
      <c r="B498">
        <v>65</v>
      </c>
      <c r="C498" t="s">
        <v>32</v>
      </c>
      <c r="D498" t="s">
        <v>24</v>
      </c>
      <c r="E498" t="s">
        <v>25</v>
      </c>
      <c r="F498" s="1">
        <v>43599</v>
      </c>
      <c r="G498" t="s">
        <v>1035</v>
      </c>
      <c r="H498" t="s">
        <v>1036</v>
      </c>
      <c r="I498" t="s">
        <v>28</v>
      </c>
      <c r="J498">
        <v>7392</v>
      </c>
      <c r="K498">
        <v>270</v>
      </c>
      <c r="L498" t="s">
        <v>42</v>
      </c>
      <c r="M498" s="1">
        <v>43605</v>
      </c>
      <c r="N498" t="s">
        <v>37</v>
      </c>
      <c r="O498" t="s">
        <v>31</v>
      </c>
      <c r="P498" t="str">
        <f t="shared" si="158"/>
        <v>P0497</v>
      </c>
      <c r="Q498" t="str">
        <f t="shared" si="154"/>
        <v>Nutrition</v>
      </c>
      <c r="R498">
        <f t="shared" si="155"/>
        <v>6</v>
      </c>
      <c r="S498" t="str">
        <f t="shared" ca="1" si="159"/>
        <v>No</v>
      </c>
      <c r="T498" t="str">
        <f t="shared" ca="1" si="160"/>
        <v>Severe</v>
      </c>
      <c r="U498" t="str">
        <f t="shared" ca="1" si="161"/>
        <v>Semi-Private</v>
      </c>
      <c r="V498" t="str">
        <f t="shared" si="162"/>
        <v>BED0497</v>
      </c>
      <c r="W498" t="str">
        <f t="shared" ca="1" si="163"/>
        <v>ICU</v>
      </c>
      <c r="X498" t="str">
        <f t="shared" si="164"/>
        <v>NUR047</v>
      </c>
      <c r="Y498" t="str">
        <f t="shared" ca="1" si="165"/>
        <v>Night</v>
      </c>
      <c r="Z498" t="str">
        <f t="shared" ca="1" si="166"/>
        <v>CT Scanner</v>
      </c>
      <c r="AA498" t="str">
        <f t="shared" ca="1" si="167"/>
        <v>In Use</v>
      </c>
      <c r="AB498" t="str">
        <f t="shared" ca="1" si="168"/>
        <v>Pending</v>
      </c>
      <c r="AC498" t="str">
        <f t="shared" ca="1" si="169"/>
        <v>Debit Card</v>
      </c>
      <c r="AD498" t="str">
        <f t="shared" ca="1" si="170"/>
        <v>No</v>
      </c>
      <c r="AE498" t="str">
        <f t="shared" ca="1" si="171"/>
        <v>No</v>
      </c>
      <c r="AF498" t="str">
        <f t="shared" ca="1" si="172"/>
        <v>Transferred</v>
      </c>
      <c r="AG498" t="str">
        <f t="shared" ca="1" si="173"/>
        <v>West Coast</v>
      </c>
      <c r="AH498" t="str">
        <f t="shared" si="156"/>
        <v>May</v>
      </c>
      <c r="AI498">
        <f t="shared" si="157"/>
        <v>2019</v>
      </c>
      <c r="AJ498" t="str">
        <f t="shared" ca="1" si="174"/>
        <v>Vacant</v>
      </c>
      <c r="AK498">
        <f t="shared" ca="1" si="175"/>
        <v>2</v>
      </c>
    </row>
    <row r="499" spans="1:37" x14ac:dyDescent="0.3">
      <c r="A499" t="s">
        <v>4928</v>
      </c>
      <c r="B499">
        <v>73</v>
      </c>
      <c r="C499" t="s">
        <v>32</v>
      </c>
      <c r="D499" t="s">
        <v>83</v>
      </c>
      <c r="E499" t="s">
        <v>48</v>
      </c>
      <c r="F499" s="1">
        <v>43982</v>
      </c>
      <c r="G499" t="s">
        <v>1037</v>
      </c>
      <c r="H499" t="s">
        <v>1038</v>
      </c>
      <c r="I499" t="s">
        <v>36</v>
      </c>
      <c r="J499">
        <v>35946</v>
      </c>
      <c r="K499">
        <v>146</v>
      </c>
      <c r="L499" t="s">
        <v>29</v>
      </c>
      <c r="M499" s="1">
        <v>44010</v>
      </c>
      <c r="N499" t="s">
        <v>30</v>
      </c>
      <c r="O499" t="s">
        <v>31</v>
      </c>
      <c r="P499" t="str">
        <f t="shared" si="158"/>
        <v>P0498</v>
      </c>
      <c r="Q499" t="str">
        <f t="shared" si="154"/>
        <v>Pulmonology</v>
      </c>
      <c r="R499">
        <f t="shared" si="155"/>
        <v>28</v>
      </c>
      <c r="S499" t="str">
        <f t="shared" ca="1" si="159"/>
        <v>No</v>
      </c>
      <c r="T499" t="str">
        <f t="shared" ca="1" si="160"/>
        <v>Moderate</v>
      </c>
      <c r="U499" t="str">
        <f t="shared" ca="1" si="161"/>
        <v>Emergency</v>
      </c>
      <c r="V499" t="str">
        <f t="shared" si="162"/>
        <v>BED0498</v>
      </c>
      <c r="W499" t="str">
        <f t="shared" ca="1" si="163"/>
        <v>ICU</v>
      </c>
      <c r="X499" t="str">
        <f t="shared" si="164"/>
        <v>NUR048</v>
      </c>
      <c r="Y499" t="str">
        <f t="shared" ca="1" si="165"/>
        <v>Evening</v>
      </c>
      <c r="Z499" t="str">
        <f t="shared" ca="1" si="166"/>
        <v>CT Scanner</v>
      </c>
      <c r="AA499" t="str">
        <f t="shared" ca="1" si="167"/>
        <v>Maintenance</v>
      </c>
      <c r="AB499" t="str">
        <f t="shared" ca="1" si="168"/>
        <v>Pending</v>
      </c>
      <c r="AC499" t="str">
        <f t="shared" ca="1" si="169"/>
        <v>Insurance</v>
      </c>
      <c r="AD499" t="str">
        <f t="shared" ca="1" si="170"/>
        <v>No</v>
      </c>
      <c r="AE499" t="str">
        <f t="shared" ca="1" si="171"/>
        <v>No</v>
      </c>
      <c r="AF499" t="str">
        <f t="shared" ca="1" si="172"/>
        <v>Recovered</v>
      </c>
      <c r="AG499" t="str">
        <f t="shared" ca="1" si="173"/>
        <v>Southeast</v>
      </c>
      <c r="AH499" t="str">
        <f t="shared" si="156"/>
        <v>May</v>
      </c>
      <c r="AI499">
        <f t="shared" si="157"/>
        <v>2020</v>
      </c>
      <c r="AJ499" t="str">
        <f t="shared" ca="1" si="174"/>
        <v>Occupied</v>
      </c>
      <c r="AK499">
        <f t="shared" ca="1" si="175"/>
        <v>4</v>
      </c>
    </row>
    <row r="500" spans="1:37" x14ac:dyDescent="0.3">
      <c r="A500" t="s">
        <v>4929</v>
      </c>
      <c r="B500">
        <v>82</v>
      </c>
      <c r="C500" t="s">
        <v>32</v>
      </c>
      <c r="D500" t="s">
        <v>44</v>
      </c>
      <c r="E500" t="s">
        <v>64</v>
      </c>
      <c r="F500" s="1">
        <v>43917</v>
      </c>
      <c r="G500" t="s">
        <v>1039</v>
      </c>
      <c r="H500" t="s">
        <v>1040</v>
      </c>
      <c r="I500" t="s">
        <v>28</v>
      </c>
      <c r="J500">
        <v>10781</v>
      </c>
      <c r="K500">
        <v>472</v>
      </c>
      <c r="L500" t="s">
        <v>29</v>
      </c>
      <c r="M500" s="1">
        <v>43925</v>
      </c>
      <c r="N500" t="s">
        <v>30</v>
      </c>
      <c r="O500" t="s">
        <v>31</v>
      </c>
      <c r="P500" t="str">
        <f t="shared" si="158"/>
        <v>P0499</v>
      </c>
      <c r="Q500" t="str">
        <f t="shared" si="154"/>
        <v>Cardiology</v>
      </c>
      <c r="R500">
        <f t="shared" si="155"/>
        <v>8</v>
      </c>
      <c r="S500" t="str">
        <f t="shared" ca="1" si="159"/>
        <v>No</v>
      </c>
      <c r="T500" t="str">
        <f t="shared" ca="1" si="160"/>
        <v>Severe</v>
      </c>
      <c r="U500" t="str">
        <f t="shared" ca="1" si="161"/>
        <v>Semi-Private</v>
      </c>
      <c r="V500" t="str">
        <f t="shared" si="162"/>
        <v>BED0499</v>
      </c>
      <c r="W500" t="str">
        <f t="shared" ca="1" si="163"/>
        <v>General</v>
      </c>
      <c r="X500" t="str">
        <f t="shared" si="164"/>
        <v>NUR049</v>
      </c>
      <c r="Y500" t="str">
        <f t="shared" ca="1" si="165"/>
        <v>Night</v>
      </c>
      <c r="Z500" t="str">
        <f t="shared" ca="1" si="166"/>
        <v>ECG Machine</v>
      </c>
      <c r="AA500" t="str">
        <f t="shared" ca="1" si="167"/>
        <v>In Use</v>
      </c>
      <c r="AB500" t="str">
        <f t="shared" ca="1" si="168"/>
        <v>Partially Paid</v>
      </c>
      <c r="AC500" t="str">
        <f t="shared" ca="1" si="169"/>
        <v>Cash</v>
      </c>
      <c r="AD500" t="str">
        <f t="shared" ca="1" si="170"/>
        <v>No</v>
      </c>
      <c r="AE500" t="str">
        <f t="shared" ca="1" si="171"/>
        <v>Yes</v>
      </c>
      <c r="AF500" t="str">
        <f t="shared" ca="1" si="172"/>
        <v>Recovered</v>
      </c>
      <c r="AG500" t="str">
        <f t="shared" ca="1" si="173"/>
        <v>Southeast</v>
      </c>
      <c r="AH500" t="str">
        <f t="shared" si="156"/>
        <v>March</v>
      </c>
      <c r="AI500">
        <f t="shared" si="157"/>
        <v>2020</v>
      </c>
      <c r="AJ500" t="str">
        <f t="shared" ca="1" si="174"/>
        <v>Occupied</v>
      </c>
      <c r="AK500">
        <f t="shared" ca="1" si="175"/>
        <v>1</v>
      </c>
    </row>
    <row r="501" spans="1:37" x14ac:dyDescent="0.3">
      <c r="A501" t="s">
        <v>4930</v>
      </c>
      <c r="B501">
        <v>32</v>
      </c>
      <c r="C501" t="s">
        <v>32</v>
      </c>
      <c r="D501" t="s">
        <v>98</v>
      </c>
      <c r="E501" t="s">
        <v>76</v>
      </c>
      <c r="F501" s="1">
        <v>43822</v>
      </c>
      <c r="G501" t="s">
        <v>1041</v>
      </c>
      <c r="H501" t="s">
        <v>1042</v>
      </c>
      <c r="I501" t="s">
        <v>36</v>
      </c>
      <c r="J501">
        <v>28743</v>
      </c>
      <c r="K501">
        <v>493</v>
      </c>
      <c r="L501" t="s">
        <v>42</v>
      </c>
      <c r="M501" s="1">
        <v>43829</v>
      </c>
      <c r="N501" t="s">
        <v>47</v>
      </c>
      <c r="O501" t="s">
        <v>23</v>
      </c>
      <c r="P501" t="str">
        <f t="shared" si="158"/>
        <v>P0500</v>
      </c>
      <c r="Q501" t="str">
        <f t="shared" si="154"/>
        <v>Orthopedics</v>
      </c>
      <c r="R501">
        <f t="shared" si="155"/>
        <v>7</v>
      </c>
      <c r="S501" t="str">
        <f t="shared" ca="1" si="159"/>
        <v>No</v>
      </c>
      <c r="T501" t="str">
        <f t="shared" ca="1" si="160"/>
        <v>Moderate</v>
      </c>
      <c r="U501" t="str">
        <f t="shared" ca="1" si="161"/>
        <v>ICU</v>
      </c>
      <c r="V501" t="str">
        <f t="shared" si="162"/>
        <v>BED0500</v>
      </c>
      <c r="W501" t="str">
        <f t="shared" ca="1" si="163"/>
        <v>Semi-Private</v>
      </c>
      <c r="X501" t="str">
        <f t="shared" si="164"/>
        <v>NUR050</v>
      </c>
      <c r="Y501" t="str">
        <f t="shared" ca="1" si="165"/>
        <v>Morning</v>
      </c>
      <c r="Z501" t="str">
        <f t="shared" ca="1" si="166"/>
        <v>MRI Scanner</v>
      </c>
      <c r="AA501" t="str">
        <f t="shared" ca="1" si="167"/>
        <v>In Use</v>
      </c>
      <c r="AB501" t="str">
        <f t="shared" ca="1" si="168"/>
        <v>Pending</v>
      </c>
      <c r="AC501" t="str">
        <f t="shared" ca="1" si="169"/>
        <v>Insurance</v>
      </c>
      <c r="AD501" t="str">
        <f t="shared" ca="1" si="170"/>
        <v>Yes</v>
      </c>
      <c r="AE501" t="str">
        <f t="shared" ca="1" si="171"/>
        <v>No</v>
      </c>
      <c r="AF501" t="str">
        <f t="shared" ca="1" si="172"/>
        <v>Recovered</v>
      </c>
      <c r="AG501" t="str">
        <f t="shared" ca="1" si="173"/>
        <v>Southwest</v>
      </c>
      <c r="AH501" t="str">
        <f t="shared" si="156"/>
        <v>December</v>
      </c>
      <c r="AI501">
        <f t="shared" si="157"/>
        <v>2019</v>
      </c>
      <c r="AJ501" t="str">
        <f t="shared" ca="1" si="174"/>
        <v>Occupied</v>
      </c>
      <c r="AK501">
        <f t="shared" ca="1" si="175"/>
        <v>2</v>
      </c>
    </row>
    <row r="502" spans="1:37" x14ac:dyDescent="0.3">
      <c r="A502" t="s">
        <v>4931</v>
      </c>
      <c r="B502">
        <v>76</v>
      </c>
      <c r="C502" t="s">
        <v>15</v>
      </c>
      <c r="D502" t="s">
        <v>33</v>
      </c>
      <c r="E502" t="s">
        <v>25</v>
      </c>
      <c r="F502" s="1">
        <v>45330</v>
      </c>
      <c r="G502" t="s">
        <v>1043</v>
      </c>
      <c r="H502" t="s">
        <v>1044</v>
      </c>
      <c r="I502" t="s">
        <v>20</v>
      </c>
      <c r="J502">
        <v>47270</v>
      </c>
      <c r="K502">
        <v>373</v>
      </c>
      <c r="L502" t="s">
        <v>42</v>
      </c>
      <c r="M502" s="1">
        <v>45338</v>
      </c>
      <c r="N502" t="s">
        <v>37</v>
      </c>
      <c r="O502" t="s">
        <v>43</v>
      </c>
      <c r="P502" t="str">
        <f t="shared" si="158"/>
        <v>P0501</v>
      </c>
      <c r="Q502" t="str">
        <f t="shared" si="154"/>
        <v>Nutrition</v>
      </c>
      <c r="R502">
        <f t="shared" si="155"/>
        <v>8</v>
      </c>
      <c r="S502" t="str">
        <f t="shared" ca="1" si="159"/>
        <v>No</v>
      </c>
      <c r="T502" t="str">
        <f t="shared" ca="1" si="160"/>
        <v>Critical</v>
      </c>
      <c r="U502" t="str">
        <f t="shared" ca="1" si="161"/>
        <v>Private Ward</v>
      </c>
      <c r="V502" t="str">
        <f t="shared" si="162"/>
        <v>BED0501</v>
      </c>
      <c r="W502" t="str">
        <f t="shared" ca="1" si="163"/>
        <v>Private</v>
      </c>
      <c r="X502" t="str">
        <f t="shared" si="164"/>
        <v>NUR001</v>
      </c>
      <c r="Y502" t="str">
        <f t="shared" ca="1" si="165"/>
        <v>Evening</v>
      </c>
      <c r="Z502" t="str">
        <f t="shared" ca="1" si="166"/>
        <v>MRI Scanner</v>
      </c>
      <c r="AA502" t="str">
        <f t="shared" ca="1" si="167"/>
        <v>In Use</v>
      </c>
      <c r="AB502" t="str">
        <f t="shared" ca="1" si="168"/>
        <v>Pending</v>
      </c>
      <c r="AC502" t="str">
        <f t="shared" ca="1" si="169"/>
        <v>Credit Card</v>
      </c>
      <c r="AD502" t="str">
        <f t="shared" ca="1" si="170"/>
        <v>No</v>
      </c>
      <c r="AE502" t="str">
        <f t="shared" ca="1" si="171"/>
        <v>Yes</v>
      </c>
      <c r="AF502" t="str">
        <f t="shared" ca="1" si="172"/>
        <v>Under Observation</v>
      </c>
      <c r="AG502" t="str">
        <f t="shared" ca="1" si="173"/>
        <v>Midwest</v>
      </c>
      <c r="AH502" t="str">
        <f t="shared" si="156"/>
        <v>February</v>
      </c>
      <c r="AI502">
        <f t="shared" si="157"/>
        <v>2024</v>
      </c>
      <c r="AJ502" t="str">
        <f t="shared" ca="1" si="174"/>
        <v>Occupied</v>
      </c>
      <c r="AK502">
        <f t="shared" ca="1" si="175"/>
        <v>1</v>
      </c>
    </row>
    <row r="503" spans="1:37" x14ac:dyDescent="0.3">
      <c r="A503" t="s">
        <v>4932</v>
      </c>
      <c r="B503">
        <v>61</v>
      </c>
      <c r="C503" t="s">
        <v>32</v>
      </c>
      <c r="D503" t="s">
        <v>33</v>
      </c>
      <c r="E503" t="s">
        <v>48</v>
      </c>
      <c r="F503" s="1">
        <v>45192</v>
      </c>
      <c r="G503" t="s">
        <v>1045</v>
      </c>
      <c r="H503" t="s">
        <v>1046</v>
      </c>
      <c r="I503" t="s">
        <v>36</v>
      </c>
      <c r="J503">
        <v>37846</v>
      </c>
      <c r="K503">
        <v>407</v>
      </c>
      <c r="L503" t="s">
        <v>29</v>
      </c>
      <c r="M503" s="1">
        <v>45193</v>
      </c>
      <c r="N503" t="s">
        <v>30</v>
      </c>
      <c r="O503" t="s">
        <v>43</v>
      </c>
      <c r="P503" t="str">
        <f t="shared" si="158"/>
        <v>P0502</v>
      </c>
      <c r="Q503" t="str">
        <f t="shared" si="154"/>
        <v>Pulmonology</v>
      </c>
      <c r="R503">
        <f t="shared" si="155"/>
        <v>1</v>
      </c>
      <c r="S503" t="str">
        <f t="shared" ca="1" si="159"/>
        <v>No</v>
      </c>
      <c r="T503" t="str">
        <f t="shared" ca="1" si="160"/>
        <v>Mild</v>
      </c>
      <c r="U503" t="str">
        <f t="shared" ca="1" si="161"/>
        <v>ICU</v>
      </c>
      <c r="V503" t="str">
        <f t="shared" si="162"/>
        <v>BED0502</v>
      </c>
      <c r="W503" t="str">
        <f t="shared" ca="1" si="163"/>
        <v>ICU</v>
      </c>
      <c r="X503" t="str">
        <f t="shared" si="164"/>
        <v>NUR002</v>
      </c>
      <c r="Y503" t="str">
        <f t="shared" ca="1" si="165"/>
        <v>Night</v>
      </c>
      <c r="Z503" t="str">
        <f t="shared" ca="1" si="166"/>
        <v>ECG Machine</v>
      </c>
      <c r="AA503" t="str">
        <f t="shared" ca="1" si="167"/>
        <v>Available</v>
      </c>
      <c r="AB503" t="str">
        <f t="shared" ca="1" si="168"/>
        <v>Partially Paid</v>
      </c>
      <c r="AC503" t="str">
        <f t="shared" ca="1" si="169"/>
        <v>Insurance</v>
      </c>
      <c r="AD503" t="str">
        <f t="shared" ca="1" si="170"/>
        <v>No</v>
      </c>
      <c r="AE503" t="str">
        <f t="shared" ca="1" si="171"/>
        <v>Yes</v>
      </c>
      <c r="AF503" t="str">
        <f t="shared" ca="1" si="172"/>
        <v>Under Observation</v>
      </c>
      <c r="AG503" t="str">
        <f t="shared" ca="1" si="173"/>
        <v>Northeast</v>
      </c>
      <c r="AH503" t="str">
        <f t="shared" si="156"/>
        <v>September</v>
      </c>
      <c r="AI503">
        <f t="shared" si="157"/>
        <v>2023</v>
      </c>
      <c r="AJ503" t="str">
        <f t="shared" ca="1" si="174"/>
        <v>Occupied</v>
      </c>
      <c r="AK503">
        <f t="shared" ca="1" si="175"/>
        <v>1</v>
      </c>
    </row>
    <row r="504" spans="1:37" x14ac:dyDescent="0.3">
      <c r="A504" t="s">
        <v>4933</v>
      </c>
      <c r="B504">
        <v>63</v>
      </c>
      <c r="C504" t="s">
        <v>15</v>
      </c>
      <c r="D504" t="s">
        <v>44</v>
      </c>
      <c r="E504" t="s">
        <v>17</v>
      </c>
      <c r="F504" s="1">
        <v>43965</v>
      </c>
      <c r="G504" t="s">
        <v>1047</v>
      </c>
      <c r="H504" t="s">
        <v>1048</v>
      </c>
      <c r="I504" t="s">
        <v>36</v>
      </c>
      <c r="J504">
        <v>46503</v>
      </c>
      <c r="K504">
        <v>151</v>
      </c>
      <c r="L504" t="s">
        <v>42</v>
      </c>
      <c r="M504" s="1">
        <v>43971</v>
      </c>
      <c r="N504" t="s">
        <v>22</v>
      </c>
      <c r="O504" t="s">
        <v>31</v>
      </c>
      <c r="P504" t="str">
        <f t="shared" si="158"/>
        <v>P0503</v>
      </c>
      <c r="Q504" t="str">
        <f t="shared" si="154"/>
        <v>Oncology</v>
      </c>
      <c r="R504">
        <f t="shared" si="155"/>
        <v>6</v>
      </c>
      <c r="S504" t="str">
        <f t="shared" ca="1" si="159"/>
        <v>No</v>
      </c>
      <c r="T504" t="str">
        <f t="shared" ca="1" si="160"/>
        <v>Critical</v>
      </c>
      <c r="U504" t="str">
        <f t="shared" ca="1" si="161"/>
        <v>Semi-Private</v>
      </c>
      <c r="V504" t="str">
        <f t="shared" si="162"/>
        <v>BED0503</v>
      </c>
      <c r="W504" t="str">
        <f t="shared" ca="1" si="163"/>
        <v>General</v>
      </c>
      <c r="X504" t="str">
        <f t="shared" si="164"/>
        <v>NUR003</v>
      </c>
      <c r="Y504" t="str">
        <f t="shared" ca="1" si="165"/>
        <v>Evening</v>
      </c>
      <c r="Z504" t="str">
        <f t="shared" ca="1" si="166"/>
        <v>MRI Scanner</v>
      </c>
      <c r="AA504" t="str">
        <f t="shared" ca="1" si="167"/>
        <v>Maintenance</v>
      </c>
      <c r="AB504" t="str">
        <f t="shared" ca="1" si="168"/>
        <v>Pending</v>
      </c>
      <c r="AC504" t="str">
        <f t="shared" ca="1" si="169"/>
        <v>Insurance</v>
      </c>
      <c r="AD504" t="str">
        <f t="shared" ca="1" si="170"/>
        <v>No</v>
      </c>
      <c r="AE504" t="str">
        <f t="shared" ca="1" si="171"/>
        <v>No</v>
      </c>
      <c r="AF504" t="str">
        <f t="shared" ca="1" si="172"/>
        <v>Under Observation</v>
      </c>
      <c r="AG504" t="str">
        <f t="shared" ca="1" si="173"/>
        <v>Southwest</v>
      </c>
      <c r="AH504" t="str">
        <f t="shared" si="156"/>
        <v>May</v>
      </c>
      <c r="AI504">
        <f t="shared" si="157"/>
        <v>2020</v>
      </c>
      <c r="AJ504" t="str">
        <f t="shared" ca="1" si="174"/>
        <v>Occupied</v>
      </c>
      <c r="AK504">
        <f t="shared" ca="1" si="175"/>
        <v>2</v>
      </c>
    </row>
    <row r="505" spans="1:37" x14ac:dyDescent="0.3">
      <c r="A505" t="s">
        <v>4934</v>
      </c>
      <c r="B505">
        <v>54</v>
      </c>
      <c r="C505" t="s">
        <v>32</v>
      </c>
      <c r="D505" t="s">
        <v>83</v>
      </c>
      <c r="E505" t="s">
        <v>64</v>
      </c>
      <c r="F505" s="1">
        <v>43872</v>
      </c>
      <c r="G505" t="s">
        <v>1049</v>
      </c>
      <c r="H505" t="s">
        <v>1050</v>
      </c>
      <c r="I505" t="s">
        <v>36</v>
      </c>
      <c r="J505">
        <v>27660</v>
      </c>
      <c r="K505">
        <v>193</v>
      </c>
      <c r="L505" t="s">
        <v>21</v>
      </c>
      <c r="M505" s="1">
        <v>43891</v>
      </c>
      <c r="N505" t="s">
        <v>67</v>
      </c>
      <c r="O505" t="s">
        <v>23</v>
      </c>
      <c r="P505" t="str">
        <f t="shared" si="158"/>
        <v>P0504</v>
      </c>
      <c r="Q505" t="str">
        <f t="shared" si="154"/>
        <v>Cardiology</v>
      </c>
      <c r="R505">
        <f t="shared" si="155"/>
        <v>19</v>
      </c>
      <c r="S505" t="str">
        <f t="shared" ca="1" si="159"/>
        <v>No</v>
      </c>
      <c r="T505" t="str">
        <f t="shared" ca="1" si="160"/>
        <v>Moderate</v>
      </c>
      <c r="U505" t="str">
        <f t="shared" ca="1" si="161"/>
        <v>ICU</v>
      </c>
      <c r="V505" t="str">
        <f t="shared" si="162"/>
        <v>BED0504</v>
      </c>
      <c r="W505" t="str">
        <f t="shared" ca="1" si="163"/>
        <v>Semi-Private</v>
      </c>
      <c r="X505" t="str">
        <f t="shared" si="164"/>
        <v>NUR004</v>
      </c>
      <c r="Y505" t="str">
        <f t="shared" ca="1" si="165"/>
        <v>Night</v>
      </c>
      <c r="Z505" t="str">
        <f t="shared" ca="1" si="166"/>
        <v>MRI Scanner</v>
      </c>
      <c r="AA505" t="str">
        <f t="shared" ca="1" si="167"/>
        <v>Available</v>
      </c>
      <c r="AB505" t="str">
        <f t="shared" ca="1" si="168"/>
        <v>Partially Paid</v>
      </c>
      <c r="AC505" t="str">
        <f t="shared" ca="1" si="169"/>
        <v>Insurance</v>
      </c>
      <c r="AD505" t="str">
        <f t="shared" ca="1" si="170"/>
        <v>No</v>
      </c>
      <c r="AE505" t="str">
        <f t="shared" ca="1" si="171"/>
        <v>No</v>
      </c>
      <c r="AF505" t="str">
        <f t="shared" ca="1" si="172"/>
        <v>Recovered</v>
      </c>
      <c r="AG505" t="str">
        <f t="shared" ca="1" si="173"/>
        <v>Southeast</v>
      </c>
      <c r="AH505" t="str">
        <f t="shared" si="156"/>
        <v>February</v>
      </c>
      <c r="AI505">
        <f t="shared" si="157"/>
        <v>2020</v>
      </c>
      <c r="AJ505" t="str">
        <f t="shared" ca="1" si="174"/>
        <v>Occupied</v>
      </c>
      <c r="AK505">
        <f t="shared" ca="1" si="175"/>
        <v>2</v>
      </c>
    </row>
    <row r="506" spans="1:37" x14ac:dyDescent="0.3">
      <c r="A506" t="s">
        <v>4935</v>
      </c>
      <c r="B506">
        <v>77</v>
      </c>
      <c r="C506" t="s">
        <v>15</v>
      </c>
      <c r="D506" t="s">
        <v>44</v>
      </c>
      <c r="E506" t="s">
        <v>64</v>
      </c>
      <c r="F506" s="1">
        <v>44452</v>
      </c>
      <c r="G506" t="s">
        <v>1051</v>
      </c>
      <c r="H506" t="s">
        <v>1052</v>
      </c>
      <c r="I506" t="s">
        <v>51</v>
      </c>
      <c r="J506">
        <v>36687</v>
      </c>
      <c r="K506">
        <v>488</v>
      </c>
      <c r="L506" t="s">
        <v>21</v>
      </c>
      <c r="M506" s="1">
        <v>44478</v>
      </c>
      <c r="N506" t="s">
        <v>22</v>
      </c>
      <c r="O506" t="s">
        <v>23</v>
      </c>
      <c r="P506" t="str">
        <f t="shared" si="158"/>
        <v>P0505</v>
      </c>
      <c r="Q506" t="str">
        <f t="shared" si="154"/>
        <v>Cardiology</v>
      </c>
      <c r="R506">
        <f t="shared" si="155"/>
        <v>26</v>
      </c>
      <c r="S506" t="str">
        <f t="shared" ca="1" si="159"/>
        <v>No</v>
      </c>
      <c r="T506" t="str">
        <f t="shared" ca="1" si="160"/>
        <v>Critical</v>
      </c>
      <c r="U506" t="str">
        <f t="shared" ca="1" si="161"/>
        <v>ICU</v>
      </c>
      <c r="V506" t="str">
        <f t="shared" si="162"/>
        <v>BED0505</v>
      </c>
      <c r="W506" t="str">
        <f t="shared" ca="1" si="163"/>
        <v>ICU</v>
      </c>
      <c r="X506" t="str">
        <f t="shared" si="164"/>
        <v>NUR005</v>
      </c>
      <c r="Y506" t="str">
        <f t="shared" ca="1" si="165"/>
        <v>Morning</v>
      </c>
      <c r="Z506" t="str">
        <f t="shared" ca="1" si="166"/>
        <v>ECG Machine</v>
      </c>
      <c r="AA506" t="str">
        <f t="shared" ca="1" si="167"/>
        <v>Maintenance</v>
      </c>
      <c r="AB506" t="str">
        <f t="shared" ca="1" si="168"/>
        <v>Paid</v>
      </c>
      <c r="AC506" t="str">
        <f t="shared" ca="1" si="169"/>
        <v>Credit Card</v>
      </c>
      <c r="AD506" t="str">
        <f t="shared" ca="1" si="170"/>
        <v>No</v>
      </c>
      <c r="AE506" t="str">
        <f t="shared" ca="1" si="171"/>
        <v>No</v>
      </c>
      <c r="AF506" t="str">
        <f t="shared" ca="1" si="172"/>
        <v>Recovered</v>
      </c>
      <c r="AG506" t="str">
        <f t="shared" ca="1" si="173"/>
        <v>West Coast</v>
      </c>
      <c r="AH506" t="str">
        <f t="shared" si="156"/>
        <v>September</v>
      </c>
      <c r="AI506">
        <f t="shared" si="157"/>
        <v>2021</v>
      </c>
      <c r="AJ506" t="str">
        <f t="shared" ca="1" si="174"/>
        <v>Occupied</v>
      </c>
      <c r="AK506">
        <f t="shared" ca="1" si="175"/>
        <v>2</v>
      </c>
    </row>
    <row r="507" spans="1:37" x14ac:dyDescent="0.3">
      <c r="A507" t="s">
        <v>4936</v>
      </c>
      <c r="B507">
        <v>64</v>
      </c>
      <c r="C507" t="s">
        <v>15</v>
      </c>
      <c r="D507" t="s">
        <v>83</v>
      </c>
      <c r="E507" t="s">
        <v>39</v>
      </c>
      <c r="F507" s="1">
        <v>44128</v>
      </c>
      <c r="G507" t="s">
        <v>1053</v>
      </c>
      <c r="H507" t="s">
        <v>1054</v>
      </c>
      <c r="I507" t="s">
        <v>36</v>
      </c>
      <c r="J507">
        <v>19563</v>
      </c>
      <c r="K507">
        <v>148</v>
      </c>
      <c r="L507" t="s">
        <v>21</v>
      </c>
      <c r="M507" s="1">
        <v>44129</v>
      </c>
      <c r="N507" t="s">
        <v>47</v>
      </c>
      <c r="O507" t="s">
        <v>23</v>
      </c>
      <c r="P507" t="str">
        <f t="shared" si="158"/>
        <v>P0506</v>
      </c>
      <c r="Q507" t="str">
        <f t="shared" si="154"/>
        <v>Endocrinology</v>
      </c>
      <c r="R507">
        <f t="shared" si="155"/>
        <v>1</v>
      </c>
      <c r="S507" t="str">
        <f t="shared" ca="1" si="159"/>
        <v>No</v>
      </c>
      <c r="T507" t="str">
        <f t="shared" ca="1" si="160"/>
        <v>Mild</v>
      </c>
      <c r="U507" t="str">
        <f t="shared" ca="1" si="161"/>
        <v>Semi-Private</v>
      </c>
      <c r="V507" t="str">
        <f t="shared" si="162"/>
        <v>BED0506</v>
      </c>
      <c r="W507" t="str">
        <f t="shared" ca="1" si="163"/>
        <v>ICU</v>
      </c>
      <c r="X507" t="str">
        <f t="shared" si="164"/>
        <v>NUR006</v>
      </c>
      <c r="Y507" t="str">
        <f t="shared" ca="1" si="165"/>
        <v>Morning</v>
      </c>
      <c r="Z507" t="str">
        <f t="shared" ca="1" si="166"/>
        <v>Ventilator</v>
      </c>
      <c r="AA507" t="str">
        <f t="shared" ca="1" si="167"/>
        <v>In Use</v>
      </c>
      <c r="AB507" t="str">
        <f t="shared" ca="1" si="168"/>
        <v>Partially Paid</v>
      </c>
      <c r="AC507" t="str">
        <f t="shared" ca="1" si="169"/>
        <v>Insurance</v>
      </c>
      <c r="AD507" t="str">
        <f t="shared" ca="1" si="170"/>
        <v>No</v>
      </c>
      <c r="AE507" t="str">
        <f t="shared" ca="1" si="171"/>
        <v>No</v>
      </c>
      <c r="AF507" t="str">
        <f t="shared" ca="1" si="172"/>
        <v>Transferred</v>
      </c>
      <c r="AG507" t="str">
        <f t="shared" ca="1" si="173"/>
        <v>Northeast</v>
      </c>
      <c r="AH507" t="str">
        <f t="shared" si="156"/>
        <v>October</v>
      </c>
      <c r="AI507">
        <f t="shared" si="157"/>
        <v>2020</v>
      </c>
      <c r="AJ507" t="str">
        <f t="shared" ca="1" si="174"/>
        <v>Occupied</v>
      </c>
      <c r="AK507">
        <f t="shared" ca="1" si="175"/>
        <v>4</v>
      </c>
    </row>
    <row r="508" spans="1:37" x14ac:dyDescent="0.3">
      <c r="A508" t="s">
        <v>4937</v>
      </c>
      <c r="B508">
        <v>69</v>
      </c>
      <c r="C508" t="s">
        <v>15</v>
      </c>
      <c r="D508" t="s">
        <v>83</v>
      </c>
      <c r="E508" t="s">
        <v>76</v>
      </c>
      <c r="F508" s="1">
        <v>44194</v>
      </c>
      <c r="G508" t="s">
        <v>1055</v>
      </c>
      <c r="H508" t="s">
        <v>1056</v>
      </c>
      <c r="I508" t="s">
        <v>36</v>
      </c>
      <c r="J508">
        <v>23524</v>
      </c>
      <c r="K508">
        <v>106</v>
      </c>
      <c r="L508" t="s">
        <v>42</v>
      </c>
      <c r="M508" s="1">
        <v>44217</v>
      </c>
      <c r="N508" t="s">
        <v>37</v>
      </c>
      <c r="O508" t="s">
        <v>31</v>
      </c>
      <c r="P508" t="str">
        <f t="shared" si="158"/>
        <v>P0507</v>
      </c>
      <c r="Q508" t="str">
        <f t="shared" si="154"/>
        <v>Orthopedics</v>
      </c>
      <c r="R508">
        <f t="shared" si="155"/>
        <v>23</v>
      </c>
      <c r="S508" t="str">
        <f t="shared" ca="1" si="159"/>
        <v>No</v>
      </c>
      <c r="T508" t="str">
        <f t="shared" ca="1" si="160"/>
        <v>Critical</v>
      </c>
      <c r="U508" t="str">
        <f t="shared" ca="1" si="161"/>
        <v>General Ward</v>
      </c>
      <c r="V508" t="str">
        <f t="shared" si="162"/>
        <v>BED0507</v>
      </c>
      <c r="W508" t="str">
        <f t="shared" ca="1" si="163"/>
        <v>Semi-Private</v>
      </c>
      <c r="X508" t="str">
        <f t="shared" si="164"/>
        <v>NUR007</v>
      </c>
      <c r="Y508" t="str">
        <f t="shared" ca="1" si="165"/>
        <v>Evening</v>
      </c>
      <c r="Z508" t="str">
        <f t="shared" ca="1" si="166"/>
        <v>Ventilator</v>
      </c>
      <c r="AA508" t="str">
        <f t="shared" ca="1" si="167"/>
        <v>Available</v>
      </c>
      <c r="AB508" t="str">
        <f t="shared" ca="1" si="168"/>
        <v>Pending</v>
      </c>
      <c r="AC508" t="str">
        <f t="shared" ca="1" si="169"/>
        <v>Debit Card</v>
      </c>
      <c r="AD508" t="str">
        <f t="shared" ca="1" si="170"/>
        <v>Yes</v>
      </c>
      <c r="AE508" t="str">
        <f t="shared" ca="1" si="171"/>
        <v>No</v>
      </c>
      <c r="AF508" t="str">
        <f t="shared" ca="1" si="172"/>
        <v>Transferred</v>
      </c>
      <c r="AG508" t="str">
        <f t="shared" ca="1" si="173"/>
        <v>Southwest</v>
      </c>
      <c r="AH508" t="str">
        <f t="shared" si="156"/>
        <v>December</v>
      </c>
      <c r="AI508">
        <f t="shared" si="157"/>
        <v>2020</v>
      </c>
      <c r="AJ508" t="str">
        <f t="shared" ca="1" si="174"/>
        <v>Occupied</v>
      </c>
      <c r="AK508">
        <f t="shared" ca="1" si="175"/>
        <v>4</v>
      </c>
    </row>
    <row r="509" spans="1:37" x14ac:dyDescent="0.3">
      <c r="A509" t="s">
        <v>4938</v>
      </c>
      <c r="B509">
        <v>31</v>
      </c>
      <c r="C509" t="s">
        <v>15</v>
      </c>
      <c r="D509" t="s">
        <v>38</v>
      </c>
      <c r="E509" t="s">
        <v>17</v>
      </c>
      <c r="F509" s="1">
        <v>45370</v>
      </c>
      <c r="G509" t="s">
        <v>1057</v>
      </c>
      <c r="H509" t="s">
        <v>1058</v>
      </c>
      <c r="I509" t="s">
        <v>57</v>
      </c>
      <c r="J509">
        <v>50564</v>
      </c>
      <c r="K509">
        <v>441</v>
      </c>
      <c r="L509" t="s">
        <v>21</v>
      </c>
      <c r="M509" s="1">
        <v>45389</v>
      </c>
      <c r="N509" t="s">
        <v>47</v>
      </c>
      <c r="O509" t="s">
        <v>31</v>
      </c>
      <c r="P509" t="str">
        <f t="shared" si="158"/>
        <v>P0508</v>
      </c>
      <c r="Q509" t="str">
        <f t="shared" si="154"/>
        <v>Oncology</v>
      </c>
      <c r="R509">
        <f t="shared" si="155"/>
        <v>19</v>
      </c>
      <c r="S509" t="str">
        <f t="shared" ca="1" si="159"/>
        <v>No</v>
      </c>
      <c r="T509" t="str">
        <f t="shared" ca="1" si="160"/>
        <v>Moderate</v>
      </c>
      <c r="U509" t="str">
        <f t="shared" ca="1" si="161"/>
        <v>General Ward</v>
      </c>
      <c r="V509" t="str">
        <f t="shared" si="162"/>
        <v>BED0508</v>
      </c>
      <c r="W509" t="str">
        <f t="shared" ca="1" si="163"/>
        <v>Semi-Private</v>
      </c>
      <c r="X509" t="str">
        <f t="shared" si="164"/>
        <v>NUR008</v>
      </c>
      <c r="Y509" t="str">
        <f t="shared" ca="1" si="165"/>
        <v>Morning</v>
      </c>
      <c r="Z509" t="str">
        <f t="shared" ca="1" si="166"/>
        <v>Ventilator</v>
      </c>
      <c r="AA509" t="str">
        <f t="shared" ca="1" si="167"/>
        <v>In Use</v>
      </c>
      <c r="AB509" t="str">
        <f t="shared" ca="1" si="168"/>
        <v>Pending</v>
      </c>
      <c r="AC509" t="str">
        <f t="shared" ca="1" si="169"/>
        <v>Debit Card</v>
      </c>
      <c r="AD509" t="str">
        <f t="shared" ca="1" si="170"/>
        <v>No</v>
      </c>
      <c r="AE509" t="str">
        <f t="shared" ca="1" si="171"/>
        <v>No</v>
      </c>
      <c r="AF509" t="str">
        <f t="shared" ca="1" si="172"/>
        <v>Transferred</v>
      </c>
      <c r="AG509" t="str">
        <f t="shared" ca="1" si="173"/>
        <v>Midwest</v>
      </c>
      <c r="AH509" t="str">
        <f t="shared" si="156"/>
        <v>March</v>
      </c>
      <c r="AI509">
        <f t="shared" si="157"/>
        <v>2024</v>
      </c>
      <c r="AJ509" t="str">
        <f t="shared" ca="1" si="174"/>
        <v>Vacant</v>
      </c>
      <c r="AK509">
        <f t="shared" ca="1" si="175"/>
        <v>4</v>
      </c>
    </row>
    <row r="510" spans="1:37" x14ac:dyDescent="0.3">
      <c r="A510" t="s">
        <v>4939</v>
      </c>
      <c r="B510">
        <v>40</v>
      </c>
      <c r="C510" t="s">
        <v>15</v>
      </c>
      <c r="D510" t="s">
        <v>98</v>
      </c>
      <c r="E510" t="s">
        <v>76</v>
      </c>
      <c r="F510" s="1">
        <v>44543</v>
      </c>
      <c r="G510" t="s">
        <v>1059</v>
      </c>
      <c r="H510" t="s">
        <v>1060</v>
      </c>
      <c r="I510" t="s">
        <v>51</v>
      </c>
      <c r="J510">
        <v>15518</v>
      </c>
      <c r="K510">
        <v>450</v>
      </c>
      <c r="L510" t="s">
        <v>29</v>
      </c>
      <c r="M510" s="1">
        <v>44549</v>
      </c>
      <c r="N510" t="s">
        <v>47</v>
      </c>
      <c r="O510" t="s">
        <v>43</v>
      </c>
      <c r="P510" t="str">
        <f t="shared" si="158"/>
        <v>P0509</v>
      </c>
      <c r="Q510" t="str">
        <f t="shared" si="154"/>
        <v>Orthopedics</v>
      </c>
      <c r="R510">
        <f t="shared" si="155"/>
        <v>6</v>
      </c>
      <c r="S510" t="str">
        <f t="shared" ca="1" si="159"/>
        <v>No</v>
      </c>
      <c r="T510" t="str">
        <f t="shared" ca="1" si="160"/>
        <v>Critical</v>
      </c>
      <c r="U510" t="str">
        <f t="shared" ca="1" si="161"/>
        <v>Emergency</v>
      </c>
      <c r="V510" t="str">
        <f t="shared" si="162"/>
        <v>BED0509</v>
      </c>
      <c r="W510" t="str">
        <f t="shared" ca="1" si="163"/>
        <v>General</v>
      </c>
      <c r="X510" t="str">
        <f t="shared" si="164"/>
        <v>NUR009</v>
      </c>
      <c r="Y510" t="str">
        <f t="shared" ca="1" si="165"/>
        <v>Morning</v>
      </c>
      <c r="Z510" t="str">
        <f t="shared" ca="1" si="166"/>
        <v>Ventilator</v>
      </c>
      <c r="AA510" t="str">
        <f t="shared" ca="1" si="167"/>
        <v>Maintenance</v>
      </c>
      <c r="AB510" t="str">
        <f t="shared" ca="1" si="168"/>
        <v>Paid</v>
      </c>
      <c r="AC510" t="str">
        <f t="shared" ca="1" si="169"/>
        <v>Debit Card</v>
      </c>
      <c r="AD510" t="str">
        <f t="shared" ca="1" si="170"/>
        <v>No</v>
      </c>
      <c r="AE510" t="str">
        <f t="shared" ca="1" si="171"/>
        <v>No</v>
      </c>
      <c r="AF510" t="str">
        <f t="shared" ca="1" si="172"/>
        <v>Under Observation</v>
      </c>
      <c r="AG510" t="str">
        <f t="shared" ca="1" si="173"/>
        <v>Midwest</v>
      </c>
      <c r="AH510" t="str">
        <f t="shared" si="156"/>
        <v>December</v>
      </c>
      <c r="AI510">
        <f t="shared" si="157"/>
        <v>2021</v>
      </c>
      <c r="AJ510" t="str">
        <f t="shared" ca="1" si="174"/>
        <v>Vacant</v>
      </c>
      <c r="AK510">
        <f t="shared" ca="1" si="175"/>
        <v>4</v>
      </c>
    </row>
    <row r="511" spans="1:37" x14ac:dyDescent="0.3">
      <c r="A511" t="s">
        <v>4940</v>
      </c>
      <c r="B511">
        <v>50</v>
      </c>
      <c r="C511" t="s">
        <v>15</v>
      </c>
      <c r="D511" t="s">
        <v>98</v>
      </c>
      <c r="E511" t="s">
        <v>48</v>
      </c>
      <c r="F511" s="1">
        <v>44698</v>
      </c>
      <c r="G511" t="s">
        <v>1061</v>
      </c>
      <c r="H511" t="s">
        <v>1062</v>
      </c>
      <c r="I511" t="s">
        <v>57</v>
      </c>
      <c r="J511">
        <v>42151</v>
      </c>
      <c r="K511">
        <v>388</v>
      </c>
      <c r="L511" t="s">
        <v>21</v>
      </c>
      <c r="M511" s="1">
        <v>44715</v>
      </c>
      <c r="N511" t="s">
        <v>22</v>
      </c>
      <c r="O511" t="s">
        <v>43</v>
      </c>
      <c r="P511" t="str">
        <f t="shared" si="158"/>
        <v>P0510</v>
      </c>
      <c r="Q511" t="str">
        <f t="shared" si="154"/>
        <v>Pulmonology</v>
      </c>
      <c r="R511">
        <f t="shared" si="155"/>
        <v>17</v>
      </c>
      <c r="S511" t="str">
        <f t="shared" ca="1" si="159"/>
        <v>No</v>
      </c>
      <c r="T511" t="str">
        <f t="shared" ca="1" si="160"/>
        <v>Mild</v>
      </c>
      <c r="U511" t="str">
        <f t="shared" ca="1" si="161"/>
        <v>Semi-Private</v>
      </c>
      <c r="V511" t="str">
        <f t="shared" si="162"/>
        <v>BED0510</v>
      </c>
      <c r="W511" t="str">
        <f t="shared" ca="1" si="163"/>
        <v>General</v>
      </c>
      <c r="X511" t="str">
        <f t="shared" si="164"/>
        <v>NUR010</v>
      </c>
      <c r="Y511" t="str">
        <f t="shared" ca="1" si="165"/>
        <v>Night</v>
      </c>
      <c r="Z511" t="str">
        <f t="shared" ca="1" si="166"/>
        <v>MRI Scanner</v>
      </c>
      <c r="AA511" t="str">
        <f t="shared" ca="1" si="167"/>
        <v>Available</v>
      </c>
      <c r="AB511" t="str">
        <f t="shared" ca="1" si="168"/>
        <v>Partially Paid</v>
      </c>
      <c r="AC511" t="str">
        <f t="shared" ca="1" si="169"/>
        <v>Credit Card</v>
      </c>
      <c r="AD511" t="str">
        <f t="shared" ca="1" si="170"/>
        <v>No</v>
      </c>
      <c r="AE511" t="str">
        <f t="shared" ca="1" si="171"/>
        <v>No</v>
      </c>
      <c r="AF511" t="str">
        <f t="shared" ca="1" si="172"/>
        <v>Recovered</v>
      </c>
      <c r="AG511" t="str">
        <f t="shared" ca="1" si="173"/>
        <v>Southeast</v>
      </c>
      <c r="AH511" t="str">
        <f t="shared" si="156"/>
        <v>May</v>
      </c>
      <c r="AI511">
        <f t="shared" si="157"/>
        <v>2022</v>
      </c>
      <c r="AJ511" t="str">
        <f t="shared" ca="1" si="174"/>
        <v>Occupied</v>
      </c>
      <c r="AK511">
        <f t="shared" ca="1" si="175"/>
        <v>2</v>
      </c>
    </row>
    <row r="512" spans="1:37" x14ac:dyDescent="0.3">
      <c r="A512" t="s">
        <v>4941</v>
      </c>
      <c r="B512">
        <v>83</v>
      </c>
      <c r="C512" t="s">
        <v>32</v>
      </c>
      <c r="D512" t="s">
        <v>33</v>
      </c>
      <c r="E512" t="s">
        <v>76</v>
      </c>
      <c r="F512" s="1">
        <v>44896</v>
      </c>
      <c r="G512" t="s">
        <v>1063</v>
      </c>
      <c r="H512" t="s">
        <v>1064</v>
      </c>
      <c r="I512" t="s">
        <v>57</v>
      </c>
      <c r="J512">
        <v>42193</v>
      </c>
      <c r="K512">
        <v>199</v>
      </c>
      <c r="L512" t="s">
        <v>29</v>
      </c>
      <c r="M512" s="1">
        <v>44912</v>
      </c>
      <c r="N512" t="s">
        <v>22</v>
      </c>
      <c r="O512" t="s">
        <v>43</v>
      </c>
      <c r="P512" t="str">
        <f t="shared" si="158"/>
        <v>P0511</v>
      </c>
      <c r="Q512" t="str">
        <f t="shared" si="154"/>
        <v>Orthopedics</v>
      </c>
      <c r="R512">
        <f t="shared" si="155"/>
        <v>16</v>
      </c>
      <c r="S512" t="str">
        <f t="shared" ca="1" si="159"/>
        <v>No</v>
      </c>
      <c r="T512" t="str">
        <f t="shared" ca="1" si="160"/>
        <v>Severe</v>
      </c>
      <c r="U512" t="str">
        <f t="shared" ca="1" si="161"/>
        <v>Emergency</v>
      </c>
      <c r="V512" t="str">
        <f t="shared" si="162"/>
        <v>BED0511</v>
      </c>
      <c r="W512" t="str">
        <f t="shared" ca="1" si="163"/>
        <v>Private</v>
      </c>
      <c r="X512" t="str">
        <f t="shared" si="164"/>
        <v>NUR011</v>
      </c>
      <c r="Y512" t="str">
        <f t="shared" ca="1" si="165"/>
        <v>Morning</v>
      </c>
      <c r="Z512" t="str">
        <f t="shared" ca="1" si="166"/>
        <v>MRI Scanner</v>
      </c>
      <c r="AA512" t="str">
        <f t="shared" ca="1" si="167"/>
        <v>Available</v>
      </c>
      <c r="AB512" t="str">
        <f t="shared" ca="1" si="168"/>
        <v>Pending</v>
      </c>
      <c r="AC512" t="str">
        <f t="shared" ca="1" si="169"/>
        <v>Bank Transfer</v>
      </c>
      <c r="AD512" t="str">
        <f t="shared" ca="1" si="170"/>
        <v>No</v>
      </c>
      <c r="AE512" t="str">
        <f t="shared" ca="1" si="171"/>
        <v>No</v>
      </c>
      <c r="AF512" t="str">
        <f t="shared" ca="1" si="172"/>
        <v>Transferred</v>
      </c>
      <c r="AG512" t="str">
        <f t="shared" ca="1" si="173"/>
        <v>Southwest</v>
      </c>
      <c r="AH512" t="str">
        <f t="shared" si="156"/>
        <v>December</v>
      </c>
      <c r="AI512">
        <f t="shared" si="157"/>
        <v>2022</v>
      </c>
      <c r="AJ512" t="str">
        <f t="shared" ca="1" si="174"/>
        <v>Occupied</v>
      </c>
      <c r="AK512">
        <f t="shared" ca="1" si="175"/>
        <v>4</v>
      </c>
    </row>
    <row r="513" spans="1:37" x14ac:dyDescent="0.3">
      <c r="A513" t="s">
        <v>4942</v>
      </c>
      <c r="B513">
        <v>23</v>
      </c>
      <c r="C513" t="s">
        <v>32</v>
      </c>
      <c r="D513" t="s">
        <v>98</v>
      </c>
      <c r="E513" t="s">
        <v>17</v>
      </c>
      <c r="F513" s="1">
        <v>43906</v>
      </c>
      <c r="G513" t="s">
        <v>1065</v>
      </c>
      <c r="H513" t="s">
        <v>1066</v>
      </c>
      <c r="I513" t="s">
        <v>20</v>
      </c>
      <c r="J513">
        <v>3926</v>
      </c>
      <c r="K513">
        <v>333</v>
      </c>
      <c r="L513" t="s">
        <v>29</v>
      </c>
      <c r="M513" s="1">
        <v>43912</v>
      </c>
      <c r="N513" t="s">
        <v>67</v>
      </c>
      <c r="O513" t="s">
        <v>23</v>
      </c>
      <c r="P513" t="str">
        <f t="shared" si="158"/>
        <v>P0512</v>
      </c>
      <c r="Q513" t="str">
        <f t="shared" si="154"/>
        <v>Oncology</v>
      </c>
      <c r="R513">
        <f t="shared" si="155"/>
        <v>6</v>
      </c>
      <c r="S513" t="str">
        <f t="shared" ca="1" si="159"/>
        <v>No</v>
      </c>
      <c r="T513" t="str">
        <f t="shared" ca="1" si="160"/>
        <v>Mild</v>
      </c>
      <c r="U513" t="str">
        <f t="shared" ca="1" si="161"/>
        <v>General Ward</v>
      </c>
      <c r="V513" t="str">
        <f t="shared" si="162"/>
        <v>BED0512</v>
      </c>
      <c r="W513" t="str">
        <f t="shared" ca="1" si="163"/>
        <v>Semi-Private</v>
      </c>
      <c r="X513" t="str">
        <f t="shared" si="164"/>
        <v>NUR012</v>
      </c>
      <c r="Y513" t="str">
        <f t="shared" ca="1" si="165"/>
        <v>Morning</v>
      </c>
      <c r="Z513" t="str">
        <f t="shared" ca="1" si="166"/>
        <v>Ventilator</v>
      </c>
      <c r="AA513" t="str">
        <f t="shared" ca="1" si="167"/>
        <v>Available</v>
      </c>
      <c r="AB513" t="str">
        <f t="shared" ca="1" si="168"/>
        <v>Partially Paid</v>
      </c>
      <c r="AC513" t="str">
        <f t="shared" ca="1" si="169"/>
        <v>Bank Transfer</v>
      </c>
      <c r="AD513" t="str">
        <f t="shared" ca="1" si="170"/>
        <v>No</v>
      </c>
      <c r="AE513" t="str">
        <f t="shared" ca="1" si="171"/>
        <v>No</v>
      </c>
      <c r="AF513" t="str">
        <f t="shared" ca="1" si="172"/>
        <v>Under Observation</v>
      </c>
      <c r="AG513" t="str">
        <f t="shared" ca="1" si="173"/>
        <v>Midwest</v>
      </c>
      <c r="AH513" t="str">
        <f t="shared" si="156"/>
        <v>March</v>
      </c>
      <c r="AI513">
        <f t="shared" si="157"/>
        <v>2020</v>
      </c>
      <c r="AJ513" t="str">
        <f t="shared" ca="1" si="174"/>
        <v>Occupied</v>
      </c>
      <c r="AK513">
        <f t="shared" ca="1" si="175"/>
        <v>2</v>
      </c>
    </row>
    <row r="514" spans="1:37" x14ac:dyDescent="0.3">
      <c r="A514" t="s">
        <v>4943</v>
      </c>
      <c r="B514">
        <v>68</v>
      </c>
      <c r="C514" t="s">
        <v>32</v>
      </c>
      <c r="D514" t="s">
        <v>44</v>
      </c>
      <c r="E514" t="s">
        <v>76</v>
      </c>
      <c r="F514" s="1">
        <v>44124</v>
      </c>
      <c r="G514" t="s">
        <v>1067</v>
      </c>
      <c r="H514" t="s">
        <v>1068</v>
      </c>
      <c r="I514" t="s">
        <v>36</v>
      </c>
      <c r="J514">
        <v>12606</v>
      </c>
      <c r="K514">
        <v>350</v>
      </c>
      <c r="L514" t="s">
        <v>29</v>
      </c>
      <c r="M514" s="1">
        <v>44131</v>
      </c>
      <c r="N514" t="s">
        <v>22</v>
      </c>
      <c r="O514" t="s">
        <v>31</v>
      </c>
      <c r="P514" t="str">
        <f t="shared" si="158"/>
        <v>P0513</v>
      </c>
      <c r="Q514" t="str">
        <f t="shared" ref="Q514:Q577" si="176">IF(E514="Cancer","Oncology",IF(E514="Obesity","Nutrition",IF(E514="Diabetes","Endocrinology",IF(E514="Asthma","Pulmonology",IF(E514="Arthritis","Orthopedics",IF(E514="Hypertension","Cardiology","General Medicine"))))))</f>
        <v>Orthopedics</v>
      </c>
      <c r="R514">
        <f t="shared" ref="R514:R577" si="177">M514-F514</f>
        <v>7</v>
      </c>
      <c r="S514" t="str">
        <f t="shared" ca="1" si="159"/>
        <v>No</v>
      </c>
      <c r="T514" t="str">
        <f t="shared" ca="1" si="160"/>
        <v>Mild</v>
      </c>
      <c r="U514" t="str">
        <f t="shared" ca="1" si="161"/>
        <v>General Ward</v>
      </c>
      <c r="V514" t="str">
        <f t="shared" si="162"/>
        <v>BED0513</v>
      </c>
      <c r="W514" t="str">
        <f t="shared" ca="1" si="163"/>
        <v>General</v>
      </c>
      <c r="X514" t="str">
        <f t="shared" si="164"/>
        <v>NUR013</v>
      </c>
      <c r="Y514" t="str">
        <f t="shared" ca="1" si="165"/>
        <v>Morning</v>
      </c>
      <c r="Z514" t="str">
        <f t="shared" ca="1" si="166"/>
        <v>ECG Machine</v>
      </c>
      <c r="AA514" t="str">
        <f t="shared" ca="1" si="167"/>
        <v>Available</v>
      </c>
      <c r="AB514" t="str">
        <f t="shared" ca="1" si="168"/>
        <v>Paid</v>
      </c>
      <c r="AC514" t="str">
        <f t="shared" ca="1" si="169"/>
        <v>Credit Card</v>
      </c>
      <c r="AD514" t="str">
        <f t="shared" ca="1" si="170"/>
        <v>Yes</v>
      </c>
      <c r="AE514" t="str">
        <f t="shared" ca="1" si="171"/>
        <v>No</v>
      </c>
      <c r="AF514" t="str">
        <f t="shared" ca="1" si="172"/>
        <v>Under Observation</v>
      </c>
      <c r="AG514" t="str">
        <f t="shared" ca="1" si="173"/>
        <v>Midwest</v>
      </c>
      <c r="AH514" t="str">
        <f t="shared" ref="AH514:AH577" si="178">TEXT(F514,"MMMM")</f>
        <v>October</v>
      </c>
      <c r="AI514">
        <f t="shared" ref="AI514:AI577" si="179">YEAR(F514)</f>
        <v>2020</v>
      </c>
      <c r="AJ514" t="str">
        <f t="shared" ca="1" si="174"/>
        <v>Vacant</v>
      </c>
      <c r="AK514">
        <f t="shared" ca="1" si="175"/>
        <v>1</v>
      </c>
    </row>
    <row r="515" spans="1:37" x14ac:dyDescent="0.3">
      <c r="A515" t="s">
        <v>4944</v>
      </c>
      <c r="B515">
        <v>37</v>
      </c>
      <c r="C515" t="s">
        <v>15</v>
      </c>
      <c r="D515" t="s">
        <v>52</v>
      </c>
      <c r="E515" t="s">
        <v>48</v>
      </c>
      <c r="F515" s="1">
        <v>45296</v>
      </c>
      <c r="G515" t="s">
        <v>1069</v>
      </c>
      <c r="H515" t="s">
        <v>1070</v>
      </c>
      <c r="I515" t="s">
        <v>20</v>
      </c>
      <c r="J515">
        <v>7421</v>
      </c>
      <c r="K515">
        <v>154</v>
      </c>
      <c r="L515" t="s">
        <v>21</v>
      </c>
      <c r="M515" s="1">
        <v>45318</v>
      </c>
      <c r="N515" t="s">
        <v>47</v>
      </c>
      <c r="O515" t="s">
        <v>31</v>
      </c>
      <c r="P515" t="str">
        <f t="shared" ref="P515:P578" si="180">"P"&amp;TEXT(ROW()-1,"0000")</f>
        <v>P0514</v>
      </c>
      <c r="Q515" t="str">
        <f t="shared" si="176"/>
        <v>Pulmonology</v>
      </c>
      <c r="R515">
        <f t="shared" si="177"/>
        <v>22</v>
      </c>
      <c r="S515" t="str">
        <f t="shared" ref="S515:S578" ca="1" si="181">IF(RAND()&lt;0.1,"Yes","No")</f>
        <v>No</v>
      </c>
      <c r="T515" t="str">
        <f t="shared" ref="T515:T578" ca="1" si="182">CHOOSE(RANDBETWEEN(1,4),"Mild","Moderate","Severe","Critical")</f>
        <v>Severe</v>
      </c>
      <c r="U515" t="str">
        <f t="shared" ref="U515:U578" ca="1" si="183">CHOOSE(RANDBETWEEN(1,5),"General Ward","ICU","Emergency","Private Ward","Semi-Private")</f>
        <v>General Ward</v>
      </c>
      <c r="V515" t="str">
        <f t="shared" ref="V515:V578" si="184">"BED"&amp;TEXT(ROW()-1,"0000")</f>
        <v>BED0514</v>
      </c>
      <c r="W515" t="str">
        <f t="shared" ref="W515:W578" ca="1" si="185">CHOOSE(RANDBETWEEN(1,4),"General","Private","Semi-Private","ICU")</f>
        <v>General</v>
      </c>
      <c r="X515" t="str">
        <f t="shared" ref="X515:X578" si="186">"NUR"&amp;TEXT(MOD(ROW()-2,50)+1,"000")</f>
        <v>NUR014</v>
      </c>
      <c r="Y515" t="str">
        <f t="shared" ref="Y515:Y578" ca="1" si="187">CHOOSE(RANDBETWEEN(1,3),"Morning","Evening","Night")</f>
        <v>Morning</v>
      </c>
      <c r="Z515" t="str">
        <f t="shared" ref="Z515:Z578" ca="1" si="188">CHOOSE(RANDBETWEEN(1,6),"MRI Scanner","CT Scanner","Ventilator","X-Ray","ECG Machine","Ultrasound")</f>
        <v>X-Ray</v>
      </c>
      <c r="AA515" t="str">
        <f t="shared" ref="AA515:AA578" ca="1" si="189">CHOOSE(RANDBETWEEN(1,3),"Available","In Use","Maintenance")</f>
        <v>Available</v>
      </c>
      <c r="AB515" t="str">
        <f t="shared" ref="AB515:AB578" ca="1" si="190">CHOOSE(RANDBETWEEN(1,3),"Paid","Pending","Partially Paid")</f>
        <v>Paid</v>
      </c>
      <c r="AC515" t="str">
        <f t="shared" ref="AC515:AC578" ca="1" si="191">CHOOSE(RANDBETWEEN(1,5),"Cash","Credit Card","Debit Card","Insurance","Bank Transfer")</f>
        <v>Debit Card</v>
      </c>
      <c r="AD515" t="str">
        <f t="shared" ref="AD515:AD578" ca="1" si="192">IF(RAND()&lt;0.2,"Yes","No")</f>
        <v>No</v>
      </c>
      <c r="AE515" t="str">
        <f t="shared" ref="AE515:AE578" ca="1" si="193">IF(RAND()&lt;0.15,"Yes","No")</f>
        <v>No</v>
      </c>
      <c r="AF515" t="str">
        <f t="shared" ref="AF515:AF578" ca="1" si="194">CHOOSE(RANDBETWEEN(1,3),"Recovered","Transferred","Under Observation")</f>
        <v>Transferred</v>
      </c>
      <c r="AG515" t="str">
        <f t="shared" ref="AG515:AG578" ca="1" si="195">CHOOSE(RANDBETWEEN(1,5),"Northeast","Southeast","Midwest","Southwest","West Coast")</f>
        <v>Southwest</v>
      </c>
      <c r="AH515" t="str">
        <f t="shared" si="178"/>
        <v>January</v>
      </c>
      <c r="AI515">
        <f t="shared" si="179"/>
        <v>2024</v>
      </c>
      <c r="AJ515" t="str">
        <f t="shared" ref="AJ515:AJ578" ca="1" si="196">IF(RANDBETWEEN(1,100)&lt;=80,"Occupied","Vacant")</f>
        <v>Occupied</v>
      </c>
      <c r="AK515">
        <f t="shared" ref="AK515:AK578" ca="1" si="197">CHOOSE(RANDBETWEEN(1,3),1,2,4)</f>
        <v>1</v>
      </c>
    </row>
    <row r="516" spans="1:37" x14ac:dyDescent="0.3">
      <c r="A516" t="s">
        <v>4945</v>
      </c>
      <c r="B516">
        <v>24</v>
      </c>
      <c r="C516" t="s">
        <v>32</v>
      </c>
      <c r="D516" t="s">
        <v>16</v>
      </c>
      <c r="E516" t="s">
        <v>76</v>
      </c>
      <c r="F516" s="1">
        <v>45155</v>
      </c>
      <c r="G516" t="s">
        <v>1071</v>
      </c>
      <c r="H516" t="s">
        <v>1072</v>
      </c>
      <c r="I516" t="s">
        <v>57</v>
      </c>
      <c r="J516">
        <v>24562</v>
      </c>
      <c r="K516">
        <v>216</v>
      </c>
      <c r="L516" t="s">
        <v>29</v>
      </c>
      <c r="M516" s="1">
        <v>45170</v>
      </c>
      <c r="N516" t="s">
        <v>37</v>
      </c>
      <c r="O516" t="s">
        <v>43</v>
      </c>
      <c r="P516" t="str">
        <f t="shared" si="180"/>
        <v>P0515</v>
      </c>
      <c r="Q516" t="str">
        <f t="shared" si="176"/>
        <v>Orthopedics</v>
      </c>
      <c r="R516">
        <f t="shared" si="177"/>
        <v>15</v>
      </c>
      <c r="S516" t="str">
        <f t="shared" ca="1" si="181"/>
        <v>Yes</v>
      </c>
      <c r="T516" t="str">
        <f t="shared" ca="1" si="182"/>
        <v>Critical</v>
      </c>
      <c r="U516" t="str">
        <f t="shared" ca="1" si="183"/>
        <v>Semi-Private</v>
      </c>
      <c r="V516" t="str">
        <f t="shared" si="184"/>
        <v>BED0515</v>
      </c>
      <c r="W516" t="str">
        <f t="shared" ca="1" si="185"/>
        <v>General</v>
      </c>
      <c r="X516" t="str">
        <f t="shared" si="186"/>
        <v>NUR015</v>
      </c>
      <c r="Y516" t="str">
        <f t="shared" ca="1" si="187"/>
        <v>Morning</v>
      </c>
      <c r="Z516" t="str">
        <f t="shared" ca="1" si="188"/>
        <v>CT Scanner</v>
      </c>
      <c r="AA516" t="str">
        <f t="shared" ca="1" si="189"/>
        <v>Maintenance</v>
      </c>
      <c r="AB516" t="str">
        <f t="shared" ca="1" si="190"/>
        <v>Partially Paid</v>
      </c>
      <c r="AC516" t="str">
        <f t="shared" ca="1" si="191"/>
        <v>Cash</v>
      </c>
      <c r="AD516" t="str">
        <f t="shared" ca="1" si="192"/>
        <v>Yes</v>
      </c>
      <c r="AE516" t="str">
        <f t="shared" ca="1" si="193"/>
        <v>No</v>
      </c>
      <c r="AF516" t="str">
        <f t="shared" ca="1" si="194"/>
        <v>Transferred</v>
      </c>
      <c r="AG516" t="str">
        <f t="shared" ca="1" si="195"/>
        <v>Southeast</v>
      </c>
      <c r="AH516" t="str">
        <f t="shared" si="178"/>
        <v>August</v>
      </c>
      <c r="AI516">
        <f t="shared" si="179"/>
        <v>2023</v>
      </c>
      <c r="AJ516" t="str">
        <f t="shared" ca="1" si="196"/>
        <v>Occupied</v>
      </c>
      <c r="AK516">
        <f t="shared" ca="1" si="197"/>
        <v>2</v>
      </c>
    </row>
    <row r="517" spans="1:37" x14ac:dyDescent="0.3">
      <c r="A517" t="s">
        <v>4946</v>
      </c>
      <c r="B517">
        <v>21</v>
      </c>
      <c r="C517" t="s">
        <v>15</v>
      </c>
      <c r="D517" t="s">
        <v>16</v>
      </c>
      <c r="E517" t="s">
        <v>39</v>
      </c>
      <c r="F517" s="1">
        <v>45016</v>
      </c>
      <c r="G517" t="s">
        <v>1073</v>
      </c>
      <c r="H517" t="s">
        <v>1074</v>
      </c>
      <c r="I517" t="s">
        <v>57</v>
      </c>
      <c r="J517">
        <v>32854</v>
      </c>
      <c r="K517">
        <v>132</v>
      </c>
      <c r="L517" t="s">
        <v>29</v>
      </c>
      <c r="M517" s="1">
        <v>45038</v>
      </c>
      <c r="N517" t="s">
        <v>67</v>
      </c>
      <c r="O517" t="s">
        <v>43</v>
      </c>
      <c r="P517" t="str">
        <f t="shared" si="180"/>
        <v>P0516</v>
      </c>
      <c r="Q517" t="str">
        <f t="shared" si="176"/>
        <v>Endocrinology</v>
      </c>
      <c r="R517">
        <f t="shared" si="177"/>
        <v>22</v>
      </c>
      <c r="S517" t="str">
        <f t="shared" ca="1" si="181"/>
        <v>No</v>
      </c>
      <c r="T517" t="str">
        <f t="shared" ca="1" si="182"/>
        <v>Moderate</v>
      </c>
      <c r="U517" t="str">
        <f t="shared" ca="1" si="183"/>
        <v>Semi-Private</v>
      </c>
      <c r="V517" t="str">
        <f t="shared" si="184"/>
        <v>BED0516</v>
      </c>
      <c r="W517" t="str">
        <f t="shared" ca="1" si="185"/>
        <v>Private</v>
      </c>
      <c r="X517" t="str">
        <f t="shared" si="186"/>
        <v>NUR016</v>
      </c>
      <c r="Y517" t="str">
        <f t="shared" ca="1" si="187"/>
        <v>Evening</v>
      </c>
      <c r="Z517" t="str">
        <f t="shared" ca="1" si="188"/>
        <v>Ultrasound</v>
      </c>
      <c r="AA517" t="str">
        <f t="shared" ca="1" si="189"/>
        <v>Maintenance</v>
      </c>
      <c r="AB517" t="str">
        <f t="shared" ca="1" si="190"/>
        <v>Pending</v>
      </c>
      <c r="AC517" t="str">
        <f t="shared" ca="1" si="191"/>
        <v>Cash</v>
      </c>
      <c r="AD517" t="str">
        <f t="shared" ca="1" si="192"/>
        <v>No</v>
      </c>
      <c r="AE517" t="str">
        <f t="shared" ca="1" si="193"/>
        <v>No</v>
      </c>
      <c r="AF517" t="str">
        <f t="shared" ca="1" si="194"/>
        <v>Recovered</v>
      </c>
      <c r="AG517" t="str">
        <f t="shared" ca="1" si="195"/>
        <v>West Coast</v>
      </c>
      <c r="AH517" t="str">
        <f t="shared" si="178"/>
        <v>March</v>
      </c>
      <c r="AI517">
        <f t="shared" si="179"/>
        <v>2023</v>
      </c>
      <c r="AJ517" t="str">
        <f t="shared" ca="1" si="196"/>
        <v>Occupied</v>
      </c>
      <c r="AK517">
        <f t="shared" ca="1" si="197"/>
        <v>2</v>
      </c>
    </row>
    <row r="518" spans="1:37" x14ac:dyDescent="0.3">
      <c r="A518" t="s">
        <v>4947</v>
      </c>
      <c r="B518">
        <v>46</v>
      </c>
      <c r="C518" t="s">
        <v>32</v>
      </c>
      <c r="D518" t="s">
        <v>52</v>
      </c>
      <c r="E518" t="s">
        <v>39</v>
      </c>
      <c r="F518" s="1">
        <v>44886</v>
      </c>
      <c r="G518" t="s">
        <v>1075</v>
      </c>
      <c r="H518" t="s">
        <v>1076</v>
      </c>
      <c r="I518" t="s">
        <v>36</v>
      </c>
      <c r="J518">
        <v>18829</v>
      </c>
      <c r="K518">
        <v>194</v>
      </c>
      <c r="L518" t="s">
        <v>42</v>
      </c>
      <c r="M518" s="1">
        <v>44887</v>
      </c>
      <c r="N518" t="s">
        <v>30</v>
      </c>
      <c r="O518" t="s">
        <v>43</v>
      </c>
      <c r="P518" t="str">
        <f t="shared" si="180"/>
        <v>P0517</v>
      </c>
      <c r="Q518" t="str">
        <f t="shared" si="176"/>
        <v>Endocrinology</v>
      </c>
      <c r="R518">
        <f t="shared" si="177"/>
        <v>1</v>
      </c>
      <c r="S518" t="str">
        <f t="shared" ca="1" si="181"/>
        <v>No</v>
      </c>
      <c r="T518" t="str">
        <f t="shared" ca="1" si="182"/>
        <v>Mild</v>
      </c>
      <c r="U518" t="str">
        <f t="shared" ca="1" si="183"/>
        <v>Emergency</v>
      </c>
      <c r="V518" t="str">
        <f t="shared" si="184"/>
        <v>BED0517</v>
      </c>
      <c r="W518" t="str">
        <f t="shared" ca="1" si="185"/>
        <v>ICU</v>
      </c>
      <c r="X518" t="str">
        <f t="shared" si="186"/>
        <v>NUR017</v>
      </c>
      <c r="Y518" t="str">
        <f t="shared" ca="1" si="187"/>
        <v>Morning</v>
      </c>
      <c r="Z518" t="str">
        <f t="shared" ca="1" si="188"/>
        <v>CT Scanner</v>
      </c>
      <c r="AA518" t="str">
        <f t="shared" ca="1" si="189"/>
        <v>Maintenance</v>
      </c>
      <c r="AB518" t="str">
        <f t="shared" ca="1" si="190"/>
        <v>Pending</v>
      </c>
      <c r="AC518" t="str">
        <f t="shared" ca="1" si="191"/>
        <v>Debit Card</v>
      </c>
      <c r="AD518" t="str">
        <f t="shared" ca="1" si="192"/>
        <v>Yes</v>
      </c>
      <c r="AE518" t="str">
        <f t="shared" ca="1" si="193"/>
        <v>No</v>
      </c>
      <c r="AF518" t="str">
        <f t="shared" ca="1" si="194"/>
        <v>Transferred</v>
      </c>
      <c r="AG518" t="str">
        <f t="shared" ca="1" si="195"/>
        <v>West Coast</v>
      </c>
      <c r="AH518" t="str">
        <f t="shared" si="178"/>
        <v>November</v>
      </c>
      <c r="AI518">
        <f t="shared" si="179"/>
        <v>2022</v>
      </c>
      <c r="AJ518" t="str">
        <f t="shared" ca="1" si="196"/>
        <v>Occupied</v>
      </c>
      <c r="AK518">
        <f t="shared" ca="1" si="197"/>
        <v>1</v>
      </c>
    </row>
    <row r="519" spans="1:37" x14ac:dyDescent="0.3">
      <c r="A519" t="s">
        <v>4948</v>
      </c>
      <c r="B519">
        <v>61</v>
      </c>
      <c r="C519" t="s">
        <v>32</v>
      </c>
      <c r="D519" t="s">
        <v>83</v>
      </c>
      <c r="E519" t="s">
        <v>76</v>
      </c>
      <c r="F519" s="1">
        <v>44067</v>
      </c>
      <c r="G519" t="s">
        <v>1077</v>
      </c>
      <c r="H519" t="s">
        <v>1078</v>
      </c>
      <c r="I519" t="s">
        <v>36</v>
      </c>
      <c r="J519">
        <v>34382</v>
      </c>
      <c r="K519">
        <v>330</v>
      </c>
      <c r="L519" t="s">
        <v>21</v>
      </c>
      <c r="M519" s="1">
        <v>44080</v>
      </c>
      <c r="N519" t="s">
        <v>67</v>
      </c>
      <c r="O519" t="s">
        <v>31</v>
      </c>
      <c r="P519" t="str">
        <f t="shared" si="180"/>
        <v>P0518</v>
      </c>
      <c r="Q519" t="str">
        <f t="shared" si="176"/>
        <v>Orthopedics</v>
      </c>
      <c r="R519">
        <f t="shared" si="177"/>
        <v>13</v>
      </c>
      <c r="S519" t="str">
        <f t="shared" ca="1" si="181"/>
        <v>No</v>
      </c>
      <c r="T519" t="str">
        <f t="shared" ca="1" si="182"/>
        <v>Moderate</v>
      </c>
      <c r="U519" t="str">
        <f t="shared" ca="1" si="183"/>
        <v>Semi-Private</v>
      </c>
      <c r="V519" t="str">
        <f t="shared" si="184"/>
        <v>BED0518</v>
      </c>
      <c r="W519" t="str">
        <f t="shared" ca="1" si="185"/>
        <v>Private</v>
      </c>
      <c r="X519" t="str">
        <f t="shared" si="186"/>
        <v>NUR018</v>
      </c>
      <c r="Y519" t="str">
        <f t="shared" ca="1" si="187"/>
        <v>Evening</v>
      </c>
      <c r="Z519" t="str">
        <f t="shared" ca="1" si="188"/>
        <v>CT Scanner</v>
      </c>
      <c r="AA519" t="str">
        <f t="shared" ca="1" si="189"/>
        <v>Available</v>
      </c>
      <c r="AB519" t="str">
        <f t="shared" ca="1" si="190"/>
        <v>Pending</v>
      </c>
      <c r="AC519" t="str">
        <f t="shared" ca="1" si="191"/>
        <v>Insurance</v>
      </c>
      <c r="AD519" t="str">
        <f t="shared" ca="1" si="192"/>
        <v>No</v>
      </c>
      <c r="AE519" t="str">
        <f t="shared" ca="1" si="193"/>
        <v>No</v>
      </c>
      <c r="AF519" t="str">
        <f t="shared" ca="1" si="194"/>
        <v>Under Observation</v>
      </c>
      <c r="AG519" t="str">
        <f t="shared" ca="1" si="195"/>
        <v>West Coast</v>
      </c>
      <c r="AH519" t="str">
        <f t="shared" si="178"/>
        <v>August</v>
      </c>
      <c r="AI519">
        <f t="shared" si="179"/>
        <v>2020</v>
      </c>
      <c r="AJ519" t="str">
        <f t="shared" ca="1" si="196"/>
        <v>Occupied</v>
      </c>
      <c r="AK519">
        <f t="shared" ca="1" si="197"/>
        <v>2</v>
      </c>
    </row>
    <row r="520" spans="1:37" x14ac:dyDescent="0.3">
      <c r="A520" t="s">
        <v>4949</v>
      </c>
      <c r="B520">
        <v>25</v>
      </c>
      <c r="C520" t="s">
        <v>15</v>
      </c>
      <c r="D520" t="s">
        <v>98</v>
      </c>
      <c r="E520" t="s">
        <v>76</v>
      </c>
      <c r="F520" s="1">
        <v>44604</v>
      </c>
      <c r="G520" t="s">
        <v>1079</v>
      </c>
      <c r="H520" t="s">
        <v>1080</v>
      </c>
      <c r="I520" t="s">
        <v>36</v>
      </c>
      <c r="J520">
        <v>31502</v>
      </c>
      <c r="K520">
        <v>475</v>
      </c>
      <c r="L520" t="s">
        <v>42</v>
      </c>
      <c r="M520" s="1">
        <v>44623</v>
      </c>
      <c r="N520" t="s">
        <v>30</v>
      </c>
      <c r="O520" t="s">
        <v>31</v>
      </c>
      <c r="P520" t="str">
        <f t="shared" si="180"/>
        <v>P0519</v>
      </c>
      <c r="Q520" t="str">
        <f t="shared" si="176"/>
        <v>Orthopedics</v>
      </c>
      <c r="R520">
        <f t="shared" si="177"/>
        <v>19</v>
      </c>
      <c r="S520" t="str">
        <f t="shared" ca="1" si="181"/>
        <v>No</v>
      </c>
      <c r="T520" t="str">
        <f t="shared" ca="1" si="182"/>
        <v>Critical</v>
      </c>
      <c r="U520" t="str">
        <f t="shared" ca="1" si="183"/>
        <v>Semi-Private</v>
      </c>
      <c r="V520" t="str">
        <f t="shared" si="184"/>
        <v>BED0519</v>
      </c>
      <c r="W520" t="str">
        <f t="shared" ca="1" si="185"/>
        <v>Semi-Private</v>
      </c>
      <c r="X520" t="str">
        <f t="shared" si="186"/>
        <v>NUR019</v>
      </c>
      <c r="Y520" t="str">
        <f t="shared" ca="1" si="187"/>
        <v>Morning</v>
      </c>
      <c r="Z520" t="str">
        <f t="shared" ca="1" si="188"/>
        <v>X-Ray</v>
      </c>
      <c r="AA520" t="str">
        <f t="shared" ca="1" si="189"/>
        <v>Maintenance</v>
      </c>
      <c r="AB520" t="str">
        <f t="shared" ca="1" si="190"/>
        <v>Pending</v>
      </c>
      <c r="AC520" t="str">
        <f t="shared" ca="1" si="191"/>
        <v>Debit Card</v>
      </c>
      <c r="AD520" t="str">
        <f t="shared" ca="1" si="192"/>
        <v>No</v>
      </c>
      <c r="AE520" t="str">
        <f t="shared" ca="1" si="193"/>
        <v>No</v>
      </c>
      <c r="AF520" t="str">
        <f t="shared" ca="1" si="194"/>
        <v>Recovered</v>
      </c>
      <c r="AG520" t="str">
        <f t="shared" ca="1" si="195"/>
        <v>Southeast</v>
      </c>
      <c r="AH520" t="str">
        <f t="shared" si="178"/>
        <v>February</v>
      </c>
      <c r="AI520">
        <f t="shared" si="179"/>
        <v>2022</v>
      </c>
      <c r="AJ520" t="str">
        <f t="shared" ca="1" si="196"/>
        <v>Occupied</v>
      </c>
      <c r="AK520">
        <f t="shared" ca="1" si="197"/>
        <v>1</v>
      </c>
    </row>
    <row r="521" spans="1:37" x14ac:dyDescent="0.3">
      <c r="A521" t="s">
        <v>4950</v>
      </c>
      <c r="B521">
        <v>75</v>
      </c>
      <c r="C521" t="s">
        <v>32</v>
      </c>
      <c r="D521" t="s">
        <v>33</v>
      </c>
      <c r="E521" t="s">
        <v>76</v>
      </c>
      <c r="F521" s="1">
        <v>45153</v>
      </c>
      <c r="G521" t="s">
        <v>1081</v>
      </c>
      <c r="H521" t="s">
        <v>1082</v>
      </c>
      <c r="I521" t="s">
        <v>28</v>
      </c>
      <c r="J521">
        <v>12098</v>
      </c>
      <c r="K521">
        <v>387</v>
      </c>
      <c r="L521" t="s">
        <v>42</v>
      </c>
      <c r="M521" s="1">
        <v>45173</v>
      </c>
      <c r="N521" t="s">
        <v>67</v>
      </c>
      <c r="O521" t="s">
        <v>43</v>
      </c>
      <c r="P521" t="str">
        <f t="shared" si="180"/>
        <v>P0520</v>
      </c>
      <c r="Q521" t="str">
        <f t="shared" si="176"/>
        <v>Orthopedics</v>
      </c>
      <c r="R521">
        <f t="shared" si="177"/>
        <v>20</v>
      </c>
      <c r="S521" t="str">
        <f t="shared" ca="1" si="181"/>
        <v>No</v>
      </c>
      <c r="T521" t="str">
        <f t="shared" ca="1" si="182"/>
        <v>Mild</v>
      </c>
      <c r="U521" t="str">
        <f t="shared" ca="1" si="183"/>
        <v>Semi-Private</v>
      </c>
      <c r="V521" t="str">
        <f t="shared" si="184"/>
        <v>BED0520</v>
      </c>
      <c r="W521" t="str">
        <f t="shared" ca="1" si="185"/>
        <v>ICU</v>
      </c>
      <c r="X521" t="str">
        <f t="shared" si="186"/>
        <v>NUR020</v>
      </c>
      <c r="Y521" t="str">
        <f t="shared" ca="1" si="187"/>
        <v>Morning</v>
      </c>
      <c r="Z521" t="str">
        <f t="shared" ca="1" si="188"/>
        <v>Ventilator</v>
      </c>
      <c r="AA521" t="str">
        <f t="shared" ca="1" si="189"/>
        <v>Available</v>
      </c>
      <c r="AB521" t="str">
        <f t="shared" ca="1" si="190"/>
        <v>Pending</v>
      </c>
      <c r="AC521" t="str">
        <f t="shared" ca="1" si="191"/>
        <v>Debit Card</v>
      </c>
      <c r="AD521" t="str">
        <f t="shared" ca="1" si="192"/>
        <v>No</v>
      </c>
      <c r="AE521" t="str">
        <f t="shared" ca="1" si="193"/>
        <v>No</v>
      </c>
      <c r="AF521" t="str">
        <f t="shared" ca="1" si="194"/>
        <v>Transferred</v>
      </c>
      <c r="AG521" t="str">
        <f t="shared" ca="1" si="195"/>
        <v>Midwest</v>
      </c>
      <c r="AH521" t="str">
        <f t="shared" si="178"/>
        <v>August</v>
      </c>
      <c r="AI521">
        <f t="shared" si="179"/>
        <v>2023</v>
      </c>
      <c r="AJ521" t="str">
        <f t="shared" ca="1" si="196"/>
        <v>Occupied</v>
      </c>
      <c r="AK521">
        <f t="shared" ca="1" si="197"/>
        <v>2</v>
      </c>
    </row>
    <row r="522" spans="1:37" x14ac:dyDescent="0.3">
      <c r="A522" t="s">
        <v>4951</v>
      </c>
      <c r="B522">
        <v>43</v>
      </c>
      <c r="C522" t="s">
        <v>32</v>
      </c>
      <c r="D522" t="s">
        <v>98</v>
      </c>
      <c r="E522" t="s">
        <v>39</v>
      </c>
      <c r="F522" s="1">
        <v>44939</v>
      </c>
      <c r="G522" t="s">
        <v>1083</v>
      </c>
      <c r="H522" t="s">
        <v>1084</v>
      </c>
      <c r="I522" t="s">
        <v>51</v>
      </c>
      <c r="J522">
        <v>39547</v>
      </c>
      <c r="K522">
        <v>436</v>
      </c>
      <c r="L522" t="s">
        <v>42</v>
      </c>
      <c r="M522" s="1">
        <v>44958</v>
      </c>
      <c r="N522" t="s">
        <v>22</v>
      </c>
      <c r="O522" t="s">
        <v>31</v>
      </c>
      <c r="P522" t="str">
        <f t="shared" si="180"/>
        <v>P0521</v>
      </c>
      <c r="Q522" t="str">
        <f t="shared" si="176"/>
        <v>Endocrinology</v>
      </c>
      <c r="R522">
        <f t="shared" si="177"/>
        <v>19</v>
      </c>
      <c r="S522" t="str">
        <f t="shared" ca="1" si="181"/>
        <v>No</v>
      </c>
      <c r="T522" t="str">
        <f t="shared" ca="1" si="182"/>
        <v>Moderate</v>
      </c>
      <c r="U522" t="str">
        <f t="shared" ca="1" si="183"/>
        <v>Private Ward</v>
      </c>
      <c r="V522" t="str">
        <f t="shared" si="184"/>
        <v>BED0521</v>
      </c>
      <c r="W522" t="str">
        <f t="shared" ca="1" si="185"/>
        <v>General</v>
      </c>
      <c r="X522" t="str">
        <f t="shared" si="186"/>
        <v>NUR021</v>
      </c>
      <c r="Y522" t="str">
        <f t="shared" ca="1" si="187"/>
        <v>Evening</v>
      </c>
      <c r="Z522" t="str">
        <f t="shared" ca="1" si="188"/>
        <v>Ultrasound</v>
      </c>
      <c r="AA522" t="str">
        <f t="shared" ca="1" si="189"/>
        <v>Maintenance</v>
      </c>
      <c r="AB522" t="str">
        <f t="shared" ca="1" si="190"/>
        <v>Pending</v>
      </c>
      <c r="AC522" t="str">
        <f t="shared" ca="1" si="191"/>
        <v>Credit Card</v>
      </c>
      <c r="AD522" t="str">
        <f t="shared" ca="1" si="192"/>
        <v>No</v>
      </c>
      <c r="AE522" t="str">
        <f t="shared" ca="1" si="193"/>
        <v>No</v>
      </c>
      <c r="AF522" t="str">
        <f t="shared" ca="1" si="194"/>
        <v>Under Observation</v>
      </c>
      <c r="AG522" t="str">
        <f t="shared" ca="1" si="195"/>
        <v>West Coast</v>
      </c>
      <c r="AH522" t="str">
        <f t="shared" si="178"/>
        <v>January</v>
      </c>
      <c r="AI522">
        <f t="shared" si="179"/>
        <v>2023</v>
      </c>
      <c r="AJ522" t="str">
        <f t="shared" ca="1" si="196"/>
        <v>Occupied</v>
      </c>
      <c r="AK522">
        <f t="shared" ca="1" si="197"/>
        <v>1</v>
      </c>
    </row>
    <row r="523" spans="1:37" x14ac:dyDescent="0.3">
      <c r="A523" t="s">
        <v>4952</v>
      </c>
      <c r="B523">
        <v>38</v>
      </c>
      <c r="C523" t="s">
        <v>32</v>
      </c>
      <c r="D523" t="s">
        <v>16</v>
      </c>
      <c r="E523" t="s">
        <v>25</v>
      </c>
      <c r="F523" s="1">
        <v>43949</v>
      </c>
      <c r="G523" t="s">
        <v>1085</v>
      </c>
      <c r="H523" t="s">
        <v>1086</v>
      </c>
      <c r="I523" t="s">
        <v>36</v>
      </c>
      <c r="J523">
        <v>6486</v>
      </c>
      <c r="K523">
        <v>283</v>
      </c>
      <c r="L523" t="s">
        <v>42</v>
      </c>
      <c r="M523" s="1">
        <v>43971</v>
      </c>
      <c r="N523" t="s">
        <v>37</v>
      </c>
      <c r="O523" t="s">
        <v>43</v>
      </c>
      <c r="P523" t="str">
        <f t="shared" si="180"/>
        <v>P0522</v>
      </c>
      <c r="Q523" t="str">
        <f t="shared" si="176"/>
        <v>Nutrition</v>
      </c>
      <c r="R523">
        <f t="shared" si="177"/>
        <v>22</v>
      </c>
      <c r="S523" t="str">
        <f t="shared" ca="1" si="181"/>
        <v>No</v>
      </c>
      <c r="T523" t="str">
        <f t="shared" ca="1" si="182"/>
        <v>Severe</v>
      </c>
      <c r="U523" t="str">
        <f t="shared" ca="1" si="183"/>
        <v>General Ward</v>
      </c>
      <c r="V523" t="str">
        <f t="shared" si="184"/>
        <v>BED0522</v>
      </c>
      <c r="W523" t="str">
        <f t="shared" ca="1" si="185"/>
        <v>ICU</v>
      </c>
      <c r="X523" t="str">
        <f t="shared" si="186"/>
        <v>NUR022</v>
      </c>
      <c r="Y523" t="str">
        <f t="shared" ca="1" si="187"/>
        <v>Evening</v>
      </c>
      <c r="Z523" t="str">
        <f t="shared" ca="1" si="188"/>
        <v>ECG Machine</v>
      </c>
      <c r="AA523" t="str">
        <f t="shared" ca="1" si="189"/>
        <v>Maintenance</v>
      </c>
      <c r="AB523" t="str">
        <f t="shared" ca="1" si="190"/>
        <v>Partially Paid</v>
      </c>
      <c r="AC523" t="str">
        <f t="shared" ca="1" si="191"/>
        <v>Debit Card</v>
      </c>
      <c r="AD523" t="str">
        <f t="shared" ca="1" si="192"/>
        <v>No</v>
      </c>
      <c r="AE523" t="str">
        <f t="shared" ca="1" si="193"/>
        <v>No</v>
      </c>
      <c r="AF523" t="str">
        <f t="shared" ca="1" si="194"/>
        <v>Recovered</v>
      </c>
      <c r="AG523" t="str">
        <f t="shared" ca="1" si="195"/>
        <v>West Coast</v>
      </c>
      <c r="AH523" t="str">
        <f t="shared" si="178"/>
        <v>April</v>
      </c>
      <c r="AI523">
        <f t="shared" si="179"/>
        <v>2020</v>
      </c>
      <c r="AJ523" t="str">
        <f t="shared" ca="1" si="196"/>
        <v>Occupied</v>
      </c>
      <c r="AK523">
        <f t="shared" ca="1" si="197"/>
        <v>4</v>
      </c>
    </row>
    <row r="524" spans="1:37" x14ac:dyDescent="0.3">
      <c r="A524" t="s">
        <v>4953</v>
      </c>
      <c r="B524">
        <v>28</v>
      </c>
      <c r="C524" t="s">
        <v>15</v>
      </c>
      <c r="D524" t="s">
        <v>44</v>
      </c>
      <c r="E524" t="s">
        <v>76</v>
      </c>
      <c r="F524" s="1">
        <v>44855</v>
      </c>
      <c r="G524" t="s">
        <v>1087</v>
      </c>
      <c r="H524" t="s">
        <v>1088</v>
      </c>
      <c r="I524" t="s">
        <v>28</v>
      </c>
      <c r="J524">
        <v>46658</v>
      </c>
      <c r="K524">
        <v>265</v>
      </c>
      <c r="L524" t="s">
        <v>21</v>
      </c>
      <c r="M524" s="1">
        <v>44856</v>
      </c>
      <c r="N524" t="s">
        <v>47</v>
      </c>
      <c r="O524" t="s">
        <v>31</v>
      </c>
      <c r="P524" t="str">
        <f t="shared" si="180"/>
        <v>P0523</v>
      </c>
      <c r="Q524" t="str">
        <f t="shared" si="176"/>
        <v>Orthopedics</v>
      </c>
      <c r="R524">
        <f t="shared" si="177"/>
        <v>1</v>
      </c>
      <c r="S524" t="str">
        <f t="shared" ca="1" si="181"/>
        <v>No</v>
      </c>
      <c r="T524" t="str">
        <f t="shared" ca="1" si="182"/>
        <v>Moderate</v>
      </c>
      <c r="U524" t="str">
        <f t="shared" ca="1" si="183"/>
        <v>General Ward</v>
      </c>
      <c r="V524" t="str">
        <f t="shared" si="184"/>
        <v>BED0523</v>
      </c>
      <c r="W524" t="str">
        <f t="shared" ca="1" si="185"/>
        <v>Semi-Private</v>
      </c>
      <c r="X524" t="str">
        <f t="shared" si="186"/>
        <v>NUR023</v>
      </c>
      <c r="Y524" t="str">
        <f t="shared" ca="1" si="187"/>
        <v>Morning</v>
      </c>
      <c r="Z524" t="str">
        <f t="shared" ca="1" si="188"/>
        <v>Ventilator</v>
      </c>
      <c r="AA524" t="str">
        <f t="shared" ca="1" si="189"/>
        <v>In Use</v>
      </c>
      <c r="AB524" t="str">
        <f t="shared" ca="1" si="190"/>
        <v>Partially Paid</v>
      </c>
      <c r="AC524" t="str">
        <f t="shared" ca="1" si="191"/>
        <v>Bank Transfer</v>
      </c>
      <c r="AD524" t="str">
        <f t="shared" ca="1" si="192"/>
        <v>No</v>
      </c>
      <c r="AE524" t="str">
        <f t="shared" ca="1" si="193"/>
        <v>No</v>
      </c>
      <c r="AF524" t="str">
        <f t="shared" ca="1" si="194"/>
        <v>Under Observation</v>
      </c>
      <c r="AG524" t="str">
        <f t="shared" ca="1" si="195"/>
        <v>Southwest</v>
      </c>
      <c r="AH524" t="str">
        <f t="shared" si="178"/>
        <v>October</v>
      </c>
      <c r="AI524">
        <f t="shared" si="179"/>
        <v>2022</v>
      </c>
      <c r="AJ524" t="str">
        <f t="shared" ca="1" si="196"/>
        <v>Vacant</v>
      </c>
      <c r="AK524">
        <f t="shared" ca="1" si="197"/>
        <v>4</v>
      </c>
    </row>
    <row r="525" spans="1:37" x14ac:dyDescent="0.3">
      <c r="A525" t="s">
        <v>4954</v>
      </c>
      <c r="B525">
        <v>80</v>
      </c>
      <c r="C525" t="s">
        <v>15</v>
      </c>
      <c r="D525" t="s">
        <v>38</v>
      </c>
      <c r="E525" t="s">
        <v>64</v>
      </c>
      <c r="F525" s="1">
        <v>44910</v>
      </c>
      <c r="G525" t="s">
        <v>1089</v>
      </c>
      <c r="H525" t="s">
        <v>1090</v>
      </c>
      <c r="I525" t="s">
        <v>36</v>
      </c>
      <c r="J525">
        <v>31709</v>
      </c>
      <c r="K525">
        <v>168</v>
      </c>
      <c r="L525" t="s">
        <v>21</v>
      </c>
      <c r="M525" s="1">
        <v>44920</v>
      </c>
      <c r="N525" t="s">
        <v>22</v>
      </c>
      <c r="O525" t="s">
        <v>43</v>
      </c>
      <c r="P525" t="str">
        <f t="shared" si="180"/>
        <v>P0524</v>
      </c>
      <c r="Q525" t="str">
        <f t="shared" si="176"/>
        <v>Cardiology</v>
      </c>
      <c r="R525">
        <f t="shared" si="177"/>
        <v>10</v>
      </c>
      <c r="S525" t="str">
        <f t="shared" ca="1" si="181"/>
        <v>Yes</v>
      </c>
      <c r="T525" t="str">
        <f t="shared" ca="1" si="182"/>
        <v>Severe</v>
      </c>
      <c r="U525" t="str">
        <f t="shared" ca="1" si="183"/>
        <v>Emergency</v>
      </c>
      <c r="V525" t="str">
        <f t="shared" si="184"/>
        <v>BED0524</v>
      </c>
      <c r="W525" t="str">
        <f t="shared" ca="1" si="185"/>
        <v>Private</v>
      </c>
      <c r="X525" t="str">
        <f t="shared" si="186"/>
        <v>NUR024</v>
      </c>
      <c r="Y525" t="str">
        <f t="shared" ca="1" si="187"/>
        <v>Morning</v>
      </c>
      <c r="Z525" t="str">
        <f t="shared" ca="1" si="188"/>
        <v>X-Ray</v>
      </c>
      <c r="AA525" t="str">
        <f t="shared" ca="1" si="189"/>
        <v>Maintenance</v>
      </c>
      <c r="AB525" t="str">
        <f t="shared" ca="1" si="190"/>
        <v>Partially Paid</v>
      </c>
      <c r="AC525" t="str">
        <f t="shared" ca="1" si="191"/>
        <v>Insurance</v>
      </c>
      <c r="AD525" t="str">
        <f t="shared" ca="1" si="192"/>
        <v>No</v>
      </c>
      <c r="AE525" t="str">
        <f t="shared" ca="1" si="193"/>
        <v>No</v>
      </c>
      <c r="AF525" t="str">
        <f t="shared" ca="1" si="194"/>
        <v>Transferred</v>
      </c>
      <c r="AG525" t="str">
        <f t="shared" ca="1" si="195"/>
        <v>Southwest</v>
      </c>
      <c r="AH525" t="str">
        <f t="shared" si="178"/>
        <v>December</v>
      </c>
      <c r="AI525">
        <f t="shared" si="179"/>
        <v>2022</v>
      </c>
      <c r="AJ525" t="str">
        <f t="shared" ca="1" si="196"/>
        <v>Occupied</v>
      </c>
      <c r="AK525">
        <f t="shared" ca="1" si="197"/>
        <v>1</v>
      </c>
    </row>
    <row r="526" spans="1:37" x14ac:dyDescent="0.3">
      <c r="A526" t="s">
        <v>4955</v>
      </c>
      <c r="B526">
        <v>63</v>
      </c>
      <c r="C526" t="s">
        <v>32</v>
      </c>
      <c r="D526" t="s">
        <v>38</v>
      </c>
      <c r="E526" t="s">
        <v>48</v>
      </c>
      <c r="F526" s="1">
        <v>44075</v>
      </c>
      <c r="G526" t="s">
        <v>1091</v>
      </c>
      <c r="H526" t="s">
        <v>1092</v>
      </c>
      <c r="I526" t="s">
        <v>20</v>
      </c>
      <c r="J526">
        <v>9895</v>
      </c>
      <c r="K526">
        <v>403</v>
      </c>
      <c r="L526" t="s">
        <v>29</v>
      </c>
      <c r="M526" s="1">
        <v>44105</v>
      </c>
      <c r="N526" t="s">
        <v>30</v>
      </c>
      <c r="O526" t="s">
        <v>31</v>
      </c>
      <c r="P526" t="str">
        <f t="shared" si="180"/>
        <v>P0525</v>
      </c>
      <c r="Q526" t="str">
        <f t="shared" si="176"/>
        <v>Pulmonology</v>
      </c>
      <c r="R526">
        <f t="shared" si="177"/>
        <v>30</v>
      </c>
      <c r="S526" t="str">
        <f t="shared" ca="1" si="181"/>
        <v>No</v>
      </c>
      <c r="T526" t="str">
        <f t="shared" ca="1" si="182"/>
        <v>Mild</v>
      </c>
      <c r="U526" t="str">
        <f t="shared" ca="1" si="183"/>
        <v>ICU</v>
      </c>
      <c r="V526" t="str">
        <f t="shared" si="184"/>
        <v>BED0525</v>
      </c>
      <c r="W526" t="str">
        <f t="shared" ca="1" si="185"/>
        <v>General</v>
      </c>
      <c r="X526" t="str">
        <f t="shared" si="186"/>
        <v>NUR025</v>
      </c>
      <c r="Y526" t="str">
        <f t="shared" ca="1" si="187"/>
        <v>Morning</v>
      </c>
      <c r="Z526" t="str">
        <f t="shared" ca="1" si="188"/>
        <v>MRI Scanner</v>
      </c>
      <c r="AA526" t="str">
        <f t="shared" ca="1" si="189"/>
        <v>Available</v>
      </c>
      <c r="AB526" t="str">
        <f t="shared" ca="1" si="190"/>
        <v>Paid</v>
      </c>
      <c r="AC526" t="str">
        <f t="shared" ca="1" si="191"/>
        <v>Debit Card</v>
      </c>
      <c r="AD526" t="str">
        <f t="shared" ca="1" si="192"/>
        <v>No</v>
      </c>
      <c r="AE526" t="str">
        <f t="shared" ca="1" si="193"/>
        <v>No</v>
      </c>
      <c r="AF526" t="str">
        <f t="shared" ca="1" si="194"/>
        <v>Recovered</v>
      </c>
      <c r="AG526" t="str">
        <f t="shared" ca="1" si="195"/>
        <v>West Coast</v>
      </c>
      <c r="AH526" t="str">
        <f t="shared" si="178"/>
        <v>September</v>
      </c>
      <c r="AI526">
        <f t="shared" si="179"/>
        <v>2020</v>
      </c>
      <c r="AJ526" t="str">
        <f t="shared" ca="1" si="196"/>
        <v>Vacant</v>
      </c>
      <c r="AK526">
        <f t="shared" ca="1" si="197"/>
        <v>4</v>
      </c>
    </row>
    <row r="527" spans="1:37" x14ac:dyDescent="0.3">
      <c r="A527" t="s">
        <v>4956</v>
      </c>
      <c r="B527">
        <v>75</v>
      </c>
      <c r="C527" t="s">
        <v>32</v>
      </c>
      <c r="D527" t="s">
        <v>52</v>
      </c>
      <c r="E527" t="s">
        <v>17</v>
      </c>
      <c r="F527" s="1">
        <v>43787</v>
      </c>
      <c r="G527" t="s">
        <v>1093</v>
      </c>
      <c r="H527" t="s">
        <v>1094</v>
      </c>
      <c r="I527" t="s">
        <v>20</v>
      </c>
      <c r="J527">
        <v>29995</v>
      </c>
      <c r="K527">
        <v>433</v>
      </c>
      <c r="L527" t="s">
        <v>29</v>
      </c>
      <c r="M527" s="1">
        <v>43810</v>
      </c>
      <c r="N527" t="s">
        <v>22</v>
      </c>
      <c r="O527" t="s">
        <v>43</v>
      </c>
      <c r="P527" t="str">
        <f t="shared" si="180"/>
        <v>P0526</v>
      </c>
      <c r="Q527" t="str">
        <f t="shared" si="176"/>
        <v>Oncology</v>
      </c>
      <c r="R527">
        <f t="shared" si="177"/>
        <v>23</v>
      </c>
      <c r="S527" t="str">
        <f t="shared" ca="1" si="181"/>
        <v>No</v>
      </c>
      <c r="T527" t="str">
        <f t="shared" ca="1" si="182"/>
        <v>Moderate</v>
      </c>
      <c r="U527" t="str">
        <f t="shared" ca="1" si="183"/>
        <v>General Ward</v>
      </c>
      <c r="V527" t="str">
        <f t="shared" si="184"/>
        <v>BED0526</v>
      </c>
      <c r="W527" t="str">
        <f t="shared" ca="1" si="185"/>
        <v>General</v>
      </c>
      <c r="X527" t="str">
        <f t="shared" si="186"/>
        <v>NUR026</v>
      </c>
      <c r="Y527" t="str">
        <f t="shared" ca="1" si="187"/>
        <v>Evening</v>
      </c>
      <c r="Z527" t="str">
        <f t="shared" ca="1" si="188"/>
        <v>Ventilator</v>
      </c>
      <c r="AA527" t="str">
        <f t="shared" ca="1" si="189"/>
        <v>Available</v>
      </c>
      <c r="AB527" t="str">
        <f t="shared" ca="1" si="190"/>
        <v>Paid</v>
      </c>
      <c r="AC527" t="str">
        <f t="shared" ca="1" si="191"/>
        <v>Debit Card</v>
      </c>
      <c r="AD527" t="str">
        <f t="shared" ca="1" si="192"/>
        <v>No</v>
      </c>
      <c r="AE527" t="str">
        <f t="shared" ca="1" si="193"/>
        <v>No</v>
      </c>
      <c r="AF527" t="str">
        <f t="shared" ca="1" si="194"/>
        <v>Recovered</v>
      </c>
      <c r="AG527" t="str">
        <f t="shared" ca="1" si="195"/>
        <v>Midwest</v>
      </c>
      <c r="AH527" t="str">
        <f t="shared" si="178"/>
        <v>November</v>
      </c>
      <c r="AI527">
        <f t="shared" si="179"/>
        <v>2019</v>
      </c>
      <c r="AJ527" t="str">
        <f t="shared" ca="1" si="196"/>
        <v>Occupied</v>
      </c>
      <c r="AK527">
        <f t="shared" ca="1" si="197"/>
        <v>1</v>
      </c>
    </row>
    <row r="528" spans="1:37" x14ac:dyDescent="0.3">
      <c r="A528" t="s">
        <v>4957</v>
      </c>
      <c r="B528">
        <v>59</v>
      </c>
      <c r="C528" t="s">
        <v>32</v>
      </c>
      <c r="D528" t="s">
        <v>38</v>
      </c>
      <c r="E528" t="s">
        <v>76</v>
      </c>
      <c r="F528" s="1">
        <v>44795</v>
      </c>
      <c r="G528" t="s">
        <v>1095</v>
      </c>
      <c r="H528" t="s">
        <v>1096</v>
      </c>
      <c r="I528" t="s">
        <v>28</v>
      </c>
      <c r="J528">
        <v>7796</v>
      </c>
      <c r="K528">
        <v>144</v>
      </c>
      <c r="L528" t="s">
        <v>21</v>
      </c>
      <c r="M528" s="1">
        <v>44803</v>
      </c>
      <c r="N528" t="s">
        <v>30</v>
      </c>
      <c r="O528" t="s">
        <v>31</v>
      </c>
      <c r="P528" t="str">
        <f t="shared" si="180"/>
        <v>P0527</v>
      </c>
      <c r="Q528" t="str">
        <f t="shared" si="176"/>
        <v>Orthopedics</v>
      </c>
      <c r="R528">
        <f t="shared" si="177"/>
        <v>8</v>
      </c>
      <c r="S528" t="str">
        <f t="shared" ca="1" si="181"/>
        <v>No</v>
      </c>
      <c r="T528" t="str">
        <f t="shared" ca="1" si="182"/>
        <v>Critical</v>
      </c>
      <c r="U528" t="str">
        <f t="shared" ca="1" si="183"/>
        <v>General Ward</v>
      </c>
      <c r="V528" t="str">
        <f t="shared" si="184"/>
        <v>BED0527</v>
      </c>
      <c r="W528" t="str">
        <f t="shared" ca="1" si="185"/>
        <v>ICU</v>
      </c>
      <c r="X528" t="str">
        <f t="shared" si="186"/>
        <v>NUR027</v>
      </c>
      <c r="Y528" t="str">
        <f t="shared" ca="1" si="187"/>
        <v>Morning</v>
      </c>
      <c r="Z528" t="str">
        <f t="shared" ca="1" si="188"/>
        <v>Ultrasound</v>
      </c>
      <c r="AA528" t="str">
        <f t="shared" ca="1" si="189"/>
        <v>Maintenance</v>
      </c>
      <c r="AB528" t="str">
        <f t="shared" ca="1" si="190"/>
        <v>Paid</v>
      </c>
      <c r="AC528" t="str">
        <f t="shared" ca="1" si="191"/>
        <v>Debit Card</v>
      </c>
      <c r="AD528" t="str">
        <f t="shared" ca="1" si="192"/>
        <v>No</v>
      </c>
      <c r="AE528" t="str">
        <f t="shared" ca="1" si="193"/>
        <v>No</v>
      </c>
      <c r="AF528" t="str">
        <f t="shared" ca="1" si="194"/>
        <v>Transferred</v>
      </c>
      <c r="AG528" t="str">
        <f t="shared" ca="1" si="195"/>
        <v>Northeast</v>
      </c>
      <c r="AH528" t="str">
        <f t="shared" si="178"/>
        <v>August</v>
      </c>
      <c r="AI528">
        <f t="shared" si="179"/>
        <v>2022</v>
      </c>
      <c r="AJ528" t="str">
        <f t="shared" ca="1" si="196"/>
        <v>Occupied</v>
      </c>
      <c r="AK528">
        <f t="shared" ca="1" si="197"/>
        <v>2</v>
      </c>
    </row>
    <row r="529" spans="1:37" x14ac:dyDescent="0.3">
      <c r="A529" t="s">
        <v>4958</v>
      </c>
      <c r="B529">
        <v>27</v>
      </c>
      <c r="C529" t="s">
        <v>15</v>
      </c>
      <c r="D529" t="s">
        <v>24</v>
      </c>
      <c r="E529" t="s">
        <v>39</v>
      </c>
      <c r="F529" s="1">
        <v>44044</v>
      </c>
      <c r="G529" t="s">
        <v>1097</v>
      </c>
      <c r="H529" t="s">
        <v>1098</v>
      </c>
      <c r="I529" t="s">
        <v>20</v>
      </c>
      <c r="J529">
        <v>48965</v>
      </c>
      <c r="K529">
        <v>251</v>
      </c>
      <c r="L529" t="s">
        <v>29</v>
      </c>
      <c r="M529" s="1">
        <v>44069</v>
      </c>
      <c r="N529" t="s">
        <v>37</v>
      </c>
      <c r="O529" t="s">
        <v>43</v>
      </c>
      <c r="P529" t="str">
        <f t="shared" si="180"/>
        <v>P0528</v>
      </c>
      <c r="Q529" t="str">
        <f t="shared" si="176"/>
        <v>Endocrinology</v>
      </c>
      <c r="R529">
        <f t="shared" si="177"/>
        <v>25</v>
      </c>
      <c r="S529" t="str">
        <f t="shared" ca="1" si="181"/>
        <v>No</v>
      </c>
      <c r="T529" t="str">
        <f t="shared" ca="1" si="182"/>
        <v>Mild</v>
      </c>
      <c r="U529" t="str">
        <f t="shared" ca="1" si="183"/>
        <v>Private Ward</v>
      </c>
      <c r="V529" t="str">
        <f t="shared" si="184"/>
        <v>BED0528</v>
      </c>
      <c r="W529" t="str">
        <f t="shared" ca="1" si="185"/>
        <v>General</v>
      </c>
      <c r="X529" t="str">
        <f t="shared" si="186"/>
        <v>NUR028</v>
      </c>
      <c r="Y529" t="str">
        <f t="shared" ca="1" si="187"/>
        <v>Night</v>
      </c>
      <c r="Z529" t="str">
        <f t="shared" ca="1" si="188"/>
        <v>CT Scanner</v>
      </c>
      <c r="AA529" t="str">
        <f t="shared" ca="1" si="189"/>
        <v>Maintenance</v>
      </c>
      <c r="AB529" t="str">
        <f t="shared" ca="1" si="190"/>
        <v>Pending</v>
      </c>
      <c r="AC529" t="str">
        <f t="shared" ca="1" si="191"/>
        <v>Debit Card</v>
      </c>
      <c r="AD529" t="str">
        <f t="shared" ca="1" si="192"/>
        <v>Yes</v>
      </c>
      <c r="AE529" t="str">
        <f t="shared" ca="1" si="193"/>
        <v>No</v>
      </c>
      <c r="AF529" t="str">
        <f t="shared" ca="1" si="194"/>
        <v>Under Observation</v>
      </c>
      <c r="AG529" t="str">
        <f t="shared" ca="1" si="195"/>
        <v>Southeast</v>
      </c>
      <c r="AH529" t="str">
        <f t="shared" si="178"/>
        <v>August</v>
      </c>
      <c r="AI529">
        <f t="shared" si="179"/>
        <v>2020</v>
      </c>
      <c r="AJ529" t="str">
        <f t="shared" ca="1" si="196"/>
        <v>Occupied</v>
      </c>
      <c r="AK529">
        <f t="shared" ca="1" si="197"/>
        <v>2</v>
      </c>
    </row>
    <row r="530" spans="1:37" x14ac:dyDescent="0.3">
      <c r="A530" t="s">
        <v>4959</v>
      </c>
      <c r="B530">
        <v>77</v>
      </c>
      <c r="C530" t="s">
        <v>15</v>
      </c>
      <c r="D530" t="s">
        <v>24</v>
      </c>
      <c r="E530" t="s">
        <v>76</v>
      </c>
      <c r="F530" s="1">
        <v>45309</v>
      </c>
      <c r="G530" t="s">
        <v>1099</v>
      </c>
      <c r="H530" t="s">
        <v>1100</v>
      </c>
      <c r="I530" t="s">
        <v>36</v>
      </c>
      <c r="J530">
        <v>16128</v>
      </c>
      <c r="K530">
        <v>404</v>
      </c>
      <c r="L530" t="s">
        <v>29</v>
      </c>
      <c r="M530" s="1">
        <v>45337</v>
      </c>
      <c r="N530" t="s">
        <v>47</v>
      </c>
      <c r="O530" t="s">
        <v>31</v>
      </c>
      <c r="P530" t="str">
        <f t="shared" si="180"/>
        <v>P0529</v>
      </c>
      <c r="Q530" t="str">
        <f t="shared" si="176"/>
        <v>Orthopedics</v>
      </c>
      <c r="R530">
        <f t="shared" si="177"/>
        <v>28</v>
      </c>
      <c r="S530" t="str">
        <f t="shared" ca="1" si="181"/>
        <v>No</v>
      </c>
      <c r="T530" t="str">
        <f t="shared" ca="1" si="182"/>
        <v>Mild</v>
      </c>
      <c r="U530" t="str">
        <f t="shared" ca="1" si="183"/>
        <v>Private Ward</v>
      </c>
      <c r="V530" t="str">
        <f t="shared" si="184"/>
        <v>BED0529</v>
      </c>
      <c r="W530" t="str">
        <f t="shared" ca="1" si="185"/>
        <v>Private</v>
      </c>
      <c r="X530" t="str">
        <f t="shared" si="186"/>
        <v>NUR029</v>
      </c>
      <c r="Y530" t="str">
        <f t="shared" ca="1" si="187"/>
        <v>Morning</v>
      </c>
      <c r="Z530" t="str">
        <f t="shared" ca="1" si="188"/>
        <v>MRI Scanner</v>
      </c>
      <c r="AA530" t="str">
        <f t="shared" ca="1" si="189"/>
        <v>Maintenance</v>
      </c>
      <c r="AB530" t="str">
        <f t="shared" ca="1" si="190"/>
        <v>Partially Paid</v>
      </c>
      <c r="AC530" t="str">
        <f t="shared" ca="1" si="191"/>
        <v>Bank Transfer</v>
      </c>
      <c r="AD530" t="str">
        <f t="shared" ca="1" si="192"/>
        <v>Yes</v>
      </c>
      <c r="AE530" t="str">
        <f t="shared" ca="1" si="193"/>
        <v>No</v>
      </c>
      <c r="AF530" t="str">
        <f t="shared" ca="1" si="194"/>
        <v>Transferred</v>
      </c>
      <c r="AG530" t="str">
        <f t="shared" ca="1" si="195"/>
        <v>Southwest</v>
      </c>
      <c r="AH530" t="str">
        <f t="shared" si="178"/>
        <v>January</v>
      </c>
      <c r="AI530">
        <f t="shared" si="179"/>
        <v>2024</v>
      </c>
      <c r="AJ530" t="str">
        <f t="shared" ca="1" si="196"/>
        <v>Occupied</v>
      </c>
      <c r="AK530">
        <f t="shared" ca="1" si="197"/>
        <v>4</v>
      </c>
    </row>
    <row r="531" spans="1:37" x14ac:dyDescent="0.3">
      <c r="A531" t="s">
        <v>4960</v>
      </c>
      <c r="B531">
        <v>19</v>
      </c>
      <c r="C531" t="s">
        <v>32</v>
      </c>
      <c r="D531" t="s">
        <v>16</v>
      </c>
      <c r="E531" t="s">
        <v>48</v>
      </c>
      <c r="F531" s="1">
        <v>43907</v>
      </c>
      <c r="G531" t="s">
        <v>1101</v>
      </c>
      <c r="H531" t="s">
        <v>1102</v>
      </c>
      <c r="I531" t="s">
        <v>28</v>
      </c>
      <c r="J531">
        <v>16920</v>
      </c>
      <c r="K531">
        <v>206</v>
      </c>
      <c r="L531" t="s">
        <v>29</v>
      </c>
      <c r="M531" s="1">
        <v>43931</v>
      </c>
      <c r="N531" t="s">
        <v>67</v>
      </c>
      <c r="O531" t="s">
        <v>43</v>
      </c>
      <c r="P531" t="str">
        <f t="shared" si="180"/>
        <v>P0530</v>
      </c>
      <c r="Q531" t="str">
        <f t="shared" si="176"/>
        <v>Pulmonology</v>
      </c>
      <c r="R531">
        <f t="shared" si="177"/>
        <v>24</v>
      </c>
      <c r="S531" t="str">
        <f t="shared" ca="1" si="181"/>
        <v>No</v>
      </c>
      <c r="T531" t="str">
        <f t="shared" ca="1" si="182"/>
        <v>Moderate</v>
      </c>
      <c r="U531" t="str">
        <f t="shared" ca="1" si="183"/>
        <v>Semi-Private</v>
      </c>
      <c r="V531" t="str">
        <f t="shared" si="184"/>
        <v>BED0530</v>
      </c>
      <c r="W531" t="str">
        <f t="shared" ca="1" si="185"/>
        <v>Semi-Private</v>
      </c>
      <c r="X531" t="str">
        <f t="shared" si="186"/>
        <v>NUR030</v>
      </c>
      <c r="Y531" t="str">
        <f t="shared" ca="1" si="187"/>
        <v>Morning</v>
      </c>
      <c r="Z531" t="str">
        <f t="shared" ca="1" si="188"/>
        <v>Ventilator</v>
      </c>
      <c r="AA531" t="str">
        <f t="shared" ca="1" si="189"/>
        <v>In Use</v>
      </c>
      <c r="AB531" t="str">
        <f t="shared" ca="1" si="190"/>
        <v>Pending</v>
      </c>
      <c r="AC531" t="str">
        <f t="shared" ca="1" si="191"/>
        <v>Cash</v>
      </c>
      <c r="AD531" t="str">
        <f t="shared" ca="1" si="192"/>
        <v>No</v>
      </c>
      <c r="AE531" t="str">
        <f t="shared" ca="1" si="193"/>
        <v>No</v>
      </c>
      <c r="AF531" t="str">
        <f t="shared" ca="1" si="194"/>
        <v>Transferred</v>
      </c>
      <c r="AG531" t="str">
        <f t="shared" ca="1" si="195"/>
        <v>Southeast</v>
      </c>
      <c r="AH531" t="str">
        <f t="shared" si="178"/>
        <v>March</v>
      </c>
      <c r="AI531">
        <f t="shared" si="179"/>
        <v>2020</v>
      </c>
      <c r="AJ531" t="str">
        <f t="shared" ca="1" si="196"/>
        <v>Occupied</v>
      </c>
      <c r="AK531">
        <f t="shared" ca="1" si="197"/>
        <v>2</v>
      </c>
    </row>
    <row r="532" spans="1:37" x14ac:dyDescent="0.3">
      <c r="A532" t="s">
        <v>4961</v>
      </c>
      <c r="B532">
        <v>58</v>
      </c>
      <c r="C532" t="s">
        <v>15</v>
      </c>
      <c r="D532" t="s">
        <v>44</v>
      </c>
      <c r="E532" t="s">
        <v>76</v>
      </c>
      <c r="F532" s="1">
        <v>44788</v>
      </c>
      <c r="G532" t="s">
        <v>1103</v>
      </c>
      <c r="H532" t="s">
        <v>1104</v>
      </c>
      <c r="I532" t="s">
        <v>36</v>
      </c>
      <c r="J532">
        <v>49862</v>
      </c>
      <c r="K532">
        <v>207</v>
      </c>
      <c r="L532" t="s">
        <v>29</v>
      </c>
      <c r="M532" s="1">
        <v>44805</v>
      </c>
      <c r="N532" t="s">
        <v>30</v>
      </c>
      <c r="O532" t="s">
        <v>43</v>
      </c>
      <c r="P532" t="str">
        <f t="shared" si="180"/>
        <v>P0531</v>
      </c>
      <c r="Q532" t="str">
        <f t="shared" si="176"/>
        <v>Orthopedics</v>
      </c>
      <c r="R532">
        <f t="shared" si="177"/>
        <v>17</v>
      </c>
      <c r="S532" t="str">
        <f t="shared" ca="1" si="181"/>
        <v>No</v>
      </c>
      <c r="T532" t="str">
        <f t="shared" ca="1" si="182"/>
        <v>Moderate</v>
      </c>
      <c r="U532" t="str">
        <f t="shared" ca="1" si="183"/>
        <v>Emergency</v>
      </c>
      <c r="V532" t="str">
        <f t="shared" si="184"/>
        <v>BED0531</v>
      </c>
      <c r="W532" t="str">
        <f t="shared" ca="1" si="185"/>
        <v>Semi-Private</v>
      </c>
      <c r="X532" t="str">
        <f t="shared" si="186"/>
        <v>NUR031</v>
      </c>
      <c r="Y532" t="str">
        <f t="shared" ca="1" si="187"/>
        <v>Morning</v>
      </c>
      <c r="Z532" t="str">
        <f t="shared" ca="1" si="188"/>
        <v>Ultrasound</v>
      </c>
      <c r="AA532" t="str">
        <f t="shared" ca="1" si="189"/>
        <v>Available</v>
      </c>
      <c r="AB532" t="str">
        <f t="shared" ca="1" si="190"/>
        <v>Pending</v>
      </c>
      <c r="AC532" t="str">
        <f t="shared" ca="1" si="191"/>
        <v>Debit Card</v>
      </c>
      <c r="AD532" t="str">
        <f t="shared" ca="1" si="192"/>
        <v>No</v>
      </c>
      <c r="AE532" t="str">
        <f t="shared" ca="1" si="193"/>
        <v>No</v>
      </c>
      <c r="AF532" t="str">
        <f t="shared" ca="1" si="194"/>
        <v>Recovered</v>
      </c>
      <c r="AG532" t="str">
        <f t="shared" ca="1" si="195"/>
        <v>Midwest</v>
      </c>
      <c r="AH532" t="str">
        <f t="shared" si="178"/>
        <v>August</v>
      </c>
      <c r="AI532">
        <f t="shared" si="179"/>
        <v>2022</v>
      </c>
      <c r="AJ532" t="str">
        <f t="shared" ca="1" si="196"/>
        <v>Occupied</v>
      </c>
      <c r="AK532">
        <f t="shared" ca="1" si="197"/>
        <v>4</v>
      </c>
    </row>
    <row r="533" spans="1:37" x14ac:dyDescent="0.3">
      <c r="A533" t="s">
        <v>4962</v>
      </c>
      <c r="B533">
        <v>57</v>
      </c>
      <c r="C533" t="s">
        <v>15</v>
      </c>
      <c r="D533" t="s">
        <v>44</v>
      </c>
      <c r="E533" t="s">
        <v>17</v>
      </c>
      <c r="F533" s="1">
        <v>45061</v>
      </c>
      <c r="G533" t="s">
        <v>1105</v>
      </c>
      <c r="H533" t="s">
        <v>1106</v>
      </c>
      <c r="I533" t="s">
        <v>20</v>
      </c>
      <c r="J533">
        <v>36287</v>
      </c>
      <c r="K533">
        <v>263</v>
      </c>
      <c r="L533" t="s">
        <v>42</v>
      </c>
      <c r="M533" s="1">
        <v>45065</v>
      </c>
      <c r="N533" t="s">
        <v>67</v>
      </c>
      <c r="O533" t="s">
        <v>31</v>
      </c>
      <c r="P533" t="str">
        <f t="shared" si="180"/>
        <v>P0532</v>
      </c>
      <c r="Q533" t="str">
        <f t="shared" si="176"/>
        <v>Oncology</v>
      </c>
      <c r="R533">
        <f t="shared" si="177"/>
        <v>4</v>
      </c>
      <c r="S533" t="str">
        <f t="shared" ca="1" si="181"/>
        <v>Yes</v>
      </c>
      <c r="T533" t="str">
        <f t="shared" ca="1" si="182"/>
        <v>Mild</v>
      </c>
      <c r="U533" t="str">
        <f t="shared" ca="1" si="183"/>
        <v>Private Ward</v>
      </c>
      <c r="V533" t="str">
        <f t="shared" si="184"/>
        <v>BED0532</v>
      </c>
      <c r="W533" t="str">
        <f t="shared" ca="1" si="185"/>
        <v>ICU</v>
      </c>
      <c r="X533" t="str">
        <f t="shared" si="186"/>
        <v>NUR032</v>
      </c>
      <c r="Y533" t="str">
        <f t="shared" ca="1" si="187"/>
        <v>Morning</v>
      </c>
      <c r="Z533" t="str">
        <f t="shared" ca="1" si="188"/>
        <v>ECG Machine</v>
      </c>
      <c r="AA533" t="str">
        <f t="shared" ca="1" si="189"/>
        <v>Available</v>
      </c>
      <c r="AB533" t="str">
        <f t="shared" ca="1" si="190"/>
        <v>Paid</v>
      </c>
      <c r="AC533" t="str">
        <f t="shared" ca="1" si="191"/>
        <v>Insurance</v>
      </c>
      <c r="AD533" t="str">
        <f t="shared" ca="1" si="192"/>
        <v>No</v>
      </c>
      <c r="AE533" t="str">
        <f t="shared" ca="1" si="193"/>
        <v>No</v>
      </c>
      <c r="AF533" t="str">
        <f t="shared" ca="1" si="194"/>
        <v>Transferred</v>
      </c>
      <c r="AG533" t="str">
        <f t="shared" ca="1" si="195"/>
        <v>Northeast</v>
      </c>
      <c r="AH533" t="str">
        <f t="shared" si="178"/>
        <v>May</v>
      </c>
      <c r="AI533">
        <f t="shared" si="179"/>
        <v>2023</v>
      </c>
      <c r="AJ533" t="str">
        <f t="shared" ca="1" si="196"/>
        <v>Occupied</v>
      </c>
      <c r="AK533">
        <f t="shared" ca="1" si="197"/>
        <v>4</v>
      </c>
    </row>
    <row r="534" spans="1:37" x14ac:dyDescent="0.3">
      <c r="A534" t="s">
        <v>4574</v>
      </c>
      <c r="B534">
        <v>59</v>
      </c>
      <c r="C534" t="s">
        <v>15</v>
      </c>
      <c r="D534" t="s">
        <v>24</v>
      </c>
      <c r="E534" t="s">
        <v>64</v>
      </c>
      <c r="F534" s="1">
        <v>43643</v>
      </c>
      <c r="G534" t="s">
        <v>1107</v>
      </c>
      <c r="H534" t="s">
        <v>1108</v>
      </c>
      <c r="I534" t="s">
        <v>28</v>
      </c>
      <c r="J534">
        <v>48035</v>
      </c>
      <c r="K534">
        <v>414</v>
      </c>
      <c r="L534" t="s">
        <v>21</v>
      </c>
      <c r="M534" s="1">
        <v>43665</v>
      </c>
      <c r="N534" t="s">
        <v>30</v>
      </c>
      <c r="O534" t="s">
        <v>43</v>
      </c>
      <c r="P534" t="str">
        <f t="shared" si="180"/>
        <v>P0533</v>
      </c>
      <c r="Q534" t="str">
        <f t="shared" si="176"/>
        <v>Cardiology</v>
      </c>
      <c r="R534">
        <f t="shared" si="177"/>
        <v>22</v>
      </c>
      <c r="S534" t="str">
        <f t="shared" ca="1" si="181"/>
        <v>No</v>
      </c>
      <c r="T534" t="str">
        <f t="shared" ca="1" si="182"/>
        <v>Severe</v>
      </c>
      <c r="U534" t="str">
        <f t="shared" ca="1" si="183"/>
        <v>Private Ward</v>
      </c>
      <c r="V534" t="str">
        <f t="shared" si="184"/>
        <v>BED0533</v>
      </c>
      <c r="W534" t="str">
        <f t="shared" ca="1" si="185"/>
        <v>ICU</v>
      </c>
      <c r="X534" t="str">
        <f t="shared" si="186"/>
        <v>NUR033</v>
      </c>
      <c r="Y534" t="str">
        <f t="shared" ca="1" si="187"/>
        <v>Night</v>
      </c>
      <c r="Z534" t="str">
        <f t="shared" ca="1" si="188"/>
        <v>X-Ray</v>
      </c>
      <c r="AA534" t="str">
        <f t="shared" ca="1" si="189"/>
        <v>Maintenance</v>
      </c>
      <c r="AB534" t="str">
        <f t="shared" ca="1" si="190"/>
        <v>Partially Paid</v>
      </c>
      <c r="AC534" t="str">
        <f t="shared" ca="1" si="191"/>
        <v>Cash</v>
      </c>
      <c r="AD534" t="str">
        <f t="shared" ca="1" si="192"/>
        <v>No</v>
      </c>
      <c r="AE534" t="str">
        <f t="shared" ca="1" si="193"/>
        <v>No</v>
      </c>
      <c r="AF534" t="str">
        <f t="shared" ca="1" si="194"/>
        <v>Recovered</v>
      </c>
      <c r="AG534" t="str">
        <f t="shared" ca="1" si="195"/>
        <v>Southeast</v>
      </c>
      <c r="AH534" t="str">
        <f t="shared" si="178"/>
        <v>June</v>
      </c>
      <c r="AI534">
        <f t="shared" si="179"/>
        <v>2019</v>
      </c>
      <c r="AJ534" t="str">
        <f t="shared" ca="1" si="196"/>
        <v>Occupied</v>
      </c>
      <c r="AK534">
        <f t="shared" ca="1" si="197"/>
        <v>4</v>
      </c>
    </row>
    <row r="535" spans="1:37" x14ac:dyDescent="0.3">
      <c r="A535" t="s">
        <v>4963</v>
      </c>
      <c r="B535">
        <v>62</v>
      </c>
      <c r="C535" t="s">
        <v>15</v>
      </c>
      <c r="D535" t="s">
        <v>83</v>
      </c>
      <c r="E535" t="s">
        <v>64</v>
      </c>
      <c r="F535" s="1">
        <v>45228</v>
      </c>
      <c r="G535" t="s">
        <v>1109</v>
      </c>
      <c r="H535" t="s">
        <v>1110</v>
      </c>
      <c r="I535" t="s">
        <v>36</v>
      </c>
      <c r="J535">
        <v>22031</v>
      </c>
      <c r="K535">
        <v>132</v>
      </c>
      <c r="L535" t="s">
        <v>21</v>
      </c>
      <c r="M535" s="1">
        <v>45244</v>
      </c>
      <c r="N535" t="s">
        <v>67</v>
      </c>
      <c r="O535" t="s">
        <v>23</v>
      </c>
      <c r="P535" t="str">
        <f t="shared" si="180"/>
        <v>P0534</v>
      </c>
      <c r="Q535" t="str">
        <f t="shared" si="176"/>
        <v>Cardiology</v>
      </c>
      <c r="R535">
        <f t="shared" si="177"/>
        <v>16</v>
      </c>
      <c r="S535" t="str">
        <f t="shared" ca="1" si="181"/>
        <v>No</v>
      </c>
      <c r="T535" t="str">
        <f t="shared" ca="1" si="182"/>
        <v>Critical</v>
      </c>
      <c r="U535" t="str">
        <f t="shared" ca="1" si="183"/>
        <v>General Ward</v>
      </c>
      <c r="V535" t="str">
        <f t="shared" si="184"/>
        <v>BED0534</v>
      </c>
      <c r="W535" t="str">
        <f t="shared" ca="1" si="185"/>
        <v>Private</v>
      </c>
      <c r="X535" t="str">
        <f t="shared" si="186"/>
        <v>NUR034</v>
      </c>
      <c r="Y535" t="str">
        <f t="shared" ca="1" si="187"/>
        <v>Evening</v>
      </c>
      <c r="Z535" t="str">
        <f t="shared" ca="1" si="188"/>
        <v>ECG Machine</v>
      </c>
      <c r="AA535" t="str">
        <f t="shared" ca="1" si="189"/>
        <v>In Use</v>
      </c>
      <c r="AB535" t="str">
        <f t="shared" ca="1" si="190"/>
        <v>Paid</v>
      </c>
      <c r="AC535" t="str">
        <f t="shared" ca="1" si="191"/>
        <v>Debit Card</v>
      </c>
      <c r="AD535" t="str">
        <f t="shared" ca="1" si="192"/>
        <v>No</v>
      </c>
      <c r="AE535" t="str">
        <f t="shared" ca="1" si="193"/>
        <v>Yes</v>
      </c>
      <c r="AF535" t="str">
        <f t="shared" ca="1" si="194"/>
        <v>Recovered</v>
      </c>
      <c r="AG535" t="str">
        <f t="shared" ca="1" si="195"/>
        <v>Southeast</v>
      </c>
      <c r="AH535" t="str">
        <f t="shared" si="178"/>
        <v>October</v>
      </c>
      <c r="AI535">
        <f t="shared" si="179"/>
        <v>2023</v>
      </c>
      <c r="AJ535" t="str">
        <f t="shared" ca="1" si="196"/>
        <v>Vacant</v>
      </c>
      <c r="AK535">
        <f t="shared" ca="1" si="197"/>
        <v>1</v>
      </c>
    </row>
    <row r="536" spans="1:37" x14ac:dyDescent="0.3">
      <c r="A536" t="s">
        <v>4964</v>
      </c>
      <c r="B536">
        <v>71</v>
      </c>
      <c r="C536" t="s">
        <v>15</v>
      </c>
      <c r="D536" t="s">
        <v>52</v>
      </c>
      <c r="E536" t="s">
        <v>39</v>
      </c>
      <c r="F536" s="1">
        <v>45300</v>
      </c>
      <c r="G536" t="s">
        <v>1111</v>
      </c>
      <c r="H536" t="s">
        <v>1112</v>
      </c>
      <c r="I536" t="s">
        <v>51</v>
      </c>
      <c r="J536">
        <v>45666</v>
      </c>
      <c r="K536">
        <v>387</v>
      </c>
      <c r="L536" t="s">
        <v>42</v>
      </c>
      <c r="M536" s="1">
        <v>45311</v>
      </c>
      <c r="N536" t="s">
        <v>47</v>
      </c>
      <c r="O536" t="s">
        <v>31</v>
      </c>
      <c r="P536" t="str">
        <f t="shared" si="180"/>
        <v>P0535</v>
      </c>
      <c r="Q536" t="str">
        <f t="shared" si="176"/>
        <v>Endocrinology</v>
      </c>
      <c r="R536">
        <f t="shared" si="177"/>
        <v>11</v>
      </c>
      <c r="S536" t="str">
        <f t="shared" ca="1" si="181"/>
        <v>No</v>
      </c>
      <c r="T536" t="str">
        <f t="shared" ca="1" si="182"/>
        <v>Critical</v>
      </c>
      <c r="U536" t="str">
        <f t="shared" ca="1" si="183"/>
        <v>ICU</v>
      </c>
      <c r="V536" t="str">
        <f t="shared" si="184"/>
        <v>BED0535</v>
      </c>
      <c r="W536" t="str">
        <f t="shared" ca="1" si="185"/>
        <v>General</v>
      </c>
      <c r="X536" t="str">
        <f t="shared" si="186"/>
        <v>NUR035</v>
      </c>
      <c r="Y536" t="str">
        <f t="shared" ca="1" si="187"/>
        <v>Night</v>
      </c>
      <c r="Z536" t="str">
        <f t="shared" ca="1" si="188"/>
        <v>MRI Scanner</v>
      </c>
      <c r="AA536" t="str">
        <f t="shared" ca="1" si="189"/>
        <v>Maintenance</v>
      </c>
      <c r="AB536" t="str">
        <f t="shared" ca="1" si="190"/>
        <v>Paid</v>
      </c>
      <c r="AC536" t="str">
        <f t="shared" ca="1" si="191"/>
        <v>Credit Card</v>
      </c>
      <c r="AD536" t="str">
        <f t="shared" ca="1" si="192"/>
        <v>No</v>
      </c>
      <c r="AE536" t="str">
        <f t="shared" ca="1" si="193"/>
        <v>Yes</v>
      </c>
      <c r="AF536" t="str">
        <f t="shared" ca="1" si="194"/>
        <v>Recovered</v>
      </c>
      <c r="AG536" t="str">
        <f t="shared" ca="1" si="195"/>
        <v>Midwest</v>
      </c>
      <c r="AH536" t="str">
        <f t="shared" si="178"/>
        <v>January</v>
      </c>
      <c r="AI536">
        <f t="shared" si="179"/>
        <v>2024</v>
      </c>
      <c r="AJ536" t="str">
        <f t="shared" ca="1" si="196"/>
        <v>Occupied</v>
      </c>
      <c r="AK536">
        <f t="shared" ca="1" si="197"/>
        <v>2</v>
      </c>
    </row>
    <row r="537" spans="1:37" x14ac:dyDescent="0.3">
      <c r="A537" t="s">
        <v>4965</v>
      </c>
      <c r="B537">
        <v>35</v>
      </c>
      <c r="C537" t="s">
        <v>32</v>
      </c>
      <c r="D537" t="s">
        <v>83</v>
      </c>
      <c r="E537" t="s">
        <v>17</v>
      </c>
      <c r="F537" s="1">
        <v>44066</v>
      </c>
      <c r="G537" t="s">
        <v>1113</v>
      </c>
      <c r="H537" t="s">
        <v>1114</v>
      </c>
      <c r="I537" t="s">
        <v>36</v>
      </c>
      <c r="J537">
        <v>4416</v>
      </c>
      <c r="K537">
        <v>180</v>
      </c>
      <c r="L537" t="s">
        <v>29</v>
      </c>
      <c r="M537" s="1">
        <v>44072</v>
      </c>
      <c r="N537" t="s">
        <v>67</v>
      </c>
      <c r="O537" t="s">
        <v>31</v>
      </c>
      <c r="P537" t="str">
        <f t="shared" si="180"/>
        <v>P0536</v>
      </c>
      <c r="Q537" t="str">
        <f t="shared" si="176"/>
        <v>Oncology</v>
      </c>
      <c r="R537">
        <f t="shared" si="177"/>
        <v>6</v>
      </c>
      <c r="S537" t="str">
        <f t="shared" ca="1" si="181"/>
        <v>No</v>
      </c>
      <c r="T537" t="str">
        <f t="shared" ca="1" si="182"/>
        <v>Critical</v>
      </c>
      <c r="U537" t="str">
        <f t="shared" ca="1" si="183"/>
        <v>Emergency</v>
      </c>
      <c r="V537" t="str">
        <f t="shared" si="184"/>
        <v>BED0536</v>
      </c>
      <c r="W537" t="str">
        <f t="shared" ca="1" si="185"/>
        <v>Private</v>
      </c>
      <c r="X537" t="str">
        <f t="shared" si="186"/>
        <v>NUR036</v>
      </c>
      <c r="Y537" t="str">
        <f t="shared" ca="1" si="187"/>
        <v>Night</v>
      </c>
      <c r="Z537" t="str">
        <f t="shared" ca="1" si="188"/>
        <v>Ventilator</v>
      </c>
      <c r="AA537" t="str">
        <f t="shared" ca="1" si="189"/>
        <v>Maintenance</v>
      </c>
      <c r="AB537" t="str">
        <f t="shared" ca="1" si="190"/>
        <v>Pending</v>
      </c>
      <c r="AC537" t="str">
        <f t="shared" ca="1" si="191"/>
        <v>Insurance</v>
      </c>
      <c r="AD537" t="str">
        <f t="shared" ca="1" si="192"/>
        <v>Yes</v>
      </c>
      <c r="AE537" t="str">
        <f t="shared" ca="1" si="193"/>
        <v>No</v>
      </c>
      <c r="AF537" t="str">
        <f t="shared" ca="1" si="194"/>
        <v>Under Observation</v>
      </c>
      <c r="AG537" t="str">
        <f t="shared" ca="1" si="195"/>
        <v>West Coast</v>
      </c>
      <c r="AH537" t="str">
        <f t="shared" si="178"/>
        <v>August</v>
      </c>
      <c r="AI537">
        <f t="shared" si="179"/>
        <v>2020</v>
      </c>
      <c r="AJ537" t="str">
        <f t="shared" ca="1" si="196"/>
        <v>Vacant</v>
      </c>
      <c r="AK537">
        <f t="shared" ca="1" si="197"/>
        <v>4</v>
      </c>
    </row>
    <row r="538" spans="1:37" x14ac:dyDescent="0.3">
      <c r="A538" t="s">
        <v>4966</v>
      </c>
      <c r="B538">
        <v>34</v>
      </c>
      <c r="C538" t="s">
        <v>15</v>
      </c>
      <c r="D538" t="s">
        <v>44</v>
      </c>
      <c r="E538" t="s">
        <v>48</v>
      </c>
      <c r="F538" s="1">
        <v>43837</v>
      </c>
      <c r="G538" t="s">
        <v>1115</v>
      </c>
      <c r="H538" t="s">
        <v>1116</v>
      </c>
      <c r="I538" t="s">
        <v>20</v>
      </c>
      <c r="J538">
        <v>41122</v>
      </c>
      <c r="K538">
        <v>440</v>
      </c>
      <c r="L538" t="s">
        <v>21</v>
      </c>
      <c r="M538" s="1">
        <v>43842</v>
      </c>
      <c r="N538" t="s">
        <v>22</v>
      </c>
      <c r="O538" t="s">
        <v>23</v>
      </c>
      <c r="P538" t="str">
        <f t="shared" si="180"/>
        <v>P0537</v>
      </c>
      <c r="Q538" t="str">
        <f t="shared" si="176"/>
        <v>Pulmonology</v>
      </c>
      <c r="R538">
        <f t="shared" si="177"/>
        <v>5</v>
      </c>
      <c r="S538" t="str">
        <f t="shared" ca="1" si="181"/>
        <v>No</v>
      </c>
      <c r="T538" t="str">
        <f t="shared" ca="1" si="182"/>
        <v>Moderate</v>
      </c>
      <c r="U538" t="str">
        <f t="shared" ca="1" si="183"/>
        <v>ICU</v>
      </c>
      <c r="V538" t="str">
        <f t="shared" si="184"/>
        <v>BED0537</v>
      </c>
      <c r="W538" t="str">
        <f t="shared" ca="1" si="185"/>
        <v>ICU</v>
      </c>
      <c r="X538" t="str">
        <f t="shared" si="186"/>
        <v>NUR037</v>
      </c>
      <c r="Y538" t="str">
        <f t="shared" ca="1" si="187"/>
        <v>Morning</v>
      </c>
      <c r="Z538" t="str">
        <f t="shared" ca="1" si="188"/>
        <v>Ultrasound</v>
      </c>
      <c r="AA538" t="str">
        <f t="shared" ca="1" si="189"/>
        <v>In Use</v>
      </c>
      <c r="AB538" t="str">
        <f t="shared" ca="1" si="190"/>
        <v>Pending</v>
      </c>
      <c r="AC538" t="str">
        <f t="shared" ca="1" si="191"/>
        <v>Cash</v>
      </c>
      <c r="AD538" t="str">
        <f t="shared" ca="1" si="192"/>
        <v>No</v>
      </c>
      <c r="AE538" t="str">
        <f t="shared" ca="1" si="193"/>
        <v>No</v>
      </c>
      <c r="AF538" t="str">
        <f t="shared" ca="1" si="194"/>
        <v>Transferred</v>
      </c>
      <c r="AG538" t="str">
        <f t="shared" ca="1" si="195"/>
        <v>Midwest</v>
      </c>
      <c r="AH538" t="str">
        <f t="shared" si="178"/>
        <v>January</v>
      </c>
      <c r="AI538">
        <f t="shared" si="179"/>
        <v>2020</v>
      </c>
      <c r="AJ538" t="str">
        <f t="shared" ca="1" si="196"/>
        <v>Occupied</v>
      </c>
      <c r="AK538">
        <f t="shared" ca="1" si="197"/>
        <v>2</v>
      </c>
    </row>
    <row r="539" spans="1:37" x14ac:dyDescent="0.3">
      <c r="A539" t="s">
        <v>4967</v>
      </c>
      <c r="B539">
        <v>84</v>
      </c>
      <c r="C539" t="s">
        <v>32</v>
      </c>
      <c r="D539" t="s">
        <v>98</v>
      </c>
      <c r="E539" t="s">
        <v>76</v>
      </c>
      <c r="F539" s="1">
        <v>43763</v>
      </c>
      <c r="G539" t="s">
        <v>1117</v>
      </c>
      <c r="H539" t="s">
        <v>1118</v>
      </c>
      <c r="I539" t="s">
        <v>57</v>
      </c>
      <c r="J539">
        <v>28402</v>
      </c>
      <c r="K539">
        <v>377</v>
      </c>
      <c r="L539" t="s">
        <v>42</v>
      </c>
      <c r="M539" s="1">
        <v>43784</v>
      </c>
      <c r="N539" t="s">
        <v>30</v>
      </c>
      <c r="O539" t="s">
        <v>31</v>
      </c>
      <c r="P539" t="str">
        <f t="shared" si="180"/>
        <v>P0538</v>
      </c>
      <c r="Q539" t="str">
        <f t="shared" si="176"/>
        <v>Orthopedics</v>
      </c>
      <c r="R539">
        <f t="shared" si="177"/>
        <v>21</v>
      </c>
      <c r="S539" t="str">
        <f t="shared" ca="1" si="181"/>
        <v>Yes</v>
      </c>
      <c r="T539" t="str">
        <f t="shared" ca="1" si="182"/>
        <v>Moderate</v>
      </c>
      <c r="U539" t="str">
        <f t="shared" ca="1" si="183"/>
        <v>Emergency</v>
      </c>
      <c r="V539" t="str">
        <f t="shared" si="184"/>
        <v>BED0538</v>
      </c>
      <c r="W539" t="str">
        <f t="shared" ca="1" si="185"/>
        <v>Semi-Private</v>
      </c>
      <c r="X539" t="str">
        <f t="shared" si="186"/>
        <v>NUR038</v>
      </c>
      <c r="Y539" t="str">
        <f t="shared" ca="1" si="187"/>
        <v>Evening</v>
      </c>
      <c r="Z539" t="str">
        <f t="shared" ca="1" si="188"/>
        <v>X-Ray</v>
      </c>
      <c r="AA539" t="str">
        <f t="shared" ca="1" si="189"/>
        <v>Available</v>
      </c>
      <c r="AB539" t="str">
        <f t="shared" ca="1" si="190"/>
        <v>Partially Paid</v>
      </c>
      <c r="AC539" t="str">
        <f t="shared" ca="1" si="191"/>
        <v>Debit Card</v>
      </c>
      <c r="AD539" t="str">
        <f t="shared" ca="1" si="192"/>
        <v>Yes</v>
      </c>
      <c r="AE539" t="str">
        <f t="shared" ca="1" si="193"/>
        <v>No</v>
      </c>
      <c r="AF539" t="str">
        <f t="shared" ca="1" si="194"/>
        <v>Recovered</v>
      </c>
      <c r="AG539" t="str">
        <f t="shared" ca="1" si="195"/>
        <v>Southwest</v>
      </c>
      <c r="AH539" t="str">
        <f t="shared" si="178"/>
        <v>October</v>
      </c>
      <c r="AI539">
        <f t="shared" si="179"/>
        <v>2019</v>
      </c>
      <c r="AJ539" t="str">
        <f t="shared" ca="1" si="196"/>
        <v>Occupied</v>
      </c>
      <c r="AK539">
        <f t="shared" ca="1" si="197"/>
        <v>2</v>
      </c>
    </row>
    <row r="540" spans="1:37" x14ac:dyDescent="0.3">
      <c r="A540" t="s">
        <v>4968</v>
      </c>
      <c r="B540">
        <v>77</v>
      </c>
      <c r="C540" t="s">
        <v>32</v>
      </c>
      <c r="D540" t="s">
        <v>44</v>
      </c>
      <c r="E540" t="s">
        <v>39</v>
      </c>
      <c r="F540" s="1">
        <v>45189</v>
      </c>
      <c r="G540" t="s">
        <v>1119</v>
      </c>
      <c r="H540" t="s">
        <v>1120</v>
      </c>
      <c r="I540" t="s">
        <v>51</v>
      </c>
      <c r="J540">
        <v>28229</v>
      </c>
      <c r="K540">
        <v>277</v>
      </c>
      <c r="L540" t="s">
        <v>21</v>
      </c>
      <c r="M540" s="1">
        <v>45207</v>
      </c>
      <c r="N540" t="s">
        <v>22</v>
      </c>
      <c r="O540" t="s">
        <v>31</v>
      </c>
      <c r="P540" t="str">
        <f t="shared" si="180"/>
        <v>P0539</v>
      </c>
      <c r="Q540" t="str">
        <f t="shared" si="176"/>
        <v>Endocrinology</v>
      </c>
      <c r="R540">
        <f t="shared" si="177"/>
        <v>18</v>
      </c>
      <c r="S540" t="str">
        <f t="shared" ca="1" si="181"/>
        <v>No</v>
      </c>
      <c r="T540" t="str">
        <f t="shared" ca="1" si="182"/>
        <v>Mild</v>
      </c>
      <c r="U540" t="str">
        <f t="shared" ca="1" si="183"/>
        <v>Semi-Private</v>
      </c>
      <c r="V540" t="str">
        <f t="shared" si="184"/>
        <v>BED0539</v>
      </c>
      <c r="W540" t="str">
        <f t="shared" ca="1" si="185"/>
        <v>Private</v>
      </c>
      <c r="X540" t="str">
        <f t="shared" si="186"/>
        <v>NUR039</v>
      </c>
      <c r="Y540" t="str">
        <f t="shared" ca="1" si="187"/>
        <v>Morning</v>
      </c>
      <c r="Z540" t="str">
        <f t="shared" ca="1" si="188"/>
        <v>ECG Machine</v>
      </c>
      <c r="AA540" t="str">
        <f t="shared" ca="1" si="189"/>
        <v>In Use</v>
      </c>
      <c r="AB540" t="str">
        <f t="shared" ca="1" si="190"/>
        <v>Pending</v>
      </c>
      <c r="AC540" t="str">
        <f t="shared" ca="1" si="191"/>
        <v>Bank Transfer</v>
      </c>
      <c r="AD540" t="str">
        <f t="shared" ca="1" si="192"/>
        <v>No</v>
      </c>
      <c r="AE540" t="str">
        <f t="shared" ca="1" si="193"/>
        <v>Yes</v>
      </c>
      <c r="AF540" t="str">
        <f t="shared" ca="1" si="194"/>
        <v>Transferred</v>
      </c>
      <c r="AG540" t="str">
        <f t="shared" ca="1" si="195"/>
        <v>Midwest</v>
      </c>
      <c r="AH540" t="str">
        <f t="shared" si="178"/>
        <v>September</v>
      </c>
      <c r="AI540">
        <f t="shared" si="179"/>
        <v>2023</v>
      </c>
      <c r="AJ540" t="str">
        <f t="shared" ca="1" si="196"/>
        <v>Occupied</v>
      </c>
      <c r="AK540">
        <f t="shared" ca="1" si="197"/>
        <v>1</v>
      </c>
    </row>
    <row r="541" spans="1:37" x14ac:dyDescent="0.3">
      <c r="A541" t="s">
        <v>4969</v>
      </c>
      <c r="B541">
        <v>85</v>
      </c>
      <c r="C541" t="s">
        <v>15</v>
      </c>
      <c r="D541" t="s">
        <v>83</v>
      </c>
      <c r="E541" t="s">
        <v>76</v>
      </c>
      <c r="F541" s="1">
        <v>43842</v>
      </c>
      <c r="G541" t="s">
        <v>1121</v>
      </c>
      <c r="H541" t="s">
        <v>1122</v>
      </c>
      <c r="I541" t="s">
        <v>51</v>
      </c>
      <c r="J541">
        <v>2106</v>
      </c>
      <c r="K541">
        <v>375</v>
      </c>
      <c r="L541" t="s">
        <v>21</v>
      </c>
      <c r="M541" s="1">
        <v>43853</v>
      </c>
      <c r="N541" t="s">
        <v>47</v>
      </c>
      <c r="O541" t="s">
        <v>31</v>
      </c>
      <c r="P541" t="str">
        <f t="shared" si="180"/>
        <v>P0540</v>
      </c>
      <c r="Q541" t="str">
        <f t="shared" si="176"/>
        <v>Orthopedics</v>
      </c>
      <c r="R541">
        <f t="shared" si="177"/>
        <v>11</v>
      </c>
      <c r="S541" t="str">
        <f t="shared" ca="1" si="181"/>
        <v>No</v>
      </c>
      <c r="T541" t="str">
        <f t="shared" ca="1" si="182"/>
        <v>Critical</v>
      </c>
      <c r="U541" t="str">
        <f t="shared" ca="1" si="183"/>
        <v>Emergency</v>
      </c>
      <c r="V541" t="str">
        <f t="shared" si="184"/>
        <v>BED0540</v>
      </c>
      <c r="W541" t="str">
        <f t="shared" ca="1" si="185"/>
        <v>ICU</v>
      </c>
      <c r="X541" t="str">
        <f t="shared" si="186"/>
        <v>NUR040</v>
      </c>
      <c r="Y541" t="str">
        <f t="shared" ca="1" si="187"/>
        <v>Evening</v>
      </c>
      <c r="Z541" t="str">
        <f t="shared" ca="1" si="188"/>
        <v>Ultrasound</v>
      </c>
      <c r="AA541" t="str">
        <f t="shared" ca="1" si="189"/>
        <v>Maintenance</v>
      </c>
      <c r="AB541" t="str">
        <f t="shared" ca="1" si="190"/>
        <v>Partially Paid</v>
      </c>
      <c r="AC541" t="str">
        <f t="shared" ca="1" si="191"/>
        <v>Credit Card</v>
      </c>
      <c r="AD541" t="str">
        <f t="shared" ca="1" si="192"/>
        <v>No</v>
      </c>
      <c r="AE541" t="str">
        <f t="shared" ca="1" si="193"/>
        <v>Yes</v>
      </c>
      <c r="AF541" t="str">
        <f t="shared" ca="1" si="194"/>
        <v>Recovered</v>
      </c>
      <c r="AG541" t="str">
        <f t="shared" ca="1" si="195"/>
        <v>Northeast</v>
      </c>
      <c r="AH541" t="str">
        <f t="shared" si="178"/>
        <v>January</v>
      </c>
      <c r="AI541">
        <f t="shared" si="179"/>
        <v>2020</v>
      </c>
      <c r="AJ541" t="str">
        <f t="shared" ca="1" si="196"/>
        <v>Occupied</v>
      </c>
      <c r="AK541">
        <f t="shared" ca="1" si="197"/>
        <v>2</v>
      </c>
    </row>
    <row r="542" spans="1:37" x14ac:dyDescent="0.3">
      <c r="A542" t="s">
        <v>4970</v>
      </c>
      <c r="B542">
        <v>34</v>
      </c>
      <c r="C542" t="s">
        <v>32</v>
      </c>
      <c r="D542" t="s">
        <v>83</v>
      </c>
      <c r="E542" t="s">
        <v>48</v>
      </c>
      <c r="F542" s="1">
        <v>43620</v>
      </c>
      <c r="G542" t="s">
        <v>1123</v>
      </c>
      <c r="H542" t="s">
        <v>1124</v>
      </c>
      <c r="I542" t="s">
        <v>20</v>
      </c>
      <c r="J542">
        <v>47399</v>
      </c>
      <c r="K542">
        <v>431</v>
      </c>
      <c r="L542" t="s">
        <v>21</v>
      </c>
      <c r="M542" s="1">
        <v>43623</v>
      </c>
      <c r="N542" t="s">
        <v>30</v>
      </c>
      <c r="O542" t="s">
        <v>23</v>
      </c>
      <c r="P542" t="str">
        <f t="shared" si="180"/>
        <v>P0541</v>
      </c>
      <c r="Q542" t="str">
        <f t="shared" si="176"/>
        <v>Pulmonology</v>
      </c>
      <c r="R542">
        <f t="shared" si="177"/>
        <v>3</v>
      </c>
      <c r="S542" t="str">
        <f t="shared" ca="1" si="181"/>
        <v>No</v>
      </c>
      <c r="T542" t="str">
        <f t="shared" ca="1" si="182"/>
        <v>Moderate</v>
      </c>
      <c r="U542" t="str">
        <f t="shared" ca="1" si="183"/>
        <v>Semi-Private</v>
      </c>
      <c r="V542" t="str">
        <f t="shared" si="184"/>
        <v>BED0541</v>
      </c>
      <c r="W542" t="str">
        <f t="shared" ca="1" si="185"/>
        <v>General</v>
      </c>
      <c r="X542" t="str">
        <f t="shared" si="186"/>
        <v>NUR041</v>
      </c>
      <c r="Y542" t="str">
        <f t="shared" ca="1" si="187"/>
        <v>Night</v>
      </c>
      <c r="Z542" t="str">
        <f t="shared" ca="1" si="188"/>
        <v>X-Ray</v>
      </c>
      <c r="AA542" t="str">
        <f t="shared" ca="1" si="189"/>
        <v>Available</v>
      </c>
      <c r="AB542" t="str">
        <f t="shared" ca="1" si="190"/>
        <v>Paid</v>
      </c>
      <c r="AC542" t="str">
        <f t="shared" ca="1" si="191"/>
        <v>Bank Transfer</v>
      </c>
      <c r="AD542" t="str">
        <f t="shared" ca="1" si="192"/>
        <v>No</v>
      </c>
      <c r="AE542" t="str">
        <f t="shared" ca="1" si="193"/>
        <v>Yes</v>
      </c>
      <c r="AF542" t="str">
        <f t="shared" ca="1" si="194"/>
        <v>Under Observation</v>
      </c>
      <c r="AG542" t="str">
        <f t="shared" ca="1" si="195"/>
        <v>Southwest</v>
      </c>
      <c r="AH542" t="str">
        <f t="shared" si="178"/>
        <v>June</v>
      </c>
      <c r="AI542">
        <f t="shared" si="179"/>
        <v>2019</v>
      </c>
      <c r="AJ542" t="str">
        <f t="shared" ca="1" si="196"/>
        <v>Occupied</v>
      </c>
      <c r="AK542">
        <f t="shared" ca="1" si="197"/>
        <v>2</v>
      </c>
    </row>
    <row r="543" spans="1:37" x14ac:dyDescent="0.3">
      <c r="A543" t="s">
        <v>4971</v>
      </c>
      <c r="B543">
        <v>72</v>
      </c>
      <c r="C543" t="s">
        <v>32</v>
      </c>
      <c r="D543" t="s">
        <v>52</v>
      </c>
      <c r="E543" t="s">
        <v>48</v>
      </c>
      <c r="F543" s="1">
        <v>44544</v>
      </c>
      <c r="G543" t="s">
        <v>1125</v>
      </c>
      <c r="H543" t="s">
        <v>1126</v>
      </c>
      <c r="I543" t="s">
        <v>36</v>
      </c>
      <c r="J543">
        <v>47455</v>
      </c>
      <c r="K543">
        <v>293</v>
      </c>
      <c r="L543" t="s">
        <v>29</v>
      </c>
      <c r="M543" s="1">
        <v>44554</v>
      </c>
      <c r="N543" t="s">
        <v>37</v>
      </c>
      <c r="O543" t="s">
        <v>43</v>
      </c>
      <c r="P543" t="str">
        <f t="shared" si="180"/>
        <v>P0542</v>
      </c>
      <c r="Q543" t="str">
        <f t="shared" si="176"/>
        <v>Pulmonology</v>
      </c>
      <c r="R543">
        <f t="shared" si="177"/>
        <v>10</v>
      </c>
      <c r="S543" t="str">
        <f t="shared" ca="1" si="181"/>
        <v>No</v>
      </c>
      <c r="T543" t="str">
        <f t="shared" ca="1" si="182"/>
        <v>Moderate</v>
      </c>
      <c r="U543" t="str">
        <f t="shared" ca="1" si="183"/>
        <v>Private Ward</v>
      </c>
      <c r="V543" t="str">
        <f t="shared" si="184"/>
        <v>BED0542</v>
      </c>
      <c r="W543" t="str">
        <f t="shared" ca="1" si="185"/>
        <v>Semi-Private</v>
      </c>
      <c r="X543" t="str">
        <f t="shared" si="186"/>
        <v>NUR042</v>
      </c>
      <c r="Y543" t="str">
        <f t="shared" ca="1" si="187"/>
        <v>Evening</v>
      </c>
      <c r="Z543" t="str">
        <f t="shared" ca="1" si="188"/>
        <v>ECG Machine</v>
      </c>
      <c r="AA543" t="str">
        <f t="shared" ca="1" si="189"/>
        <v>Maintenance</v>
      </c>
      <c r="AB543" t="str">
        <f t="shared" ca="1" si="190"/>
        <v>Paid</v>
      </c>
      <c r="AC543" t="str">
        <f t="shared" ca="1" si="191"/>
        <v>Insurance</v>
      </c>
      <c r="AD543" t="str">
        <f t="shared" ca="1" si="192"/>
        <v>No</v>
      </c>
      <c r="AE543" t="str">
        <f t="shared" ca="1" si="193"/>
        <v>No</v>
      </c>
      <c r="AF543" t="str">
        <f t="shared" ca="1" si="194"/>
        <v>Recovered</v>
      </c>
      <c r="AG543" t="str">
        <f t="shared" ca="1" si="195"/>
        <v>Northeast</v>
      </c>
      <c r="AH543" t="str">
        <f t="shared" si="178"/>
        <v>December</v>
      </c>
      <c r="AI543">
        <f t="shared" si="179"/>
        <v>2021</v>
      </c>
      <c r="AJ543" t="str">
        <f t="shared" ca="1" si="196"/>
        <v>Occupied</v>
      </c>
      <c r="AK543">
        <f t="shared" ca="1" si="197"/>
        <v>2</v>
      </c>
    </row>
    <row r="544" spans="1:37" x14ac:dyDescent="0.3">
      <c r="A544" t="s">
        <v>4972</v>
      </c>
      <c r="B544">
        <v>33</v>
      </c>
      <c r="C544" t="s">
        <v>32</v>
      </c>
      <c r="D544" t="s">
        <v>33</v>
      </c>
      <c r="E544" t="s">
        <v>39</v>
      </c>
      <c r="F544" s="1">
        <v>45076</v>
      </c>
      <c r="G544" t="s">
        <v>1127</v>
      </c>
      <c r="H544" t="s">
        <v>1128</v>
      </c>
      <c r="I544" t="s">
        <v>57</v>
      </c>
      <c r="J544">
        <v>22258</v>
      </c>
      <c r="K544">
        <v>243</v>
      </c>
      <c r="L544" t="s">
        <v>21</v>
      </c>
      <c r="M544" s="1">
        <v>45078</v>
      </c>
      <c r="N544" t="s">
        <v>30</v>
      </c>
      <c r="O544" t="s">
        <v>43</v>
      </c>
      <c r="P544" t="str">
        <f t="shared" si="180"/>
        <v>P0543</v>
      </c>
      <c r="Q544" t="str">
        <f t="shared" si="176"/>
        <v>Endocrinology</v>
      </c>
      <c r="R544">
        <f t="shared" si="177"/>
        <v>2</v>
      </c>
      <c r="S544" t="str">
        <f t="shared" ca="1" si="181"/>
        <v>No</v>
      </c>
      <c r="T544" t="str">
        <f t="shared" ca="1" si="182"/>
        <v>Severe</v>
      </c>
      <c r="U544" t="str">
        <f t="shared" ca="1" si="183"/>
        <v>Semi-Private</v>
      </c>
      <c r="V544" t="str">
        <f t="shared" si="184"/>
        <v>BED0543</v>
      </c>
      <c r="W544" t="str">
        <f t="shared" ca="1" si="185"/>
        <v>Private</v>
      </c>
      <c r="X544" t="str">
        <f t="shared" si="186"/>
        <v>NUR043</v>
      </c>
      <c r="Y544" t="str">
        <f t="shared" ca="1" si="187"/>
        <v>Morning</v>
      </c>
      <c r="Z544" t="str">
        <f t="shared" ca="1" si="188"/>
        <v>ECG Machine</v>
      </c>
      <c r="AA544" t="str">
        <f t="shared" ca="1" si="189"/>
        <v>In Use</v>
      </c>
      <c r="AB544" t="str">
        <f t="shared" ca="1" si="190"/>
        <v>Partially Paid</v>
      </c>
      <c r="AC544" t="str">
        <f t="shared" ca="1" si="191"/>
        <v>Debit Card</v>
      </c>
      <c r="AD544" t="str">
        <f t="shared" ca="1" si="192"/>
        <v>Yes</v>
      </c>
      <c r="AE544" t="str">
        <f t="shared" ca="1" si="193"/>
        <v>No</v>
      </c>
      <c r="AF544" t="str">
        <f t="shared" ca="1" si="194"/>
        <v>Transferred</v>
      </c>
      <c r="AG544" t="str">
        <f t="shared" ca="1" si="195"/>
        <v>Southwest</v>
      </c>
      <c r="AH544" t="str">
        <f t="shared" si="178"/>
        <v>May</v>
      </c>
      <c r="AI544">
        <f t="shared" si="179"/>
        <v>2023</v>
      </c>
      <c r="AJ544" t="str">
        <f t="shared" ca="1" si="196"/>
        <v>Vacant</v>
      </c>
      <c r="AK544">
        <f t="shared" ca="1" si="197"/>
        <v>4</v>
      </c>
    </row>
    <row r="545" spans="1:37" x14ac:dyDescent="0.3">
      <c r="A545" t="s">
        <v>4973</v>
      </c>
      <c r="B545">
        <v>80</v>
      </c>
      <c r="C545" t="s">
        <v>32</v>
      </c>
      <c r="D545" t="s">
        <v>52</v>
      </c>
      <c r="E545" t="s">
        <v>76</v>
      </c>
      <c r="F545" s="1">
        <v>43703</v>
      </c>
      <c r="G545" t="s">
        <v>1129</v>
      </c>
      <c r="H545" t="s">
        <v>1130</v>
      </c>
      <c r="I545" t="s">
        <v>20</v>
      </c>
      <c r="J545">
        <v>30324</v>
      </c>
      <c r="K545">
        <v>159</v>
      </c>
      <c r="L545" t="s">
        <v>21</v>
      </c>
      <c r="M545" s="1">
        <v>43723</v>
      </c>
      <c r="N545" t="s">
        <v>47</v>
      </c>
      <c r="O545" t="s">
        <v>43</v>
      </c>
      <c r="P545" t="str">
        <f t="shared" si="180"/>
        <v>P0544</v>
      </c>
      <c r="Q545" t="str">
        <f t="shared" si="176"/>
        <v>Orthopedics</v>
      </c>
      <c r="R545">
        <f t="shared" si="177"/>
        <v>20</v>
      </c>
      <c r="S545" t="str">
        <f t="shared" ca="1" si="181"/>
        <v>No</v>
      </c>
      <c r="T545" t="str">
        <f t="shared" ca="1" si="182"/>
        <v>Moderate</v>
      </c>
      <c r="U545" t="str">
        <f t="shared" ca="1" si="183"/>
        <v>Semi-Private</v>
      </c>
      <c r="V545" t="str">
        <f t="shared" si="184"/>
        <v>BED0544</v>
      </c>
      <c r="W545" t="str">
        <f t="shared" ca="1" si="185"/>
        <v>General</v>
      </c>
      <c r="X545" t="str">
        <f t="shared" si="186"/>
        <v>NUR044</v>
      </c>
      <c r="Y545" t="str">
        <f t="shared" ca="1" si="187"/>
        <v>Evening</v>
      </c>
      <c r="Z545" t="str">
        <f t="shared" ca="1" si="188"/>
        <v>CT Scanner</v>
      </c>
      <c r="AA545" t="str">
        <f t="shared" ca="1" si="189"/>
        <v>In Use</v>
      </c>
      <c r="AB545" t="str">
        <f t="shared" ca="1" si="190"/>
        <v>Partially Paid</v>
      </c>
      <c r="AC545" t="str">
        <f t="shared" ca="1" si="191"/>
        <v>Debit Card</v>
      </c>
      <c r="AD545" t="str">
        <f t="shared" ca="1" si="192"/>
        <v>No</v>
      </c>
      <c r="AE545" t="str">
        <f t="shared" ca="1" si="193"/>
        <v>No</v>
      </c>
      <c r="AF545" t="str">
        <f t="shared" ca="1" si="194"/>
        <v>Recovered</v>
      </c>
      <c r="AG545" t="str">
        <f t="shared" ca="1" si="195"/>
        <v>Northeast</v>
      </c>
      <c r="AH545" t="str">
        <f t="shared" si="178"/>
        <v>August</v>
      </c>
      <c r="AI545">
        <f t="shared" si="179"/>
        <v>2019</v>
      </c>
      <c r="AJ545" t="str">
        <f t="shared" ca="1" si="196"/>
        <v>Occupied</v>
      </c>
      <c r="AK545">
        <f t="shared" ca="1" si="197"/>
        <v>2</v>
      </c>
    </row>
    <row r="546" spans="1:37" x14ac:dyDescent="0.3">
      <c r="A546" t="s">
        <v>4974</v>
      </c>
      <c r="B546">
        <v>24</v>
      </c>
      <c r="C546" t="s">
        <v>32</v>
      </c>
      <c r="D546" t="s">
        <v>98</v>
      </c>
      <c r="E546" t="s">
        <v>76</v>
      </c>
      <c r="F546" s="1">
        <v>43785</v>
      </c>
      <c r="G546" t="s">
        <v>1131</v>
      </c>
      <c r="H546" t="s">
        <v>1132</v>
      </c>
      <c r="I546" t="s">
        <v>28</v>
      </c>
      <c r="J546">
        <v>10054</v>
      </c>
      <c r="K546">
        <v>371</v>
      </c>
      <c r="L546" t="s">
        <v>29</v>
      </c>
      <c r="M546" s="1">
        <v>43801</v>
      </c>
      <c r="N546" t="s">
        <v>37</v>
      </c>
      <c r="O546" t="s">
        <v>43</v>
      </c>
      <c r="P546" t="str">
        <f t="shared" si="180"/>
        <v>P0545</v>
      </c>
      <c r="Q546" t="str">
        <f t="shared" si="176"/>
        <v>Orthopedics</v>
      </c>
      <c r="R546">
        <f t="shared" si="177"/>
        <v>16</v>
      </c>
      <c r="S546" t="str">
        <f t="shared" ca="1" si="181"/>
        <v>No</v>
      </c>
      <c r="T546" t="str">
        <f t="shared" ca="1" si="182"/>
        <v>Critical</v>
      </c>
      <c r="U546" t="str">
        <f t="shared" ca="1" si="183"/>
        <v>Emergency</v>
      </c>
      <c r="V546" t="str">
        <f t="shared" si="184"/>
        <v>BED0545</v>
      </c>
      <c r="W546" t="str">
        <f t="shared" ca="1" si="185"/>
        <v>Private</v>
      </c>
      <c r="X546" t="str">
        <f t="shared" si="186"/>
        <v>NUR045</v>
      </c>
      <c r="Y546" t="str">
        <f t="shared" ca="1" si="187"/>
        <v>Night</v>
      </c>
      <c r="Z546" t="str">
        <f t="shared" ca="1" si="188"/>
        <v>CT Scanner</v>
      </c>
      <c r="AA546" t="str">
        <f t="shared" ca="1" si="189"/>
        <v>Maintenance</v>
      </c>
      <c r="AB546" t="str">
        <f t="shared" ca="1" si="190"/>
        <v>Partially Paid</v>
      </c>
      <c r="AC546" t="str">
        <f t="shared" ca="1" si="191"/>
        <v>Cash</v>
      </c>
      <c r="AD546" t="str">
        <f t="shared" ca="1" si="192"/>
        <v>No</v>
      </c>
      <c r="AE546" t="str">
        <f t="shared" ca="1" si="193"/>
        <v>No</v>
      </c>
      <c r="AF546" t="str">
        <f t="shared" ca="1" si="194"/>
        <v>Recovered</v>
      </c>
      <c r="AG546" t="str">
        <f t="shared" ca="1" si="195"/>
        <v>West Coast</v>
      </c>
      <c r="AH546" t="str">
        <f t="shared" si="178"/>
        <v>November</v>
      </c>
      <c r="AI546">
        <f t="shared" si="179"/>
        <v>2019</v>
      </c>
      <c r="AJ546" t="str">
        <f t="shared" ca="1" si="196"/>
        <v>Occupied</v>
      </c>
      <c r="AK546">
        <f t="shared" ca="1" si="197"/>
        <v>2</v>
      </c>
    </row>
    <row r="547" spans="1:37" x14ac:dyDescent="0.3">
      <c r="A547" t="s">
        <v>4975</v>
      </c>
      <c r="B547">
        <v>44</v>
      </c>
      <c r="C547" t="s">
        <v>32</v>
      </c>
      <c r="D547" t="s">
        <v>33</v>
      </c>
      <c r="E547" t="s">
        <v>76</v>
      </c>
      <c r="F547" s="1">
        <v>44674</v>
      </c>
      <c r="G547" t="s">
        <v>1133</v>
      </c>
      <c r="H547" t="s">
        <v>1134</v>
      </c>
      <c r="I547" t="s">
        <v>28</v>
      </c>
      <c r="J547">
        <v>9823</v>
      </c>
      <c r="K547">
        <v>304</v>
      </c>
      <c r="L547" t="s">
        <v>42</v>
      </c>
      <c r="M547" s="1">
        <v>44700</v>
      </c>
      <c r="N547" t="s">
        <v>67</v>
      </c>
      <c r="O547" t="s">
        <v>23</v>
      </c>
      <c r="P547" t="str">
        <f t="shared" si="180"/>
        <v>P0546</v>
      </c>
      <c r="Q547" t="str">
        <f t="shared" si="176"/>
        <v>Orthopedics</v>
      </c>
      <c r="R547">
        <f t="shared" si="177"/>
        <v>26</v>
      </c>
      <c r="S547" t="str">
        <f t="shared" ca="1" si="181"/>
        <v>No</v>
      </c>
      <c r="T547" t="str">
        <f t="shared" ca="1" si="182"/>
        <v>Mild</v>
      </c>
      <c r="U547" t="str">
        <f t="shared" ca="1" si="183"/>
        <v>Private Ward</v>
      </c>
      <c r="V547" t="str">
        <f t="shared" si="184"/>
        <v>BED0546</v>
      </c>
      <c r="W547" t="str">
        <f t="shared" ca="1" si="185"/>
        <v>General</v>
      </c>
      <c r="X547" t="str">
        <f t="shared" si="186"/>
        <v>NUR046</v>
      </c>
      <c r="Y547" t="str">
        <f t="shared" ca="1" si="187"/>
        <v>Night</v>
      </c>
      <c r="Z547" t="str">
        <f t="shared" ca="1" si="188"/>
        <v>Ventilator</v>
      </c>
      <c r="AA547" t="str">
        <f t="shared" ca="1" si="189"/>
        <v>Available</v>
      </c>
      <c r="AB547" t="str">
        <f t="shared" ca="1" si="190"/>
        <v>Paid</v>
      </c>
      <c r="AC547" t="str">
        <f t="shared" ca="1" si="191"/>
        <v>Cash</v>
      </c>
      <c r="AD547" t="str">
        <f t="shared" ca="1" si="192"/>
        <v>No</v>
      </c>
      <c r="AE547" t="str">
        <f t="shared" ca="1" si="193"/>
        <v>Yes</v>
      </c>
      <c r="AF547" t="str">
        <f t="shared" ca="1" si="194"/>
        <v>Recovered</v>
      </c>
      <c r="AG547" t="str">
        <f t="shared" ca="1" si="195"/>
        <v>Southeast</v>
      </c>
      <c r="AH547" t="str">
        <f t="shared" si="178"/>
        <v>April</v>
      </c>
      <c r="AI547">
        <f t="shared" si="179"/>
        <v>2022</v>
      </c>
      <c r="AJ547" t="str">
        <f t="shared" ca="1" si="196"/>
        <v>Occupied</v>
      </c>
      <c r="AK547">
        <f t="shared" ca="1" si="197"/>
        <v>2</v>
      </c>
    </row>
    <row r="548" spans="1:37" x14ac:dyDescent="0.3">
      <c r="A548" t="s">
        <v>4976</v>
      </c>
      <c r="B548">
        <v>32</v>
      </c>
      <c r="C548" t="s">
        <v>32</v>
      </c>
      <c r="D548" t="s">
        <v>83</v>
      </c>
      <c r="E548" t="s">
        <v>48</v>
      </c>
      <c r="F548" s="1">
        <v>43881</v>
      </c>
      <c r="G548" t="s">
        <v>1135</v>
      </c>
      <c r="H548" t="s">
        <v>1136</v>
      </c>
      <c r="I548" t="s">
        <v>28</v>
      </c>
      <c r="J548">
        <v>17863</v>
      </c>
      <c r="K548">
        <v>482</v>
      </c>
      <c r="L548" t="s">
        <v>42</v>
      </c>
      <c r="M548" s="1">
        <v>43882</v>
      </c>
      <c r="N548" t="s">
        <v>22</v>
      </c>
      <c r="O548" t="s">
        <v>31</v>
      </c>
      <c r="P548" t="str">
        <f t="shared" si="180"/>
        <v>P0547</v>
      </c>
      <c r="Q548" t="str">
        <f t="shared" si="176"/>
        <v>Pulmonology</v>
      </c>
      <c r="R548">
        <f t="shared" si="177"/>
        <v>1</v>
      </c>
      <c r="S548" t="str">
        <f t="shared" ca="1" si="181"/>
        <v>No</v>
      </c>
      <c r="T548" t="str">
        <f t="shared" ca="1" si="182"/>
        <v>Moderate</v>
      </c>
      <c r="U548" t="str">
        <f t="shared" ca="1" si="183"/>
        <v>Semi-Private</v>
      </c>
      <c r="V548" t="str">
        <f t="shared" si="184"/>
        <v>BED0547</v>
      </c>
      <c r="W548" t="str">
        <f t="shared" ca="1" si="185"/>
        <v>General</v>
      </c>
      <c r="X548" t="str">
        <f t="shared" si="186"/>
        <v>NUR047</v>
      </c>
      <c r="Y548" t="str">
        <f t="shared" ca="1" si="187"/>
        <v>Morning</v>
      </c>
      <c r="Z548" t="str">
        <f t="shared" ca="1" si="188"/>
        <v>X-Ray</v>
      </c>
      <c r="AA548" t="str">
        <f t="shared" ca="1" si="189"/>
        <v>Available</v>
      </c>
      <c r="AB548" t="str">
        <f t="shared" ca="1" si="190"/>
        <v>Paid</v>
      </c>
      <c r="AC548" t="str">
        <f t="shared" ca="1" si="191"/>
        <v>Insurance</v>
      </c>
      <c r="AD548" t="str">
        <f t="shared" ca="1" si="192"/>
        <v>No</v>
      </c>
      <c r="AE548" t="str">
        <f t="shared" ca="1" si="193"/>
        <v>No</v>
      </c>
      <c r="AF548" t="str">
        <f t="shared" ca="1" si="194"/>
        <v>Recovered</v>
      </c>
      <c r="AG548" t="str">
        <f t="shared" ca="1" si="195"/>
        <v>Midwest</v>
      </c>
      <c r="AH548" t="str">
        <f t="shared" si="178"/>
        <v>February</v>
      </c>
      <c r="AI548">
        <f t="shared" si="179"/>
        <v>2020</v>
      </c>
      <c r="AJ548" t="str">
        <f t="shared" ca="1" si="196"/>
        <v>Vacant</v>
      </c>
      <c r="AK548">
        <f t="shared" ca="1" si="197"/>
        <v>4</v>
      </c>
    </row>
    <row r="549" spans="1:37" x14ac:dyDescent="0.3">
      <c r="A549" t="s">
        <v>4977</v>
      </c>
      <c r="B549">
        <v>83</v>
      </c>
      <c r="C549" t="s">
        <v>15</v>
      </c>
      <c r="D549" t="s">
        <v>83</v>
      </c>
      <c r="E549" t="s">
        <v>25</v>
      </c>
      <c r="F549" s="1">
        <v>44853</v>
      </c>
      <c r="G549" t="s">
        <v>1137</v>
      </c>
      <c r="H549" t="s">
        <v>1138</v>
      </c>
      <c r="I549" t="s">
        <v>20</v>
      </c>
      <c r="J549">
        <v>17856</v>
      </c>
      <c r="K549">
        <v>349</v>
      </c>
      <c r="L549" t="s">
        <v>29</v>
      </c>
      <c r="M549" s="1">
        <v>44875</v>
      </c>
      <c r="N549" t="s">
        <v>30</v>
      </c>
      <c r="O549" t="s">
        <v>31</v>
      </c>
      <c r="P549" t="str">
        <f t="shared" si="180"/>
        <v>P0548</v>
      </c>
      <c r="Q549" t="str">
        <f t="shared" si="176"/>
        <v>Nutrition</v>
      </c>
      <c r="R549">
        <f t="shared" si="177"/>
        <v>22</v>
      </c>
      <c r="S549" t="str">
        <f t="shared" ca="1" si="181"/>
        <v>No</v>
      </c>
      <c r="T549" t="str">
        <f t="shared" ca="1" si="182"/>
        <v>Severe</v>
      </c>
      <c r="U549" t="str">
        <f t="shared" ca="1" si="183"/>
        <v>General Ward</v>
      </c>
      <c r="V549" t="str">
        <f t="shared" si="184"/>
        <v>BED0548</v>
      </c>
      <c r="W549" t="str">
        <f t="shared" ca="1" si="185"/>
        <v>Semi-Private</v>
      </c>
      <c r="X549" t="str">
        <f t="shared" si="186"/>
        <v>NUR048</v>
      </c>
      <c r="Y549" t="str">
        <f t="shared" ca="1" si="187"/>
        <v>Morning</v>
      </c>
      <c r="Z549" t="str">
        <f t="shared" ca="1" si="188"/>
        <v>X-Ray</v>
      </c>
      <c r="AA549" t="str">
        <f t="shared" ca="1" si="189"/>
        <v>In Use</v>
      </c>
      <c r="AB549" t="str">
        <f t="shared" ca="1" si="190"/>
        <v>Partially Paid</v>
      </c>
      <c r="AC549" t="str">
        <f t="shared" ca="1" si="191"/>
        <v>Cash</v>
      </c>
      <c r="AD549" t="str">
        <f t="shared" ca="1" si="192"/>
        <v>No</v>
      </c>
      <c r="AE549" t="str">
        <f t="shared" ca="1" si="193"/>
        <v>No</v>
      </c>
      <c r="AF549" t="str">
        <f t="shared" ca="1" si="194"/>
        <v>Recovered</v>
      </c>
      <c r="AG549" t="str">
        <f t="shared" ca="1" si="195"/>
        <v>Southwest</v>
      </c>
      <c r="AH549" t="str">
        <f t="shared" si="178"/>
        <v>October</v>
      </c>
      <c r="AI549">
        <f t="shared" si="179"/>
        <v>2022</v>
      </c>
      <c r="AJ549" t="str">
        <f t="shared" ca="1" si="196"/>
        <v>Occupied</v>
      </c>
      <c r="AK549">
        <f t="shared" ca="1" si="197"/>
        <v>4</v>
      </c>
    </row>
    <row r="550" spans="1:37" x14ac:dyDescent="0.3">
      <c r="A550" t="s">
        <v>4978</v>
      </c>
      <c r="B550">
        <v>80</v>
      </c>
      <c r="C550" t="s">
        <v>15</v>
      </c>
      <c r="D550" t="s">
        <v>98</v>
      </c>
      <c r="E550" t="s">
        <v>76</v>
      </c>
      <c r="F550" s="1">
        <v>44597</v>
      </c>
      <c r="G550" t="s">
        <v>1139</v>
      </c>
      <c r="H550" t="s">
        <v>1140</v>
      </c>
      <c r="I550" t="s">
        <v>57</v>
      </c>
      <c r="J550">
        <v>40178</v>
      </c>
      <c r="K550">
        <v>396</v>
      </c>
      <c r="L550" t="s">
        <v>42</v>
      </c>
      <c r="M550" s="1">
        <v>44610</v>
      </c>
      <c r="N550" t="s">
        <v>47</v>
      </c>
      <c r="O550" t="s">
        <v>31</v>
      </c>
      <c r="P550" t="str">
        <f t="shared" si="180"/>
        <v>P0549</v>
      </c>
      <c r="Q550" t="str">
        <f t="shared" si="176"/>
        <v>Orthopedics</v>
      </c>
      <c r="R550">
        <f t="shared" si="177"/>
        <v>13</v>
      </c>
      <c r="S550" t="str">
        <f t="shared" ca="1" si="181"/>
        <v>No</v>
      </c>
      <c r="T550" t="str">
        <f t="shared" ca="1" si="182"/>
        <v>Mild</v>
      </c>
      <c r="U550" t="str">
        <f t="shared" ca="1" si="183"/>
        <v>Emergency</v>
      </c>
      <c r="V550" t="str">
        <f t="shared" si="184"/>
        <v>BED0549</v>
      </c>
      <c r="W550" t="str">
        <f t="shared" ca="1" si="185"/>
        <v>Private</v>
      </c>
      <c r="X550" t="str">
        <f t="shared" si="186"/>
        <v>NUR049</v>
      </c>
      <c r="Y550" t="str">
        <f t="shared" ca="1" si="187"/>
        <v>Night</v>
      </c>
      <c r="Z550" t="str">
        <f t="shared" ca="1" si="188"/>
        <v>X-Ray</v>
      </c>
      <c r="AA550" t="str">
        <f t="shared" ca="1" si="189"/>
        <v>In Use</v>
      </c>
      <c r="AB550" t="str">
        <f t="shared" ca="1" si="190"/>
        <v>Paid</v>
      </c>
      <c r="AC550" t="str">
        <f t="shared" ca="1" si="191"/>
        <v>Insurance</v>
      </c>
      <c r="AD550" t="str">
        <f t="shared" ca="1" si="192"/>
        <v>No</v>
      </c>
      <c r="AE550" t="str">
        <f t="shared" ca="1" si="193"/>
        <v>No</v>
      </c>
      <c r="AF550" t="str">
        <f t="shared" ca="1" si="194"/>
        <v>Transferred</v>
      </c>
      <c r="AG550" t="str">
        <f t="shared" ca="1" si="195"/>
        <v>Northeast</v>
      </c>
      <c r="AH550" t="str">
        <f t="shared" si="178"/>
        <v>February</v>
      </c>
      <c r="AI550">
        <f t="shared" si="179"/>
        <v>2022</v>
      </c>
      <c r="AJ550" t="str">
        <f t="shared" ca="1" si="196"/>
        <v>Occupied</v>
      </c>
      <c r="AK550">
        <f t="shared" ca="1" si="197"/>
        <v>2</v>
      </c>
    </row>
    <row r="551" spans="1:37" x14ac:dyDescent="0.3">
      <c r="A551" t="s">
        <v>4979</v>
      </c>
      <c r="B551">
        <v>41</v>
      </c>
      <c r="C551" t="s">
        <v>32</v>
      </c>
      <c r="D551" t="s">
        <v>83</v>
      </c>
      <c r="E551" t="s">
        <v>17</v>
      </c>
      <c r="F551" s="1">
        <v>43678</v>
      </c>
      <c r="G551" t="s">
        <v>1141</v>
      </c>
      <c r="H551" t="s">
        <v>1142</v>
      </c>
      <c r="I551" t="s">
        <v>57</v>
      </c>
      <c r="J551">
        <v>24690</v>
      </c>
      <c r="K551">
        <v>320</v>
      </c>
      <c r="L551" t="s">
        <v>29</v>
      </c>
      <c r="M551" s="1">
        <v>43686</v>
      </c>
      <c r="N551" t="s">
        <v>30</v>
      </c>
      <c r="O551" t="s">
        <v>43</v>
      </c>
      <c r="P551" t="str">
        <f t="shared" si="180"/>
        <v>P0550</v>
      </c>
      <c r="Q551" t="str">
        <f t="shared" si="176"/>
        <v>Oncology</v>
      </c>
      <c r="R551">
        <f t="shared" si="177"/>
        <v>8</v>
      </c>
      <c r="S551" t="str">
        <f t="shared" ca="1" si="181"/>
        <v>No</v>
      </c>
      <c r="T551" t="str">
        <f t="shared" ca="1" si="182"/>
        <v>Severe</v>
      </c>
      <c r="U551" t="str">
        <f t="shared" ca="1" si="183"/>
        <v>ICU</v>
      </c>
      <c r="V551" t="str">
        <f t="shared" si="184"/>
        <v>BED0550</v>
      </c>
      <c r="W551" t="str">
        <f t="shared" ca="1" si="185"/>
        <v>Semi-Private</v>
      </c>
      <c r="X551" t="str">
        <f t="shared" si="186"/>
        <v>NUR050</v>
      </c>
      <c r="Y551" t="str">
        <f t="shared" ca="1" si="187"/>
        <v>Night</v>
      </c>
      <c r="Z551" t="str">
        <f t="shared" ca="1" si="188"/>
        <v>CT Scanner</v>
      </c>
      <c r="AA551" t="str">
        <f t="shared" ca="1" si="189"/>
        <v>In Use</v>
      </c>
      <c r="AB551" t="str">
        <f t="shared" ca="1" si="190"/>
        <v>Pending</v>
      </c>
      <c r="AC551" t="str">
        <f t="shared" ca="1" si="191"/>
        <v>Insurance</v>
      </c>
      <c r="AD551" t="str">
        <f t="shared" ca="1" si="192"/>
        <v>No</v>
      </c>
      <c r="AE551" t="str">
        <f t="shared" ca="1" si="193"/>
        <v>No</v>
      </c>
      <c r="AF551" t="str">
        <f t="shared" ca="1" si="194"/>
        <v>Transferred</v>
      </c>
      <c r="AG551" t="str">
        <f t="shared" ca="1" si="195"/>
        <v>Southwest</v>
      </c>
      <c r="AH551" t="str">
        <f t="shared" si="178"/>
        <v>August</v>
      </c>
      <c r="AI551">
        <f t="shared" si="179"/>
        <v>2019</v>
      </c>
      <c r="AJ551" t="str">
        <f t="shared" ca="1" si="196"/>
        <v>Occupied</v>
      </c>
      <c r="AK551">
        <f t="shared" ca="1" si="197"/>
        <v>1</v>
      </c>
    </row>
    <row r="552" spans="1:37" x14ac:dyDescent="0.3">
      <c r="A552" t="s">
        <v>4980</v>
      </c>
      <c r="B552">
        <v>39</v>
      </c>
      <c r="C552" t="s">
        <v>15</v>
      </c>
      <c r="D552" t="s">
        <v>98</v>
      </c>
      <c r="E552" t="s">
        <v>76</v>
      </c>
      <c r="F552" s="1">
        <v>44366</v>
      </c>
      <c r="G552" t="s">
        <v>1143</v>
      </c>
      <c r="H552" t="s">
        <v>1144</v>
      </c>
      <c r="I552" t="s">
        <v>51</v>
      </c>
      <c r="J552">
        <v>21862</v>
      </c>
      <c r="K552">
        <v>497</v>
      </c>
      <c r="L552" t="s">
        <v>42</v>
      </c>
      <c r="M552" s="1">
        <v>44393</v>
      </c>
      <c r="N552" t="s">
        <v>37</v>
      </c>
      <c r="O552" t="s">
        <v>23</v>
      </c>
      <c r="P552" t="str">
        <f t="shared" si="180"/>
        <v>P0551</v>
      </c>
      <c r="Q552" t="str">
        <f t="shared" si="176"/>
        <v>Orthopedics</v>
      </c>
      <c r="R552">
        <f t="shared" si="177"/>
        <v>27</v>
      </c>
      <c r="S552" t="str">
        <f t="shared" ca="1" si="181"/>
        <v>No</v>
      </c>
      <c r="T552" t="str">
        <f t="shared" ca="1" si="182"/>
        <v>Critical</v>
      </c>
      <c r="U552" t="str">
        <f t="shared" ca="1" si="183"/>
        <v>ICU</v>
      </c>
      <c r="V552" t="str">
        <f t="shared" si="184"/>
        <v>BED0551</v>
      </c>
      <c r="W552" t="str">
        <f t="shared" ca="1" si="185"/>
        <v>General</v>
      </c>
      <c r="X552" t="str">
        <f t="shared" si="186"/>
        <v>NUR001</v>
      </c>
      <c r="Y552" t="str">
        <f t="shared" ca="1" si="187"/>
        <v>Evening</v>
      </c>
      <c r="Z552" t="str">
        <f t="shared" ca="1" si="188"/>
        <v>Ventilator</v>
      </c>
      <c r="AA552" t="str">
        <f t="shared" ca="1" si="189"/>
        <v>Maintenance</v>
      </c>
      <c r="AB552" t="str">
        <f t="shared" ca="1" si="190"/>
        <v>Pending</v>
      </c>
      <c r="AC552" t="str">
        <f t="shared" ca="1" si="191"/>
        <v>Insurance</v>
      </c>
      <c r="AD552" t="str">
        <f t="shared" ca="1" si="192"/>
        <v>No</v>
      </c>
      <c r="AE552" t="str">
        <f t="shared" ca="1" si="193"/>
        <v>No</v>
      </c>
      <c r="AF552" t="str">
        <f t="shared" ca="1" si="194"/>
        <v>Under Observation</v>
      </c>
      <c r="AG552" t="str">
        <f t="shared" ca="1" si="195"/>
        <v>Southwest</v>
      </c>
      <c r="AH552" t="str">
        <f t="shared" si="178"/>
        <v>June</v>
      </c>
      <c r="AI552">
        <f t="shared" si="179"/>
        <v>2021</v>
      </c>
      <c r="AJ552" t="str">
        <f t="shared" ca="1" si="196"/>
        <v>Occupied</v>
      </c>
      <c r="AK552">
        <f t="shared" ca="1" si="197"/>
        <v>2</v>
      </c>
    </row>
    <row r="553" spans="1:37" x14ac:dyDescent="0.3">
      <c r="A553" t="s">
        <v>4981</v>
      </c>
      <c r="B553">
        <v>55</v>
      </c>
      <c r="C553" t="s">
        <v>15</v>
      </c>
      <c r="D553" t="s">
        <v>98</v>
      </c>
      <c r="E553" t="s">
        <v>48</v>
      </c>
      <c r="F553" s="1">
        <v>44010</v>
      </c>
      <c r="G553" t="s">
        <v>1145</v>
      </c>
      <c r="H553" t="s">
        <v>1146</v>
      </c>
      <c r="I553" t="s">
        <v>36</v>
      </c>
      <c r="J553">
        <v>29791</v>
      </c>
      <c r="K553">
        <v>142</v>
      </c>
      <c r="L553" t="s">
        <v>21</v>
      </c>
      <c r="M553" s="1">
        <v>44036</v>
      </c>
      <c r="N553" t="s">
        <v>30</v>
      </c>
      <c r="O553" t="s">
        <v>23</v>
      </c>
      <c r="P553" t="str">
        <f t="shared" si="180"/>
        <v>P0552</v>
      </c>
      <c r="Q553" t="str">
        <f t="shared" si="176"/>
        <v>Pulmonology</v>
      </c>
      <c r="R553">
        <f t="shared" si="177"/>
        <v>26</v>
      </c>
      <c r="S553" t="str">
        <f t="shared" ca="1" si="181"/>
        <v>No</v>
      </c>
      <c r="T553" t="str">
        <f t="shared" ca="1" si="182"/>
        <v>Severe</v>
      </c>
      <c r="U553" t="str">
        <f t="shared" ca="1" si="183"/>
        <v>Semi-Private</v>
      </c>
      <c r="V553" t="str">
        <f t="shared" si="184"/>
        <v>BED0552</v>
      </c>
      <c r="W553" t="str">
        <f t="shared" ca="1" si="185"/>
        <v>General</v>
      </c>
      <c r="X553" t="str">
        <f t="shared" si="186"/>
        <v>NUR002</v>
      </c>
      <c r="Y553" t="str">
        <f t="shared" ca="1" si="187"/>
        <v>Evening</v>
      </c>
      <c r="Z553" t="str">
        <f t="shared" ca="1" si="188"/>
        <v>CT Scanner</v>
      </c>
      <c r="AA553" t="str">
        <f t="shared" ca="1" si="189"/>
        <v>In Use</v>
      </c>
      <c r="AB553" t="str">
        <f t="shared" ca="1" si="190"/>
        <v>Pending</v>
      </c>
      <c r="AC553" t="str">
        <f t="shared" ca="1" si="191"/>
        <v>Insurance</v>
      </c>
      <c r="AD553" t="str">
        <f t="shared" ca="1" si="192"/>
        <v>No</v>
      </c>
      <c r="AE553" t="str">
        <f t="shared" ca="1" si="193"/>
        <v>No</v>
      </c>
      <c r="AF553" t="str">
        <f t="shared" ca="1" si="194"/>
        <v>Under Observation</v>
      </c>
      <c r="AG553" t="str">
        <f t="shared" ca="1" si="195"/>
        <v>Southwest</v>
      </c>
      <c r="AH553" t="str">
        <f t="shared" si="178"/>
        <v>June</v>
      </c>
      <c r="AI553">
        <f t="shared" si="179"/>
        <v>2020</v>
      </c>
      <c r="AJ553" t="str">
        <f t="shared" ca="1" si="196"/>
        <v>Occupied</v>
      </c>
      <c r="AK553">
        <f t="shared" ca="1" si="197"/>
        <v>4</v>
      </c>
    </row>
    <row r="554" spans="1:37" x14ac:dyDescent="0.3">
      <c r="A554" t="s">
        <v>4982</v>
      </c>
      <c r="B554">
        <v>59</v>
      </c>
      <c r="C554" t="s">
        <v>15</v>
      </c>
      <c r="D554" t="s">
        <v>33</v>
      </c>
      <c r="E554" t="s">
        <v>48</v>
      </c>
      <c r="F554" s="1">
        <v>43744</v>
      </c>
      <c r="G554" t="s">
        <v>1147</v>
      </c>
      <c r="H554" t="s">
        <v>1148</v>
      </c>
      <c r="I554" t="s">
        <v>57</v>
      </c>
      <c r="J554">
        <v>6540</v>
      </c>
      <c r="K554">
        <v>270</v>
      </c>
      <c r="L554" t="s">
        <v>21</v>
      </c>
      <c r="M554" s="1">
        <v>43762</v>
      </c>
      <c r="N554" t="s">
        <v>37</v>
      </c>
      <c r="O554" t="s">
        <v>43</v>
      </c>
      <c r="P554" t="str">
        <f t="shared" si="180"/>
        <v>P0553</v>
      </c>
      <c r="Q554" t="str">
        <f t="shared" si="176"/>
        <v>Pulmonology</v>
      </c>
      <c r="R554">
        <f t="shared" si="177"/>
        <v>18</v>
      </c>
      <c r="S554" t="str">
        <f t="shared" ca="1" si="181"/>
        <v>Yes</v>
      </c>
      <c r="T554" t="str">
        <f t="shared" ca="1" si="182"/>
        <v>Mild</v>
      </c>
      <c r="U554" t="str">
        <f t="shared" ca="1" si="183"/>
        <v>General Ward</v>
      </c>
      <c r="V554" t="str">
        <f t="shared" si="184"/>
        <v>BED0553</v>
      </c>
      <c r="W554" t="str">
        <f t="shared" ca="1" si="185"/>
        <v>Private</v>
      </c>
      <c r="X554" t="str">
        <f t="shared" si="186"/>
        <v>NUR003</v>
      </c>
      <c r="Y554" t="str">
        <f t="shared" ca="1" si="187"/>
        <v>Evening</v>
      </c>
      <c r="Z554" t="str">
        <f t="shared" ca="1" si="188"/>
        <v>CT Scanner</v>
      </c>
      <c r="AA554" t="str">
        <f t="shared" ca="1" si="189"/>
        <v>Maintenance</v>
      </c>
      <c r="AB554" t="str">
        <f t="shared" ca="1" si="190"/>
        <v>Pending</v>
      </c>
      <c r="AC554" t="str">
        <f t="shared" ca="1" si="191"/>
        <v>Insurance</v>
      </c>
      <c r="AD554" t="str">
        <f t="shared" ca="1" si="192"/>
        <v>Yes</v>
      </c>
      <c r="AE554" t="str">
        <f t="shared" ca="1" si="193"/>
        <v>No</v>
      </c>
      <c r="AF554" t="str">
        <f t="shared" ca="1" si="194"/>
        <v>Under Observation</v>
      </c>
      <c r="AG554" t="str">
        <f t="shared" ca="1" si="195"/>
        <v>Southeast</v>
      </c>
      <c r="AH554" t="str">
        <f t="shared" si="178"/>
        <v>October</v>
      </c>
      <c r="AI554">
        <f t="shared" si="179"/>
        <v>2019</v>
      </c>
      <c r="AJ554" t="str">
        <f t="shared" ca="1" si="196"/>
        <v>Occupied</v>
      </c>
      <c r="AK554">
        <f t="shared" ca="1" si="197"/>
        <v>4</v>
      </c>
    </row>
    <row r="555" spans="1:37" x14ac:dyDescent="0.3">
      <c r="A555" t="s">
        <v>4983</v>
      </c>
      <c r="B555">
        <v>34</v>
      </c>
      <c r="C555" t="s">
        <v>32</v>
      </c>
      <c r="D555" t="s">
        <v>33</v>
      </c>
      <c r="E555" t="s">
        <v>48</v>
      </c>
      <c r="F555" s="1">
        <v>44759</v>
      </c>
      <c r="G555" t="s">
        <v>1149</v>
      </c>
      <c r="H555" t="s">
        <v>1150</v>
      </c>
      <c r="I555" t="s">
        <v>36</v>
      </c>
      <c r="J555">
        <v>20453</v>
      </c>
      <c r="K555">
        <v>445</v>
      </c>
      <c r="L555" t="s">
        <v>21</v>
      </c>
      <c r="M555" s="1">
        <v>44765</v>
      </c>
      <c r="N555" t="s">
        <v>22</v>
      </c>
      <c r="O555" t="s">
        <v>31</v>
      </c>
      <c r="P555" t="str">
        <f t="shared" si="180"/>
        <v>P0554</v>
      </c>
      <c r="Q555" t="str">
        <f t="shared" si="176"/>
        <v>Pulmonology</v>
      </c>
      <c r="R555">
        <f t="shared" si="177"/>
        <v>6</v>
      </c>
      <c r="S555" t="str">
        <f t="shared" ca="1" si="181"/>
        <v>Yes</v>
      </c>
      <c r="T555" t="str">
        <f t="shared" ca="1" si="182"/>
        <v>Critical</v>
      </c>
      <c r="U555" t="str">
        <f t="shared" ca="1" si="183"/>
        <v>General Ward</v>
      </c>
      <c r="V555" t="str">
        <f t="shared" si="184"/>
        <v>BED0554</v>
      </c>
      <c r="W555" t="str">
        <f t="shared" ca="1" si="185"/>
        <v>Private</v>
      </c>
      <c r="X555" t="str">
        <f t="shared" si="186"/>
        <v>NUR004</v>
      </c>
      <c r="Y555" t="str">
        <f t="shared" ca="1" si="187"/>
        <v>Night</v>
      </c>
      <c r="Z555" t="str">
        <f t="shared" ca="1" si="188"/>
        <v>Ultrasound</v>
      </c>
      <c r="AA555" t="str">
        <f t="shared" ca="1" si="189"/>
        <v>In Use</v>
      </c>
      <c r="AB555" t="str">
        <f t="shared" ca="1" si="190"/>
        <v>Partially Paid</v>
      </c>
      <c r="AC555" t="str">
        <f t="shared" ca="1" si="191"/>
        <v>Bank Transfer</v>
      </c>
      <c r="AD555" t="str">
        <f t="shared" ca="1" si="192"/>
        <v>No</v>
      </c>
      <c r="AE555" t="str">
        <f t="shared" ca="1" si="193"/>
        <v>No</v>
      </c>
      <c r="AF555" t="str">
        <f t="shared" ca="1" si="194"/>
        <v>Under Observation</v>
      </c>
      <c r="AG555" t="str">
        <f t="shared" ca="1" si="195"/>
        <v>Southwest</v>
      </c>
      <c r="AH555" t="str">
        <f t="shared" si="178"/>
        <v>July</v>
      </c>
      <c r="AI555">
        <f t="shared" si="179"/>
        <v>2022</v>
      </c>
      <c r="AJ555" t="str">
        <f t="shared" ca="1" si="196"/>
        <v>Occupied</v>
      </c>
      <c r="AK555">
        <f t="shared" ca="1" si="197"/>
        <v>2</v>
      </c>
    </row>
    <row r="556" spans="1:37" x14ac:dyDescent="0.3">
      <c r="A556" t="s">
        <v>4984</v>
      </c>
      <c r="B556">
        <v>27</v>
      </c>
      <c r="C556" t="s">
        <v>32</v>
      </c>
      <c r="D556" t="s">
        <v>38</v>
      </c>
      <c r="E556" t="s">
        <v>64</v>
      </c>
      <c r="F556" s="1">
        <v>44338</v>
      </c>
      <c r="G556" t="s">
        <v>1151</v>
      </c>
      <c r="H556" t="s">
        <v>1152</v>
      </c>
      <c r="I556" t="s">
        <v>57</v>
      </c>
      <c r="J556">
        <v>6828</v>
      </c>
      <c r="K556">
        <v>119</v>
      </c>
      <c r="L556" t="s">
        <v>21</v>
      </c>
      <c r="M556" s="1">
        <v>44356</v>
      </c>
      <c r="N556" t="s">
        <v>22</v>
      </c>
      <c r="O556" t="s">
        <v>23</v>
      </c>
      <c r="P556" t="str">
        <f t="shared" si="180"/>
        <v>P0555</v>
      </c>
      <c r="Q556" t="str">
        <f t="shared" si="176"/>
        <v>Cardiology</v>
      </c>
      <c r="R556">
        <f t="shared" si="177"/>
        <v>18</v>
      </c>
      <c r="S556" t="str">
        <f t="shared" ca="1" si="181"/>
        <v>No</v>
      </c>
      <c r="T556" t="str">
        <f t="shared" ca="1" si="182"/>
        <v>Critical</v>
      </c>
      <c r="U556" t="str">
        <f t="shared" ca="1" si="183"/>
        <v>Emergency</v>
      </c>
      <c r="V556" t="str">
        <f t="shared" si="184"/>
        <v>BED0555</v>
      </c>
      <c r="W556" t="str">
        <f t="shared" ca="1" si="185"/>
        <v>Semi-Private</v>
      </c>
      <c r="X556" t="str">
        <f t="shared" si="186"/>
        <v>NUR005</v>
      </c>
      <c r="Y556" t="str">
        <f t="shared" ca="1" si="187"/>
        <v>Night</v>
      </c>
      <c r="Z556" t="str">
        <f t="shared" ca="1" si="188"/>
        <v>MRI Scanner</v>
      </c>
      <c r="AA556" t="str">
        <f t="shared" ca="1" si="189"/>
        <v>In Use</v>
      </c>
      <c r="AB556" t="str">
        <f t="shared" ca="1" si="190"/>
        <v>Pending</v>
      </c>
      <c r="AC556" t="str">
        <f t="shared" ca="1" si="191"/>
        <v>Cash</v>
      </c>
      <c r="AD556" t="str">
        <f t="shared" ca="1" si="192"/>
        <v>Yes</v>
      </c>
      <c r="AE556" t="str">
        <f t="shared" ca="1" si="193"/>
        <v>No</v>
      </c>
      <c r="AF556" t="str">
        <f t="shared" ca="1" si="194"/>
        <v>Transferred</v>
      </c>
      <c r="AG556" t="str">
        <f t="shared" ca="1" si="195"/>
        <v>Southeast</v>
      </c>
      <c r="AH556" t="str">
        <f t="shared" si="178"/>
        <v>May</v>
      </c>
      <c r="AI556">
        <f t="shared" si="179"/>
        <v>2021</v>
      </c>
      <c r="AJ556" t="str">
        <f t="shared" ca="1" si="196"/>
        <v>Occupied</v>
      </c>
      <c r="AK556">
        <f t="shared" ca="1" si="197"/>
        <v>1</v>
      </c>
    </row>
    <row r="557" spans="1:37" x14ac:dyDescent="0.3">
      <c r="A557" t="s">
        <v>4985</v>
      </c>
      <c r="B557">
        <v>56</v>
      </c>
      <c r="C557" t="s">
        <v>32</v>
      </c>
      <c r="D557" t="s">
        <v>38</v>
      </c>
      <c r="E557" t="s">
        <v>39</v>
      </c>
      <c r="F557" s="1">
        <v>44789</v>
      </c>
      <c r="G557" t="s">
        <v>1153</v>
      </c>
      <c r="H557" t="s">
        <v>1154</v>
      </c>
      <c r="I557" t="s">
        <v>57</v>
      </c>
      <c r="J557">
        <v>7558</v>
      </c>
      <c r="K557">
        <v>264</v>
      </c>
      <c r="L557" t="s">
        <v>21</v>
      </c>
      <c r="M557" s="1">
        <v>44808</v>
      </c>
      <c r="N557" t="s">
        <v>37</v>
      </c>
      <c r="O557" t="s">
        <v>31</v>
      </c>
      <c r="P557" t="str">
        <f t="shared" si="180"/>
        <v>P0556</v>
      </c>
      <c r="Q557" t="str">
        <f t="shared" si="176"/>
        <v>Endocrinology</v>
      </c>
      <c r="R557">
        <f t="shared" si="177"/>
        <v>19</v>
      </c>
      <c r="S557" t="str">
        <f t="shared" ca="1" si="181"/>
        <v>No</v>
      </c>
      <c r="T557" t="str">
        <f t="shared" ca="1" si="182"/>
        <v>Moderate</v>
      </c>
      <c r="U557" t="str">
        <f t="shared" ca="1" si="183"/>
        <v>Emergency</v>
      </c>
      <c r="V557" t="str">
        <f t="shared" si="184"/>
        <v>BED0556</v>
      </c>
      <c r="W557" t="str">
        <f t="shared" ca="1" si="185"/>
        <v>Private</v>
      </c>
      <c r="X557" t="str">
        <f t="shared" si="186"/>
        <v>NUR006</v>
      </c>
      <c r="Y557" t="str">
        <f t="shared" ca="1" si="187"/>
        <v>Night</v>
      </c>
      <c r="Z557" t="str">
        <f t="shared" ca="1" si="188"/>
        <v>CT Scanner</v>
      </c>
      <c r="AA557" t="str">
        <f t="shared" ca="1" si="189"/>
        <v>In Use</v>
      </c>
      <c r="AB557" t="str">
        <f t="shared" ca="1" si="190"/>
        <v>Partially Paid</v>
      </c>
      <c r="AC557" t="str">
        <f t="shared" ca="1" si="191"/>
        <v>Bank Transfer</v>
      </c>
      <c r="AD557" t="str">
        <f t="shared" ca="1" si="192"/>
        <v>No</v>
      </c>
      <c r="AE557" t="str">
        <f t="shared" ca="1" si="193"/>
        <v>No</v>
      </c>
      <c r="AF557" t="str">
        <f t="shared" ca="1" si="194"/>
        <v>Recovered</v>
      </c>
      <c r="AG557" t="str">
        <f t="shared" ca="1" si="195"/>
        <v>Midwest</v>
      </c>
      <c r="AH557" t="str">
        <f t="shared" si="178"/>
        <v>August</v>
      </c>
      <c r="AI557">
        <f t="shared" si="179"/>
        <v>2022</v>
      </c>
      <c r="AJ557" t="str">
        <f t="shared" ca="1" si="196"/>
        <v>Occupied</v>
      </c>
      <c r="AK557">
        <f t="shared" ca="1" si="197"/>
        <v>1</v>
      </c>
    </row>
    <row r="558" spans="1:37" x14ac:dyDescent="0.3">
      <c r="A558" t="s">
        <v>4986</v>
      </c>
      <c r="B558">
        <v>60</v>
      </c>
      <c r="C558" t="s">
        <v>32</v>
      </c>
      <c r="D558" t="s">
        <v>24</v>
      </c>
      <c r="E558" t="s">
        <v>17</v>
      </c>
      <c r="F558" s="1">
        <v>44286</v>
      </c>
      <c r="G558" t="s">
        <v>1155</v>
      </c>
      <c r="H558" t="s">
        <v>1156</v>
      </c>
      <c r="I558" t="s">
        <v>36</v>
      </c>
      <c r="J558">
        <v>15364</v>
      </c>
      <c r="K558">
        <v>181</v>
      </c>
      <c r="L558" t="s">
        <v>29</v>
      </c>
      <c r="M558" s="1">
        <v>44304</v>
      </c>
      <c r="N558" t="s">
        <v>30</v>
      </c>
      <c r="O558" t="s">
        <v>43</v>
      </c>
      <c r="P558" t="str">
        <f t="shared" si="180"/>
        <v>P0557</v>
      </c>
      <c r="Q558" t="str">
        <f t="shared" si="176"/>
        <v>Oncology</v>
      </c>
      <c r="R558">
        <f t="shared" si="177"/>
        <v>18</v>
      </c>
      <c r="S558" t="str">
        <f t="shared" ca="1" si="181"/>
        <v>No</v>
      </c>
      <c r="T558" t="str">
        <f t="shared" ca="1" si="182"/>
        <v>Severe</v>
      </c>
      <c r="U558" t="str">
        <f t="shared" ca="1" si="183"/>
        <v>Emergency</v>
      </c>
      <c r="V558" t="str">
        <f t="shared" si="184"/>
        <v>BED0557</v>
      </c>
      <c r="W558" t="str">
        <f t="shared" ca="1" si="185"/>
        <v>Semi-Private</v>
      </c>
      <c r="X558" t="str">
        <f t="shared" si="186"/>
        <v>NUR007</v>
      </c>
      <c r="Y558" t="str">
        <f t="shared" ca="1" si="187"/>
        <v>Night</v>
      </c>
      <c r="Z558" t="str">
        <f t="shared" ca="1" si="188"/>
        <v>X-Ray</v>
      </c>
      <c r="AA558" t="str">
        <f t="shared" ca="1" si="189"/>
        <v>In Use</v>
      </c>
      <c r="AB558" t="str">
        <f t="shared" ca="1" si="190"/>
        <v>Pending</v>
      </c>
      <c r="AC558" t="str">
        <f t="shared" ca="1" si="191"/>
        <v>Credit Card</v>
      </c>
      <c r="AD558" t="str">
        <f t="shared" ca="1" si="192"/>
        <v>No</v>
      </c>
      <c r="AE558" t="str">
        <f t="shared" ca="1" si="193"/>
        <v>No</v>
      </c>
      <c r="AF558" t="str">
        <f t="shared" ca="1" si="194"/>
        <v>Recovered</v>
      </c>
      <c r="AG558" t="str">
        <f t="shared" ca="1" si="195"/>
        <v>West Coast</v>
      </c>
      <c r="AH558" t="str">
        <f t="shared" si="178"/>
        <v>March</v>
      </c>
      <c r="AI558">
        <f t="shared" si="179"/>
        <v>2021</v>
      </c>
      <c r="AJ558" t="str">
        <f t="shared" ca="1" si="196"/>
        <v>Occupied</v>
      </c>
      <c r="AK558">
        <f t="shared" ca="1" si="197"/>
        <v>2</v>
      </c>
    </row>
    <row r="559" spans="1:37" x14ac:dyDescent="0.3">
      <c r="A559" t="s">
        <v>4987</v>
      </c>
      <c r="B559">
        <v>71</v>
      </c>
      <c r="C559" t="s">
        <v>32</v>
      </c>
      <c r="D559" t="s">
        <v>98</v>
      </c>
      <c r="E559" t="s">
        <v>25</v>
      </c>
      <c r="F559" s="1">
        <v>44445</v>
      </c>
      <c r="G559" t="s">
        <v>1157</v>
      </c>
      <c r="H559" t="s">
        <v>1158</v>
      </c>
      <c r="I559" t="s">
        <v>36</v>
      </c>
      <c r="J559">
        <v>6664</v>
      </c>
      <c r="K559">
        <v>228</v>
      </c>
      <c r="L559" t="s">
        <v>42</v>
      </c>
      <c r="M559" s="1">
        <v>44456</v>
      </c>
      <c r="N559" t="s">
        <v>67</v>
      </c>
      <c r="O559" t="s">
        <v>43</v>
      </c>
      <c r="P559" t="str">
        <f t="shared" si="180"/>
        <v>P0558</v>
      </c>
      <c r="Q559" t="str">
        <f t="shared" si="176"/>
        <v>Nutrition</v>
      </c>
      <c r="R559">
        <f t="shared" si="177"/>
        <v>11</v>
      </c>
      <c r="S559" t="str">
        <f t="shared" ca="1" si="181"/>
        <v>No</v>
      </c>
      <c r="T559" t="str">
        <f t="shared" ca="1" si="182"/>
        <v>Moderate</v>
      </c>
      <c r="U559" t="str">
        <f t="shared" ca="1" si="183"/>
        <v>Semi-Private</v>
      </c>
      <c r="V559" t="str">
        <f t="shared" si="184"/>
        <v>BED0558</v>
      </c>
      <c r="W559" t="str">
        <f t="shared" ca="1" si="185"/>
        <v>Private</v>
      </c>
      <c r="X559" t="str">
        <f t="shared" si="186"/>
        <v>NUR008</v>
      </c>
      <c r="Y559" t="str">
        <f t="shared" ca="1" si="187"/>
        <v>Night</v>
      </c>
      <c r="Z559" t="str">
        <f t="shared" ca="1" si="188"/>
        <v>Ultrasound</v>
      </c>
      <c r="AA559" t="str">
        <f t="shared" ca="1" si="189"/>
        <v>In Use</v>
      </c>
      <c r="AB559" t="str">
        <f t="shared" ca="1" si="190"/>
        <v>Partially Paid</v>
      </c>
      <c r="AC559" t="str">
        <f t="shared" ca="1" si="191"/>
        <v>Bank Transfer</v>
      </c>
      <c r="AD559" t="str">
        <f t="shared" ca="1" si="192"/>
        <v>No</v>
      </c>
      <c r="AE559" t="str">
        <f t="shared" ca="1" si="193"/>
        <v>Yes</v>
      </c>
      <c r="AF559" t="str">
        <f t="shared" ca="1" si="194"/>
        <v>Recovered</v>
      </c>
      <c r="AG559" t="str">
        <f t="shared" ca="1" si="195"/>
        <v>Northeast</v>
      </c>
      <c r="AH559" t="str">
        <f t="shared" si="178"/>
        <v>September</v>
      </c>
      <c r="AI559">
        <f t="shared" si="179"/>
        <v>2021</v>
      </c>
      <c r="AJ559" t="str">
        <f t="shared" ca="1" si="196"/>
        <v>Vacant</v>
      </c>
      <c r="AK559">
        <f t="shared" ca="1" si="197"/>
        <v>1</v>
      </c>
    </row>
    <row r="560" spans="1:37" x14ac:dyDescent="0.3">
      <c r="A560" t="s">
        <v>4988</v>
      </c>
      <c r="B560">
        <v>20</v>
      </c>
      <c r="C560" t="s">
        <v>15</v>
      </c>
      <c r="D560" t="s">
        <v>52</v>
      </c>
      <c r="E560" t="s">
        <v>39</v>
      </c>
      <c r="F560" s="1">
        <v>45164</v>
      </c>
      <c r="G560" t="s">
        <v>1159</v>
      </c>
      <c r="H560" t="s">
        <v>1160</v>
      </c>
      <c r="I560" t="s">
        <v>57</v>
      </c>
      <c r="J560">
        <v>7235</v>
      </c>
      <c r="K560">
        <v>197</v>
      </c>
      <c r="L560" t="s">
        <v>21</v>
      </c>
      <c r="M560" s="1">
        <v>45165</v>
      </c>
      <c r="N560" t="s">
        <v>47</v>
      </c>
      <c r="O560" t="s">
        <v>31</v>
      </c>
      <c r="P560" t="str">
        <f t="shared" si="180"/>
        <v>P0559</v>
      </c>
      <c r="Q560" t="str">
        <f t="shared" si="176"/>
        <v>Endocrinology</v>
      </c>
      <c r="R560">
        <f t="shared" si="177"/>
        <v>1</v>
      </c>
      <c r="S560" t="str">
        <f t="shared" ca="1" si="181"/>
        <v>Yes</v>
      </c>
      <c r="T560" t="str">
        <f t="shared" ca="1" si="182"/>
        <v>Severe</v>
      </c>
      <c r="U560" t="str">
        <f t="shared" ca="1" si="183"/>
        <v>Private Ward</v>
      </c>
      <c r="V560" t="str">
        <f t="shared" si="184"/>
        <v>BED0559</v>
      </c>
      <c r="W560" t="str">
        <f t="shared" ca="1" si="185"/>
        <v>Semi-Private</v>
      </c>
      <c r="X560" t="str">
        <f t="shared" si="186"/>
        <v>NUR009</v>
      </c>
      <c r="Y560" t="str">
        <f t="shared" ca="1" si="187"/>
        <v>Evening</v>
      </c>
      <c r="Z560" t="str">
        <f t="shared" ca="1" si="188"/>
        <v>X-Ray</v>
      </c>
      <c r="AA560" t="str">
        <f t="shared" ca="1" si="189"/>
        <v>Maintenance</v>
      </c>
      <c r="AB560" t="str">
        <f t="shared" ca="1" si="190"/>
        <v>Paid</v>
      </c>
      <c r="AC560" t="str">
        <f t="shared" ca="1" si="191"/>
        <v>Credit Card</v>
      </c>
      <c r="AD560" t="str">
        <f t="shared" ca="1" si="192"/>
        <v>No</v>
      </c>
      <c r="AE560" t="str">
        <f t="shared" ca="1" si="193"/>
        <v>No</v>
      </c>
      <c r="AF560" t="str">
        <f t="shared" ca="1" si="194"/>
        <v>Recovered</v>
      </c>
      <c r="AG560" t="str">
        <f t="shared" ca="1" si="195"/>
        <v>Southwest</v>
      </c>
      <c r="AH560" t="str">
        <f t="shared" si="178"/>
        <v>August</v>
      </c>
      <c r="AI560">
        <f t="shared" si="179"/>
        <v>2023</v>
      </c>
      <c r="AJ560" t="str">
        <f t="shared" ca="1" si="196"/>
        <v>Vacant</v>
      </c>
      <c r="AK560">
        <f t="shared" ca="1" si="197"/>
        <v>1</v>
      </c>
    </row>
    <row r="561" spans="1:37" x14ac:dyDescent="0.3">
      <c r="A561" t="s">
        <v>4989</v>
      </c>
      <c r="B561">
        <v>75</v>
      </c>
      <c r="C561" t="s">
        <v>15</v>
      </c>
      <c r="D561" t="s">
        <v>24</v>
      </c>
      <c r="E561" t="s">
        <v>48</v>
      </c>
      <c r="F561" s="1">
        <v>43796</v>
      </c>
      <c r="G561" t="s">
        <v>1161</v>
      </c>
      <c r="H561" t="s">
        <v>673</v>
      </c>
      <c r="I561" t="s">
        <v>36</v>
      </c>
      <c r="J561">
        <v>20336</v>
      </c>
      <c r="K561">
        <v>316</v>
      </c>
      <c r="L561" t="s">
        <v>29</v>
      </c>
      <c r="M561" s="1">
        <v>43806</v>
      </c>
      <c r="N561" t="s">
        <v>47</v>
      </c>
      <c r="O561" t="s">
        <v>23</v>
      </c>
      <c r="P561" t="str">
        <f t="shared" si="180"/>
        <v>P0560</v>
      </c>
      <c r="Q561" t="str">
        <f t="shared" si="176"/>
        <v>Pulmonology</v>
      </c>
      <c r="R561">
        <f t="shared" si="177"/>
        <v>10</v>
      </c>
      <c r="S561" t="str">
        <f t="shared" ca="1" si="181"/>
        <v>No</v>
      </c>
      <c r="T561" t="str">
        <f t="shared" ca="1" si="182"/>
        <v>Moderate</v>
      </c>
      <c r="U561" t="str">
        <f t="shared" ca="1" si="183"/>
        <v>ICU</v>
      </c>
      <c r="V561" t="str">
        <f t="shared" si="184"/>
        <v>BED0560</v>
      </c>
      <c r="W561" t="str">
        <f t="shared" ca="1" si="185"/>
        <v>ICU</v>
      </c>
      <c r="X561" t="str">
        <f t="shared" si="186"/>
        <v>NUR010</v>
      </c>
      <c r="Y561" t="str">
        <f t="shared" ca="1" si="187"/>
        <v>Morning</v>
      </c>
      <c r="Z561" t="str">
        <f t="shared" ca="1" si="188"/>
        <v>CT Scanner</v>
      </c>
      <c r="AA561" t="str">
        <f t="shared" ca="1" si="189"/>
        <v>In Use</v>
      </c>
      <c r="AB561" t="str">
        <f t="shared" ca="1" si="190"/>
        <v>Partially Paid</v>
      </c>
      <c r="AC561" t="str">
        <f t="shared" ca="1" si="191"/>
        <v>Bank Transfer</v>
      </c>
      <c r="AD561" t="str">
        <f t="shared" ca="1" si="192"/>
        <v>No</v>
      </c>
      <c r="AE561" t="str">
        <f t="shared" ca="1" si="193"/>
        <v>No</v>
      </c>
      <c r="AF561" t="str">
        <f t="shared" ca="1" si="194"/>
        <v>Transferred</v>
      </c>
      <c r="AG561" t="str">
        <f t="shared" ca="1" si="195"/>
        <v>Northeast</v>
      </c>
      <c r="AH561" t="str">
        <f t="shared" si="178"/>
        <v>November</v>
      </c>
      <c r="AI561">
        <f t="shared" si="179"/>
        <v>2019</v>
      </c>
      <c r="AJ561" t="str">
        <f t="shared" ca="1" si="196"/>
        <v>Vacant</v>
      </c>
      <c r="AK561">
        <f t="shared" ca="1" si="197"/>
        <v>4</v>
      </c>
    </row>
    <row r="562" spans="1:37" x14ac:dyDescent="0.3">
      <c r="A562" t="s">
        <v>4990</v>
      </c>
      <c r="B562">
        <v>32</v>
      </c>
      <c r="C562" t="s">
        <v>32</v>
      </c>
      <c r="D562" t="s">
        <v>24</v>
      </c>
      <c r="E562" t="s">
        <v>25</v>
      </c>
      <c r="F562" s="1">
        <v>44992</v>
      </c>
      <c r="G562" t="s">
        <v>1162</v>
      </c>
      <c r="H562" t="s">
        <v>1163</v>
      </c>
      <c r="I562" t="s">
        <v>51</v>
      </c>
      <c r="J562">
        <v>38669</v>
      </c>
      <c r="K562">
        <v>462</v>
      </c>
      <c r="L562" t="s">
        <v>21</v>
      </c>
      <c r="M562" s="1">
        <v>44997</v>
      </c>
      <c r="N562" t="s">
        <v>67</v>
      </c>
      <c r="O562" t="s">
        <v>23</v>
      </c>
      <c r="P562" t="str">
        <f t="shared" si="180"/>
        <v>P0561</v>
      </c>
      <c r="Q562" t="str">
        <f t="shared" si="176"/>
        <v>Nutrition</v>
      </c>
      <c r="R562">
        <f t="shared" si="177"/>
        <v>5</v>
      </c>
      <c r="S562" t="str">
        <f t="shared" ca="1" si="181"/>
        <v>No</v>
      </c>
      <c r="T562" t="str">
        <f t="shared" ca="1" si="182"/>
        <v>Severe</v>
      </c>
      <c r="U562" t="str">
        <f t="shared" ca="1" si="183"/>
        <v>Semi-Private</v>
      </c>
      <c r="V562" t="str">
        <f t="shared" si="184"/>
        <v>BED0561</v>
      </c>
      <c r="W562" t="str">
        <f t="shared" ca="1" si="185"/>
        <v>Semi-Private</v>
      </c>
      <c r="X562" t="str">
        <f t="shared" si="186"/>
        <v>NUR011</v>
      </c>
      <c r="Y562" t="str">
        <f t="shared" ca="1" si="187"/>
        <v>Evening</v>
      </c>
      <c r="Z562" t="str">
        <f t="shared" ca="1" si="188"/>
        <v>Ventilator</v>
      </c>
      <c r="AA562" t="str">
        <f t="shared" ca="1" si="189"/>
        <v>Available</v>
      </c>
      <c r="AB562" t="str">
        <f t="shared" ca="1" si="190"/>
        <v>Paid</v>
      </c>
      <c r="AC562" t="str">
        <f t="shared" ca="1" si="191"/>
        <v>Cash</v>
      </c>
      <c r="AD562" t="str">
        <f t="shared" ca="1" si="192"/>
        <v>Yes</v>
      </c>
      <c r="AE562" t="str">
        <f t="shared" ca="1" si="193"/>
        <v>No</v>
      </c>
      <c r="AF562" t="str">
        <f t="shared" ca="1" si="194"/>
        <v>Recovered</v>
      </c>
      <c r="AG562" t="str">
        <f t="shared" ca="1" si="195"/>
        <v>West Coast</v>
      </c>
      <c r="AH562" t="str">
        <f t="shared" si="178"/>
        <v>March</v>
      </c>
      <c r="AI562">
        <f t="shared" si="179"/>
        <v>2023</v>
      </c>
      <c r="AJ562" t="str">
        <f t="shared" ca="1" si="196"/>
        <v>Occupied</v>
      </c>
      <c r="AK562">
        <f t="shared" ca="1" si="197"/>
        <v>2</v>
      </c>
    </row>
    <row r="563" spans="1:37" x14ac:dyDescent="0.3">
      <c r="A563" t="s">
        <v>4991</v>
      </c>
      <c r="B563">
        <v>66</v>
      </c>
      <c r="C563" t="s">
        <v>32</v>
      </c>
      <c r="D563" t="s">
        <v>33</v>
      </c>
      <c r="E563" t="s">
        <v>39</v>
      </c>
      <c r="F563" s="1">
        <v>44837</v>
      </c>
      <c r="G563" t="s">
        <v>1164</v>
      </c>
      <c r="H563" t="s">
        <v>1165</v>
      </c>
      <c r="I563" t="s">
        <v>36</v>
      </c>
      <c r="J563">
        <v>41222</v>
      </c>
      <c r="K563">
        <v>255</v>
      </c>
      <c r="L563" t="s">
        <v>42</v>
      </c>
      <c r="M563" s="1">
        <v>44848</v>
      </c>
      <c r="N563" t="s">
        <v>67</v>
      </c>
      <c r="O563" t="s">
        <v>43</v>
      </c>
      <c r="P563" t="str">
        <f t="shared" si="180"/>
        <v>P0562</v>
      </c>
      <c r="Q563" t="str">
        <f t="shared" si="176"/>
        <v>Endocrinology</v>
      </c>
      <c r="R563">
        <f t="shared" si="177"/>
        <v>11</v>
      </c>
      <c r="S563" t="str">
        <f t="shared" ca="1" si="181"/>
        <v>No</v>
      </c>
      <c r="T563" t="str">
        <f t="shared" ca="1" si="182"/>
        <v>Critical</v>
      </c>
      <c r="U563" t="str">
        <f t="shared" ca="1" si="183"/>
        <v>Semi-Private</v>
      </c>
      <c r="V563" t="str">
        <f t="shared" si="184"/>
        <v>BED0562</v>
      </c>
      <c r="W563" t="str">
        <f t="shared" ca="1" si="185"/>
        <v>General</v>
      </c>
      <c r="X563" t="str">
        <f t="shared" si="186"/>
        <v>NUR012</v>
      </c>
      <c r="Y563" t="str">
        <f t="shared" ca="1" si="187"/>
        <v>Evening</v>
      </c>
      <c r="Z563" t="str">
        <f t="shared" ca="1" si="188"/>
        <v>MRI Scanner</v>
      </c>
      <c r="AA563" t="str">
        <f t="shared" ca="1" si="189"/>
        <v>Maintenance</v>
      </c>
      <c r="AB563" t="str">
        <f t="shared" ca="1" si="190"/>
        <v>Pending</v>
      </c>
      <c r="AC563" t="str">
        <f t="shared" ca="1" si="191"/>
        <v>Credit Card</v>
      </c>
      <c r="AD563" t="str">
        <f t="shared" ca="1" si="192"/>
        <v>No</v>
      </c>
      <c r="AE563" t="str">
        <f t="shared" ca="1" si="193"/>
        <v>No</v>
      </c>
      <c r="AF563" t="str">
        <f t="shared" ca="1" si="194"/>
        <v>Under Observation</v>
      </c>
      <c r="AG563" t="str">
        <f t="shared" ca="1" si="195"/>
        <v>Southwest</v>
      </c>
      <c r="AH563" t="str">
        <f t="shared" si="178"/>
        <v>October</v>
      </c>
      <c r="AI563">
        <f t="shared" si="179"/>
        <v>2022</v>
      </c>
      <c r="AJ563" t="str">
        <f t="shared" ca="1" si="196"/>
        <v>Occupied</v>
      </c>
      <c r="AK563">
        <f t="shared" ca="1" si="197"/>
        <v>1</v>
      </c>
    </row>
    <row r="564" spans="1:37" x14ac:dyDescent="0.3">
      <c r="A564" t="s">
        <v>4992</v>
      </c>
      <c r="B564">
        <v>78</v>
      </c>
      <c r="C564" t="s">
        <v>32</v>
      </c>
      <c r="D564" t="s">
        <v>98</v>
      </c>
      <c r="E564" t="s">
        <v>39</v>
      </c>
      <c r="F564" s="1">
        <v>44936</v>
      </c>
      <c r="G564" t="s">
        <v>1166</v>
      </c>
      <c r="H564" t="s">
        <v>1167</v>
      </c>
      <c r="I564" t="s">
        <v>28</v>
      </c>
      <c r="J564">
        <v>38520</v>
      </c>
      <c r="K564">
        <v>211</v>
      </c>
      <c r="L564" t="s">
        <v>21</v>
      </c>
      <c r="M564" s="1">
        <v>44956</v>
      </c>
      <c r="N564" t="s">
        <v>67</v>
      </c>
      <c r="O564" t="s">
        <v>43</v>
      </c>
      <c r="P564" t="str">
        <f t="shared" si="180"/>
        <v>P0563</v>
      </c>
      <c r="Q564" t="str">
        <f t="shared" si="176"/>
        <v>Endocrinology</v>
      </c>
      <c r="R564">
        <f t="shared" si="177"/>
        <v>20</v>
      </c>
      <c r="S564" t="str">
        <f t="shared" ca="1" si="181"/>
        <v>No</v>
      </c>
      <c r="T564" t="str">
        <f t="shared" ca="1" si="182"/>
        <v>Moderate</v>
      </c>
      <c r="U564" t="str">
        <f t="shared" ca="1" si="183"/>
        <v>Semi-Private</v>
      </c>
      <c r="V564" t="str">
        <f t="shared" si="184"/>
        <v>BED0563</v>
      </c>
      <c r="W564" t="str">
        <f t="shared" ca="1" si="185"/>
        <v>General</v>
      </c>
      <c r="X564" t="str">
        <f t="shared" si="186"/>
        <v>NUR013</v>
      </c>
      <c r="Y564" t="str">
        <f t="shared" ca="1" si="187"/>
        <v>Evening</v>
      </c>
      <c r="Z564" t="str">
        <f t="shared" ca="1" si="188"/>
        <v>MRI Scanner</v>
      </c>
      <c r="AA564" t="str">
        <f t="shared" ca="1" si="189"/>
        <v>Maintenance</v>
      </c>
      <c r="AB564" t="str">
        <f t="shared" ca="1" si="190"/>
        <v>Pending</v>
      </c>
      <c r="AC564" t="str">
        <f t="shared" ca="1" si="191"/>
        <v>Cash</v>
      </c>
      <c r="AD564" t="str">
        <f t="shared" ca="1" si="192"/>
        <v>Yes</v>
      </c>
      <c r="AE564" t="str">
        <f t="shared" ca="1" si="193"/>
        <v>No</v>
      </c>
      <c r="AF564" t="str">
        <f t="shared" ca="1" si="194"/>
        <v>Transferred</v>
      </c>
      <c r="AG564" t="str">
        <f t="shared" ca="1" si="195"/>
        <v>Northeast</v>
      </c>
      <c r="AH564" t="str">
        <f t="shared" si="178"/>
        <v>January</v>
      </c>
      <c r="AI564">
        <f t="shared" si="179"/>
        <v>2023</v>
      </c>
      <c r="AJ564" t="str">
        <f t="shared" ca="1" si="196"/>
        <v>Occupied</v>
      </c>
      <c r="AK564">
        <f t="shared" ca="1" si="197"/>
        <v>2</v>
      </c>
    </row>
    <row r="565" spans="1:37" x14ac:dyDescent="0.3">
      <c r="A565" t="s">
        <v>4993</v>
      </c>
      <c r="B565">
        <v>49</v>
      </c>
      <c r="C565" t="s">
        <v>15</v>
      </c>
      <c r="D565" t="s">
        <v>98</v>
      </c>
      <c r="E565" t="s">
        <v>17</v>
      </c>
      <c r="F565" s="1">
        <v>43933</v>
      </c>
      <c r="G565" t="s">
        <v>1168</v>
      </c>
      <c r="H565" t="s">
        <v>1169</v>
      </c>
      <c r="I565" t="s">
        <v>57</v>
      </c>
      <c r="J565">
        <v>44411</v>
      </c>
      <c r="K565">
        <v>103</v>
      </c>
      <c r="L565" t="s">
        <v>21</v>
      </c>
      <c r="M565" s="1">
        <v>43955</v>
      </c>
      <c r="N565" t="s">
        <v>37</v>
      </c>
      <c r="O565" t="s">
        <v>23</v>
      </c>
      <c r="P565" t="str">
        <f t="shared" si="180"/>
        <v>P0564</v>
      </c>
      <c r="Q565" t="str">
        <f t="shared" si="176"/>
        <v>Oncology</v>
      </c>
      <c r="R565">
        <f t="shared" si="177"/>
        <v>22</v>
      </c>
      <c r="S565" t="str">
        <f t="shared" ca="1" si="181"/>
        <v>No</v>
      </c>
      <c r="T565" t="str">
        <f t="shared" ca="1" si="182"/>
        <v>Mild</v>
      </c>
      <c r="U565" t="str">
        <f t="shared" ca="1" si="183"/>
        <v>Private Ward</v>
      </c>
      <c r="V565" t="str">
        <f t="shared" si="184"/>
        <v>BED0564</v>
      </c>
      <c r="W565" t="str">
        <f t="shared" ca="1" si="185"/>
        <v>Private</v>
      </c>
      <c r="X565" t="str">
        <f t="shared" si="186"/>
        <v>NUR014</v>
      </c>
      <c r="Y565" t="str">
        <f t="shared" ca="1" si="187"/>
        <v>Morning</v>
      </c>
      <c r="Z565" t="str">
        <f t="shared" ca="1" si="188"/>
        <v>Ultrasound</v>
      </c>
      <c r="AA565" t="str">
        <f t="shared" ca="1" si="189"/>
        <v>In Use</v>
      </c>
      <c r="AB565" t="str">
        <f t="shared" ca="1" si="190"/>
        <v>Partially Paid</v>
      </c>
      <c r="AC565" t="str">
        <f t="shared" ca="1" si="191"/>
        <v>Bank Transfer</v>
      </c>
      <c r="AD565" t="str">
        <f t="shared" ca="1" si="192"/>
        <v>Yes</v>
      </c>
      <c r="AE565" t="str">
        <f t="shared" ca="1" si="193"/>
        <v>No</v>
      </c>
      <c r="AF565" t="str">
        <f t="shared" ca="1" si="194"/>
        <v>Recovered</v>
      </c>
      <c r="AG565" t="str">
        <f t="shared" ca="1" si="195"/>
        <v>Northeast</v>
      </c>
      <c r="AH565" t="str">
        <f t="shared" si="178"/>
        <v>April</v>
      </c>
      <c r="AI565">
        <f t="shared" si="179"/>
        <v>2020</v>
      </c>
      <c r="AJ565" t="str">
        <f t="shared" ca="1" si="196"/>
        <v>Occupied</v>
      </c>
      <c r="AK565">
        <f t="shared" ca="1" si="197"/>
        <v>2</v>
      </c>
    </row>
    <row r="566" spans="1:37" x14ac:dyDescent="0.3">
      <c r="A566" t="s">
        <v>4994</v>
      </c>
      <c r="B566">
        <v>73</v>
      </c>
      <c r="C566" t="s">
        <v>15</v>
      </c>
      <c r="D566" t="s">
        <v>16</v>
      </c>
      <c r="E566" t="s">
        <v>76</v>
      </c>
      <c r="F566" s="1">
        <v>44155</v>
      </c>
      <c r="G566" t="s">
        <v>1170</v>
      </c>
      <c r="H566" t="s">
        <v>1171</v>
      </c>
      <c r="I566" t="s">
        <v>36</v>
      </c>
      <c r="J566">
        <v>26044</v>
      </c>
      <c r="K566">
        <v>101</v>
      </c>
      <c r="L566" t="s">
        <v>21</v>
      </c>
      <c r="M566" s="1">
        <v>44180</v>
      </c>
      <c r="N566" t="s">
        <v>37</v>
      </c>
      <c r="O566" t="s">
        <v>31</v>
      </c>
      <c r="P566" t="str">
        <f t="shared" si="180"/>
        <v>P0565</v>
      </c>
      <c r="Q566" t="str">
        <f t="shared" si="176"/>
        <v>Orthopedics</v>
      </c>
      <c r="R566">
        <f t="shared" si="177"/>
        <v>25</v>
      </c>
      <c r="S566" t="str">
        <f t="shared" ca="1" si="181"/>
        <v>No</v>
      </c>
      <c r="T566" t="str">
        <f t="shared" ca="1" si="182"/>
        <v>Moderate</v>
      </c>
      <c r="U566" t="str">
        <f t="shared" ca="1" si="183"/>
        <v>Semi-Private</v>
      </c>
      <c r="V566" t="str">
        <f t="shared" si="184"/>
        <v>BED0565</v>
      </c>
      <c r="W566" t="str">
        <f t="shared" ca="1" si="185"/>
        <v>General</v>
      </c>
      <c r="X566" t="str">
        <f t="shared" si="186"/>
        <v>NUR015</v>
      </c>
      <c r="Y566" t="str">
        <f t="shared" ca="1" si="187"/>
        <v>Night</v>
      </c>
      <c r="Z566" t="str">
        <f t="shared" ca="1" si="188"/>
        <v>CT Scanner</v>
      </c>
      <c r="AA566" t="str">
        <f t="shared" ca="1" si="189"/>
        <v>In Use</v>
      </c>
      <c r="AB566" t="str">
        <f t="shared" ca="1" si="190"/>
        <v>Paid</v>
      </c>
      <c r="AC566" t="str">
        <f t="shared" ca="1" si="191"/>
        <v>Debit Card</v>
      </c>
      <c r="AD566" t="str">
        <f t="shared" ca="1" si="192"/>
        <v>Yes</v>
      </c>
      <c r="AE566" t="str">
        <f t="shared" ca="1" si="193"/>
        <v>No</v>
      </c>
      <c r="AF566" t="str">
        <f t="shared" ca="1" si="194"/>
        <v>Under Observation</v>
      </c>
      <c r="AG566" t="str">
        <f t="shared" ca="1" si="195"/>
        <v>Southeast</v>
      </c>
      <c r="AH566" t="str">
        <f t="shared" si="178"/>
        <v>November</v>
      </c>
      <c r="AI566">
        <f t="shared" si="179"/>
        <v>2020</v>
      </c>
      <c r="AJ566" t="str">
        <f t="shared" ca="1" si="196"/>
        <v>Occupied</v>
      </c>
      <c r="AK566">
        <f t="shared" ca="1" si="197"/>
        <v>2</v>
      </c>
    </row>
    <row r="567" spans="1:37" x14ac:dyDescent="0.3">
      <c r="A567" t="s">
        <v>4995</v>
      </c>
      <c r="B567">
        <v>69</v>
      </c>
      <c r="C567" t="s">
        <v>15</v>
      </c>
      <c r="D567" t="s">
        <v>52</v>
      </c>
      <c r="E567" t="s">
        <v>64</v>
      </c>
      <c r="F567" s="1">
        <v>45408</v>
      </c>
      <c r="G567" t="s">
        <v>1172</v>
      </c>
      <c r="H567" t="s">
        <v>1173</v>
      </c>
      <c r="I567" t="s">
        <v>36</v>
      </c>
      <c r="J567">
        <v>7902</v>
      </c>
      <c r="K567">
        <v>419</v>
      </c>
      <c r="L567" t="s">
        <v>29</v>
      </c>
      <c r="M567" s="1">
        <v>45436</v>
      </c>
      <c r="N567" t="s">
        <v>30</v>
      </c>
      <c r="O567" t="s">
        <v>43</v>
      </c>
      <c r="P567" t="str">
        <f t="shared" si="180"/>
        <v>P0566</v>
      </c>
      <c r="Q567" t="str">
        <f t="shared" si="176"/>
        <v>Cardiology</v>
      </c>
      <c r="R567">
        <f t="shared" si="177"/>
        <v>28</v>
      </c>
      <c r="S567" t="str">
        <f t="shared" ca="1" si="181"/>
        <v>Yes</v>
      </c>
      <c r="T567" t="str">
        <f t="shared" ca="1" si="182"/>
        <v>Moderate</v>
      </c>
      <c r="U567" t="str">
        <f t="shared" ca="1" si="183"/>
        <v>General Ward</v>
      </c>
      <c r="V567" t="str">
        <f t="shared" si="184"/>
        <v>BED0566</v>
      </c>
      <c r="W567" t="str">
        <f t="shared" ca="1" si="185"/>
        <v>ICU</v>
      </c>
      <c r="X567" t="str">
        <f t="shared" si="186"/>
        <v>NUR016</v>
      </c>
      <c r="Y567" t="str">
        <f t="shared" ca="1" si="187"/>
        <v>Night</v>
      </c>
      <c r="Z567" t="str">
        <f t="shared" ca="1" si="188"/>
        <v>CT Scanner</v>
      </c>
      <c r="AA567" t="str">
        <f t="shared" ca="1" si="189"/>
        <v>Available</v>
      </c>
      <c r="AB567" t="str">
        <f t="shared" ca="1" si="190"/>
        <v>Partially Paid</v>
      </c>
      <c r="AC567" t="str">
        <f t="shared" ca="1" si="191"/>
        <v>Credit Card</v>
      </c>
      <c r="AD567" t="str">
        <f t="shared" ca="1" si="192"/>
        <v>No</v>
      </c>
      <c r="AE567" t="str">
        <f t="shared" ca="1" si="193"/>
        <v>No</v>
      </c>
      <c r="AF567" t="str">
        <f t="shared" ca="1" si="194"/>
        <v>Transferred</v>
      </c>
      <c r="AG567" t="str">
        <f t="shared" ca="1" si="195"/>
        <v>Midwest</v>
      </c>
      <c r="AH567" t="str">
        <f t="shared" si="178"/>
        <v>April</v>
      </c>
      <c r="AI567">
        <f t="shared" si="179"/>
        <v>2024</v>
      </c>
      <c r="AJ567" t="str">
        <f t="shared" ca="1" si="196"/>
        <v>Occupied</v>
      </c>
      <c r="AK567">
        <f t="shared" ca="1" si="197"/>
        <v>4</v>
      </c>
    </row>
    <row r="568" spans="1:37" x14ac:dyDescent="0.3">
      <c r="A568" t="s">
        <v>4996</v>
      </c>
      <c r="B568">
        <v>51</v>
      </c>
      <c r="C568" t="s">
        <v>32</v>
      </c>
      <c r="D568" t="s">
        <v>24</v>
      </c>
      <c r="E568" t="s">
        <v>64</v>
      </c>
      <c r="F568" s="1">
        <v>45106</v>
      </c>
      <c r="G568" t="s">
        <v>1174</v>
      </c>
      <c r="H568" t="s">
        <v>1175</v>
      </c>
      <c r="I568" t="s">
        <v>28</v>
      </c>
      <c r="J568">
        <v>46246</v>
      </c>
      <c r="K568">
        <v>455</v>
      </c>
      <c r="L568" t="s">
        <v>21</v>
      </c>
      <c r="M568" s="1">
        <v>45114</v>
      </c>
      <c r="N568" t="s">
        <v>22</v>
      </c>
      <c r="O568" t="s">
        <v>43</v>
      </c>
      <c r="P568" t="str">
        <f t="shared" si="180"/>
        <v>P0567</v>
      </c>
      <c r="Q568" t="str">
        <f t="shared" si="176"/>
        <v>Cardiology</v>
      </c>
      <c r="R568">
        <f t="shared" si="177"/>
        <v>8</v>
      </c>
      <c r="S568" t="str">
        <f t="shared" ca="1" si="181"/>
        <v>No</v>
      </c>
      <c r="T568" t="str">
        <f t="shared" ca="1" si="182"/>
        <v>Mild</v>
      </c>
      <c r="U568" t="str">
        <f t="shared" ca="1" si="183"/>
        <v>Private Ward</v>
      </c>
      <c r="V568" t="str">
        <f t="shared" si="184"/>
        <v>BED0567</v>
      </c>
      <c r="W568" t="str">
        <f t="shared" ca="1" si="185"/>
        <v>General</v>
      </c>
      <c r="X568" t="str">
        <f t="shared" si="186"/>
        <v>NUR017</v>
      </c>
      <c r="Y568" t="str">
        <f t="shared" ca="1" si="187"/>
        <v>Morning</v>
      </c>
      <c r="Z568" t="str">
        <f t="shared" ca="1" si="188"/>
        <v>MRI Scanner</v>
      </c>
      <c r="AA568" t="str">
        <f t="shared" ca="1" si="189"/>
        <v>Maintenance</v>
      </c>
      <c r="AB568" t="str">
        <f t="shared" ca="1" si="190"/>
        <v>Partially Paid</v>
      </c>
      <c r="AC568" t="str">
        <f t="shared" ca="1" si="191"/>
        <v>Debit Card</v>
      </c>
      <c r="AD568" t="str">
        <f t="shared" ca="1" si="192"/>
        <v>Yes</v>
      </c>
      <c r="AE568" t="str">
        <f t="shared" ca="1" si="193"/>
        <v>No</v>
      </c>
      <c r="AF568" t="str">
        <f t="shared" ca="1" si="194"/>
        <v>Under Observation</v>
      </c>
      <c r="AG568" t="str">
        <f t="shared" ca="1" si="195"/>
        <v>West Coast</v>
      </c>
      <c r="AH568" t="str">
        <f t="shared" si="178"/>
        <v>June</v>
      </c>
      <c r="AI568">
        <f t="shared" si="179"/>
        <v>2023</v>
      </c>
      <c r="AJ568" t="str">
        <f t="shared" ca="1" si="196"/>
        <v>Occupied</v>
      </c>
      <c r="AK568">
        <f t="shared" ca="1" si="197"/>
        <v>1</v>
      </c>
    </row>
    <row r="569" spans="1:37" x14ac:dyDescent="0.3">
      <c r="A569" t="s">
        <v>4997</v>
      </c>
      <c r="B569">
        <v>66</v>
      </c>
      <c r="C569" t="s">
        <v>15</v>
      </c>
      <c r="D569" t="s">
        <v>38</v>
      </c>
      <c r="E569" t="s">
        <v>39</v>
      </c>
      <c r="F569" s="1">
        <v>43841</v>
      </c>
      <c r="G569" t="s">
        <v>1176</v>
      </c>
      <c r="H569" t="s">
        <v>1177</v>
      </c>
      <c r="I569" t="s">
        <v>36</v>
      </c>
      <c r="J569">
        <v>40449</v>
      </c>
      <c r="K569">
        <v>497</v>
      </c>
      <c r="L569" t="s">
        <v>29</v>
      </c>
      <c r="M569" s="1">
        <v>43868</v>
      </c>
      <c r="N569" t="s">
        <v>22</v>
      </c>
      <c r="O569" t="s">
        <v>43</v>
      </c>
      <c r="P569" t="str">
        <f t="shared" si="180"/>
        <v>P0568</v>
      </c>
      <c r="Q569" t="str">
        <f t="shared" si="176"/>
        <v>Endocrinology</v>
      </c>
      <c r="R569">
        <f t="shared" si="177"/>
        <v>27</v>
      </c>
      <c r="S569" t="str">
        <f t="shared" ca="1" si="181"/>
        <v>No</v>
      </c>
      <c r="T569" t="str">
        <f t="shared" ca="1" si="182"/>
        <v>Severe</v>
      </c>
      <c r="U569" t="str">
        <f t="shared" ca="1" si="183"/>
        <v>Emergency</v>
      </c>
      <c r="V569" t="str">
        <f t="shared" si="184"/>
        <v>BED0568</v>
      </c>
      <c r="W569" t="str">
        <f t="shared" ca="1" si="185"/>
        <v>ICU</v>
      </c>
      <c r="X569" t="str">
        <f t="shared" si="186"/>
        <v>NUR018</v>
      </c>
      <c r="Y569" t="str">
        <f t="shared" ca="1" si="187"/>
        <v>Evening</v>
      </c>
      <c r="Z569" t="str">
        <f t="shared" ca="1" si="188"/>
        <v>ECG Machine</v>
      </c>
      <c r="AA569" t="str">
        <f t="shared" ca="1" si="189"/>
        <v>In Use</v>
      </c>
      <c r="AB569" t="str">
        <f t="shared" ca="1" si="190"/>
        <v>Paid</v>
      </c>
      <c r="AC569" t="str">
        <f t="shared" ca="1" si="191"/>
        <v>Credit Card</v>
      </c>
      <c r="AD569" t="str">
        <f t="shared" ca="1" si="192"/>
        <v>No</v>
      </c>
      <c r="AE569" t="str">
        <f t="shared" ca="1" si="193"/>
        <v>Yes</v>
      </c>
      <c r="AF569" t="str">
        <f t="shared" ca="1" si="194"/>
        <v>Under Observation</v>
      </c>
      <c r="AG569" t="str">
        <f t="shared" ca="1" si="195"/>
        <v>West Coast</v>
      </c>
      <c r="AH569" t="str">
        <f t="shared" si="178"/>
        <v>January</v>
      </c>
      <c r="AI569">
        <f t="shared" si="179"/>
        <v>2020</v>
      </c>
      <c r="AJ569" t="str">
        <f t="shared" ca="1" si="196"/>
        <v>Occupied</v>
      </c>
      <c r="AK569">
        <f t="shared" ca="1" si="197"/>
        <v>1</v>
      </c>
    </row>
    <row r="570" spans="1:37" x14ac:dyDescent="0.3">
      <c r="A570" t="s">
        <v>4998</v>
      </c>
      <c r="B570">
        <v>38</v>
      </c>
      <c r="C570" t="s">
        <v>32</v>
      </c>
      <c r="D570" t="s">
        <v>98</v>
      </c>
      <c r="E570" t="s">
        <v>76</v>
      </c>
      <c r="F570" s="1">
        <v>44717</v>
      </c>
      <c r="G570" t="s">
        <v>1178</v>
      </c>
      <c r="H570" t="s">
        <v>1179</v>
      </c>
      <c r="I570" t="s">
        <v>28</v>
      </c>
      <c r="J570">
        <v>20915</v>
      </c>
      <c r="K570">
        <v>276</v>
      </c>
      <c r="L570" t="s">
        <v>42</v>
      </c>
      <c r="M570" s="1">
        <v>44727</v>
      </c>
      <c r="N570" t="s">
        <v>22</v>
      </c>
      <c r="O570" t="s">
        <v>23</v>
      </c>
      <c r="P570" t="str">
        <f t="shared" si="180"/>
        <v>P0569</v>
      </c>
      <c r="Q570" t="str">
        <f t="shared" si="176"/>
        <v>Orthopedics</v>
      </c>
      <c r="R570">
        <f t="shared" si="177"/>
        <v>10</v>
      </c>
      <c r="S570" t="str">
        <f t="shared" ca="1" si="181"/>
        <v>No</v>
      </c>
      <c r="T570" t="str">
        <f t="shared" ca="1" si="182"/>
        <v>Critical</v>
      </c>
      <c r="U570" t="str">
        <f t="shared" ca="1" si="183"/>
        <v>Emergency</v>
      </c>
      <c r="V570" t="str">
        <f t="shared" si="184"/>
        <v>BED0569</v>
      </c>
      <c r="W570" t="str">
        <f t="shared" ca="1" si="185"/>
        <v>Private</v>
      </c>
      <c r="X570" t="str">
        <f t="shared" si="186"/>
        <v>NUR019</v>
      </c>
      <c r="Y570" t="str">
        <f t="shared" ca="1" si="187"/>
        <v>Evening</v>
      </c>
      <c r="Z570" t="str">
        <f t="shared" ca="1" si="188"/>
        <v>ECG Machine</v>
      </c>
      <c r="AA570" t="str">
        <f t="shared" ca="1" si="189"/>
        <v>Available</v>
      </c>
      <c r="AB570" t="str">
        <f t="shared" ca="1" si="190"/>
        <v>Pending</v>
      </c>
      <c r="AC570" t="str">
        <f t="shared" ca="1" si="191"/>
        <v>Credit Card</v>
      </c>
      <c r="AD570" t="str">
        <f t="shared" ca="1" si="192"/>
        <v>No</v>
      </c>
      <c r="AE570" t="str">
        <f t="shared" ca="1" si="193"/>
        <v>No</v>
      </c>
      <c r="AF570" t="str">
        <f t="shared" ca="1" si="194"/>
        <v>Transferred</v>
      </c>
      <c r="AG570" t="str">
        <f t="shared" ca="1" si="195"/>
        <v>Midwest</v>
      </c>
      <c r="AH570" t="str">
        <f t="shared" si="178"/>
        <v>June</v>
      </c>
      <c r="AI570">
        <f t="shared" si="179"/>
        <v>2022</v>
      </c>
      <c r="AJ570" t="str">
        <f t="shared" ca="1" si="196"/>
        <v>Vacant</v>
      </c>
      <c r="AK570">
        <f t="shared" ca="1" si="197"/>
        <v>2</v>
      </c>
    </row>
    <row r="571" spans="1:37" x14ac:dyDescent="0.3">
      <c r="A571" t="s">
        <v>4999</v>
      </c>
      <c r="B571">
        <v>33</v>
      </c>
      <c r="C571" t="s">
        <v>15</v>
      </c>
      <c r="D571" t="s">
        <v>38</v>
      </c>
      <c r="E571" t="s">
        <v>48</v>
      </c>
      <c r="F571" s="1">
        <v>45319</v>
      </c>
      <c r="G571" t="s">
        <v>1180</v>
      </c>
      <c r="H571" t="s">
        <v>1181</v>
      </c>
      <c r="I571" t="s">
        <v>28</v>
      </c>
      <c r="J571">
        <v>46682</v>
      </c>
      <c r="K571">
        <v>385</v>
      </c>
      <c r="L571" t="s">
        <v>42</v>
      </c>
      <c r="M571" s="1">
        <v>45344</v>
      </c>
      <c r="N571" t="s">
        <v>22</v>
      </c>
      <c r="O571" t="s">
        <v>31</v>
      </c>
      <c r="P571" t="str">
        <f t="shared" si="180"/>
        <v>P0570</v>
      </c>
      <c r="Q571" t="str">
        <f t="shared" si="176"/>
        <v>Pulmonology</v>
      </c>
      <c r="R571">
        <f t="shared" si="177"/>
        <v>25</v>
      </c>
      <c r="S571" t="str">
        <f t="shared" ca="1" si="181"/>
        <v>No</v>
      </c>
      <c r="T571" t="str">
        <f t="shared" ca="1" si="182"/>
        <v>Critical</v>
      </c>
      <c r="U571" t="str">
        <f t="shared" ca="1" si="183"/>
        <v>Private Ward</v>
      </c>
      <c r="V571" t="str">
        <f t="shared" si="184"/>
        <v>BED0570</v>
      </c>
      <c r="W571" t="str">
        <f t="shared" ca="1" si="185"/>
        <v>ICU</v>
      </c>
      <c r="X571" t="str">
        <f t="shared" si="186"/>
        <v>NUR020</v>
      </c>
      <c r="Y571" t="str">
        <f t="shared" ca="1" si="187"/>
        <v>Evening</v>
      </c>
      <c r="Z571" t="str">
        <f t="shared" ca="1" si="188"/>
        <v>MRI Scanner</v>
      </c>
      <c r="AA571" t="str">
        <f t="shared" ca="1" si="189"/>
        <v>Maintenance</v>
      </c>
      <c r="AB571" t="str">
        <f t="shared" ca="1" si="190"/>
        <v>Pending</v>
      </c>
      <c r="AC571" t="str">
        <f t="shared" ca="1" si="191"/>
        <v>Cash</v>
      </c>
      <c r="AD571" t="str">
        <f t="shared" ca="1" si="192"/>
        <v>No</v>
      </c>
      <c r="AE571" t="str">
        <f t="shared" ca="1" si="193"/>
        <v>No</v>
      </c>
      <c r="AF571" t="str">
        <f t="shared" ca="1" si="194"/>
        <v>Under Observation</v>
      </c>
      <c r="AG571" t="str">
        <f t="shared" ca="1" si="195"/>
        <v>Northeast</v>
      </c>
      <c r="AH571" t="str">
        <f t="shared" si="178"/>
        <v>January</v>
      </c>
      <c r="AI571">
        <f t="shared" si="179"/>
        <v>2024</v>
      </c>
      <c r="AJ571" t="str">
        <f t="shared" ca="1" si="196"/>
        <v>Vacant</v>
      </c>
      <c r="AK571">
        <f t="shared" ca="1" si="197"/>
        <v>2</v>
      </c>
    </row>
    <row r="572" spans="1:37" x14ac:dyDescent="0.3">
      <c r="A572" t="s">
        <v>5000</v>
      </c>
      <c r="B572">
        <v>27</v>
      </c>
      <c r="C572" t="s">
        <v>15</v>
      </c>
      <c r="D572" t="s">
        <v>16</v>
      </c>
      <c r="E572" t="s">
        <v>17</v>
      </c>
      <c r="F572" s="1">
        <v>44506</v>
      </c>
      <c r="G572" t="s">
        <v>1182</v>
      </c>
      <c r="H572" t="s">
        <v>1183</v>
      </c>
      <c r="I572" t="s">
        <v>51</v>
      </c>
      <c r="J572">
        <v>10966</v>
      </c>
      <c r="K572">
        <v>298</v>
      </c>
      <c r="L572" t="s">
        <v>42</v>
      </c>
      <c r="M572" s="1">
        <v>44507</v>
      </c>
      <c r="N572" t="s">
        <v>47</v>
      </c>
      <c r="O572" t="s">
        <v>23</v>
      </c>
      <c r="P572" t="str">
        <f t="shared" si="180"/>
        <v>P0571</v>
      </c>
      <c r="Q572" t="str">
        <f t="shared" si="176"/>
        <v>Oncology</v>
      </c>
      <c r="R572">
        <f t="shared" si="177"/>
        <v>1</v>
      </c>
      <c r="S572" t="str">
        <f t="shared" ca="1" si="181"/>
        <v>No</v>
      </c>
      <c r="T572" t="str">
        <f t="shared" ca="1" si="182"/>
        <v>Mild</v>
      </c>
      <c r="U572" t="str">
        <f t="shared" ca="1" si="183"/>
        <v>Semi-Private</v>
      </c>
      <c r="V572" t="str">
        <f t="shared" si="184"/>
        <v>BED0571</v>
      </c>
      <c r="W572" t="str">
        <f t="shared" ca="1" si="185"/>
        <v>Private</v>
      </c>
      <c r="X572" t="str">
        <f t="shared" si="186"/>
        <v>NUR021</v>
      </c>
      <c r="Y572" t="str">
        <f t="shared" ca="1" si="187"/>
        <v>Morning</v>
      </c>
      <c r="Z572" t="str">
        <f t="shared" ca="1" si="188"/>
        <v>Ventilator</v>
      </c>
      <c r="AA572" t="str">
        <f t="shared" ca="1" si="189"/>
        <v>Available</v>
      </c>
      <c r="AB572" t="str">
        <f t="shared" ca="1" si="190"/>
        <v>Pending</v>
      </c>
      <c r="AC572" t="str">
        <f t="shared" ca="1" si="191"/>
        <v>Debit Card</v>
      </c>
      <c r="AD572" t="str">
        <f t="shared" ca="1" si="192"/>
        <v>No</v>
      </c>
      <c r="AE572" t="str">
        <f t="shared" ca="1" si="193"/>
        <v>No</v>
      </c>
      <c r="AF572" t="str">
        <f t="shared" ca="1" si="194"/>
        <v>Under Observation</v>
      </c>
      <c r="AG572" t="str">
        <f t="shared" ca="1" si="195"/>
        <v>Northeast</v>
      </c>
      <c r="AH572" t="str">
        <f t="shared" si="178"/>
        <v>November</v>
      </c>
      <c r="AI572">
        <f t="shared" si="179"/>
        <v>2021</v>
      </c>
      <c r="AJ572" t="str">
        <f t="shared" ca="1" si="196"/>
        <v>Occupied</v>
      </c>
      <c r="AK572">
        <f t="shared" ca="1" si="197"/>
        <v>2</v>
      </c>
    </row>
    <row r="573" spans="1:37" x14ac:dyDescent="0.3">
      <c r="A573" t="s">
        <v>5001</v>
      </c>
      <c r="B573">
        <v>36</v>
      </c>
      <c r="C573" t="s">
        <v>15</v>
      </c>
      <c r="D573" t="s">
        <v>16</v>
      </c>
      <c r="E573" t="s">
        <v>17</v>
      </c>
      <c r="F573" s="1">
        <v>44398</v>
      </c>
      <c r="G573" t="s">
        <v>1184</v>
      </c>
      <c r="H573" t="s">
        <v>1185</v>
      </c>
      <c r="I573" t="s">
        <v>36</v>
      </c>
      <c r="J573">
        <v>27507</v>
      </c>
      <c r="K573">
        <v>286</v>
      </c>
      <c r="L573" t="s">
        <v>29</v>
      </c>
      <c r="M573" s="1">
        <v>44408</v>
      </c>
      <c r="N573" t="s">
        <v>30</v>
      </c>
      <c r="O573" t="s">
        <v>23</v>
      </c>
      <c r="P573" t="str">
        <f t="shared" si="180"/>
        <v>P0572</v>
      </c>
      <c r="Q573" t="str">
        <f t="shared" si="176"/>
        <v>Oncology</v>
      </c>
      <c r="R573">
        <f t="shared" si="177"/>
        <v>10</v>
      </c>
      <c r="S573" t="str">
        <f t="shared" ca="1" si="181"/>
        <v>No</v>
      </c>
      <c r="T573" t="str">
        <f t="shared" ca="1" si="182"/>
        <v>Critical</v>
      </c>
      <c r="U573" t="str">
        <f t="shared" ca="1" si="183"/>
        <v>ICU</v>
      </c>
      <c r="V573" t="str">
        <f t="shared" si="184"/>
        <v>BED0572</v>
      </c>
      <c r="W573" t="str">
        <f t="shared" ca="1" si="185"/>
        <v>General</v>
      </c>
      <c r="X573" t="str">
        <f t="shared" si="186"/>
        <v>NUR022</v>
      </c>
      <c r="Y573" t="str">
        <f t="shared" ca="1" si="187"/>
        <v>Evening</v>
      </c>
      <c r="Z573" t="str">
        <f t="shared" ca="1" si="188"/>
        <v>Ventilator</v>
      </c>
      <c r="AA573" t="str">
        <f t="shared" ca="1" si="189"/>
        <v>Available</v>
      </c>
      <c r="AB573" t="str">
        <f t="shared" ca="1" si="190"/>
        <v>Paid</v>
      </c>
      <c r="AC573" t="str">
        <f t="shared" ca="1" si="191"/>
        <v>Cash</v>
      </c>
      <c r="AD573" t="str">
        <f t="shared" ca="1" si="192"/>
        <v>No</v>
      </c>
      <c r="AE573" t="str">
        <f t="shared" ca="1" si="193"/>
        <v>No</v>
      </c>
      <c r="AF573" t="str">
        <f t="shared" ca="1" si="194"/>
        <v>Transferred</v>
      </c>
      <c r="AG573" t="str">
        <f t="shared" ca="1" si="195"/>
        <v>Southeast</v>
      </c>
      <c r="AH573" t="str">
        <f t="shared" si="178"/>
        <v>July</v>
      </c>
      <c r="AI573">
        <f t="shared" si="179"/>
        <v>2021</v>
      </c>
      <c r="AJ573" t="str">
        <f t="shared" ca="1" si="196"/>
        <v>Occupied</v>
      </c>
      <c r="AK573">
        <f t="shared" ca="1" si="197"/>
        <v>1</v>
      </c>
    </row>
    <row r="574" spans="1:37" x14ac:dyDescent="0.3">
      <c r="A574" t="s">
        <v>5002</v>
      </c>
      <c r="B574">
        <v>41</v>
      </c>
      <c r="C574" t="s">
        <v>15</v>
      </c>
      <c r="D574" t="s">
        <v>33</v>
      </c>
      <c r="E574" t="s">
        <v>17</v>
      </c>
      <c r="F574" s="1">
        <v>43792</v>
      </c>
      <c r="G574" t="s">
        <v>1186</v>
      </c>
      <c r="H574" t="s">
        <v>1187</v>
      </c>
      <c r="I574" t="s">
        <v>51</v>
      </c>
      <c r="J574">
        <v>12678</v>
      </c>
      <c r="K574">
        <v>141</v>
      </c>
      <c r="L574" t="s">
        <v>21</v>
      </c>
      <c r="M574" s="1">
        <v>43805</v>
      </c>
      <c r="N574" t="s">
        <v>47</v>
      </c>
      <c r="O574" t="s">
        <v>23</v>
      </c>
      <c r="P574" t="str">
        <f t="shared" si="180"/>
        <v>P0573</v>
      </c>
      <c r="Q574" t="str">
        <f t="shared" si="176"/>
        <v>Oncology</v>
      </c>
      <c r="R574">
        <f t="shared" si="177"/>
        <v>13</v>
      </c>
      <c r="S574" t="str">
        <f t="shared" ca="1" si="181"/>
        <v>No</v>
      </c>
      <c r="T574" t="str">
        <f t="shared" ca="1" si="182"/>
        <v>Moderate</v>
      </c>
      <c r="U574" t="str">
        <f t="shared" ca="1" si="183"/>
        <v>Semi-Private</v>
      </c>
      <c r="V574" t="str">
        <f t="shared" si="184"/>
        <v>BED0573</v>
      </c>
      <c r="W574" t="str">
        <f t="shared" ca="1" si="185"/>
        <v>Private</v>
      </c>
      <c r="X574" t="str">
        <f t="shared" si="186"/>
        <v>NUR023</v>
      </c>
      <c r="Y574" t="str">
        <f t="shared" ca="1" si="187"/>
        <v>Morning</v>
      </c>
      <c r="Z574" t="str">
        <f t="shared" ca="1" si="188"/>
        <v>CT Scanner</v>
      </c>
      <c r="AA574" t="str">
        <f t="shared" ca="1" si="189"/>
        <v>Maintenance</v>
      </c>
      <c r="AB574" t="str">
        <f t="shared" ca="1" si="190"/>
        <v>Pending</v>
      </c>
      <c r="AC574" t="str">
        <f t="shared" ca="1" si="191"/>
        <v>Insurance</v>
      </c>
      <c r="AD574" t="str">
        <f t="shared" ca="1" si="192"/>
        <v>Yes</v>
      </c>
      <c r="AE574" t="str">
        <f t="shared" ca="1" si="193"/>
        <v>Yes</v>
      </c>
      <c r="AF574" t="str">
        <f t="shared" ca="1" si="194"/>
        <v>Under Observation</v>
      </c>
      <c r="AG574" t="str">
        <f t="shared" ca="1" si="195"/>
        <v>Southeast</v>
      </c>
      <c r="AH574" t="str">
        <f t="shared" si="178"/>
        <v>November</v>
      </c>
      <c r="AI574">
        <f t="shared" si="179"/>
        <v>2019</v>
      </c>
      <c r="AJ574" t="str">
        <f t="shared" ca="1" si="196"/>
        <v>Occupied</v>
      </c>
      <c r="AK574">
        <f t="shared" ca="1" si="197"/>
        <v>4</v>
      </c>
    </row>
    <row r="575" spans="1:37" x14ac:dyDescent="0.3">
      <c r="A575" t="s">
        <v>5003</v>
      </c>
      <c r="B575">
        <v>33</v>
      </c>
      <c r="C575" t="s">
        <v>15</v>
      </c>
      <c r="D575" t="s">
        <v>52</v>
      </c>
      <c r="E575" t="s">
        <v>48</v>
      </c>
      <c r="F575" s="1">
        <v>43615</v>
      </c>
      <c r="G575" t="s">
        <v>1188</v>
      </c>
      <c r="H575" t="s">
        <v>1189</v>
      </c>
      <c r="I575" t="s">
        <v>36</v>
      </c>
      <c r="J575">
        <v>38396</v>
      </c>
      <c r="K575">
        <v>215</v>
      </c>
      <c r="L575" t="s">
        <v>29</v>
      </c>
      <c r="M575" s="1">
        <v>43645</v>
      </c>
      <c r="N575" t="s">
        <v>30</v>
      </c>
      <c r="O575" t="s">
        <v>31</v>
      </c>
      <c r="P575" t="str">
        <f t="shared" si="180"/>
        <v>P0574</v>
      </c>
      <c r="Q575" t="str">
        <f t="shared" si="176"/>
        <v>Pulmonology</v>
      </c>
      <c r="R575">
        <f t="shared" si="177"/>
        <v>30</v>
      </c>
      <c r="S575" t="str">
        <f t="shared" ca="1" si="181"/>
        <v>No</v>
      </c>
      <c r="T575" t="str">
        <f t="shared" ca="1" si="182"/>
        <v>Moderate</v>
      </c>
      <c r="U575" t="str">
        <f t="shared" ca="1" si="183"/>
        <v>Emergency</v>
      </c>
      <c r="V575" t="str">
        <f t="shared" si="184"/>
        <v>BED0574</v>
      </c>
      <c r="W575" t="str">
        <f t="shared" ca="1" si="185"/>
        <v>Semi-Private</v>
      </c>
      <c r="X575" t="str">
        <f t="shared" si="186"/>
        <v>NUR024</v>
      </c>
      <c r="Y575" t="str">
        <f t="shared" ca="1" si="187"/>
        <v>Evening</v>
      </c>
      <c r="Z575" t="str">
        <f t="shared" ca="1" si="188"/>
        <v>CT Scanner</v>
      </c>
      <c r="AA575" t="str">
        <f t="shared" ca="1" si="189"/>
        <v>Available</v>
      </c>
      <c r="AB575" t="str">
        <f t="shared" ca="1" si="190"/>
        <v>Paid</v>
      </c>
      <c r="AC575" t="str">
        <f t="shared" ca="1" si="191"/>
        <v>Insurance</v>
      </c>
      <c r="AD575" t="str">
        <f t="shared" ca="1" si="192"/>
        <v>No</v>
      </c>
      <c r="AE575" t="str">
        <f t="shared" ca="1" si="193"/>
        <v>No</v>
      </c>
      <c r="AF575" t="str">
        <f t="shared" ca="1" si="194"/>
        <v>Under Observation</v>
      </c>
      <c r="AG575" t="str">
        <f t="shared" ca="1" si="195"/>
        <v>West Coast</v>
      </c>
      <c r="AH575" t="str">
        <f t="shared" si="178"/>
        <v>May</v>
      </c>
      <c r="AI575">
        <f t="shared" si="179"/>
        <v>2019</v>
      </c>
      <c r="AJ575" t="str">
        <f t="shared" ca="1" si="196"/>
        <v>Occupied</v>
      </c>
      <c r="AK575">
        <f t="shared" ca="1" si="197"/>
        <v>1</v>
      </c>
    </row>
    <row r="576" spans="1:37" x14ac:dyDescent="0.3">
      <c r="A576" t="s">
        <v>1227</v>
      </c>
      <c r="B576">
        <v>56</v>
      </c>
      <c r="C576" t="s">
        <v>32</v>
      </c>
      <c r="D576" t="s">
        <v>52</v>
      </c>
      <c r="E576" t="s">
        <v>48</v>
      </c>
      <c r="F576" s="1">
        <v>45374</v>
      </c>
      <c r="G576" t="s">
        <v>1190</v>
      </c>
      <c r="H576" t="s">
        <v>1191</v>
      </c>
      <c r="I576" t="s">
        <v>28</v>
      </c>
      <c r="J576">
        <v>28511</v>
      </c>
      <c r="K576">
        <v>185</v>
      </c>
      <c r="L576" t="s">
        <v>29</v>
      </c>
      <c r="M576" s="1">
        <v>45396</v>
      </c>
      <c r="N576" t="s">
        <v>67</v>
      </c>
      <c r="O576" t="s">
        <v>31</v>
      </c>
      <c r="P576" t="str">
        <f t="shared" si="180"/>
        <v>P0575</v>
      </c>
      <c r="Q576" t="str">
        <f t="shared" si="176"/>
        <v>Pulmonology</v>
      </c>
      <c r="R576">
        <f t="shared" si="177"/>
        <v>22</v>
      </c>
      <c r="S576" t="str">
        <f t="shared" ca="1" si="181"/>
        <v>No</v>
      </c>
      <c r="T576" t="str">
        <f t="shared" ca="1" si="182"/>
        <v>Mild</v>
      </c>
      <c r="U576" t="str">
        <f t="shared" ca="1" si="183"/>
        <v>ICU</v>
      </c>
      <c r="V576" t="str">
        <f t="shared" si="184"/>
        <v>BED0575</v>
      </c>
      <c r="W576" t="str">
        <f t="shared" ca="1" si="185"/>
        <v>General</v>
      </c>
      <c r="X576" t="str">
        <f t="shared" si="186"/>
        <v>NUR025</v>
      </c>
      <c r="Y576" t="str">
        <f t="shared" ca="1" si="187"/>
        <v>Night</v>
      </c>
      <c r="Z576" t="str">
        <f t="shared" ca="1" si="188"/>
        <v>CT Scanner</v>
      </c>
      <c r="AA576" t="str">
        <f t="shared" ca="1" si="189"/>
        <v>Maintenance</v>
      </c>
      <c r="AB576" t="str">
        <f t="shared" ca="1" si="190"/>
        <v>Pending</v>
      </c>
      <c r="AC576" t="str">
        <f t="shared" ca="1" si="191"/>
        <v>Credit Card</v>
      </c>
      <c r="AD576" t="str">
        <f t="shared" ca="1" si="192"/>
        <v>Yes</v>
      </c>
      <c r="AE576" t="str">
        <f t="shared" ca="1" si="193"/>
        <v>Yes</v>
      </c>
      <c r="AF576" t="str">
        <f t="shared" ca="1" si="194"/>
        <v>Transferred</v>
      </c>
      <c r="AG576" t="str">
        <f t="shared" ca="1" si="195"/>
        <v>Southeast</v>
      </c>
      <c r="AH576" t="str">
        <f t="shared" si="178"/>
        <v>March</v>
      </c>
      <c r="AI576">
        <f t="shared" si="179"/>
        <v>2024</v>
      </c>
      <c r="AJ576" t="str">
        <f t="shared" ca="1" si="196"/>
        <v>Occupied</v>
      </c>
      <c r="AK576">
        <f t="shared" ca="1" si="197"/>
        <v>2</v>
      </c>
    </row>
    <row r="577" spans="1:37" x14ac:dyDescent="0.3">
      <c r="A577" t="s">
        <v>5004</v>
      </c>
      <c r="B577">
        <v>25</v>
      </c>
      <c r="C577" t="s">
        <v>15</v>
      </c>
      <c r="D577" t="s">
        <v>38</v>
      </c>
      <c r="E577" t="s">
        <v>25</v>
      </c>
      <c r="F577" s="1">
        <v>43639</v>
      </c>
      <c r="G577" t="s">
        <v>1192</v>
      </c>
      <c r="H577" t="s">
        <v>1193</v>
      </c>
      <c r="I577" t="s">
        <v>28</v>
      </c>
      <c r="J577">
        <v>43401</v>
      </c>
      <c r="K577">
        <v>300</v>
      </c>
      <c r="L577" t="s">
        <v>29</v>
      </c>
      <c r="M577" s="1">
        <v>43658</v>
      </c>
      <c r="N577" t="s">
        <v>37</v>
      </c>
      <c r="O577" t="s">
        <v>43</v>
      </c>
      <c r="P577" t="str">
        <f t="shared" si="180"/>
        <v>P0576</v>
      </c>
      <c r="Q577" t="str">
        <f t="shared" si="176"/>
        <v>Nutrition</v>
      </c>
      <c r="R577">
        <f t="shared" si="177"/>
        <v>19</v>
      </c>
      <c r="S577" t="str">
        <f t="shared" ca="1" si="181"/>
        <v>No</v>
      </c>
      <c r="T577" t="str">
        <f t="shared" ca="1" si="182"/>
        <v>Moderate</v>
      </c>
      <c r="U577" t="str">
        <f t="shared" ca="1" si="183"/>
        <v>General Ward</v>
      </c>
      <c r="V577" t="str">
        <f t="shared" si="184"/>
        <v>BED0576</v>
      </c>
      <c r="W577" t="str">
        <f t="shared" ca="1" si="185"/>
        <v>Private</v>
      </c>
      <c r="X577" t="str">
        <f t="shared" si="186"/>
        <v>NUR026</v>
      </c>
      <c r="Y577" t="str">
        <f t="shared" ca="1" si="187"/>
        <v>Morning</v>
      </c>
      <c r="Z577" t="str">
        <f t="shared" ca="1" si="188"/>
        <v>MRI Scanner</v>
      </c>
      <c r="AA577" t="str">
        <f t="shared" ca="1" si="189"/>
        <v>Maintenance</v>
      </c>
      <c r="AB577" t="str">
        <f t="shared" ca="1" si="190"/>
        <v>Paid</v>
      </c>
      <c r="AC577" t="str">
        <f t="shared" ca="1" si="191"/>
        <v>Insurance</v>
      </c>
      <c r="AD577" t="str">
        <f t="shared" ca="1" si="192"/>
        <v>Yes</v>
      </c>
      <c r="AE577" t="str">
        <f t="shared" ca="1" si="193"/>
        <v>No</v>
      </c>
      <c r="AF577" t="str">
        <f t="shared" ca="1" si="194"/>
        <v>Under Observation</v>
      </c>
      <c r="AG577" t="str">
        <f t="shared" ca="1" si="195"/>
        <v>Southeast</v>
      </c>
      <c r="AH577" t="str">
        <f t="shared" si="178"/>
        <v>June</v>
      </c>
      <c r="AI577">
        <f t="shared" si="179"/>
        <v>2019</v>
      </c>
      <c r="AJ577" t="str">
        <f t="shared" ca="1" si="196"/>
        <v>Vacant</v>
      </c>
      <c r="AK577">
        <f t="shared" ca="1" si="197"/>
        <v>2</v>
      </c>
    </row>
    <row r="578" spans="1:37" x14ac:dyDescent="0.3">
      <c r="A578" t="s">
        <v>5005</v>
      </c>
      <c r="B578">
        <v>21</v>
      </c>
      <c r="C578" t="s">
        <v>32</v>
      </c>
      <c r="D578" t="s">
        <v>98</v>
      </c>
      <c r="E578" t="s">
        <v>48</v>
      </c>
      <c r="F578" s="1">
        <v>44591</v>
      </c>
      <c r="G578" t="s">
        <v>1194</v>
      </c>
      <c r="H578" t="s">
        <v>1195</v>
      </c>
      <c r="I578" t="s">
        <v>36</v>
      </c>
      <c r="J578">
        <v>46890</v>
      </c>
      <c r="K578">
        <v>307</v>
      </c>
      <c r="L578" t="s">
        <v>42</v>
      </c>
      <c r="M578" s="1">
        <v>44618</v>
      </c>
      <c r="N578" t="s">
        <v>37</v>
      </c>
      <c r="O578" t="s">
        <v>43</v>
      </c>
      <c r="P578" t="str">
        <f t="shared" si="180"/>
        <v>P0577</v>
      </c>
      <c r="Q578" t="str">
        <f t="shared" ref="Q578:Q641" si="198">IF(E578="Cancer","Oncology",IF(E578="Obesity","Nutrition",IF(E578="Diabetes","Endocrinology",IF(E578="Asthma","Pulmonology",IF(E578="Arthritis","Orthopedics",IF(E578="Hypertension","Cardiology","General Medicine"))))))</f>
        <v>Pulmonology</v>
      </c>
      <c r="R578">
        <f t="shared" ref="R578:R641" si="199">M578-F578</f>
        <v>27</v>
      </c>
      <c r="S578" t="str">
        <f t="shared" ca="1" si="181"/>
        <v>No</v>
      </c>
      <c r="T578" t="str">
        <f t="shared" ca="1" si="182"/>
        <v>Moderate</v>
      </c>
      <c r="U578" t="str">
        <f t="shared" ca="1" si="183"/>
        <v>General Ward</v>
      </c>
      <c r="V578" t="str">
        <f t="shared" si="184"/>
        <v>BED0577</v>
      </c>
      <c r="W578" t="str">
        <f t="shared" ca="1" si="185"/>
        <v>Private</v>
      </c>
      <c r="X578" t="str">
        <f t="shared" si="186"/>
        <v>NUR027</v>
      </c>
      <c r="Y578" t="str">
        <f t="shared" ca="1" si="187"/>
        <v>Night</v>
      </c>
      <c r="Z578" t="str">
        <f t="shared" ca="1" si="188"/>
        <v>ECG Machine</v>
      </c>
      <c r="AA578" t="str">
        <f t="shared" ca="1" si="189"/>
        <v>Maintenance</v>
      </c>
      <c r="AB578" t="str">
        <f t="shared" ca="1" si="190"/>
        <v>Paid</v>
      </c>
      <c r="AC578" t="str">
        <f t="shared" ca="1" si="191"/>
        <v>Cash</v>
      </c>
      <c r="AD578" t="str">
        <f t="shared" ca="1" si="192"/>
        <v>No</v>
      </c>
      <c r="AE578" t="str">
        <f t="shared" ca="1" si="193"/>
        <v>No</v>
      </c>
      <c r="AF578" t="str">
        <f t="shared" ca="1" si="194"/>
        <v>Under Observation</v>
      </c>
      <c r="AG578" t="str">
        <f t="shared" ca="1" si="195"/>
        <v>Midwest</v>
      </c>
      <c r="AH578" t="str">
        <f t="shared" ref="AH578:AH641" si="200">TEXT(F578,"MMMM")</f>
        <v>January</v>
      </c>
      <c r="AI578">
        <f t="shared" ref="AI578:AI641" si="201">YEAR(F578)</f>
        <v>2022</v>
      </c>
      <c r="AJ578" t="str">
        <f t="shared" ca="1" si="196"/>
        <v>Occupied</v>
      </c>
      <c r="AK578">
        <f t="shared" ca="1" si="197"/>
        <v>2</v>
      </c>
    </row>
    <row r="579" spans="1:37" x14ac:dyDescent="0.3">
      <c r="A579" t="s">
        <v>5006</v>
      </c>
      <c r="B579">
        <v>57</v>
      </c>
      <c r="C579" t="s">
        <v>15</v>
      </c>
      <c r="D579" t="s">
        <v>16</v>
      </c>
      <c r="E579" t="s">
        <v>17</v>
      </c>
      <c r="F579" s="1">
        <v>44877</v>
      </c>
      <c r="G579" t="s">
        <v>1196</v>
      </c>
      <c r="H579" t="s">
        <v>1197</v>
      </c>
      <c r="I579" t="s">
        <v>57</v>
      </c>
      <c r="J579">
        <v>48492</v>
      </c>
      <c r="K579">
        <v>129</v>
      </c>
      <c r="L579" t="s">
        <v>42</v>
      </c>
      <c r="M579" s="1">
        <v>44887</v>
      </c>
      <c r="N579" t="s">
        <v>47</v>
      </c>
      <c r="O579" t="s">
        <v>23</v>
      </c>
      <c r="P579" t="str">
        <f t="shared" ref="P579:P642" si="202">"P"&amp;TEXT(ROW()-1,"0000")</f>
        <v>P0578</v>
      </c>
      <c r="Q579" t="str">
        <f t="shared" si="198"/>
        <v>Oncology</v>
      </c>
      <c r="R579">
        <f t="shared" si="199"/>
        <v>10</v>
      </c>
      <c r="S579" t="str">
        <f t="shared" ref="S579:S642" ca="1" si="203">IF(RAND()&lt;0.1,"Yes","No")</f>
        <v>No</v>
      </c>
      <c r="T579" t="str">
        <f t="shared" ref="T579:T642" ca="1" si="204">CHOOSE(RANDBETWEEN(1,4),"Mild","Moderate","Severe","Critical")</f>
        <v>Critical</v>
      </c>
      <c r="U579" t="str">
        <f t="shared" ref="U579:U642" ca="1" si="205">CHOOSE(RANDBETWEEN(1,5),"General Ward","ICU","Emergency","Private Ward","Semi-Private")</f>
        <v>ICU</v>
      </c>
      <c r="V579" t="str">
        <f t="shared" ref="V579:V642" si="206">"BED"&amp;TEXT(ROW()-1,"0000")</f>
        <v>BED0578</v>
      </c>
      <c r="W579" t="str">
        <f t="shared" ref="W579:W642" ca="1" si="207">CHOOSE(RANDBETWEEN(1,4),"General","Private","Semi-Private","ICU")</f>
        <v>ICU</v>
      </c>
      <c r="X579" t="str">
        <f t="shared" ref="X579:X642" si="208">"NUR"&amp;TEXT(MOD(ROW()-2,50)+1,"000")</f>
        <v>NUR028</v>
      </c>
      <c r="Y579" t="str">
        <f t="shared" ref="Y579:Y642" ca="1" si="209">CHOOSE(RANDBETWEEN(1,3),"Morning","Evening","Night")</f>
        <v>Morning</v>
      </c>
      <c r="Z579" t="str">
        <f t="shared" ref="Z579:Z642" ca="1" si="210">CHOOSE(RANDBETWEEN(1,6),"MRI Scanner","CT Scanner","Ventilator","X-Ray","ECG Machine","Ultrasound")</f>
        <v>Ultrasound</v>
      </c>
      <c r="AA579" t="str">
        <f t="shared" ref="AA579:AA642" ca="1" si="211">CHOOSE(RANDBETWEEN(1,3),"Available","In Use","Maintenance")</f>
        <v>Maintenance</v>
      </c>
      <c r="AB579" t="str">
        <f t="shared" ref="AB579:AB642" ca="1" si="212">CHOOSE(RANDBETWEEN(1,3),"Paid","Pending","Partially Paid")</f>
        <v>Paid</v>
      </c>
      <c r="AC579" t="str">
        <f t="shared" ref="AC579:AC642" ca="1" si="213">CHOOSE(RANDBETWEEN(1,5),"Cash","Credit Card","Debit Card","Insurance","Bank Transfer")</f>
        <v>Debit Card</v>
      </c>
      <c r="AD579" t="str">
        <f t="shared" ref="AD579:AD642" ca="1" si="214">IF(RAND()&lt;0.2,"Yes","No")</f>
        <v>No</v>
      </c>
      <c r="AE579" t="str">
        <f t="shared" ref="AE579:AE642" ca="1" si="215">IF(RAND()&lt;0.15,"Yes","No")</f>
        <v>No</v>
      </c>
      <c r="AF579" t="str">
        <f t="shared" ref="AF579:AF642" ca="1" si="216">CHOOSE(RANDBETWEEN(1,3),"Recovered","Transferred","Under Observation")</f>
        <v>Transferred</v>
      </c>
      <c r="AG579" t="str">
        <f t="shared" ref="AG579:AG642" ca="1" si="217">CHOOSE(RANDBETWEEN(1,5),"Northeast","Southeast","Midwest","Southwest","West Coast")</f>
        <v>Southwest</v>
      </c>
      <c r="AH579" t="str">
        <f t="shared" si="200"/>
        <v>November</v>
      </c>
      <c r="AI579">
        <f t="shared" si="201"/>
        <v>2022</v>
      </c>
      <c r="AJ579" t="str">
        <f t="shared" ref="AJ579:AJ642" ca="1" si="218">IF(RANDBETWEEN(1,100)&lt;=80,"Occupied","Vacant")</f>
        <v>Occupied</v>
      </c>
      <c r="AK579">
        <f t="shared" ref="AK579:AK642" ca="1" si="219">CHOOSE(RANDBETWEEN(1,3),1,2,4)</f>
        <v>2</v>
      </c>
    </row>
    <row r="580" spans="1:37" x14ac:dyDescent="0.3">
      <c r="A580" t="s">
        <v>5007</v>
      </c>
      <c r="B580">
        <v>39</v>
      </c>
      <c r="C580" t="s">
        <v>32</v>
      </c>
      <c r="D580" t="s">
        <v>38</v>
      </c>
      <c r="E580" t="s">
        <v>17</v>
      </c>
      <c r="F580" s="1">
        <v>44187</v>
      </c>
      <c r="G580" t="s">
        <v>1198</v>
      </c>
      <c r="H580" t="s">
        <v>1199</v>
      </c>
      <c r="I580" t="s">
        <v>20</v>
      </c>
      <c r="J580">
        <v>13644</v>
      </c>
      <c r="K580">
        <v>380</v>
      </c>
      <c r="L580" t="s">
        <v>42</v>
      </c>
      <c r="M580" s="1">
        <v>44192</v>
      </c>
      <c r="N580" t="s">
        <v>67</v>
      </c>
      <c r="O580" t="s">
        <v>23</v>
      </c>
      <c r="P580" t="str">
        <f t="shared" si="202"/>
        <v>P0579</v>
      </c>
      <c r="Q580" t="str">
        <f t="shared" si="198"/>
        <v>Oncology</v>
      </c>
      <c r="R580">
        <f t="shared" si="199"/>
        <v>5</v>
      </c>
      <c r="S580" t="str">
        <f t="shared" ca="1" si="203"/>
        <v>No</v>
      </c>
      <c r="T580" t="str">
        <f t="shared" ca="1" si="204"/>
        <v>Moderate</v>
      </c>
      <c r="U580" t="str">
        <f t="shared" ca="1" si="205"/>
        <v>General Ward</v>
      </c>
      <c r="V580" t="str">
        <f t="shared" si="206"/>
        <v>BED0579</v>
      </c>
      <c r="W580" t="str">
        <f t="shared" ca="1" si="207"/>
        <v>General</v>
      </c>
      <c r="X580" t="str">
        <f t="shared" si="208"/>
        <v>NUR029</v>
      </c>
      <c r="Y580" t="str">
        <f t="shared" ca="1" si="209"/>
        <v>Night</v>
      </c>
      <c r="Z580" t="str">
        <f t="shared" ca="1" si="210"/>
        <v>Ventilator</v>
      </c>
      <c r="AA580" t="str">
        <f t="shared" ca="1" si="211"/>
        <v>Available</v>
      </c>
      <c r="AB580" t="str">
        <f t="shared" ca="1" si="212"/>
        <v>Paid</v>
      </c>
      <c r="AC580" t="str">
        <f t="shared" ca="1" si="213"/>
        <v>Credit Card</v>
      </c>
      <c r="AD580" t="str">
        <f t="shared" ca="1" si="214"/>
        <v>No</v>
      </c>
      <c r="AE580" t="str">
        <f t="shared" ca="1" si="215"/>
        <v>Yes</v>
      </c>
      <c r="AF580" t="str">
        <f t="shared" ca="1" si="216"/>
        <v>Recovered</v>
      </c>
      <c r="AG580" t="str">
        <f t="shared" ca="1" si="217"/>
        <v>Southeast</v>
      </c>
      <c r="AH580" t="str">
        <f t="shared" si="200"/>
        <v>December</v>
      </c>
      <c r="AI580">
        <f t="shared" si="201"/>
        <v>2020</v>
      </c>
      <c r="AJ580" t="str">
        <f t="shared" ca="1" si="218"/>
        <v>Occupied</v>
      </c>
      <c r="AK580">
        <f t="shared" ca="1" si="219"/>
        <v>2</v>
      </c>
    </row>
    <row r="581" spans="1:37" x14ac:dyDescent="0.3">
      <c r="A581" t="s">
        <v>5008</v>
      </c>
      <c r="B581">
        <v>51</v>
      </c>
      <c r="C581" t="s">
        <v>32</v>
      </c>
      <c r="D581" t="s">
        <v>33</v>
      </c>
      <c r="E581" t="s">
        <v>39</v>
      </c>
      <c r="F581" s="1">
        <v>44703</v>
      </c>
      <c r="G581" t="s">
        <v>1200</v>
      </c>
      <c r="H581" t="s">
        <v>1201</v>
      </c>
      <c r="I581" t="s">
        <v>57</v>
      </c>
      <c r="J581">
        <v>5415</v>
      </c>
      <c r="K581">
        <v>209</v>
      </c>
      <c r="L581" t="s">
        <v>29</v>
      </c>
      <c r="M581" s="1">
        <v>44720</v>
      </c>
      <c r="N581" t="s">
        <v>37</v>
      </c>
      <c r="O581" t="s">
        <v>31</v>
      </c>
      <c r="P581" t="str">
        <f t="shared" si="202"/>
        <v>P0580</v>
      </c>
      <c r="Q581" t="str">
        <f t="shared" si="198"/>
        <v>Endocrinology</v>
      </c>
      <c r="R581">
        <f t="shared" si="199"/>
        <v>17</v>
      </c>
      <c r="S581" t="str">
        <f t="shared" ca="1" si="203"/>
        <v>No</v>
      </c>
      <c r="T581" t="str">
        <f t="shared" ca="1" si="204"/>
        <v>Moderate</v>
      </c>
      <c r="U581" t="str">
        <f t="shared" ca="1" si="205"/>
        <v>Emergency</v>
      </c>
      <c r="V581" t="str">
        <f t="shared" si="206"/>
        <v>BED0580</v>
      </c>
      <c r="W581" t="str">
        <f t="shared" ca="1" si="207"/>
        <v>ICU</v>
      </c>
      <c r="X581" t="str">
        <f t="shared" si="208"/>
        <v>NUR030</v>
      </c>
      <c r="Y581" t="str">
        <f t="shared" ca="1" si="209"/>
        <v>Evening</v>
      </c>
      <c r="Z581" t="str">
        <f t="shared" ca="1" si="210"/>
        <v>X-Ray</v>
      </c>
      <c r="AA581" t="str">
        <f t="shared" ca="1" si="211"/>
        <v>In Use</v>
      </c>
      <c r="AB581" t="str">
        <f t="shared" ca="1" si="212"/>
        <v>Pending</v>
      </c>
      <c r="AC581" t="str">
        <f t="shared" ca="1" si="213"/>
        <v>Bank Transfer</v>
      </c>
      <c r="AD581" t="str">
        <f t="shared" ca="1" si="214"/>
        <v>No</v>
      </c>
      <c r="AE581" t="str">
        <f t="shared" ca="1" si="215"/>
        <v>No</v>
      </c>
      <c r="AF581" t="str">
        <f t="shared" ca="1" si="216"/>
        <v>Under Observation</v>
      </c>
      <c r="AG581" t="str">
        <f t="shared" ca="1" si="217"/>
        <v>Southeast</v>
      </c>
      <c r="AH581" t="str">
        <f t="shared" si="200"/>
        <v>May</v>
      </c>
      <c r="AI581">
        <f t="shared" si="201"/>
        <v>2022</v>
      </c>
      <c r="AJ581" t="str">
        <f t="shared" ca="1" si="218"/>
        <v>Occupied</v>
      </c>
      <c r="AK581">
        <f t="shared" ca="1" si="219"/>
        <v>2</v>
      </c>
    </row>
    <row r="582" spans="1:37" x14ac:dyDescent="0.3">
      <c r="A582" t="s">
        <v>5009</v>
      </c>
      <c r="B582">
        <v>31</v>
      </c>
      <c r="C582" t="s">
        <v>15</v>
      </c>
      <c r="D582" t="s">
        <v>83</v>
      </c>
      <c r="E582" t="s">
        <v>64</v>
      </c>
      <c r="F582" s="1">
        <v>44282</v>
      </c>
      <c r="G582" t="s">
        <v>1202</v>
      </c>
      <c r="H582" t="s">
        <v>1203</v>
      </c>
      <c r="I582" t="s">
        <v>36</v>
      </c>
      <c r="J582">
        <v>44008</v>
      </c>
      <c r="K582">
        <v>392</v>
      </c>
      <c r="L582" t="s">
        <v>42</v>
      </c>
      <c r="M582" s="1">
        <v>44309</v>
      </c>
      <c r="N582" t="s">
        <v>67</v>
      </c>
      <c r="O582" t="s">
        <v>43</v>
      </c>
      <c r="P582" t="str">
        <f t="shared" si="202"/>
        <v>P0581</v>
      </c>
      <c r="Q582" t="str">
        <f t="shared" si="198"/>
        <v>Cardiology</v>
      </c>
      <c r="R582">
        <f t="shared" si="199"/>
        <v>27</v>
      </c>
      <c r="S582" t="str">
        <f t="shared" ca="1" si="203"/>
        <v>No</v>
      </c>
      <c r="T582" t="str">
        <f t="shared" ca="1" si="204"/>
        <v>Moderate</v>
      </c>
      <c r="U582" t="str">
        <f t="shared" ca="1" si="205"/>
        <v>Emergency</v>
      </c>
      <c r="V582" t="str">
        <f t="shared" si="206"/>
        <v>BED0581</v>
      </c>
      <c r="W582" t="str">
        <f t="shared" ca="1" si="207"/>
        <v>Semi-Private</v>
      </c>
      <c r="X582" t="str">
        <f t="shared" si="208"/>
        <v>NUR031</v>
      </c>
      <c r="Y582" t="str">
        <f t="shared" ca="1" si="209"/>
        <v>Morning</v>
      </c>
      <c r="Z582" t="str">
        <f t="shared" ca="1" si="210"/>
        <v>ECG Machine</v>
      </c>
      <c r="AA582" t="str">
        <f t="shared" ca="1" si="211"/>
        <v>Maintenance</v>
      </c>
      <c r="AB582" t="str">
        <f t="shared" ca="1" si="212"/>
        <v>Partially Paid</v>
      </c>
      <c r="AC582" t="str">
        <f t="shared" ca="1" si="213"/>
        <v>Insurance</v>
      </c>
      <c r="AD582" t="str">
        <f t="shared" ca="1" si="214"/>
        <v>No</v>
      </c>
      <c r="AE582" t="str">
        <f t="shared" ca="1" si="215"/>
        <v>No</v>
      </c>
      <c r="AF582" t="str">
        <f t="shared" ca="1" si="216"/>
        <v>Under Observation</v>
      </c>
      <c r="AG582" t="str">
        <f t="shared" ca="1" si="217"/>
        <v>Southwest</v>
      </c>
      <c r="AH582" t="str">
        <f t="shared" si="200"/>
        <v>March</v>
      </c>
      <c r="AI582">
        <f t="shared" si="201"/>
        <v>2021</v>
      </c>
      <c r="AJ582" t="str">
        <f t="shared" ca="1" si="218"/>
        <v>Occupied</v>
      </c>
      <c r="AK582">
        <f t="shared" ca="1" si="219"/>
        <v>1</v>
      </c>
    </row>
    <row r="583" spans="1:37" x14ac:dyDescent="0.3">
      <c r="A583" t="s">
        <v>5010</v>
      </c>
      <c r="B583">
        <v>85</v>
      </c>
      <c r="C583" t="s">
        <v>15</v>
      </c>
      <c r="D583" t="s">
        <v>52</v>
      </c>
      <c r="E583" t="s">
        <v>48</v>
      </c>
      <c r="F583" s="1">
        <v>44734</v>
      </c>
      <c r="G583" t="s">
        <v>1204</v>
      </c>
      <c r="H583" t="s">
        <v>1205</v>
      </c>
      <c r="I583" t="s">
        <v>51</v>
      </c>
      <c r="J583">
        <v>43867</v>
      </c>
      <c r="K583">
        <v>420</v>
      </c>
      <c r="L583" t="s">
        <v>21</v>
      </c>
      <c r="M583" s="1">
        <v>44764</v>
      </c>
      <c r="N583" t="s">
        <v>37</v>
      </c>
      <c r="O583" t="s">
        <v>23</v>
      </c>
      <c r="P583" t="str">
        <f t="shared" si="202"/>
        <v>P0582</v>
      </c>
      <c r="Q583" t="str">
        <f t="shared" si="198"/>
        <v>Pulmonology</v>
      </c>
      <c r="R583">
        <f t="shared" si="199"/>
        <v>30</v>
      </c>
      <c r="S583" t="str">
        <f t="shared" ca="1" si="203"/>
        <v>No</v>
      </c>
      <c r="T583" t="str">
        <f t="shared" ca="1" si="204"/>
        <v>Severe</v>
      </c>
      <c r="U583" t="str">
        <f t="shared" ca="1" si="205"/>
        <v>Semi-Private</v>
      </c>
      <c r="V583" t="str">
        <f t="shared" si="206"/>
        <v>BED0582</v>
      </c>
      <c r="W583" t="str">
        <f t="shared" ca="1" si="207"/>
        <v>Semi-Private</v>
      </c>
      <c r="X583" t="str">
        <f t="shared" si="208"/>
        <v>NUR032</v>
      </c>
      <c r="Y583" t="str">
        <f t="shared" ca="1" si="209"/>
        <v>Evening</v>
      </c>
      <c r="Z583" t="str">
        <f t="shared" ca="1" si="210"/>
        <v>Ultrasound</v>
      </c>
      <c r="AA583" t="str">
        <f t="shared" ca="1" si="211"/>
        <v>In Use</v>
      </c>
      <c r="AB583" t="str">
        <f t="shared" ca="1" si="212"/>
        <v>Paid</v>
      </c>
      <c r="AC583" t="str">
        <f t="shared" ca="1" si="213"/>
        <v>Cash</v>
      </c>
      <c r="AD583" t="str">
        <f t="shared" ca="1" si="214"/>
        <v>No</v>
      </c>
      <c r="AE583" t="str">
        <f t="shared" ca="1" si="215"/>
        <v>Yes</v>
      </c>
      <c r="AF583" t="str">
        <f t="shared" ca="1" si="216"/>
        <v>Recovered</v>
      </c>
      <c r="AG583" t="str">
        <f t="shared" ca="1" si="217"/>
        <v>Southeast</v>
      </c>
      <c r="AH583" t="str">
        <f t="shared" si="200"/>
        <v>June</v>
      </c>
      <c r="AI583">
        <f t="shared" si="201"/>
        <v>2022</v>
      </c>
      <c r="AJ583" t="str">
        <f t="shared" ca="1" si="218"/>
        <v>Occupied</v>
      </c>
      <c r="AK583">
        <f t="shared" ca="1" si="219"/>
        <v>4</v>
      </c>
    </row>
    <row r="584" spans="1:37" x14ac:dyDescent="0.3">
      <c r="A584" t="s">
        <v>5011</v>
      </c>
      <c r="B584">
        <v>76</v>
      </c>
      <c r="C584" t="s">
        <v>15</v>
      </c>
      <c r="D584" t="s">
        <v>38</v>
      </c>
      <c r="E584" t="s">
        <v>39</v>
      </c>
      <c r="F584" s="1">
        <v>44757</v>
      </c>
      <c r="G584" t="s">
        <v>1206</v>
      </c>
      <c r="H584" t="s">
        <v>1207</v>
      </c>
      <c r="I584" t="s">
        <v>20</v>
      </c>
      <c r="J584">
        <v>45243</v>
      </c>
      <c r="K584">
        <v>174</v>
      </c>
      <c r="L584" t="s">
        <v>29</v>
      </c>
      <c r="M584" s="1">
        <v>44761</v>
      </c>
      <c r="N584" t="s">
        <v>47</v>
      </c>
      <c r="O584" t="s">
        <v>43</v>
      </c>
      <c r="P584" t="str">
        <f t="shared" si="202"/>
        <v>P0583</v>
      </c>
      <c r="Q584" t="str">
        <f t="shared" si="198"/>
        <v>Endocrinology</v>
      </c>
      <c r="R584">
        <f t="shared" si="199"/>
        <v>4</v>
      </c>
      <c r="S584" t="str">
        <f t="shared" ca="1" si="203"/>
        <v>No</v>
      </c>
      <c r="T584" t="str">
        <f t="shared" ca="1" si="204"/>
        <v>Moderate</v>
      </c>
      <c r="U584" t="str">
        <f t="shared" ca="1" si="205"/>
        <v>General Ward</v>
      </c>
      <c r="V584" t="str">
        <f t="shared" si="206"/>
        <v>BED0583</v>
      </c>
      <c r="W584" t="str">
        <f t="shared" ca="1" si="207"/>
        <v>Semi-Private</v>
      </c>
      <c r="X584" t="str">
        <f t="shared" si="208"/>
        <v>NUR033</v>
      </c>
      <c r="Y584" t="str">
        <f t="shared" ca="1" si="209"/>
        <v>Evening</v>
      </c>
      <c r="Z584" t="str">
        <f t="shared" ca="1" si="210"/>
        <v>Ultrasound</v>
      </c>
      <c r="AA584" t="str">
        <f t="shared" ca="1" si="211"/>
        <v>In Use</v>
      </c>
      <c r="AB584" t="str">
        <f t="shared" ca="1" si="212"/>
        <v>Pending</v>
      </c>
      <c r="AC584" t="str">
        <f t="shared" ca="1" si="213"/>
        <v>Bank Transfer</v>
      </c>
      <c r="AD584" t="str">
        <f t="shared" ca="1" si="214"/>
        <v>No</v>
      </c>
      <c r="AE584" t="str">
        <f t="shared" ca="1" si="215"/>
        <v>No</v>
      </c>
      <c r="AF584" t="str">
        <f t="shared" ca="1" si="216"/>
        <v>Recovered</v>
      </c>
      <c r="AG584" t="str">
        <f t="shared" ca="1" si="217"/>
        <v>Midwest</v>
      </c>
      <c r="AH584" t="str">
        <f t="shared" si="200"/>
        <v>July</v>
      </c>
      <c r="AI584">
        <f t="shared" si="201"/>
        <v>2022</v>
      </c>
      <c r="AJ584" t="str">
        <f t="shared" ca="1" si="218"/>
        <v>Occupied</v>
      </c>
      <c r="AK584">
        <f t="shared" ca="1" si="219"/>
        <v>1</v>
      </c>
    </row>
    <row r="585" spans="1:37" x14ac:dyDescent="0.3">
      <c r="A585" t="s">
        <v>5012</v>
      </c>
      <c r="B585">
        <v>59</v>
      </c>
      <c r="C585" t="s">
        <v>15</v>
      </c>
      <c r="D585" t="s">
        <v>24</v>
      </c>
      <c r="E585" t="s">
        <v>48</v>
      </c>
      <c r="F585" s="1">
        <v>44718</v>
      </c>
      <c r="G585" t="s">
        <v>1208</v>
      </c>
      <c r="H585" t="s">
        <v>1209</v>
      </c>
      <c r="I585" t="s">
        <v>36</v>
      </c>
      <c r="J585">
        <v>13550</v>
      </c>
      <c r="K585">
        <v>250</v>
      </c>
      <c r="L585" t="s">
        <v>42</v>
      </c>
      <c r="M585" s="1">
        <v>44742</v>
      </c>
      <c r="N585" t="s">
        <v>22</v>
      </c>
      <c r="O585" t="s">
        <v>23</v>
      </c>
      <c r="P585" t="str">
        <f t="shared" si="202"/>
        <v>P0584</v>
      </c>
      <c r="Q585" t="str">
        <f t="shared" si="198"/>
        <v>Pulmonology</v>
      </c>
      <c r="R585">
        <f t="shared" si="199"/>
        <v>24</v>
      </c>
      <c r="S585" t="str">
        <f t="shared" ca="1" si="203"/>
        <v>Yes</v>
      </c>
      <c r="T585" t="str">
        <f t="shared" ca="1" si="204"/>
        <v>Severe</v>
      </c>
      <c r="U585" t="str">
        <f t="shared" ca="1" si="205"/>
        <v>Private Ward</v>
      </c>
      <c r="V585" t="str">
        <f t="shared" si="206"/>
        <v>BED0584</v>
      </c>
      <c r="W585" t="str">
        <f t="shared" ca="1" si="207"/>
        <v>General</v>
      </c>
      <c r="X585" t="str">
        <f t="shared" si="208"/>
        <v>NUR034</v>
      </c>
      <c r="Y585" t="str">
        <f t="shared" ca="1" si="209"/>
        <v>Morning</v>
      </c>
      <c r="Z585" t="str">
        <f t="shared" ca="1" si="210"/>
        <v>Ultrasound</v>
      </c>
      <c r="AA585" t="str">
        <f t="shared" ca="1" si="211"/>
        <v>Maintenance</v>
      </c>
      <c r="AB585" t="str">
        <f t="shared" ca="1" si="212"/>
        <v>Partially Paid</v>
      </c>
      <c r="AC585" t="str">
        <f t="shared" ca="1" si="213"/>
        <v>Bank Transfer</v>
      </c>
      <c r="AD585" t="str">
        <f t="shared" ca="1" si="214"/>
        <v>No</v>
      </c>
      <c r="AE585" t="str">
        <f t="shared" ca="1" si="215"/>
        <v>No</v>
      </c>
      <c r="AF585" t="str">
        <f t="shared" ca="1" si="216"/>
        <v>Recovered</v>
      </c>
      <c r="AG585" t="str">
        <f t="shared" ca="1" si="217"/>
        <v>Southeast</v>
      </c>
      <c r="AH585" t="str">
        <f t="shared" si="200"/>
        <v>June</v>
      </c>
      <c r="AI585">
        <f t="shared" si="201"/>
        <v>2022</v>
      </c>
      <c r="AJ585" t="str">
        <f t="shared" ca="1" si="218"/>
        <v>Occupied</v>
      </c>
      <c r="AK585">
        <f t="shared" ca="1" si="219"/>
        <v>1</v>
      </c>
    </row>
    <row r="586" spans="1:37" x14ac:dyDescent="0.3">
      <c r="A586" t="s">
        <v>5013</v>
      </c>
      <c r="B586">
        <v>64</v>
      </c>
      <c r="C586" t="s">
        <v>15</v>
      </c>
      <c r="D586" t="s">
        <v>98</v>
      </c>
      <c r="E586" t="s">
        <v>39</v>
      </c>
      <c r="F586" s="1">
        <v>44194</v>
      </c>
      <c r="G586" t="s">
        <v>1210</v>
      </c>
      <c r="H586" t="s">
        <v>1211</v>
      </c>
      <c r="I586" t="s">
        <v>20</v>
      </c>
      <c r="J586">
        <v>34964</v>
      </c>
      <c r="K586">
        <v>277</v>
      </c>
      <c r="L586" t="s">
        <v>21</v>
      </c>
      <c r="M586" s="1">
        <v>44203</v>
      </c>
      <c r="N586" t="s">
        <v>37</v>
      </c>
      <c r="O586" t="s">
        <v>31</v>
      </c>
      <c r="P586" t="str">
        <f t="shared" si="202"/>
        <v>P0585</v>
      </c>
      <c r="Q586" t="str">
        <f t="shared" si="198"/>
        <v>Endocrinology</v>
      </c>
      <c r="R586">
        <f t="shared" si="199"/>
        <v>9</v>
      </c>
      <c r="S586" t="str">
        <f t="shared" ca="1" si="203"/>
        <v>No</v>
      </c>
      <c r="T586" t="str">
        <f t="shared" ca="1" si="204"/>
        <v>Severe</v>
      </c>
      <c r="U586" t="str">
        <f t="shared" ca="1" si="205"/>
        <v>Private Ward</v>
      </c>
      <c r="V586" t="str">
        <f t="shared" si="206"/>
        <v>BED0585</v>
      </c>
      <c r="W586" t="str">
        <f t="shared" ca="1" si="207"/>
        <v>Private</v>
      </c>
      <c r="X586" t="str">
        <f t="shared" si="208"/>
        <v>NUR035</v>
      </c>
      <c r="Y586" t="str">
        <f t="shared" ca="1" si="209"/>
        <v>Evening</v>
      </c>
      <c r="Z586" t="str">
        <f t="shared" ca="1" si="210"/>
        <v>CT Scanner</v>
      </c>
      <c r="AA586" t="str">
        <f t="shared" ca="1" si="211"/>
        <v>In Use</v>
      </c>
      <c r="AB586" t="str">
        <f t="shared" ca="1" si="212"/>
        <v>Paid</v>
      </c>
      <c r="AC586" t="str">
        <f t="shared" ca="1" si="213"/>
        <v>Cash</v>
      </c>
      <c r="AD586" t="str">
        <f t="shared" ca="1" si="214"/>
        <v>No</v>
      </c>
      <c r="AE586" t="str">
        <f t="shared" ca="1" si="215"/>
        <v>No</v>
      </c>
      <c r="AF586" t="str">
        <f t="shared" ca="1" si="216"/>
        <v>Recovered</v>
      </c>
      <c r="AG586" t="str">
        <f t="shared" ca="1" si="217"/>
        <v>West Coast</v>
      </c>
      <c r="AH586" t="str">
        <f t="shared" si="200"/>
        <v>December</v>
      </c>
      <c r="AI586">
        <f t="shared" si="201"/>
        <v>2020</v>
      </c>
      <c r="AJ586" t="str">
        <f t="shared" ca="1" si="218"/>
        <v>Occupied</v>
      </c>
      <c r="AK586">
        <f t="shared" ca="1" si="219"/>
        <v>2</v>
      </c>
    </row>
    <row r="587" spans="1:37" x14ac:dyDescent="0.3">
      <c r="A587" t="s">
        <v>5014</v>
      </c>
      <c r="B587">
        <v>28</v>
      </c>
      <c r="C587" t="s">
        <v>15</v>
      </c>
      <c r="D587" t="s">
        <v>24</v>
      </c>
      <c r="E587" t="s">
        <v>76</v>
      </c>
      <c r="F587" s="1">
        <v>43974</v>
      </c>
      <c r="G587" t="s">
        <v>1212</v>
      </c>
      <c r="H587" t="s">
        <v>1213</v>
      </c>
      <c r="I587" t="s">
        <v>51</v>
      </c>
      <c r="J587">
        <v>48890</v>
      </c>
      <c r="K587">
        <v>324</v>
      </c>
      <c r="L587" t="s">
        <v>42</v>
      </c>
      <c r="M587" s="1">
        <v>43994</v>
      </c>
      <c r="N587" t="s">
        <v>47</v>
      </c>
      <c r="O587" t="s">
        <v>43</v>
      </c>
      <c r="P587" t="str">
        <f t="shared" si="202"/>
        <v>P0586</v>
      </c>
      <c r="Q587" t="str">
        <f t="shared" si="198"/>
        <v>Orthopedics</v>
      </c>
      <c r="R587">
        <f t="shared" si="199"/>
        <v>20</v>
      </c>
      <c r="S587" t="str">
        <f t="shared" ca="1" si="203"/>
        <v>No</v>
      </c>
      <c r="T587" t="str">
        <f t="shared" ca="1" si="204"/>
        <v>Moderate</v>
      </c>
      <c r="U587" t="str">
        <f t="shared" ca="1" si="205"/>
        <v>Emergency</v>
      </c>
      <c r="V587" t="str">
        <f t="shared" si="206"/>
        <v>BED0586</v>
      </c>
      <c r="W587" t="str">
        <f t="shared" ca="1" si="207"/>
        <v>ICU</v>
      </c>
      <c r="X587" t="str">
        <f t="shared" si="208"/>
        <v>NUR036</v>
      </c>
      <c r="Y587" t="str">
        <f t="shared" ca="1" si="209"/>
        <v>Morning</v>
      </c>
      <c r="Z587" t="str">
        <f t="shared" ca="1" si="210"/>
        <v>X-Ray</v>
      </c>
      <c r="AA587" t="str">
        <f t="shared" ca="1" si="211"/>
        <v>Maintenance</v>
      </c>
      <c r="AB587" t="str">
        <f t="shared" ca="1" si="212"/>
        <v>Paid</v>
      </c>
      <c r="AC587" t="str">
        <f t="shared" ca="1" si="213"/>
        <v>Credit Card</v>
      </c>
      <c r="AD587" t="str">
        <f t="shared" ca="1" si="214"/>
        <v>No</v>
      </c>
      <c r="AE587" t="str">
        <f t="shared" ca="1" si="215"/>
        <v>No</v>
      </c>
      <c r="AF587" t="str">
        <f t="shared" ca="1" si="216"/>
        <v>Recovered</v>
      </c>
      <c r="AG587" t="str">
        <f t="shared" ca="1" si="217"/>
        <v>Southwest</v>
      </c>
      <c r="AH587" t="str">
        <f t="shared" si="200"/>
        <v>May</v>
      </c>
      <c r="AI587">
        <f t="shared" si="201"/>
        <v>2020</v>
      </c>
      <c r="AJ587" t="str">
        <f t="shared" ca="1" si="218"/>
        <v>Occupied</v>
      </c>
      <c r="AK587">
        <f t="shared" ca="1" si="219"/>
        <v>1</v>
      </c>
    </row>
    <row r="588" spans="1:37" x14ac:dyDescent="0.3">
      <c r="A588" t="s">
        <v>5015</v>
      </c>
      <c r="B588">
        <v>63</v>
      </c>
      <c r="C588" t="s">
        <v>15</v>
      </c>
      <c r="D588" t="s">
        <v>33</v>
      </c>
      <c r="E588" t="s">
        <v>25</v>
      </c>
      <c r="F588" s="1">
        <v>44767</v>
      </c>
      <c r="G588" t="s">
        <v>1214</v>
      </c>
      <c r="H588" t="s">
        <v>1215</v>
      </c>
      <c r="I588" t="s">
        <v>28</v>
      </c>
      <c r="J588">
        <v>17160</v>
      </c>
      <c r="K588">
        <v>330</v>
      </c>
      <c r="L588" t="s">
        <v>29</v>
      </c>
      <c r="M588" s="1">
        <v>44795</v>
      </c>
      <c r="N588" t="s">
        <v>30</v>
      </c>
      <c r="O588" t="s">
        <v>23</v>
      </c>
      <c r="P588" t="str">
        <f t="shared" si="202"/>
        <v>P0587</v>
      </c>
      <c r="Q588" t="str">
        <f t="shared" si="198"/>
        <v>Nutrition</v>
      </c>
      <c r="R588">
        <f t="shared" si="199"/>
        <v>28</v>
      </c>
      <c r="S588" t="str">
        <f t="shared" ca="1" si="203"/>
        <v>No</v>
      </c>
      <c r="T588" t="str">
        <f t="shared" ca="1" si="204"/>
        <v>Critical</v>
      </c>
      <c r="U588" t="str">
        <f t="shared" ca="1" si="205"/>
        <v>ICU</v>
      </c>
      <c r="V588" t="str">
        <f t="shared" si="206"/>
        <v>BED0587</v>
      </c>
      <c r="W588" t="str">
        <f t="shared" ca="1" si="207"/>
        <v>General</v>
      </c>
      <c r="X588" t="str">
        <f t="shared" si="208"/>
        <v>NUR037</v>
      </c>
      <c r="Y588" t="str">
        <f t="shared" ca="1" si="209"/>
        <v>Morning</v>
      </c>
      <c r="Z588" t="str">
        <f t="shared" ca="1" si="210"/>
        <v>X-Ray</v>
      </c>
      <c r="AA588" t="str">
        <f t="shared" ca="1" si="211"/>
        <v>In Use</v>
      </c>
      <c r="AB588" t="str">
        <f t="shared" ca="1" si="212"/>
        <v>Pending</v>
      </c>
      <c r="AC588" t="str">
        <f t="shared" ca="1" si="213"/>
        <v>Cash</v>
      </c>
      <c r="AD588" t="str">
        <f t="shared" ca="1" si="214"/>
        <v>Yes</v>
      </c>
      <c r="AE588" t="str">
        <f t="shared" ca="1" si="215"/>
        <v>No</v>
      </c>
      <c r="AF588" t="str">
        <f t="shared" ca="1" si="216"/>
        <v>Transferred</v>
      </c>
      <c r="AG588" t="str">
        <f t="shared" ca="1" si="217"/>
        <v>Southeast</v>
      </c>
      <c r="AH588" t="str">
        <f t="shared" si="200"/>
        <v>July</v>
      </c>
      <c r="AI588">
        <f t="shared" si="201"/>
        <v>2022</v>
      </c>
      <c r="AJ588" t="str">
        <f t="shared" ca="1" si="218"/>
        <v>Occupied</v>
      </c>
      <c r="AK588">
        <f t="shared" ca="1" si="219"/>
        <v>2</v>
      </c>
    </row>
    <row r="589" spans="1:37" x14ac:dyDescent="0.3">
      <c r="A589" t="s">
        <v>5016</v>
      </c>
      <c r="B589">
        <v>24</v>
      </c>
      <c r="C589" t="s">
        <v>15</v>
      </c>
      <c r="D589" t="s">
        <v>33</v>
      </c>
      <c r="E589" t="s">
        <v>76</v>
      </c>
      <c r="F589" s="1">
        <v>44287</v>
      </c>
      <c r="G589" t="s">
        <v>1216</v>
      </c>
      <c r="H589" t="s">
        <v>322</v>
      </c>
      <c r="I589" t="s">
        <v>57</v>
      </c>
      <c r="J589">
        <v>7193</v>
      </c>
      <c r="K589">
        <v>443</v>
      </c>
      <c r="L589" t="s">
        <v>29</v>
      </c>
      <c r="M589" s="1">
        <v>44305</v>
      </c>
      <c r="N589" t="s">
        <v>47</v>
      </c>
      <c r="O589" t="s">
        <v>43</v>
      </c>
      <c r="P589" t="str">
        <f t="shared" si="202"/>
        <v>P0588</v>
      </c>
      <c r="Q589" t="str">
        <f t="shared" si="198"/>
        <v>Orthopedics</v>
      </c>
      <c r="R589">
        <f t="shared" si="199"/>
        <v>18</v>
      </c>
      <c r="S589" t="str">
        <f t="shared" ca="1" si="203"/>
        <v>No</v>
      </c>
      <c r="T589" t="str">
        <f t="shared" ca="1" si="204"/>
        <v>Mild</v>
      </c>
      <c r="U589" t="str">
        <f t="shared" ca="1" si="205"/>
        <v>Semi-Private</v>
      </c>
      <c r="V589" t="str">
        <f t="shared" si="206"/>
        <v>BED0588</v>
      </c>
      <c r="W589" t="str">
        <f t="shared" ca="1" si="207"/>
        <v>Semi-Private</v>
      </c>
      <c r="X589" t="str">
        <f t="shared" si="208"/>
        <v>NUR038</v>
      </c>
      <c r="Y589" t="str">
        <f t="shared" ca="1" si="209"/>
        <v>Evening</v>
      </c>
      <c r="Z589" t="str">
        <f t="shared" ca="1" si="210"/>
        <v>ECG Machine</v>
      </c>
      <c r="AA589" t="str">
        <f t="shared" ca="1" si="211"/>
        <v>Available</v>
      </c>
      <c r="AB589" t="str">
        <f t="shared" ca="1" si="212"/>
        <v>Pending</v>
      </c>
      <c r="AC589" t="str">
        <f t="shared" ca="1" si="213"/>
        <v>Bank Transfer</v>
      </c>
      <c r="AD589" t="str">
        <f t="shared" ca="1" si="214"/>
        <v>Yes</v>
      </c>
      <c r="AE589" t="str">
        <f t="shared" ca="1" si="215"/>
        <v>No</v>
      </c>
      <c r="AF589" t="str">
        <f t="shared" ca="1" si="216"/>
        <v>Recovered</v>
      </c>
      <c r="AG589" t="str">
        <f t="shared" ca="1" si="217"/>
        <v>Midwest</v>
      </c>
      <c r="AH589" t="str">
        <f t="shared" si="200"/>
        <v>April</v>
      </c>
      <c r="AI589">
        <f t="shared" si="201"/>
        <v>2021</v>
      </c>
      <c r="AJ589" t="str">
        <f t="shared" ca="1" si="218"/>
        <v>Vacant</v>
      </c>
      <c r="AK589">
        <f t="shared" ca="1" si="219"/>
        <v>2</v>
      </c>
    </row>
    <row r="590" spans="1:37" x14ac:dyDescent="0.3">
      <c r="A590" t="s">
        <v>5017</v>
      </c>
      <c r="B590">
        <v>81</v>
      </c>
      <c r="C590" t="s">
        <v>15</v>
      </c>
      <c r="D590" t="s">
        <v>83</v>
      </c>
      <c r="E590" t="s">
        <v>76</v>
      </c>
      <c r="F590" s="1">
        <v>44032</v>
      </c>
      <c r="G590" t="s">
        <v>1217</v>
      </c>
      <c r="H590" t="s">
        <v>1218</v>
      </c>
      <c r="I590" t="s">
        <v>28</v>
      </c>
      <c r="J590">
        <v>44983</v>
      </c>
      <c r="K590">
        <v>121</v>
      </c>
      <c r="L590" t="s">
        <v>42</v>
      </c>
      <c r="M590" s="1">
        <v>44041</v>
      </c>
      <c r="N590" t="s">
        <v>67</v>
      </c>
      <c r="O590" t="s">
        <v>23</v>
      </c>
      <c r="P590" t="str">
        <f t="shared" si="202"/>
        <v>P0589</v>
      </c>
      <c r="Q590" t="str">
        <f t="shared" si="198"/>
        <v>Orthopedics</v>
      </c>
      <c r="R590">
        <f t="shared" si="199"/>
        <v>9</v>
      </c>
      <c r="S590" t="str">
        <f t="shared" ca="1" si="203"/>
        <v>No</v>
      </c>
      <c r="T590" t="str">
        <f t="shared" ca="1" si="204"/>
        <v>Critical</v>
      </c>
      <c r="U590" t="str">
        <f t="shared" ca="1" si="205"/>
        <v>Emergency</v>
      </c>
      <c r="V590" t="str">
        <f t="shared" si="206"/>
        <v>BED0589</v>
      </c>
      <c r="W590" t="str">
        <f t="shared" ca="1" si="207"/>
        <v>ICU</v>
      </c>
      <c r="X590" t="str">
        <f t="shared" si="208"/>
        <v>NUR039</v>
      </c>
      <c r="Y590" t="str">
        <f t="shared" ca="1" si="209"/>
        <v>Evening</v>
      </c>
      <c r="Z590" t="str">
        <f t="shared" ca="1" si="210"/>
        <v>Ultrasound</v>
      </c>
      <c r="AA590" t="str">
        <f t="shared" ca="1" si="211"/>
        <v>Available</v>
      </c>
      <c r="AB590" t="str">
        <f t="shared" ca="1" si="212"/>
        <v>Pending</v>
      </c>
      <c r="AC590" t="str">
        <f t="shared" ca="1" si="213"/>
        <v>Cash</v>
      </c>
      <c r="AD590" t="str">
        <f t="shared" ca="1" si="214"/>
        <v>No</v>
      </c>
      <c r="AE590" t="str">
        <f t="shared" ca="1" si="215"/>
        <v>No</v>
      </c>
      <c r="AF590" t="str">
        <f t="shared" ca="1" si="216"/>
        <v>Under Observation</v>
      </c>
      <c r="AG590" t="str">
        <f t="shared" ca="1" si="217"/>
        <v>Northeast</v>
      </c>
      <c r="AH590" t="str">
        <f t="shared" si="200"/>
        <v>July</v>
      </c>
      <c r="AI590">
        <f t="shared" si="201"/>
        <v>2020</v>
      </c>
      <c r="AJ590" t="str">
        <f t="shared" ca="1" si="218"/>
        <v>Occupied</v>
      </c>
      <c r="AK590">
        <f t="shared" ca="1" si="219"/>
        <v>4</v>
      </c>
    </row>
    <row r="591" spans="1:37" x14ac:dyDescent="0.3">
      <c r="A591" t="s">
        <v>5018</v>
      </c>
      <c r="B591">
        <v>74</v>
      </c>
      <c r="C591" t="s">
        <v>15</v>
      </c>
      <c r="D591" t="s">
        <v>24</v>
      </c>
      <c r="E591" t="s">
        <v>39</v>
      </c>
      <c r="F591" s="1">
        <v>43889</v>
      </c>
      <c r="G591" t="s">
        <v>1219</v>
      </c>
      <c r="H591" t="s">
        <v>1220</v>
      </c>
      <c r="I591" t="s">
        <v>28</v>
      </c>
      <c r="J591">
        <v>16004</v>
      </c>
      <c r="K591">
        <v>254</v>
      </c>
      <c r="L591" t="s">
        <v>29</v>
      </c>
      <c r="M591" s="1">
        <v>43918</v>
      </c>
      <c r="N591" t="s">
        <v>30</v>
      </c>
      <c r="O591" t="s">
        <v>31</v>
      </c>
      <c r="P591" t="str">
        <f t="shared" si="202"/>
        <v>P0590</v>
      </c>
      <c r="Q591" t="str">
        <f t="shared" si="198"/>
        <v>Endocrinology</v>
      </c>
      <c r="R591">
        <f t="shared" si="199"/>
        <v>29</v>
      </c>
      <c r="S591" t="str">
        <f t="shared" ca="1" si="203"/>
        <v>No</v>
      </c>
      <c r="T591" t="str">
        <f t="shared" ca="1" si="204"/>
        <v>Moderate</v>
      </c>
      <c r="U591" t="str">
        <f t="shared" ca="1" si="205"/>
        <v>ICU</v>
      </c>
      <c r="V591" t="str">
        <f t="shared" si="206"/>
        <v>BED0590</v>
      </c>
      <c r="W591" t="str">
        <f t="shared" ca="1" si="207"/>
        <v>General</v>
      </c>
      <c r="X591" t="str">
        <f t="shared" si="208"/>
        <v>NUR040</v>
      </c>
      <c r="Y591" t="str">
        <f t="shared" ca="1" si="209"/>
        <v>Night</v>
      </c>
      <c r="Z591" t="str">
        <f t="shared" ca="1" si="210"/>
        <v>Ventilator</v>
      </c>
      <c r="AA591" t="str">
        <f t="shared" ca="1" si="211"/>
        <v>Maintenance</v>
      </c>
      <c r="AB591" t="str">
        <f t="shared" ca="1" si="212"/>
        <v>Paid</v>
      </c>
      <c r="AC591" t="str">
        <f t="shared" ca="1" si="213"/>
        <v>Credit Card</v>
      </c>
      <c r="AD591" t="str">
        <f t="shared" ca="1" si="214"/>
        <v>Yes</v>
      </c>
      <c r="AE591" t="str">
        <f t="shared" ca="1" si="215"/>
        <v>No</v>
      </c>
      <c r="AF591" t="str">
        <f t="shared" ca="1" si="216"/>
        <v>Transferred</v>
      </c>
      <c r="AG591" t="str">
        <f t="shared" ca="1" si="217"/>
        <v>West Coast</v>
      </c>
      <c r="AH591" t="str">
        <f t="shared" si="200"/>
        <v>February</v>
      </c>
      <c r="AI591">
        <f t="shared" si="201"/>
        <v>2020</v>
      </c>
      <c r="AJ591" t="str">
        <f t="shared" ca="1" si="218"/>
        <v>Occupied</v>
      </c>
      <c r="AK591">
        <f t="shared" ca="1" si="219"/>
        <v>4</v>
      </c>
    </row>
    <row r="592" spans="1:37" x14ac:dyDescent="0.3">
      <c r="A592" t="s">
        <v>5019</v>
      </c>
      <c r="B592">
        <v>28</v>
      </c>
      <c r="C592" t="s">
        <v>15</v>
      </c>
      <c r="D592" t="s">
        <v>44</v>
      </c>
      <c r="E592" t="s">
        <v>17</v>
      </c>
      <c r="F592" s="1">
        <v>45168</v>
      </c>
      <c r="G592" t="s">
        <v>1221</v>
      </c>
      <c r="H592" t="s">
        <v>1222</v>
      </c>
      <c r="I592" t="s">
        <v>51</v>
      </c>
      <c r="J592">
        <v>7320</v>
      </c>
      <c r="K592">
        <v>458</v>
      </c>
      <c r="L592" t="s">
        <v>42</v>
      </c>
      <c r="M592" s="1">
        <v>45186</v>
      </c>
      <c r="N592" t="s">
        <v>30</v>
      </c>
      <c r="O592" t="s">
        <v>23</v>
      </c>
      <c r="P592" t="str">
        <f t="shared" si="202"/>
        <v>P0591</v>
      </c>
      <c r="Q592" t="str">
        <f t="shared" si="198"/>
        <v>Oncology</v>
      </c>
      <c r="R592">
        <f t="shared" si="199"/>
        <v>18</v>
      </c>
      <c r="S592" t="str">
        <f t="shared" ca="1" si="203"/>
        <v>No</v>
      </c>
      <c r="T592" t="str">
        <f t="shared" ca="1" si="204"/>
        <v>Severe</v>
      </c>
      <c r="U592" t="str">
        <f t="shared" ca="1" si="205"/>
        <v>Emergency</v>
      </c>
      <c r="V592" t="str">
        <f t="shared" si="206"/>
        <v>BED0591</v>
      </c>
      <c r="W592" t="str">
        <f t="shared" ca="1" si="207"/>
        <v>General</v>
      </c>
      <c r="X592" t="str">
        <f t="shared" si="208"/>
        <v>NUR041</v>
      </c>
      <c r="Y592" t="str">
        <f t="shared" ca="1" si="209"/>
        <v>Morning</v>
      </c>
      <c r="Z592" t="str">
        <f t="shared" ca="1" si="210"/>
        <v>X-Ray</v>
      </c>
      <c r="AA592" t="str">
        <f t="shared" ca="1" si="211"/>
        <v>In Use</v>
      </c>
      <c r="AB592" t="str">
        <f t="shared" ca="1" si="212"/>
        <v>Pending</v>
      </c>
      <c r="AC592" t="str">
        <f t="shared" ca="1" si="213"/>
        <v>Credit Card</v>
      </c>
      <c r="AD592" t="str">
        <f t="shared" ca="1" si="214"/>
        <v>No</v>
      </c>
      <c r="AE592" t="str">
        <f t="shared" ca="1" si="215"/>
        <v>No</v>
      </c>
      <c r="AF592" t="str">
        <f t="shared" ca="1" si="216"/>
        <v>Under Observation</v>
      </c>
      <c r="AG592" t="str">
        <f t="shared" ca="1" si="217"/>
        <v>Northeast</v>
      </c>
      <c r="AH592" t="str">
        <f t="shared" si="200"/>
        <v>August</v>
      </c>
      <c r="AI592">
        <f t="shared" si="201"/>
        <v>2023</v>
      </c>
      <c r="AJ592" t="str">
        <f t="shared" ca="1" si="218"/>
        <v>Occupied</v>
      </c>
      <c r="AK592">
        <f t="shared" ca="1" si="219"/>
        <v>4</v>
      </c>
    </row>
    <row r="593" spans="1:37" x14ac:dyDescent="0.3">
      <c r="A593" t="s">
        <v>5020</v>
      </c>
      <c r="B593">
        <v>27</v>
      </c>
      <c r="C593" t="s">
        <v>15</v>
      </c>
      <c r="D593" t="s">
        <v>52</v>
      </c>
      <c r="E593" t="s">
        <v>25</v>
      </c>
      <c r="F593" s="1">
        <v>44039</v>
      </c>
      <c r="G593" t="s">
        <v>1223</v>
      </c>
      <c r="H593" t="s">
        <v>1224</v>
      </c>
      <c r="I593" t="s">
        <v>20</v>
      </c>
      <c r="J593">
        <v>28330</v>
      </c>
      <c r="K593">
        <v>470</v>
      </c>
      <c r="L593" t="s">
        <v>29</v>
      </c>
      <c r="M593" s="1">
        <v>44067</v>
      </c>
      <c r="N593" t="s">
        <v>37</v>
      </c>
      <c r="O593" t="s">
        <v>23</v>
      </c>
      <c r="P593" t="str">
        <f t="shared" si="202"/>
        <v>P0592</v>
      </c>
      <c r="Q593" t="str">
        <f t="shared" si="198"/>
        <v>Nutrition</v>
      </c>
      <c r="R593">
        <f t="shared" si="199"/>
        <v>28</v>
      </c>
      <c r="S593" t="str">
        <f t="shared" ca="1" si="203"/>
        <v>No</v>
      </c>
      <c r="T593" t="str">
        <f t="shared" ca="1" si="204"/>
        <v>Mild</v>
      </c>
      <c r="U593" t="str">
        <f t="shared" ca="1" si="205"/>
        <v>ICU</v>
      </c>
      <c r="V593" t="str">
        <f t="shared" si="206"/>
        <v>BED0592</v>
      </c>
      <c r="W593" t="str">
        <f t="shared" ca="1" si="207"/>
        <v>ICU</v>
      </c>
      <c r="X593" t="str">
        <f t="shared" si="208"/>
        <v>NUR042</v>
      </c>
      <c r="Y593" t="str">
        <f t="shared" ca="1" si="209"/>
        <v>Morning</v>
      </c>
      <c r="Z593" t="str">
        <f t="shared" ca="1" si="210"/>
        <v>X-Ray</v>
      </c>
      <c r="AA593" t="str">
        <f t="shared" ca="1" si="211"/>
        <v>Available</v>
      </c>
      <c r="AB593" t="str">
        <f t="shared" ca="1" si="212"/>
        <v>Partially Paid</v>
      </c>
      <c r="AC593" t="str">
        <f t="shared" ca="1" si="213"/>
        <v>Cash</v>
      </c>
      <c r="AD593" t="str">
        <f t="shared" ca="1" si="214"/>
        <v>No</v>
      </c>
      <c r="AE593" t="str">
        <f t="shared" ca="1" si="215"/>
        <v>No</v>
      </c>
      <c r="AF593" t="str">
        <f t="shared" ca="1" si="216"/>
        <v>Transferred</v>
      </c>
      <c r="AG593" t="str">
        <f t="shared" ca="1" si="217"/>
        <v>West Coast</v>
      </c>
      <c r="AH593" t="str">
        <f t="shared" si="200"/>
        <v>July</v>
      </c>
      <c r="AI593">
        <f t="shared" si="201"/>
        <v>2020</v>
      </c>
      <c r="AJ593" t="str">
        <f t="shared" ca="1" si="218"/>
        <v>Occupied</v>
      </c>
      <c r="AK593">
        <f t="shared" ca="1" si="219"/>
        <v>1</v>
      </c>
    </row>
    <row r="594" spans="1:37" x14ac:dyDescent="0.3">
      <c r="A594" t="s">
        <v>5021</v>
      </c>
      <c r="B594">
        <v>24</v>
      </c>
      <c r="C594" t="s">
        <v>15</v>
      </c>
      <c r="D594" t="s">
        <v>52</v>
      </c>
      <c r="E594" t="s">
        <v>39</v>
      </c>
      <c r="F594" s="1">
        <v>44283</v>
      </c>
      <c r="G594" t="s">
        <v>1225</v>
      </c>
      <c r="H594" t="s">
        <v>1226</v>
      </c>
      <c r="I594" t="s">
        <v>51</v>
      </c>
      <c r="J594">
        <v>24131</v>
      </c>
      <c r="K594">
        <v>214</v>
      </c>
      <c r="L594" t="s">
        <v>21</v>
      </c>
      <c r="M594" s="1">
        <v>44291</v>
      </c>
      <c r="N594" t="s">
        <v>22</v>
      </c>
      <c r="O594" t="s">
        <v>31</v>
      </c>
      <c r="P594" t="str">
        <f t="shared" si="202"/>
        <v>P0593</v>
      </c>
      <c r="Q594" t="str">
        <f t="shared" si="198"/>
        <v>Endocrinology</v>
      </c>
      <c r="R594">
        <f t="shared" si="199"/>
        <v>8</v>
      </c>
      <c r="S594" t="str">
        <f t="shared" ca="1" si="203"/>
        <v>No</v>
      </c>
      <c r="T594" t="str">
        <f t="shared" ca="1" si="204"/>
        <v>Critical</v>
      </c>
      <c r="U594" t="str">
        <f t="shared" ca="1" si="205"/>
        <v>Semi-Private</v>
      </c>
      <c r="V594" t="str">
        <f t="shared" si="206"/>
        <v>BED0593</v>
      </c>
      <c r="W594" t="str">
        <f t="shared" ca="1" si="207"/>
        <v>ICU</v>
      </c>
      <c r="X594" t="str">
        <f t="shared" si="208"/>
        <v>NUR043</v>
      </c>
      <c r="Y594" t="str">
        <f t="shared" ca="1" si="209"/>
        <v>Evening</v>
      </c>
      <c r="Z594" t="str">
        <f t="shared" ca="1" si="210"/>
        <v>CT Scanner</v>
      </c>
      <c r="AA594" t="str">
        <f t="shared" ca="1" si="211"/>
        <v>In Use</v>
      </c>
      <c r="AB594" t="str">
        <f t="shared" ca="1" si="212"/>
        <v>Partially Paid</v>
      </c>
      <c r="AC594" t="str">
        <f t="shared" ca="1" si="213"/>
        <v>Debit Card</v>
      </c>
      <c r="AD594" t="str">
        <f t="shared" ca="1" si="214"/>
        <v>No</v>
      </c>
      <c r="AE594" t="str">
        <f t="shared" ca="1" si="215"/>
        <v>No</v>
      </c>
      <c r="AF594" t="str">
        <f t="shared" ca="1" si="216"/>
        <v>Recovered</v>
      </c>
      <c r="AG594" t="str">
        <f t="shared" ca="1" si="217"/>
        <v>Southwest</v>
      </c>
      <c r="AH594" t="str">
        <f t="shared" si="200"/>
        <v>March</v>
      </c>
      <c r="AI594">
        <f t="shared" si="201"/>
        <v>2021</v>
      </c>
      <c r="AJ594" t="str">
        <f t="shared" ca="1" si="218"/>
        <v>Occupied</v>
      </c>
      <c r="AK594">
        <f t="shared" ca="1" si="219"/>
        <v>2</v>
      </c>
    </row>
    <row r="595" spans="1:37" x14ac:dyDescent="0.3">
      <c r="A595" t="s">
        <v>5022</v>
      </c>
      <c r="B595">
        <v>63</v>
      </c>
      <c r="C595" t="s">
        <v>15</v>
      </c>
      <c r="D595" t="s">
        <v>33</v>
      </c>
      <c r="E595" t="s">
        <v>39</v>
      </c>
      <c r="F595" s="1">
        <v>44689</v>
      </c>
      <c r="G595" t="s">
        <v>1227</v>
      </c>
      <c r="H595" t="s">
        <v>1228</v>
      </c>
      <c r="I595" t="s">
        <v>57</v>
      </c>
      <c r="J595">
        <v>22361</v>
      </c>
      <c r="K595">
        <v>445</v>
      </c>
      <c r="L595" t="s">
        <v>29</v>
      </c>
      <c r="M595" s="1">
        <v>44691</v>
      </c>
      <c r="N595" t="s">
        <v>22</v>
      </c>
      <c r="O595" t="s">
        <v>23</v>
      </c>
      <c r="P595" t="str">
        <f t="shared" si="202"/>
        <v>P0594</v>
      </c>
      <c r="Q595" t="str">
        <f t="shared" si="198"/>
        <v>Endocrinology</v>
      </c>
      <c r="R595">
        <f t="shared" si="199"/>
        <v>2</v>
      </c>
      <c r="S595" t="str">
        <f t="shared" ca="1" si="203"/>
        <v>No</v>
      </c>
      <c r="T595" t="str">
        <f t="shared" ca="1" si="204"/>
        <v>Critical</v>
      </c>
      <c r="U595" t="str">
        <f t="shared" ca="1" si="205"/>
        <v>General Ward</v>
      </c>
      <c r="V595" t="str">
        <f t="shared" si="206"/>
        <v>BED0594</v>
      </c>
      <c r="W595" t="str">
        <f t="shared" ca="1" si="207"/>
        <v>ICU</v>
      </c>
      <c r="X595" t="str">
        <f t="shared" si="208"/>
        <v>NUR044</v>
      </c>
      <c r="Y595" t="str">
        <f t="shared" ca="1" si="209"/>
        <v>Night</v>
      </c>
      <c r="Z595" t="str">
        <f t="shared" ca="1" si="210"/>
        <v>ECG Machine</v>
      </c>
      <c r="AA595" t="str">
        <f t="shared" ca="1" si="211"/>
        <v>In Use</v>
      </c>
      <c r="AB595" t="str">
        <f t="shared" ca="1" si="212"/>
        <v>Paid</v>
      </c>
      <c r="AC595" t="str">
        <f t="shared" ca="1" si="213"/>
        <v>Credit Card</v>
      </c>
      <c r="AD595" t="str">
        <f t="shared" ca="1" si="214"/>
        <v>No</v>
      </c>
      <c r="AE595" t="str">
        <f t="shared" ca="1" si="215"/>
        <v>No</v>
      </c>
      <c r="AF595" t="str">
        <f t="shared" ca="1" si="216"/>
        <v>Under Observation</v>
      </c>
      <c r="AG595" t="str">
        <f t="shared" ca="1" si="217"/>
        <v>Northeast</v>
      </c>
      <c r="AH595" t="str">
        <f t="shared" si="200"/>
        <v>May</v>
      </c>
      <c r="AI595">
        <f t="shared" si="201"/>
        <v>2022</v>
      </c>
      <c r="AJ595" t="str">
        <f t="shared" ca="1" si="218"/>
        <v>Occupied</v>
      </c>
      <c r="AK595">
        <f t="shared" ca="1" si="219"/>
        <v>1</v>
      </c>
    </row>
    <row r="596" spans="1:37" x14ac:dyDescent="0.3">
      <c r="A596" t="s">
        <v>5023</v>
      </c>
      <c r="B596">
        <v>46</v>
      </c>
      <c r="C596" t="s">
        <v>32</v>
      </c>
      <c r="D596" t="s">
        <v>38</v>
      </c>
      <c r="E596" t="s">
        <v>25</v>
      </c>
      <c r="F596" s="1">
        <v>44363</v>
      </c>
      <c r="G596" t="s">
        <v>1229</v>
      </c>
      <c r="H596" t="s">
        <v>1230</v>
      </c>
      <c r="I596" t="s">
        <v>20</v>
      </c>
      <c r="J596">
        <v>19650</v>
      </c>
      <c r="K596">
        <v>108</v>
      </c>
      <c r="L596" t="s">
        <v>29</v>
      </c>
      <c r="M596" s="1">
        <v>44383</v>
      </c>
      <c r="N596" t="s">
        <v>67</v>
      </c>
      <c r="O596" t="s">
        <v>31</v>
      </c>
      <c r="P596" t="str">
        <f t="shared" si="202"/>
        <v>P0595</v>
      </c>
      <c r="Q596" t="str">
        <f t="shared" si="198"/>
        <v>Nutrition</v>
      </c>
      <c r="R596">
        <f t="shared" si="199"/>
        <v>20</v>
      </c>
      <c r="S596" t="str">
        <f t="shared" ca="1" si="203"/>
        <v>No</v>
      </c>
      <c r="T596" t="str">
        <f t="shared" ca="1" si="204"/>
        <v>Critical</v>
      </c>
      <c r="U596" t="str">
        <f t="shared" ca="1" si="205"/>
        <v>Semi-Private</v>
      </c>
      <c r="V596" t="str">
        <f t="shared" si="206"/>
        <v>BED0595</v>
      </c>
      <c r="W596" t="str">
        <f t="shared" ca="1" si="207"/>
        <v>Private</v>
      </c>
      <c r="X596" t="str">
        <f t="shared" si="208"/>
        <v>NUR045</v>
      </c>
      <c r="Y596" t="str">
        <f t="shared" ca="1" si="209"/>
        <v>Evening</v>
      </c>
      <c r="Z596" t="str">
        <f t="shared" ca="1" si="210"/>
        <v>CT Scanner</v>
      </c>
      <c r="AA596" t="str">
        <f t="shared" ca="1" si="211"/>
        <v>Available</v>
      </c>
      <c r="AB596" t="str">
        <f t="shared" ca="1" si="212"/>
        <v>Partially Paid</v>
      </c>
      <c r="AC596" t="str">
        <f t="shared" ca="1" si="213"/>
        <v>Cash</v>
      </c>
      <c r="AD596" t="str">
        <f t="shared" ca="1" si="214"/>
        <v>No</v>
      </c>
      <c r="AE596" t="str">
        <f t="shared" ca="1" si="215"/>
        <v>No</v>
      </c>
      <c r="AF596" t="str">
        <f t="shared" ca="1" si="216"/>
        <v>Under Observation</v>
      </c>
      <c r="AG596" t="str">
        <f t="shared" ca="1" si="217"/>
        <v>Southwest</v>
      </c>
      <c r="AH596" t="str">
        <f t="shared" si="200"/>
        <v>June</v>
      </c>
      <c r="AI596">
        <f t="shared" si="201"/>
        <v>2021</v>
      </c>
      <c r="AJ596" t="str">
        <f t="shared" ca="1" si="218"/>
        <v>Occupied</v>
      </c>
      <c r="AK596">
        <f t="shared" ca="1" si="219"/>
        <v>1</v>
      </c>
    </row>
    <row r="597" spans="1:37" x14ac:dyDescent="0.3">
      <c r="A597" t="s">
        <v>5024</v>
      </c>
      <c r="B597">
        <v>35</v>
      </c>
      <c r="C597" t="s">
        <v>32</v>
      </c>
      <c r="D597" t="s">
        <v>44</v>
      </c>
      <c r="E597" t="s">
        <v>76</v>
      </c>
      <c r="F597" s="1">
        <v>45230</v>
      </c>
      <c r="G597" t="s">
        <v>1231</v>
      </c>
      <c r="H597" t="s">
        <v>1232</v>
      </c>
      <c r="I597" t="s">
        <v>36</v>
      </c>
      <c r="J597">
        <v>30987</v>
      </c>
      <c r="K597">
        <v>346</v>
      </c>
      <c r="L597" t="s">
        <v>21</v>
      </c>
      <c r="M597" s="1">
        <v>45251</v>
      </c>
      <c r="N597" t="s">
        <v>22</v>
      </c>
      <c r="O597" t="s">
        <v>43</v>
      </c>
      <c r="P597" t="str">
        <f t="shared" si="202"/>
        <v>P0596</v>
      </c>
      <c r="Q597" t="str">
        <f t="shared" si="198"/>
        <v>Orthopedics</v>
      </c>
      <c r="R597">
        <f t="shared" si="199"/>
        <v>21</v>
      </c>
      <c r="S597" t="str">
        <f t="shared" ca="1" si="203"/>
        <v>Yes</v>
      </c>
      <c r="T597" t="str">
        <f t="shared" ca="1" si="204"/>
        <v>Severe</v>
      </c>
      <c r="U597" t="str">
        <f t="shared" ca="1" si="205"/>
        <v>General Ward</v>
      </c>
      <c r="V597" t="str">
        <f t="shared" si="206"/>
        <v>BED0596</v>
      </c>
      <c r="W597" t="str">
        <f t="shared" ca="1" si="207"/>
        <v>General</v>
      </c>
      <c r="X597" t="str">
        <f t="shared" si="208"/>
        <v>NUR046</v>
      </c>
      <c r="Y597" t="str">
        <f t="shared" ca="1" si="209"/>
        <v>Evening</v>
      </c>
      <c r="Z597" t="str">
        <f t="shared" ca="1" si="210"/>
        <v>CT Scanner</v>
      </c>
      <c r="AA597" t="str">
        <f t="shared" ca="1" si="211"/>
        <v>Available</v>
      </c>
      <c r="AB597" t="str">
        <f t="shared" ca="1" si="212"/>
        <v>Paid</v>
      </c>
      <c r="AC597" t="str">
        <f t="shared" ca="1" si="213"/>
        <v>Insurance</v>
      </c>
      <c r="AD597" t="str">
        <f t="shared" ca="1" si="214"/>
        <v>No</v>
      </c>
      <c r="AE597" t="str">
        <f t="shared" ca="1" si="215"/>
        <v>No</v>
      </c>
      <c r="AF597" t="str">
        <f t="shared" ca="1" si="216"/>
        <v>Recovered</v>
      </c>
      <c r="AG597" t="str">
        <f t="shared" ca="1" si="217"/>
        <v>Southwest</v>
      </c>
      <c r="AH597" t="str">
        <f t="shared" si="200"/>
        <v>October</v>
      </c>
      <c r="AI597">
        <f t="shared" si="201"/>
        <v>2023</v>
      </c>
      <c r="AJ597" t="str">
        <f t="shared" ca="1" si="218"/>
        <v>Vacant</v>
      </c>
      <c r="AK597">
        <f t="shared" ca="1" si="219"/>
        <v>1</v>
      </c>
    </row>
    <row r="598" spans="1:37" x14ac:dyDescent="0.3">
      <c r="A598" t="s">
        <v>5025</v>
      </c>
      <c r="B598">
        <v>28</v>
      </c>
      <c r="C598" t="s">
        <v>32</v>
      </c>
      <c r="D598" t="s">
        <v>83</v>
      </c>
      <c r="E598" t="s">
        <v>39</v>
      </c>
      <c r="F598" s="1">
        <v>44674</v>
      </c>
      <c r="G598" t="s">
        <v>1233</v>
      </c>
      <c r="H598" t="s">
        <v>1234</v>
      </c>
      <c r="I598" t="s">
        <v>51</v>
      </c>
      <c r="J598">
        <v>45987</v>
      </c>
      <c r="K598">
        <v>293</v>
      </c>
      <c r="L598" t="s">
        <v>42</v>
      </c>
      <c r="M598" s="1">
        <v>44692</v>
      </c>
      <c r="N598" t="s">
        <v>47</v>
      </c>
      <c r="O598" t="s">
        <v>23</v>
      </c>
      <c r="P598" t="str">
        <f t="shared" si="202"/>
        <v>P0597</v>
      </c>
      <c r="Q598" t="str">
        <f t="shared" si="198"/>
        <v>Endocrinology</v>
      </c>
      <c r="R598">
        <f t="shared" si="199"/>
        <v>18</v>
      </c>
      <c r="S598" t="str">
        <f t="shared" ca="1" si="203"/>
        <v>No</v>
      </c>
      <c r="T598" t="str">
        <f t="shared" ca="1" si="204"/>
        <v>Mild</v>
      </c>
      <c r="U598" t="str">
        <f t="shared" ca="1" si="205"/>
        <v>General Ward</v>
      </c>
      <c r="V598" t="str">
        <f t="shared" si="206"/>
        <v>BED0597</v>
      </c>
      <c r="W598" t="str">
        <f t="shared" ca="1" si="207"/>
        <v>General</v>
      </c>
      <c r="X598" t="str">
        <f t="shared" si="208"/>
        <v>NUR047</v>
      </c>
      <c r="Y598" t="str">
        <f t="shared" ca="1" si="209"/>
        <v>Evening</v>
      </c>
      <c r="Z598" t="str">
        <f t="shared" ca="1" si="210"/>
        <v>X-Ray</v>
      </c>
      <c r="AA598" t="str">
        <f t="shared" ca="1" si="211"/>
        <v>Maintenance</v>
      </c>
      <c r="AB598" t="str">
        <f t="shared" ca="1" si="212"/>
        <v>Partially Paid</v>
      </c>
      <c r="AC598" t="str">
        <f t="shared" ca="1" si="213"/>
        <v>Credit Card</v>
      </c>
      <c r="AD598" t="str">
        <f t="shared" ca="1" si="214"/>
        <v>No</v>
      </c>
      <c r="AE598" t="str">
        <f t="shared" ca="1" si="215"/>
        <v>Yes</v>
      </c>
      <c r="AF598" t="str">
        <f t="shared" ca="1" si="216"/>
        <v>Recovered</v>
      </c>
      <c r="AG598" t="str">
        <f t="shared" ca="1" si="217"/>
        <v>Northeast</v>
      </c>
      <c r="AH598" t="str">
        <f t="shared" si="200"/>
        <v>April</v>
      </c>
      <c r="AI598">
        <f t="shared" si="201"/>
        <v>2022</v>
      </c>
      <c r="AJ598" t="str">
        <f t="shared" ca="1" si="218"/>
        <v>Occupied</v>
      </c>
      <c r="AK598">
        <f t="shared" ca="1" si="219"/>
        <v>4</v>
      </c>
    </row>
    <row r="599" spans="1:37" x14ac:dyDescent="0.3">
      <c r="A599" t="s">
        <v>5026</v>
      </c>
      <c r="B599">
        <v>80</v>
      </c>
      <c r="C599" t="s">
        <v>32</v>
      </c>
      <c r="D599" t="s">
        <v>83</v>
      </c>
      <c r="E599" t="s">
        <v>25</v>
      </c>
      <c r="F599" s="1">
        <v>44539</v>
      </c>
      <c r="G599" t="s">
        <v>1235</v>
      </c>
      <c r="H599" t="s">
        <v>1236</v>
      </c>
      <c r="I599" t="s">
        <v>28</v>
      </c>
      <c r="J599">
        <v>11087</v>
      </c>
      <c r="K599">
        <v>482</v>
      </c>
      <c r="L599" t="s">
        <v>21</v>
      </c>
      <c r="M599" s="1">
        <v>44542</v>
      </c>
      <c r="N599" t="s">
        <v>67</v>
      </c>
      <c r="O599" t="s">
        <v>31</v>
      </c>
      <c r="P599" t="str">
        <f t="shared" si="202"/>
        <v>P0598</v>
      </c>
      <c r="Q599" t="str">
        <f t="shared" si="198"/>
        <v>Nutrition</v>
      </c>
      <c r="R599">
        <f t="shared" si="199"/>
        <v>3</v>
      </c>
      <c r="S599" t="str">
        <f t="shared" ca="1" si="203"/>
        <v>No</v>
      </c>
      <c r="T599" t="str">
        <f t="shared" ca="1" si="204"/>
        <v>Moderate</v>
      </c>
      <c r="U599" t="str">
        <f t="shared" ca="1" si="205"/>
        <v>Emergency</v>
      </c>
      <c r="V599" t="str">
        <f t="shared" si="206"/>
        <v>BED0598</v>
      </c>
      <c r="W599" t="str">
        <f t="shared" ca="1" si="207"/>
        <v>ICU</v>
      </c>
      <c r="X599" t="str">
        <f t="shared" si="208"/>
        <v>NUR048</v>
      </c>
      <c r="Y599" t="str">
        <f t="shared" ca="1" si="209"/>
        <v>Night</v>
      </c>
      <c r="Z599" t="str">
        <f t="shared" ca="1" si="210"/>
        <v>CT Scanner</v>
      </c>
      <c r="AA599" t="str">
        <f t="shared" ca="1" si="211"/>
        <v>In Use</v>
      </c>
      <c r="AB599" t="str">
        <f t="shared" ca="1" si="212"/>
        <v>Pending</v>
      </c>
      <c r="AC599" t="str">
        <f t="shared" ca="1" si="213"/>
        <v>Insurance</v>
      </c>
      <c r="AD599" t="str">
        <f t="shared" ca="1" si="214"/>
        <v>No</v>
      </c>
      <c r="AE599" t="str">
        <f t="shared" ca="1" si="215"/>
        <v>No</v>
      </c>
      <c r="AF599" t="str">
        <f t="shared" ca="1" si="216"/>
        <v>Transferred</v>
      </c>
      <c r="AG599" t="str">
        <f t="shared" ca="1" si="217"/>
        <v>West Coast</v>
      </c>
      <c r="AH599" t="str">
        <f t="shared" si="200"/>
        <v>December</v>
      </c>
      <c r="AI599">
        <f t="shared" si="201"/>
        <v>2021</v>
      </c>
      <c r="AJ599" t="str">
        <f t="shared" ca="1" si="218"/>
        <v>Vacant</v>
      </c>
      <c r="AK599">
        <f t="shared" ca="1" si="219"/>
        <v>4</v>
      </c>
    </row>
    <row r="600" spans="1:37" x14ac:dyDescent="0.3">
      <c r="A600" t="s">
        <v>5027</v>
      </c>
      <c r="B600">
        <v>31</v>
      </c>
      <c r="C600" t="s">
        <v>15</v>
      </c>
      <c r="D600" t="s">
        <v>98</v>
      </c>
      <c r="E600" t="s">
        <v>25</v>
      </c>
      <c r="F600" s="1">
        <v>45301</v>
      </c>
      <c r="G600" t="s">
        <v>1237</v>
      </c>
      <c r="H600" t="s">
        <v>1238</v>
      </c>
      <c r="I600" t="s">
        <v>28</v>
      </c>
      <c r="J600">
        <v>28484</v>
      </c>
      <c r="K600">
        <v>265</v>
      </c>
      <c r="L600" t="s">
        <v>21</v>
      </c>
      <c r="M600" s="1">
        <v>45324</v>
      </c>
      <c r="N600" t="s">
        <v>67</v>
      </c>
      <c r="O600" t="s">
        <v>43</v>
      </c>
      <c r="P600" t="str">
        <f t="shared" si="202"/>
        <v>P0599</v>
      </c>
      <c r="Q600" t="str">
        <f t="shared" si="198"/>
        <v>Nutrition</v>
      </c>
      <c r="R600">
        <f t="shared" si="199"/>
        <v>23</v>
      </c>
      <c r="S600" t="str">
        <f t="shared" ca="1" si="203"/>
        <v>Yes</v>
      </c>
      <c r="T600" t="str">
        <f t="shared" ca="1" si="204"/>
        <v>Critical</v>
      </c>
      <c r="U600" t="str">
        <f t="shared" ca="1" si="205"/>
        <v>Private Ward</v>
      </c>
      <c r="V600" t="str">
        <f t="shared" si="206"/>
        <v>BED0599</v>
      </c>
      <c r="W600" t="str">
        <f t="shared" ca="1" si="207"/>
        <v>Private</v>
      </c>
      <c r="X600" t="str">
        <f t="shared" si="208"/>
        <v>NUR049</v>
      </c>
      <c r="Y600" t="str">
        <f t="shared" ca="1" si="209"/>
        <v>Night</v>
      </c>
      <c r="Z600" t="str">
        <f t="shared" ca="1" si="210"/>
        <v>ECG Machine</v>
      </c>
      <c r="AA600" t="str">
        <f t="shared" ca="1" si="211"/>
        <v>In Use</v>
      </c>
      <c r="AB600" t="str">
        <f t="shared" ca="1" si="212"/>
        <v>Paid</v>
      </c>
      <c r="AC600" t="str">
        <f t="shared" ca="1" si="213"/>
        <v>Credit Card</v>
      </c>
      <c r="AD600" t="str">
        <f t="shared" ca="1" si="214"/>
        <v>Yes</v>
      </c>
      <c r="AE600" t="str">
        <f t="shared" ca="1" si="215"/>
        <v>No</v>
      </c>
      <c r="AF600" t="str">
        <f t="shared" ca="1" si="216"/>
        <v>Transferred</v>
      </c>
      <c r="AG600" t="str">
        <f t="shared" ca="1" si="217"/>
        <v>West Coast</v>
      </c>
      <c r="AH600" t="str">
        <f t="shared" si="200"/>
        <v>January</v>
      </c>
      <c r="AI600">
        <f t="shared" si="201"/>
        <v>2024</v>
      </c>
      <c r="AJ600" t="str">
        <f t="shared" ca="1" si="218"/>
        <v>Occupied</v>
      </c>
      <c r="AK600">
        <f t="shared" ca="1" si="219"/>
        <v>4</v>
      </c>
    </row>
    <row r="601" spans="1:37" x14ac:dyDescent="0.3">
      <c r="A601" t="s">
        <v>5028</v>
      </c>
      <c r="B601">
        <v>69</v>
      </c>
      <c r="C601" t="s">
        <v>32</v>
      </c>
      <c r="D601" t="s">
        <v>38</v>
      </c>
      <c r="E601" t="s">
        <v>39</v>
      </c>
      <c r="F601" s="1">
        <v>43786</v>
      </c>
      <c r="G601" t="s">
        <v>1239</v>
      </c>
      <c r="H601" t="s">
        <v>1240</v>
      </c>
      <c r="I601" t="s">
        <v>57</v>
      </c>
      <c r="J601">
        <v>37906</v>
      </c>
      <c r="K601">
        <v>368</v>
      </c>
      <c r="L601" t="s">
        <v>29</v>
      </c>
      <c r="M601" s="1">
        <v>43814</v>
      </c>
      <c r="N601" t="s">
        <v>67</v>
      </c>
      <c r="O601" t="s">
        <v>31</v>
      </c>
      <c r="P601" t="str">
        <f t="shared" si="202"/>
        <v>P0600</v>
      </c>
      <c r="Q601" t="str">
        <f t="shared" si="198"/>
        <v>Endocrinology</v>
      </c>
      <c r="R601">
        <f t="shared" si="199"/>
        <v>28</v>
      </c>
      <c r="S601" t="str">
        <f t="shared" ca="1" si="203"/>
        <v>No</v>
      </c>
      <c r="T601" t="str">
        <f t="shared" ca="1" si="204"/>
        <v>Mild</v>
      </c>
      <c r="U601" t="str">
        <f t="shared" ca="1" si="205"/>
        <v>General Ward</v>
      </c>
      <c r="V601" t="str">
        <f t="shared" si="206"/>
        <v>BED0600</v>
      </c>
      <c r="W601" t="str">
        <f t="shared" ca="1" si="207"/>
        <v>General</v>
      </c>
      <c r="X601" t="str">
        <f t="shared" si="208"/>
        <v>NUR050</v>
      </c>
      <c r="Y601" t="str">
        <f t="shared" ca="1" si="209"/>
        <v>Night</v>
      </c>
      <c r="Z601" t="str">
        <f t="shared" ca="1" si="210"/>
        <v>Ventilator</v>
      </c>
      <c r="AA601" t="str">
        <f t="shared" ca="1" si="211"/>
        <v>Available</v>
      </c>
      <c r="AB601" t="str">
        <f t="shared" ca="1" si="212"/>
        <v>Pending</v>
      </c>
      <c r="AC601" t="str">
        <f t="shared" ca="1" si="213"/>
        <v>Cash</v>
      </c>
      <c r="AD601" t="str">
        <f t="shared" ca="1" si="214"/>
        <v>Yes</v>
      </c>
      <c r="AE601" t="str">
        <f t="shared" ca="1" si="215"/>
        <v>No</v>
      </c>
      <c r="AF601" t="str">
        <f t="shared" ca="1" si="216"/>
        <v>Under Observation</v>
      </c>
      <c r="AG601" t="str">
        <f t="shared" ca="1" si="217"/>
        <v>Northeast</v>
      </c>
      <c r="AH601" t="str">
        <f t="shared" si="200"/>
        <v>November</v>
      </c>
      <c r="AI601">
        <f t="shared" si="201"/>
        <v>2019</v>
      </c>
      <c r="AJ601" t="str">
        <f t="shared" ca="1" si="218"/>
        <v>Occupied</v>
      </c>
      <c r="AK601">
        <f t="shared" ca="1" si="219"/>
        <v>1</v>
      </c>
    </row>
    <row r="602" spans="1:37" x14ac:dyDescent="0.3">
      <c r="A602" t="s">
        <v>5029</v>
      </c>
      <c r="B602">
        <v>82</v>
      </c>
      <c r="C602" t="s">
        <v>15</v>
      </c>
      <c r="D602" t="s">
        <v>44</v>
      </c>
      <c r="E602" t="s">
        <v>48</v>
      </c>
      <c r="F602" s="1">
        <v>44566</v>
      </c>
      <c r="G602" t="s">
        <v>1241</v>
      </c>
      <c r="H602" t="s">
        <v>1242</v>
      </c>
      <c r="I602" t="s">
        <v>28</v>
      </c>
      <c r="J602">
        <v>27879</v>
      </c>
      <c r="K602">
        <v>472</v>
      </c>
      <c r="L602" t="s">
        <v>42</v>
      </c>
      <c r="M602" s="1">
        <v>44572</v>
      </c>
      <c r="N602" t="s">
        <v>30</v>
      </c>
      <c r="O602" t="s">
        <v>23</v>
      </c>
      <c r="P602" t="str">
        <f t="shared" si="202"/>
        <v>P0601</v>
      </c>
      <c r="Q602" t="str">
        <f t="shared" si="198"/>
        <v>Pulmonology</v>
      </c>
      <c r="R602">
        <f t="shared" si="199"/>
        <v>6</v>
      </c>
      <c r="S602" t="str">
        <f t="shared" ca="1" si="203"/>
        <v>No</v>
      </c>
      <c r="T602" t="str">
        <f t="shared" ca="1" si="204"/>
        <v>Moderate</v>
      </c>
      <c r="U602" t="str">
        <f t="shared" ca="1" si="205"/>
        <v>Private Ward</v>
      </c>
      <c r="V602" t="str">
        <f t="shared" si="206"/>
        <v>BED0601</v>
      </c>
      <c r="W602" t="str">
        <f t="shared" ca="1" si="207"/>
        <v>General</v>
      </c>
      <c r="X602" t="str">
        <f t="shared" si="208"/>
        <v>NUR001</v>
      </c>
      <c r="Y602" t="str">
        <f t="shared" ca="1" si="209"/>
        <v>Evening</v>
      </c>
      <c r="Z602" t="str">
        <f t="shared" ca="1" si="210"/>
        <v>Ventilator</v>
      </c>
      <c r="AA602" t="str">
        <f t="shared" ca="1" si="211"/>
        <v>Maintenance</v>
      </c>
      <c r="AB602" t="str">
        <f t="shared" ca="1" si="212"/>
        <v>Pending</v>
      </c>
      <c r="AC602" t="str">
        <f t="shared" ca="1" si="213"/>
        <v>Insurance</v>
      </c>
      <c r="AD602" t="str">
        <f t="shared" ca="1" si="214"/>
        <v>No</v>
      </c>
      <c r="AE602" t="str">
        <f t="shared" ca="1" si="215"/>
        <v>No</v>
      </c>
      <c r="AF602" t="str">
        <f t="shared" ca="1" si="216"/>
        <v>Recovered</v>
      </c>
      <c r="AG602" t="str">
        <f t="shared" ca="1" si="217"/>
        <v>West Coast</v>
      </c>
      <c r="AH602" t="str">
        <f t="shared" si="200"/>
        <v>January</v>
      </c>
      <c r="AI602">
        <f t="shared" si="201"/>
        <v>2022</v>
      </c>
      <c r="AJ602" t="str">
        <f t="shared" ca="1" si="218"/>
        <v>Occupied</v>
      </c>
      <c r="AK602">
        <f t="shared" ca="1" si="219"/>
        <v>2</v>
      </c>
    </row>
    <row r="603" spans="1:37" x14ac:dyDescent="0.3">
      <c r="A603" t="s">
        <v>5030</v>
      </c>
      <c r="B603">
        <v>64</v>
      </c>
      <c r="C603" t="s">
        <v>32</v>
      </c>
      <c r="D603" t="s">
        <v>83</v>
      </c>
      <c r="E603" t="s">
        <v>76</v>
      </c>
      <c r="F603" s="1">
        <v>45306</v>
      </c>
      <c r="G603" t="s">
        <v>1243</v>
      </c>
      <c r="H603" t="s">
        <v>1244</v>
      </c>
      <c r="I603" t="s">
        <v>36</v>
      </c>
      <c r="J603">
        <v>13900</v>
      </c>
      <c r="K603">
        <v>442</v>
      </c>
      <c r="L603" t="s">
        <v>21</v>
      </c>
      <c r="M603" s="1">
        <v>45332</v>
      </c>
      <c r="N603" t="s">
        <v>30</v>
      </c>
      <c r="O603" t="s">
        <v>31</v>
      </c>
      <c r="P603" t="str">
        <f t="shared" si="202"/>
        <v>P0602</v>
      </c>
      <c r="Q603" t="str">
        <f t="shared" si="198"/>
        <v>Orthopedics</v>
      </c>
      <c r="R603">
        <f t="shared" si="199"/>
        <v>26</v>
      </c>
      <c r="S603" t="str">
        <f t="shared" ca="1" si="203"/>
        <v>No</v>
      </c>
      <c r="T603" t="str">
        <f t="shared" ca="1" si="204"/>
        <v>Mild</v>
      </c>
      <c r="U603" t="str">
        <f t="shared" ca="1" si="205"/>
        <v>ICU</v>
      </c>
      <c r="V603" t="str">
        <f t="shared" si="206"/>
        <v>BED0602</v>
      </c>
      <c r="W603" t="str">
        <f t="shared" ca="1" si="207"/>
        <v>ICU</v>
      </c>
      <c r="X603" t="str">
        <f t="shared" si="208"/>
        <v>NUR002</v>
      </c>
      <c r="Y603" t="str">
        <f t="shared" ca="1" si="209"/>
        <v>Night</v>
      </c>
      <c r="Z603" t="str">
        <f t="shared" ca="1" si="210"/>
        <v>X-Ray</v>
      </c>
      <c r="AA603" t="str">
        <f t="shared" ca="1" si="211"/>
        <v>Maintenance</v>
      </c>
      <c r="AB603" t="str">
        <f t="shared" ca="1" si="212"/>
        <v>Pending</v>
      </c>
      <c r="AC603" t="str">
        <f t="shared" ca="1" si="213"/>
        <v>Cash</v>
      </c>
      <c r="AD603" t="str">
        <f t="shared" ca="1" si="214"/>
        <v>No</v>
      </c>
      <c r="AE603" t="str">
        <f t="shared" ca="1" si="215"/>
        <v>No</v>
      </c>
      <c r="AF603" t="str">
        <f t="shared" ca="1" si="216"/>
        <v>Under Observation</v>
      </c>
      <c r="AG603" t="str">
        <f t="shared" ca="1" si="217"/>
        <v>Southwest</v>
      </c>
      <c r="AH603" t="str">
        <f t="shared" si="200"/>
        <v>January</v>
      </c>
      <c r="AI603">
        <f t="shared" si="201"/>
        <v>2024</v>
      </c>
      <c r="AJ603" t="str">
        <f t="shared" ca="1" si="218"/>
        <v>Vacant</v>
      </c>
      <c r="AK603">
        <f t="shared" ca="1" si="219"/>
        <v>4</v>
      </c>
    </row>
    <row r="604" spans="1:37" x14ac:dyDescent="0.3">
      <c r="A604" t="s">
        <v>5031</v>
      </c>
      <c r="B604">
        <v>77</v>
      </c>
      <c r="C604" t="s">
        <v>32</v>
      </c>
      <c r="D604" t="s">
        <v>38</v>
      </c>
      <c r="E604" t="s">
        <v>76</v>
      </c>
      <c r="F604" s="1">
        <v>44882</v>
      </c>
      <c r="G604" t="s">
        <v>1245</v>
      </c>
      <c r="H604" t="s">
        <v>1246</v>
      </c>
      <c r="I604" t="s">
        <v>36</v>
      </c>
      <c r="J604">
        <v>30576</v>
      </c>
      <c r="K604">
        <v>116</v>
      </c>
      <c r="L604" t="s">
        <v>21</v>
      </c>
      <c r="M604" s="1">
        <v>44910</v>
      </c>
      <c r="N604" t="s">
        <v>22</v>
      </c>
      <c r="O604" t="s">
        <v>43</v>
      </c>
      <c r="P604" t="str">
        <f t="shared" si="202"/>
        <v>P0603</v>
      </c>
      <c r="Q604" t="str">
        <f t="shared" si="198"/>
        <v>Orthopedics</v>
      </c>
      <c r="R604">
        <f t="shared" si="199"/>
        <v>28</v>
      </c>
      <c r="S604" t="str">
        <f t="shared" ca="1" si="203"/>
        <v>Yes</v>
      </c>
      <c r="T604" t="str">
        <f t="shared" ca="1" si="204"/>
        <v>Critical</v>
      </c>
      <c r="U604" t="str">
        <f t="shared" ca="1" si="205"/>
        <v>Emergency</v>
      </c>
      <c r="V604" t="str">
        <f t="shared" si="206"/>
        <v>BED0603</v>
      </c>
      <c r="W604" t="str">
        <f t="shared" ca="1" si="207"/>
        <v>General</v>
      </c>
      <c r="X604" t="str">
        <f t="shared" si="208"/>
        <v>NUR003</v>
      </c>
      <c r="Y604" t="str">
        <f t="shared" ca="1" si="209"/>
        <v>Evening</v>
      </c>
      <c r="Z604" t="str">
        <f t="shared" ca="1" si="210"/>
        <v>CT Scanner</v>
      </c>
      <c r="AA604" t="str">
        <f t="shared" ca="1" si="211"/>
        <v>In Use</v>
      </c>
      <c r="AB604" t="str">
        <f t="shared" ca="1" si="212"/>
        <v>Pending</v>
      </c>
      <c r="AC604" t="str">
        <f t="shared" ca="1" si="213"/>
        <v>Cash</v>
      </c>
      <c r="AD604" t="str">
        <f t="shared" ca="1" si="214"/>
        <v>Yes</v>
      </c>
      <c r="AE604" t="str">
        <f t="shared" ca="1" si="215"/>
        <v>No</v>
      </c>
      <c r="AF604" t="str">
        <f t="shared" ca="1" si="216"/>
        <v>Under Observation</v>
      </c>
      <c r="AG604" t="str">
        <f t="shared" ca="1" si="217"/>
        <v>West Coast</v>
      </c>
      <c r="AH604" t="str">
        <f t="shared" si="200"/>
        <v>November</v>
      </c>
      <c r="AI604">
        <f t="shared" si="201"/>
        <v>2022</v>
      </c>
      <c r="AJ604" t="str">
        <f t="shared" ca="1" si="218"/>
        <v>Occupied</v>
      </c>
      <c r="AK604">
        <f t="shared" ca="1" si="219"/>
        <v>4</v>
      </c>
    </row>
    <row r="605" spans="1:37" x14ac:dyDescent="0.3">
      <c r="A605" t="s">
        <v>5032</v>
      </c>
      <c r="B605">
        <v>32</v>
      </c>
      <c r="C605" t="s">
        <v>15</v>
      </c>
      <c r="D605" t="s">
        <v>38</v>
      </c>
      <c r="E605" t="s">
        <v>25</v>
      </c>
      <c r="F605" s="1">
        <v>44410</v>
      </c>
      <c r="G605" t="s">
        <v>1247</v>
      </c>
      <c r="H605" t="s">
        <v>1248</v>
      </c>
      <c r="I605" t="s">
        <v>28</v>
      </c>
      <c r="J605">
        <v>11942</v>
      </c>
      <c r="K605">
        <v>478</v>
      </c>
      <c r="L605" t="s">
        <v>21</v>
      </c>
      <c r="M605" s="1">
        <v>44434</v>
      </c>
      <c r="N605" t="s">
        <v>67</v>
      </c>
      <c r="O605" t="s">
        <v>23</v>
      </c>
      <c r="P605" t="str">
        <f t="shared" si="202"/>
        <v>P0604</v>
      </c>
      <c r="Q605" t="str">
        <f t="shared" si="198"/>
        <v>Nutrition</v>
      </c>
      <c r="R605">
        <f t="shared" si="199"/>
        <v>24</v>
      </c>
      <c r="S605" t="str">
        <f t="shared" ca="1" si="203"/>
        <v>No</v>
      </c>
      <c r="T605" t="str">
        <f t="shared" ca="1" si="204"/>
        <v>Mild</v>
      </c>
      <c r="U605" t="str">
        <f t="shared" ca="1" si="205"/>
        <v>Semi-Private</v>
      </c>
      <c r="V605" t="str">
        <f t="shared" si="206"/>
        <v>BED0604</v>
      </c>
      <c r="W605" t="str">
        <f t="shared" ca="1" si="207"/>
        <v>Semi-Private</v>
      </c>
      <c r="X605" t="str">
        <f t="shared" si="208"/>
        <v>NUR004</v>
      </c>
      <c r="Y605" t="str">
        <f t="shared" ca="1" si="209"/>
        <v>Evening</v>
      </c>
      <c r="Z605" t="str">
        <f t="shared" ca="1" si="210"/>
        <v>Ultrasound</v>
      </c>
      <c r="AA605" t="str">
        <f t="shared" ca="1" si="211"/>
        <v>Maintenance</v>
      </c>
      <c r="AB605" t="str">
        <f t="shared" ca="1" si="212"/>
        <v>Partially Paid</v>
      </c>
      <c r="AC605" t="str">
        <f t="shared" ca="1" si="213"/>
        <v>Bank Transfer</v>
      </c>
      <c r="AD605" t="str">
        <f t="shared" ca="1" si="214"/>
        <v>No</v>
      </c>
      <c r="AE605" t="str">
        <f t="shared" ca="1" si="215"/>
        <v>Yes</v>
      </c>
      <c r="AF605" t="str">
        <f t="shared" ca="1" si="216"/>
        <v>Transferred</v>
      </c>
      <c r="AG605" t="str">
        <f t="shared" ca="1" si="217"/>
        <v>Southwest</v>
      </c>
      <c r="AH605" t="str">
        <f t="shared" si="200"/>
        <v>August</v>
      </c>
      <c r="AI605">
        <f t="shared" si="201"/>
        <v>2021</v>
      </c>
      <c r="AJ605" t="str">
        <f t="shared" ca="1" si="218"/>
        <v>Occupied</v>
      </c>
      <c r="AK605">
        <f t="shared" ca="1" si="219"/>
        <v>2</v>
      </c>
    </row>
    <row r="606" spans="1:37" x14ac:dyDescent="0.3">
      <c r="A606" t="s">
        <v>5033</v>
      </c>
      <c r="B606">
        <v>70</v>
      </c>
      <c r="C606" t="s">
        <v>32</v>
      </c>
      <c r="D606" t="s">
        <v>24</v>
      </c>
      <c r="E606" t="s">
        <v>39</v>
      </c>
      <c r="F606" s="1">
        <v>43941</v>
      </c>
      <c r="G606" t="s">
        <v>1249</v>
      </c>
      <c r="H606" t="s">
        <v>1250</v>
      </c>
      <c r="I606" t="s">
        <v>28</v>
      </c>
      <c r="J606">
        <v>7423</v>
      </c>
      <c r="K606">
        <v>496</v>
      </c>
      <c r="L606" t="s">
        <v>42</v>
      </c>
      <c r="M606" s="1">
        <v>43944</v>
      </c>
      <c r="N606" t="s">
        <v>67</v>
      </c>
      <c r="O606" t="s">
        <v>43</v>
      </c>
      <c r="P606" t="str">
        <f t="shared" si="202"/>
        <v>P0605</v>
      </c>
      <c r="Q606" t="str">
        <f t="shared" si="198"/>
        <v>Endocrinology</v>
      </c>
      <c r="R606">
        <f t="shared" si="199"/>
        <v>3</v>
      </c>
      <c r="S606" t="str">
        <f t="shared" ca="1" si="203"/>
        <v>No</v>
      </c>
      <c r="T606" t="str">
        <f t="shared" ca="1" si="204"/>
        <v>Critical</v>
      </c>
      <c r="U606" t="str">
        <f t="shared" ca="1" si="205"/>
        <v>Emergency</v>
      </c>
      <c r="V606" t="str">
        <f t="shared" si="206"/>
        <v>BED0605</v>
      </c>
      <c r="W606" t="str">
        <f t="shared" ca="1" si="207"/>
        <v>ICU</v>
      </c>
      <c r="X606" t="str">
        <f t="shared" si="208"/>
        <v>NUR005</v>
      </c>
      <c r="Y606" t="str">
        <f t="shared" ca="1" si="209"/>
        <v>Evening</v>
      </c>
      <c r="Z606" t="str">
        <f t="shared" ca="1" si="210"/>
        <v>ECG Machine</v>
      </c>
      <c r="AA606" t="str">
        <f t="shared" ca="1" si="211"/>
        <v>In Use</v>
      </c>
      <c r="AB606" t="str">
        <f t="shared" ca="1" si="212"/>
        <v>Pending</v>
      </c>
      <c r="AC606" t="str">
        <f t="shared" ca="1" si="213"/>
        <v>Debit Card</v>
      </c>
      <c r="AD606" t="str">
        <f t="shared" ca="1" si="214"/>
        <v>No</v>
      </c>
      <c r="AE606" t="str">
        <f t="shared" ca="1" si="215"/>
        <v>No</v>
      </c>
      <c r="AF606" t="str">
        <f t="shared" ca="1" si="216"/>
        <v>Transferred</v>
      </c>
      <c r="AG606" t="str">
        <f t="shared" ca="1" si="217"/>
        <v>Midwest</v>
      </c>
      <c r="AH606" t="str">
        <f t="shared" si="200"/>
        <v>April</v>
      </c>
      <c r="AI606">
        <f t="shared" si="201"/>
        <v>2020</v>
      </c>
      <c r="AJ606" t="str">
        <f t="shared" ca="1" si="218"/>
        <v>Occupied</v>
      </c>
      <c r="AK606">
        <f t="shared" ca="1" si="219"/>
        <v>2</v>
      </c>
    </row>
    <row r="607" spans="1:37" x14ac:dyDescent="0.3">
      <c r="A607" t="s">
        <v>5034</v>
      </c>
      <c r="B607">
        <v>50</v>
      </c>
      <c r="C607" t="s">
        <v>32</v>
      </c>
      <c r="D607" t="s">
        <v>98</v>
      </c>
      <c r="E607" t="s">
        <v>64</v>
      </c>
      <c r="F607" s="1">
        <v>45105</v>
      </c>
      <c r="G607" t="s">
        <v>1251</v>
      </c>
      <c r="H607" t="s">
        <v>1252</v>
      </c>
      <c r="I607" t="s">
        <v>28</v>
      </c>
      <c r="J607">
        <v>34006</v>
      </c>
      <c r="K607">
        <v>368</v>
      </c>
      <c r="L607" t="s">
        <v>21</v>
      </c>
      <c r="M607" s="1">
        <v>45107</v>
      </c>
      <c r="N607" t="s">
        <v>30</v>
      </c>
      <c r="O607" t="s">
        <v>31</v>
      </c>
      <c r="P607" t="str">
        <f t="shared" si="202"/>
        <v>P0606</v>
      </c>
      <c r="Q607" t="str">
        <f t="shared" si="198"/>
        <v>Cardiology</v>
      </c>
      <c r="R607">
        <f t="shared" si="199"/>
        <v>2</v>
      </c>
      <c r="S607" t="str">
        <f t="shared" ca="1" si="203"/>
        <v>No</v>
      </c>
      <c r="T607" t="str">
        <f t="shared" ca="1" si="204"/>
        <v>Moderate</v>
      </c>
      <c r="U607" t="str">
        <f t="shared" ca="1" si="205"/>
        <v>Private Ward</v>
      </c>
      <c r="V607" t="str">
        <f t="shared" si="206"/>
        <v>BED0606</v>
      </c>
      <c r="W607" t="str">
        <f t="shared" ca="1" si="207"/>
        <v>General</v>
      </c>
      <c r="X607" t="str">
        <f t="shared" si="208"/>
        <v>NUR006</v>
      </c>
      <c r="Y607" t="str">
        <f t="shared" ca="1" si="209"/>
        <v>Morning</v>
      </c>
      <c r="Z607" t="str">
        <f t="shared" ca="1" si="210"/>
        <v>MRI Scanner</v>
      </c>
      <c r="AA607" t="str">
        <f t="shared" ca="1" si="211"/>
        <v>In Use</v>
      </c>
      <c r="AB607" t="str">
        <f t="shared" ca="1" si="212"/>
        <v>Partially Paid</v>
      </c>
      <c r="AC607" t="str">
        <f t="shared" ca="1" si="213"/>
        <v>Insurance</v>
      </c>
      <c r="AD607" t="str">
        <f t="shared" ca="1" si="214"/>
        <v>No</v>
      </c>
      <c r="AE607" t="str">
        <f t="shared" ca="1" si="215"/>
        <v>No</v>
      </c>
      <c r="AF607" t="str">
        <f t="shared" ca="1" si="216"/>
        <v>Under Observation</v>
      </c>
      <c r="AG607" t="str">
        <f t="shared" ca="1" si="217"/>
        <v>Southeast</v>
      </c>
      <c r="AH607" t="str">
        <f t="shared" si="200"/>
        <v>June</v>
      </c>
      <c r="AI607">
        <f t="shared" si="201"/>
        <v>2023</v>
      </c>
      <c r="AJ607" t="str">
        <f t="shared" ca="1" si="218"/>
        <v>Occupied</v>
      </c>
      <c r="AK607">
        <f t="shared" ca="1" si="219"/>
        <v>1</v>
      </c>
    </row>
    <row r="608" spans="1:37" x14ac:dyDescent="0.3">
      <c r="A608" t="s">
        <v>5035</v>
      </c>
      <c r="B608">
        <v>29</v>
      </c>
      <c r="C608" t="s">
        <v>15</v>
      </c>
      <c r="D608" t="s">
        <v>38</v>
      </c>
      <c r="E608" t="s">
        <v>48</v>
      </c>
      <c r="F608" s="1">
        <v>44657</v>
      </c>
      <c r="G608" t="s">
        <v>1253</v>
      </c>
      <c r="H608" t="s">
        <v>1254</v>
      </c>
      <c r="I608" t="s">
        <v>51</v>
      </c>
      <c r="J608">
        <v>48575</v>
      </c>
      <c r="K608">
        <v>448</v>
      </c>
      <c r="L608" t="s">
        <v>42</v>
      </c>
      <c r="M608" s="1">
        <v>44681</v>
      </c>
      <c r="N608" t="s">
        <v>47</v>
      </c>
      <c r="O608" t="s">
        <v>31</v>
      </c>
      <c r="P608" t="str">
        <f t="shared" si="202"/>
        <v>P0607</v>
      </c>
      <c r="Q608" t="str">
        <f t="shared" si="198"/>
        <v>Pulmonology</v>
      </c>
      <c r="R608">
        <f t="shared" si="199"/>
        <v>24</v>
      </c>
      <c r="S608" t="str">
        <f t="shared" ca="1" si="203"/>
        <v>No</v>
      </c>
      <c r="T608" t="str">
        <f t="shared" ca="1" si="204"/>
        <v>Moderate</v>
      </c>
      <c r="U608" t="str">
        <f t="shared" ca="1" si="205"/>
        <v>Semi-Private</v>
      </c>
      <c r="V608" t="str">
        <f t="shared" si="206"/>
        <v>BED0607</v>
      </c>
      <c r="W608" t="str">
        <f t="shared" ca="1" si="207"/>
        <v>General</v>
      </c>
      <c r="X608" t="str">
        <f t="shared" si="208"/>
        <v>NUR007</v>
      </c>
      <c r="Y608" t="str">
        <f t="shared" ca="1" si="209"/>
        <v>Morning</v>
      </c>
      <c r="Z608" t="str">
        <f t="shared" ca="1" si="210"/>
        <v>ECG Machine</v>
      </c>
      <c r="AA608" t="str">
        <f t="shared" ca="1" si="211"/>
        <v>In Use</v>
      </c>
      <c r="AB608" t="str">
        <f t="shared" ca="1" si="212"/>
        <v>Partially Paid</v>
      </c>
      <c r="AC608" t="str">
        <f t="shared" ca="1" si="213"/>
        <v>Bank Transfer</v>
      </c>
      <c r="AD608" t="str">
        <f t="shared" ca="1" si="214"/>
        <v>No</v>
      </c>
      <c r="AE608" t="str">
        <f t="shared" ca="1" si="215"/>
        <v>No</v>
      </c>
      <c r="AF608" t="str">
        <f t="shared" ca="1" si="216"/>
        <v>Recovered</v>
      </c>
      <c r="AG608" t="str">
        <f t="shared" ca="1" si="217"/>
        <v>West Coast</v>
      </c>
      <c r="AH608" t="str">
        <f t="shared" si="200"/>
        <v>April</v>
      </c>
      <c r="AI608">
        <f t="shared" si="201"/>
        <v>2022</v>
      </c>
      <c r="AJ608" t="str">
        <f t="shared" ca="1" si="218"/>
        <v>Occupied</v>
      </c>
      <c r="AK608">
        <f t="shared" ca="1" si="219"/>
        <v>1</v>
      </c>
    </row>
    <row r="609" spans="1:37" x14ac:dyDescent="0.3">
      <c r="A609" t="s">
        <v>5036</v>
      </c>
      <c r="B609">
        <v>66</v>
      </c>
      <c r="C609" t="s">
        <v>32</v>
      </c>
      <c r="D609" t="s">
        <v>44</v>
      </c>
      <c r="E609" t="s">
        <v>17</v>
      </c>
      <c r="F609" s="1">
        <v>44286</v>
      </c>
      <c r="G609" t="s">
        <v>1255</v>
      </c>
      <c r="H609" t="s">
        <v>1256</v>
      </c>
      <c r="I609" t="s">
        <v>57</v>
      </c>
      <c r="J609">
        <v>45011</v>
      </c>
      <c r="K609">
        <v>302</v>
      </c>
      <c r="L609" t="s">
        <v>21</v>
      </c>
      <c r="M609" s="1">
        <v>44302</v>
      </c>
      <c r="N609" t="s">
        <v>67</v>
      </c>
      <c r="O609" t="s">
        <v>43</v>
      </c>
      <c r="P609" t="str">
        <f t="shared" si="202"/>
        <v>P0608</v>
      </c>
      <c r="Q609" t="str">
        <f t="shared" si="198"/>
        <v>Oncology</v>
      </c>
      <c r="R609">
        <f t="shared" si="199"/>
        <v>16</v>
      </c>
      <c r="S609" t="str">
        <f t="shared" ca="1" si="203"/>
        <v>No</v>
      </c>
      <c r="T609" t="str">
        <f t="shared" ca="1" si="204"/>
        <v>Critical</v>
      </c>
      <c r="U609" t="str">
        <f t="shared" ca="1" si="205"/>
        <v>General Ward</v>
      </c>
      <c r="V609" t="str">
        <f t="shared" si="206"/>
        <v>BED0608</v>
      </c>
      <c r="W609" t="str">
        <f t="shared" ca="1" si="207"/>
        <v>Semi-Private</v>
      </c>
      <c r="X609" t="str">
        <f t="shared" si="208"/>
        <v>NUR008</v>
      </c>
      <c r="Y609" t="str">
        <f t="shared" ca="1" si="209"/>
        <v>Morning</v>
      </c>
      <c r="Z609" t="str">
        <f t="shared" ca="1" si="210"/>
        <v>X-Ray</v>
      </c>
      <c r="AA609" t="str">
        <f t="shared" ca="1" si="211"/>
        <v>Maintenance</v>
      </c>
      <c r="AB609" t="str">
        <f t="shared" ca="1" si="212"/>
        <v>Pending</v>
      </c>
      <c r="AC609" t="str">
        <f t="shared" ca="1" si="213"/>
        <v>Cash</v>
      </c>
      <c r="AD609" t="str">
        <f t="shared" ca="1" si="214"/>
        <v>Yes</v>
      </c>
      <c r="AE609" t="str">
        <f t="shared" ca="1" si="215"/>
        <v>No</v>
      </c>
      <c r="AF609" t="str">
        <f t="shared" ca="1" si="216"/>
        <v>Under Observation</v>
      </c>
      <c r="AG609" t="str">
        <f t="shared" ca="1" si="217"/>
        <v>Midwest</v>
      </c>
      <c r="AH609" t="str">
        <f t="shared" si="200"/>
        <v>March</v>
      </c>
      <c r="AI609">
        <f t="shared" si="201"/>
        <v>2021</v>
      </c>
      <c r="AJ609" t="str">
        <f t="shared" ca="1" si="218"/>
        <v>Occupied</v>
      </c>
      <c r="AK609">
        <f t="shared" ca="1" si="219"/>
        <v>4</v>
      </c>
    </row>
    <row r="610" spans="1:37" x14ac:dyDescent="0.3">
      <c r="A610" t="s">
        <v>5037</v>
      </c>
      <c r="B610">
        <v>70</v>
      </c>
      <c r="C610" t="s">
        <v>15</v>
      </c>
      <c r="D610" t="s">
        <v>44</v>
      </c>
      <c r="E610" t="s">
        <v>25</v>
      </c>
      <c r="F610" s="1">
        <v>43897</v>
      </c>
      <c r="G610" t="s">
        <v>1257</v>
      </c>
      <c r="H610" t="s">
        <v>1258</v>
      </c>
      <c r="I610" t="s">
        <v>51</v>
      </c>
      <c r="J610">
        <v>7409</v>
      </c>
      <c r="K610">
        <v>418</v>
      </c>
      <c r="L610" t="s">
        <v>42</v>
      </c>
      <c r="M610" s="1">
        <v>43919</v>
      </c>
      <c r="N610" t="s">
        <v>37</v>
      </c>
      <c r="O610" t="s">
        <v>23</v>
      </c>
      <c r="P610" t="str">
        <f t="shared" si="202"/>
        <v>P0609</v>
      </c>
      <c r="Q610" t="str">
        <f t="shared" si="198"/>
        <v>Nutrition</v>
      </c>
      <c r="R610">
        <f t="shared" si="199"/>
        <v>22</v>
      </c>
      <c r="S610" t="str">
        <f t="shared" ca="1" si="203"/>
        <v>No</v>
      </c>
      <c r="T610" t="str">
        <f t="shared" ca="1" si="204"/>
        <v>Critical</v>
      </c>
      <c r="U610" t="str">
        <f t="shared" ca="1" si="205"/>
        <v>General Ward</v>
      </c>
      <c r="V610" t="str">
        <f t="shared" si="206"/>
        <v>BED0609</v>
      </c>
      <c r="W610" t="str">
        <f t="shared" ca="1" si="207"/>
        <v>General</v>
      </c>
      <c r="X610" t="str">
        <f t="shared" si="208"/>
        <v>NUR009</v>
      </c>
      <c r="Y610" t="str">
        <f t="shared" ca="1" si="209"/>
        <v>Night</v>
      </c>
      <c r="Z610" t="str">
        <f t="shared" ca="1" si="210"/>
        <v>CT Scanner</v>
      </c>
      <c r="AA610" t="str">
        <f t="shared" ca="1" si="211"/>
        <v>Available</v>
      </c>
      <c r="AB610" t="str">
        <f t="shared" ca="1" si="212"/>
        <v>Paid</v>
      </c>
      <c r="AC610" t="str">
        <f t="shared" ca="1" si="213"/>
        <v>Credit Card</v>
      </c>
      <c r="AD610" t="str">
        <f t="shared" ca="1" si="214"/>
        <v>No</v>
      </c>
      <c r="AE610" t="str">
        <f t="shared" ca="1" si="215"/>
        <v>No</v>
      </c>
      <c r="AF610" t="str">
        <f t="shared" ca="1" si="216"/>
        <v>Transferred</v>
      </c>
      <c r="AG610" t="str">
        <f t="shared" ca="1" si="217"/>
        <v>Southwest</v>
      </c>
      <c r="AH610" t="str">
        <f t="shared" si="200"/>
        <v>March</v>
      </c>
      <c r="AI610">
        <f t="shared" si="201"/>
        <v>2020</v>
      </c>
      <c r="AJ610" t="str">
        <f t="shared" ca="1" si="218"/>
        <v>Occupied</v>
      </c>
      <c r="AK610">
        <f t="shared" ca="1" si="219"/>
        <v>1</v>
      </c>
    </row>
    <row r="611" spans="1:37" x14ac:dyDescent="0.3">
      <c r="A611" t="s">
        <v>5038</v>
      </c>
      <c r="B611">
        <v>56</v>
      </c>
      <c r="C611" t="s">
        <v>32</v>
      </c>
      <c r="D611" t="s">
        <v>16</v>
      </c>
      <c r="E611" t="s">
        <v>17</v>
      </c>
      <c r="F611" s="1">
        <v>43985</v>
      </c>
      <c r="G611" t="s">
        <v>1259</v>
      </c>
      <c r="H611" t="s">
        <v>1260</v>
      </c>
      <c r="I611" t="s">
        <v>57</v>
      </c>
      <c r="J611">
        <v>34968</v>
      </c>
      <c r="K611">
        <v>280</v>
      </c>
      <c r="L611" t="s">
        <v>21</v>
      </c>
      <c r="M611" s="1">
        <v>44003</v>
      </c>
      <c r="N611" t="s">
        <v>22</v>
      </c>
      <c r="O611" t="s">
        <v>43</v>
      </c>
      <c r="P611" t="str">
        <f t="shared" si="202"/>
        <v>P0610</v>
      </c>
      <c r="Q611" t="str">
        <f t="shared" si="198"/>
        <v>Oncology</v>
      </c>
      <c r="R611">
        <f t="shared" si="199"/>
        <v>18</v>
      </c>
      <c r="S611" t="str">
        <f t="shared" ca="1" si="203"/>
        <v>No</v>
      </c>
      <c r="T611" t="str">
        <f t="shared" ca="1" si="204"/>
        <v>Mild</v>
      </c>
      <c r="U611" t="str">
        <f t="shared" ca="1" si="205"/>
        <v>Emergency</v>
      </c>
      <c r="V611" t="str">
        <f t="shared" si="206"/>
        <v>BED0610</v>
      </c>
      <c r="W611" t="str">
        <f t="shared" ca="1" si="207"/>
        <v>General</v>
      </c>
      <c r="X611" t="str">
        <f t="shared" si="208"/>
        <v>NUR010</v>
      </c>
      <c r="Y611" t="str">
        <f t="shared" ca="1" si="209"/>
        <v>Night</v>
      </c>
      <c r="Z611" t="str">
        <f t="shared" ca="1" si="210"/>
        <v>CT Scanner</v>
      </c>
      <c r="AA611" t="str">
        <f t="shared" ca="1" si="211"/>
        <v>Maintenance</v>
      </c>
      <c r="AB611" t="str">
        <f t="shared" ca="1" si="212"/>
        <v>Paid</v>
      </c>
      <c r="AC611" t="str">
        <f t="shared" ca="1" si="213"/>
        <v>Cash</v>
      </c>
      <c r="AD611" t="str">
        <f t="shared" ca="1" si="214"/>
        <v>No</v>
      </c>
      <c r="AE611" t="str">
        <f t="shared" ca="1" si="215"/>
        <v>No</v>
      </c>
      <c r="AF611" t="str">
        <f t="shared" ca="1" si="216"/>
        <v>Recovered</v>
      </c>
      <c r="AG611" t="str">
        <f t="shared" ca="1" si="217"/>
        <v>West Coast</v>
      </c>
      <c r="AH611" t="str">
        <f t="shared" si="200"/>
        <v>June</v>
      </c>
      <c r="AI611">
        <f t="shared" si="201"/>
        <v>2020</v>
      </c>
      <c r="AJ611" t="str">
        <f t="shared" ca="1" si="218"/>
        <v>Occupied</v>
      </c>
      <c r="AK611">
        <f t="shared" ca="1" si="219"/>
        <v>1</v>
      </c>
    </row>
    <row r="612" spans="1:37" x14ac:dyDescent="0.3">
      <c r="A612" t="s">
        <v>5039</v>
      </c>
      <c r="B612">
        <v>85</v>
      </c>
      <c r="C612" t="s">
        <v>15</v>
      </c>
      <c r="D612" t="s">
        <v>16</v>
      </c>
      <c r="E612" t="s">
        <v>48</v>
      </c>
      <c r="F612" s="1">
        <v>44439</v>
      </c>
      <c r="G612" t="s">
        <v>1261</v>
      </c>
      <c r="H612" t="s">
        <v>1262</v>
      </c>
      <c r="I612" t="s">
        <v>36</v>
      </c>
      <c r="J612">
        <v>5648</v>
      </c>
      <c r="K612">
        <v>113</v>
      </c>
      <c r="L612" t="s">
        <v>42</v>
      </c>
      <c r="M612" s="1">
        <v>44456</v>
      </c>
      <c r="N612" t="s">
        <v>37</v>
      </c>
      <c r="O612" t="s">
        <v>31</v>
      </c>
      <c r="P612" t="str">
        <f t="shared" si="202"/>
        <v>P0611</v>
      </c>
      <c r="Q612" t="str">
        <f t="shared" si="198"/>
        <v>Pulmonology</v>
      </c>
      <c r="R612">
        <f t="shared" si="199"/>
        <v>17</v>
      </c>
      <c r="S612" t="str">
        <f t="shared" ca="1" si="203"/>
        <v>No</v>
      </c>
      <c r="T612" t="str">
        <f t="shared" ca="1" si="204"/>
        <v>Moderate</v>
      </c>
      <c r="U612" t="str">
        <f t="shared" ca="1" si="205"/>
        <v>ICU</v>
      </c>
      <c r="V612" t="str">
        <f t="shared" si="206"/>
        <v>BED0611</v>
      </c>
      <c r="W612" t="str">
        <f t="shared" ca="1" si="207"/>
        <v>Private</v>
      </c>
      <c r="X612" t="str">
        <f t="shared" si="208"/>
        <v>NUR011</v>
      </c>
      <c r="Y612" t="str">
        <f t="shared" ca="1" si="209"/>
        <v>Night</v>
      </c>
      <c r="Z612" t="str">
        <f t="shared" ca="1" si="210"/>
        <v>Ventilator</v>
      </c>
      <c r="AA612" t="str">
        <f t="shared" ca="1" si="211"/>
        <v>Maintenance</v>
      </c>
      <c r="AB612" t="str">
        <f t="shared" ca="1" si="212"/>
        <v>Partially Paid</v>
      </c>
      <c r="AC612" t="str">
        <f t="shared" ca="1" si="213"/>
        <v>Cash</v>
      </c>
      <c r="AD612" t="str">
        <f t="shared" ca="1" si="214"/>
        <v>No</v>
      </c>
      <c r="AE612" t="str">
        <f t="shared" ca="1" si="215"/>
        <v>No</v>
      </c>
      <c r="AF612" t="str">
        <f t="shared" ca="1" si="216"/>
        <v>Recovered</v>
      </c>
      <c r="AG612" t="str">
        <f t="shared" ca="1" si="217"/>
        <v>Northeast</v>
      </c>
      <c r="AH612" t="str">
        <f t="shared" si="200"/>
        <v>August</v>
      </c>
      <c r="AI612">
        <f t="shared" si="201"/>
        <v>2021</v>
      </c>
      <c r="AJ612" t="str">
        <f t="shared" ca="1" si="218"/>
        <v>Occupied</v>
      </c>
      <c r="AK612">
        <f t="shared" ca="1" si="219"/>
        <v>4</v>
      </c>
    </row>
    <row r="613" spans="1:37" x14ac:dyDescent="0.3">
      <c r="A613" t="s">
        <v>5040</v>
      </c>
      <c r="B613">
        <v>67</v>
      </c>
      <c r="C613" t="s">
        <v>15</v>
      </c>
      <c r="D613" t="s">
        <v>44</v>
      </c>
      <c r="E613" t="s">
        <v>17</v>
      </c>
      <c r="F613" s="1">
        <v>44826</v>
      </c>
      <c r="G613" t="s">
        <v>1263</v>
      </c>
      <c r="H613" t="s">
        <v>1264</v>
      </c>
      <c r="I613" t="s">
        <v>51</v>
      </c>
      <c r="J613">
        <v>14227</v>
      </c>
      <c r="K613">
        <v>484</v>
      </c>
      <c r="L613" t="s">
        <v>42</v>
      </c>
      <c r="M613" s="1">
        <v>44845</v>
      </c>
      <c r="N613" t="s">
        <v>22</v>
      </c>
      <c r="O613" t="s">
        <v>23</v>
      </c>
      <c r="P613" t="str">
        <f t="shared" si="202"/>
        <v>P0612</v>
      </c>
      <c r="Q613" t="str">
        <f t="shared" si="198"/>
        <v>Oncology</v>
      </c>
      <c r="R613">
        <f t="shared" si="199"/>
        <v>19</v>
      </c>
      <c r="S613" t="str">
        <f t="shared" ca="1" si="203"/>
        <v>No</v>
      </c>
      <c r="T613" t="str">
        <f t="shared" ca="1" si="204"/>
        <v>Mild</v>
      </c>
      <c r="U613" t="str">
        <f t="shared" ca="1" si="205"/>
        <v>Semi-Private</v>
      </c>
      <c r="V613" t="str">
        <f t="shared" si="206"/>
        <v>BED0612</v>
      </c>
      <c r="W613" t="str">
        <f t="shared" ca="1" si="207"/>
        <v>Private</v>
      </c>
      <c r="X613" t="str">
        <f t="shared" si="208"/>
        <v>NUR012</v>
      </c>
      <c r="Y613" t="str">
        <f t="shared" ca="1" si="209"/>
        <v>Evening</v>
      </c>
      <c r="Z613" t="str">
        <f t="shared" ca="1" si="210"/>
        <v>Ultrasound</v>
      </c>
      <c r="AA613" t="str">
        <f t="shared" ca="1" si="211"/>
        <v>Available</v>
      </c>
      <c r="AB613" t="str">
        <f t="shared" ca="1" si="212"/>
        <v>Paid</v>
      </c>
      <c r="AC613" t="str">
        <f t="shared" ca="1" si="213"/>
        <v>Bank Transfer</v>
      </c>
      <c r="AD613" t="str">
        <f t="shared" ca="1" si="214"/>
        <v>No</v>
      </c>
      <c r="AE613" t="str">
        <f t="shared" ca="1" si="215"/>
        <v>No</v>
      </c>
      <c r="AF613" t="str">
        <f t="shared" ca="1" si="216"/>
        <v>Under Observation</v>
      </c>
      <c r="AG613" t="str">
        <f t="shared" ca="1" si="217"/>
        <v>Northeast</v>
      </c>
      <c r="AH613" t="str">
        <f t="shared" si="200"/>
        <v>September</v>
      </c>
      <c r="AI613">
        <f t="shared" si="201"/>
        <v>2022</v>
      </c>
      <c r="AJ613" t="str">
        <f t="shared" ca="1" si="218"/>
        <v>Occupied</v>
      </c>
      <c r="AK613">
        <f t="shared" ca="1" si="219"/>
        <v>2</v>
      </c>
    </row>
    <row r="614" spans="1:37" x14ac:dyDescent="0.3">
      <c r="A614" t="s">
        <v>5041</v>
      </c>
      <c r="B614">
        <v>50</v>
      </c>
      <c r="C614" t="s">
        <v>32</v>
      </c>
      <c r="D614" t="s">
        <v>83</v>
      </c>
      <c r="E614" t="s">
        <v>76</v>
      </c>
      <c r="F614" s="1">
        <v>44744</v>
      </c>
      <c r="G614" t="s">
        <v>1265</v>
      </c>
      <c r="H614" t="s">
        <v>1266</v>
      </c>
      <c r="I614" t="s">
        <v>28</v>
      </c>
      <c r="J614">
        <v>47552</v>
      </c>
      <c r="K614">
        <v>179</v>
      </c>
      <c r="L614" t="s">
        <v>42</v>
      </c>
      <c r="M614" s="1">
        <v>44757</v>
      </c>
      <c r="N614" t="s">
        <v>30</v>
      </c>
      <c r="O614" t="s">
        <v>31</v>
      </c>
      <c r="P614" t="str">
        <f t="shared" si="202"/>
        <v>P0613</v>
      </c>
      <c r="Q614" t="str">
        <f t="shared" si="198"/>
        <v>Orthopedics</v>
      </c>
      <c r="R614">
        <f t="shared" si="199"/>
        <v>13</v>
      </c>
      <c r="S614" t="str">
        <f t="shared" ca="1" si="203"/>
        <v>No</v>
      </c>
      <c r="T614" t="str">
        <f t="shared" ca="1" si="204"/>
        <v>Moderate</v>
      </c>
      <c r="U614" t="str">
        <f t="shared" ca="1" si="205"/>
        <v>Emergency</v>
      </c>
      <c r="V614" t="str">
        <f t="shared" si="206"/>
        <v>BED0613</v>
      </c>
      <c r="W614" t="str">
        <f t="shared" ca="1" si="207"/>
        <v>Semi-Private</v>
      </c>
      <c r="X614" t="str">
        <f t="shared" si="208"/>
        <v>NUR013</v>
      </c>
      <c r="Y614" t="str">
        <f t="shared" ca="1" si="209"/>
        <v>Morning</v>
      </c>
      <c r="Z614" t="str">
        <f t="shared" ca="1" si="210"/>
        <v>Ventilator</v>
      </c>
      <c r="AA614" t="str">
        <f t="shared" ca="1" si="211"/>
        <v>Available</v>
      </c>
      <c r="AB614" t="str">
        <f t="shared" ca="1" si="212"/>
        <v>Partially Paid</v>
      </c>
      <c r="AC614" t="str">
        <f t="shared" ca="1" si="213"/>
        <v>Cash</v>
      </c>
      <c r="AD614" t="str">
        <f t="shared" ca="1" si="214"/>
        <v>No</v>
      </c>
      <c r="AE614" t="str">
        <f t="shared" ca="1" si="215"/>
        <v>No</v>
      </c>
      <c r="AF614" t="str">
        <f t="shared" ca="1" si="216"/>
        <v>Under Observation</v>
      </c>
      <c r="AG614" t="str">
        <f t="shared" ca="1" si="217"/>
        <v>West Coast</v>
      </c>
      <c r="AH614" t="str">
        <f t="shared" si="200"/>
        <v>July</v>
      </c>
      <c r="AI614">
        <f t="shared" si="201"/>
        <v>2022</v>
      </c>
      <c r="AJ614" t="str">
        <f t="shared" ca="1" si="218"/>
        <v>Occupied</v>
      </c>
      <c r="AK614">
        <f t="shared" ca="1" si="219"/>
        <v>4</v>
      </c>
    </row>
    <row r="615" spans="1:37" x14ac:dyDescent="0.3">
      <c r="A615" t="s">
        <v>5042</v>
      </c>
      <c r="B615">
        <v>52</v>
      </c>
      <c r="C615" t="s">
        <v>32</v>
      </c>
      <c r="D615" t="s">
        <v>38</v>
      </c>
      <c r="E615" t="s">
        <v>48</v>
      </c>
      <c r="F615" s="1">
        <v>43634</v>
      </c>
      <c r="G615" t="s">
        <v>1267</v>
      </c>
      <c r="H615" t="s">
        <v>1268</v>
      </c>
      <c r="I615" t="s">
        <v>36</v>
      </c>
      <c r="J615">
        <v>42302</v>
      </c>
      <c r="K615">
        <v>132</v>
      </c>
      <c r="L615" t="s">
        <v>42</v>
      </c>
      <c r="M615" s="1">
        <v>43654</v>
      </c>
      <c r="N615" t="s">
        <v>37</v>
      </c>
      <c r="O615" t="s">
        <v>43</v>
      </c>
      <c r="P615" t="str">
        <f t="shared" si="202"/>
        <v>P0614</v>
      </c>
      <c r="Q615" t="str">
        <f t="shared" si="198"/>
        <v>Pulmonology</v>
      </c>
      <c r="R615">
        <f t="shared" si="199"/>
        <v>20</v>
      </c>
      <c r="S615" t="str">
        <f t="shared" ca="1" si="203"/>
        <v>No</v>
      </c>
      <c r="T615" t="str">
        <f t="shared" ca="1" si="204"/>
        <v>Critical</v>
      </c>
      <c r="U615" t="str">
        <f t="shared" ca="1" si="205"/>
        <v>General Ward</v>
      </c>
      <c r="V615" t="str">
        <f t="shared" si="206"/>
        <v>BED0614</v>
      </c>
      <c r="W615" t="str">
        <f t="shared" ca="1" si="207"/>
        <v>ICU</v>
      </c>
      <c r="X615" t="str">
        <f t="shared" si="208"/>
        <v>NUR014</v>
      </c>
      <c r="Y615" t="str">
        <f t="shared" ca="1" si="209"/>
        <v>Morning</v>
      </c>
      <c r="Z615" t="str">
        <f t="shared" ca="1" si="210"/>
        <v>MRI Scanner</v>
      </c>
      <c r="AA615" t="str">
        <f t="shared" ca="1" si="211"/>
        <v>Available</v>
      </c>
      <c r="AB615" t="str">
        <f t="shared" ca="1" si="212"/>
        <v>Paid</v>
      </c>
      <c r="AC615" t="str">
        <f t="shared" ca="1" si="213"/>
        <v>Debit Card</v>
      </c>
      <c r="AD615" t="str">
        <f t="shared" ca="1" si="214"/>
        <v>No</v>
      </c>
      <c r="AE615" t="str">
        <f t="shared" ca="1" si="215"/>
        <v>No</v>
      </c>
      <c r="AF615" t="str">
        <f t="shared" ca="1" si="216"/>
        <v>Recovered</v>
      </c>
      <c r="AG615" t="str">
        <f t="shared" ca="1" si="217"/>
        <v>Southwest</v>
      </c>
      <c r="AH615" t="str">
        <f t="shared" si="200"/>
        <v>June</v>
      </c>
      <c r="AI615">
        <f t="shared" si="201"/>
        <v>2019</v>
      </c>
      <c r="AJ615" t="str">
        <f t="shared" ca="1" si="218"/>
        <v>Occupied</v>
      </c>
      <c r="AK615">
        <f t="shared" ca="1" si="219"/>
        <v>4</v>
      </c>
    </row>
    <row r="616" spans="1:37" x14ac:dyDescent="0.3">
      <c r="A616" t="s">
        <v>5043</v>
      </c>
      <c r="B616">
        <v>84</v>
      </c>
      <c r="C616" t="s">
        <v>15</v>
      </c>
      <c r="D616" t="s">
        <v>16</v>
      </c>
      <c r="E616" t="s">
        <v>64</v>
      </c>
      <c r="F616" s="1">
        <v>43665</v>
      </c>
      <c r="G616" t="s">
        <v>1269</v>
      </c>
      <c r="H616" t="s">
        <v>1270</v>
      </c>
      <c r="I616" t="s">
        <v>36</v>
      </c>
      <c r="J616">
        <v>2276</v>
      </c>
      <c r="K616">
        <v>335</v>
      </c>
      <c r="L616" t="s">
        <v>21</v>
      </c>
      <c r="M616" s="1">
        <v>43685</v>
      </c>
      <c r="N616" t="s">
        <v>37</v>
      </c>
      <c r="O616" t="s">
        <v>23</v>
      </c>
      <c r="P616" t="str">
        <f t="shared" si="202"/>
        <v>P0615</v>
      </c>
      <c r="Q616" t="str">
        <f t="shared" si="198"/>
        <v>Cardiology</v>
      </c>
      <c r="R616">
        <f t="shared" si="199"/>
        <v>20</v>
      </c>
      <c r="S616" t="str">
        <f t="shared" ca="1" si="203"/>
        <v>No</v>
      </c>
      <c r="T616" t="str">
        <f t="shared" ca="1" si="204"/>
        <v>Moderate</v>
      </c>
      <c r="U616" t="str">
        <f t="shared" ca="1" si="205"/>
        <v>Semi-Private</v>
      </c>
      <c r="V616" t="str">
        <f t="shared" si="206"/>
        <v>BED0615</v>
      </c>
      <c r="W616" t="str">
        <f t="shared" ca="1" si="207"/>
        <v>ICU</v>
      </c>
      <c r="X616" t="str">
        <f t="shared" si="208"/>
        <v>NUR015</v>
      </c>
      <c r="Y616" t="str">
        <f t="shared" ca="1" si="209"/>
        <v>Night</v>
      </c>
      <c r="Z616" t="str">
        <f t="shared" ca="1" si="210"/>
        <v>ECG Machine</v>
      </c>
      <c r="AA616" t="str">
        <f t="shared" ca="1" si="211"/>
        <v>In Use</v>
      </c>
      <c r="AB616" t="str">
        <f t="shared" ca="1" si="212"/>
        <v>Pending</v>
      </c>
      <c r="AC616" t="str">
        <f t="shared" ca="1" si="213"/>
        <v>Credit Card</v>
      </c>
      <c r="AD616" t="str">
        <f t="shared" ca="1" si="214"/>
        <v>No</v>
      </c>
      <c r="AE616" t="str">
        <f t="shared" ca="1" si="215"/>
        <v>No</v>
      </c>
      <c r="AF616" t="str">
        <f t="shared" ca="1" si="216"/>
        <v>Transferred</v>
      </c>
      <c r="AG616" t="str">
        <f t="shared" ca="1" si="217"/>
        <v>Southeast</v>
      </c>
      <c r="AH616" t="str">
        <f t="shared" si="200"/>
        <v>July</v>
      </c>
      <c r="AI616">
        <f t="shared" si="201"/>
        <v>2019</v>
      </c>
      <c r="AJ616" t="str">
        <f t="shared" ca="1" si="218"/>
        <v>Vacant</v>
      </c>
      <c r="AK616">
        <f t="shared" ca="1" si="219"/>
        <v>2</v>
      </c>
    </row>
    <row r="617" spans="1:37" x14ac:dyDescent="0.3">
      <c r="A617" t="s">
        <v>5044</v>
      </c>
      <c r="B617">
        <v>70</v>
      </c>
      <c r="C617" t="s">
        <v>15</v>
      </c>
      <c r="D617" t="s">
        <v>33</v>
      </c>
      <c r="E617" t="s">
        <v>17</v>
      </c>
      <c r="F617" s="1">
        <v>44567</v>
      </c>
      <c r="G617" t="s">
        <v>1271</v>
      </c>
      <c r="H617" t="s">
        <v>1272</v>
      </c>
      <c r="I617" t="s">
        <v>57</v>
      </c>
      <c r="J617">
        <v>10004</v>
      </c>
      <c r="K617">
        <v>169</v>
      </c>
      <c r="L617" t="s">
        <v>42</v>
      </c>
      <c r="M617" s="1">
        <v>44588</v>
      </c>
      <c r="N617" t="s">
        <v>22</v>
      </c>
      <c r="O617" t="s">
        <v>23</v>
      </c>
      <c r="P617" t="str">
        <f t="shared" si="202"/>
        <v>P0616</v>
      </c>
      <c r="Q617" t="str">
        <f t="shared" si="198"/>
        <v>Oncology</v>
      </c>
      <c r="R617">
        <f t="shared" si="199"/>
        <v>21</v>
      </c>
      <c r="S617" t="str">
        <f t="shared" ca="1" si="203"/>
        <v>No</v>
      </c>
      <c r="T617" t="str">
        <f t="shared" ca="1" si="204"/>
        <v>Severe</v>
      </c>
      <c r="U617" t="str">
        <f t="shared" ca="1" si="205"/>
        <v>Semi-Private</v>
      </c>
      <c r="V617" t="str">
        <f t="shared" si="206"/>
        <v>BED0616</v>
      </c>
      <c r="W617" t="str">
        <f t="shared" ca="1" si="207"/>
        <v>General</v>
      </c>
      <c r="X617" t="str">
        <f t="shared" si="208"/>
        <v>NUR016</v>
      </c>
      <c r="Y617" t="str">
        <f t="shared" ca="1" si="209"/>
        <v>Night</v>
      </c>
      <c r="Z617" t="str">
        <f t="shared" ca="1" si="210"/>
        <v>CT Scanner</v>
      </c>
      <c r="AA617" t="str">
        <f t="shared" ca="1" si="211"/>
        <v>Available</v>
      </c>
      <c r="AB617" t="str">
        <f t="shared" ca="1" si="212"/>
        <v>Partially Paid</v>
      </c>
      <c r="AC617" t="str">
        <f t="shared" ca="1" si="213"/>
        <v>Credit Card</v>
      </c>
      <c r="AD617" t="str">
        <f t="shared" ca="1" si="214"/>
        <v>No</v>
      </c>
      <c r="AE617" t="str">
        <f t="shared" ca="1" si="215"/>
        <v>No</v>
      </c>
      <c r="AF617" t="str">
        <f t="shared" ca="1" si="216"/>
        <v>Recovered</v>
      </c>
      <c r="AG617" t="str">
        <f t="shared" ca="1" si="217"/>
        <v>Northeast</v>
      </c>
      <c r="AH617" t="str">
        <f t="shared" si="200"/>
        <v>January</v>
      </c>
      <c r="AI617">
        <f t="shared" si="201"/>
        <v>2022</v>
      </c>
      <c r="AJ617" t="str">
        <f t="shared" ca="1" si="218"/>
        <v>Occupied</v>
      </c>
      <c r="AK617">
        <f t="shared" ca="1" si="219"/>
        <v>1</v>
      </c>
    </row>
    <row r="618" spans="1:37" x14ac:dyDescent="0.3">
      <c r="A618" t="s">
        <v>5045</v>
      </c>
      <c r="B618">
        <v>66</v>
      </c>
      <c r="C618" t="s">
        <v>15</v>
      </c>
      <c r="D618" t="s">
        <v>52</v>
      </c>
      <c r="E618" t="s">
        <v>39</v>
      </c>
      <c r="F618" s="1">
        <v>44600</v>
      </c>
      <c r="G618" t="s">
        <v>1273</v>
      </c>
      <c r="H618" t="s">
        <v>1274</v>
      </c>
      <c r="I618" t="s">
        <v>36</v>
      </c>
      <c r="J618">
        <v>42654</v>
      </c>
      <c r="K618">
        <v>263</v>
      </c>
      <c r="L618" t="s">
        <v>21</v>
      </c>
      <c r="M618" s="1">
        <v>44620</v>
      </c>
      <c r="N618" t="s">
        <v>67</v>
      </c>
      <c r="O618" t="s">
        <v>23</v>
      </c>
      <c r="P618" t="str">
        <f t="shared" si="202"/>
        <v>P0617</v>
      </c>
      <c r="Q618" t="str">
        <f t="shared" si="198"/>
        <v>Endocrinology</v>
      </c>
      <c r="R618">
        <f t="shared" si="199"/>
        <v>20</v>
      </c>
      <c r="S618" t="str">
        <f t="shared" ca="1" si="203"/>
        <v>No</v>
      </c>
      <c r="T618" t="str">
        <f t="shared" ca="1" si="204"/>
        <v>Moderate</v>
      </c>
      <c r="U618" t="str">
        <f t="shared" ca="1" si="205"/>
        <v>Private Ward</v>
      </c>
      <c r="V618" t="str">
        <f t="shared" si="206"/>
        <v>BED0617</v>
      </c>
      <c r="W618" t="str">
        <f t="shared" ca="1" si="207"/>
        <v>General</v>
      </c>
      <c r="X618" t="str">
        <f t="shared" si="208"/>
        <v>NUR017</v>
      </c>
      <c r="Y618" t="str">
        <f t="shared" ca="1" si="209"/>
        <v>Morning</v>
      </c>
      <c r="Z618" t="str">
        <f t="shared" ca="1" si="210"/>
        <v>ECG Machine</v>
      </c>
      <c r="AA618" t="str">
        <f t="shared" ca="1" si="211"/>
        <v>Available</v>
      </c>
      <c r="AB618" t="str">
        <f t="shared" ca="1" si="212"/>
        <v>Partially Paid</v>
      </c>
      <c r="AC618" t="str">
        <f t="shared" ca="1" si="213"/>
        <v>Insurance</v>
      </c>
      <c r="AD618" t="str">
        <f t="shared" ca="1" si="214"/>
        <v>No</v>
      </c>
      <c r="AE618" t="str">
        <f t="shared" ca="1" si="215"/>
        <v>No</v>
      </c>
      <c r="AF618" t="str">
        <f t="shared" ca="1" si="216"/>
        <v>Under Observation</v>
      </c>
      <c r="AG618" t="str">
        <f t="shared" ca="1" si="217"/>
        <v>Northeast</v>
      </c>
      <c r="AH618" t="str">
        <f t="shared" si="200"/>
        <v>February</v>
      </c>
      <c r="AI618">
        <f t="shared" si="201"/>
        <v>2022</v>
      </c>
      <c r="AJ618" t="str">
        <f t="shared" ca="1" si="218"/>
        <v>Occupied</v>
      </c>
      <c r="AK618">
        <f t="shared" ca="1" si="219"/>
        <v>1</v>
      </c>
    </row>
    <row r="619" spans="1:37" x14ac:dyDescent="0.3">
      <c r="A619" t="s">
        <v>5046</v>
      </c>
      <c r="B619">
        <v>74</v>
      </c>
      <c r="C619" t="s">
        <v>15</v>
      </c>
      <c r="D619" t="s">
        <v>52</v>
      </c>
      <c r="E619" t="s">
        <v>64</v>
      </c>
      <c r="F619" s="1">
        <v>44904</v>
      </c>
      <c r="G619" t="s">
        <v>1275</v>
      </c>
      <c r="H619" t="s">
        <v>1276</v>
      </c>
      <c r="I619" t="s">
        <v>57</v>
      </c>
      <c r="J619">
        <v>10722</v>
      </c>
      <c r="K619">
        <v>206</v>
      </c>
      <c r="L619" t="s">
        <v>42</v>
      </c>
      <c r="M619" s="1">
        <v>44923</v>
      </c>
      <c r="N619" t="s">
        <v>47</v>
      </c>
      <c r="O619" t="s">
        <v>31</v>
      </c>
      <c r="P619" t="str">
        <f t="shared" si="202"/>
        <v>P0618</v>
      </c>
      <c r="Q619" t="str">
        <f t="shared" si="198"/>
        <v>Cardiology</v>
      </c>
      <c r="R619">
        <f t="shared" si="199"/>
        <v>19</v>
      </c>
      <c r="S619" t="str">
        <f t="shared" ca="1" si="203"/>
        <v>No</v>
      </c>
      <c r="T619" t="str">
        <f t="shared" ca="1" si="204"/>
        <v>Critical</v>
      </c>
      <c r="U619" t="str">
        <f t="shared" ca="1" si="205"/>
        <v>Private Ward</v>
      </c>
      <c r="V619" t="str">
        <f t="shared" si="206"/>
        <v>BED0618</v>
      </c>
      <c r="W619" t="str">
        <f t="shared" ca="1" si="207"/>
        <v>General</v>
      </c>
      <c r="X619" t="str">
        <f t="shared" si="208"/>
        <v>NUR018</v>
      </c>
      <c r="Y619" t="str">
        <f t="shared" ca="1" si="209"/>
        <v>Evening</v>
      </c>
      <c r="Z619" t="str">
        <f t="shared" ca="1" si="210"/>
        <v>X-Ray</v>
      </c>
      <c r="AA619" t="str">
        <f t="shared" ca="1" si="211"/>
        <v>Available</v>
      </c>
      <c r="AB619" t="str">
        <f t="shared" ca="1" si="212"/>
        <v>Partially Paid</v>
      </c>
      <c r="AC619" t="str">
        <f t="shared" ca="1" si="213"/>
        <v>Cash</v>
      </c>
      <c r="AD619" t="str">
        <f t="shared" ca="1" si="214"/>
        <v>No</v>
      </c>
      <c r="AE619" t="str">
        <f t="shared" ca="1" si="215"/>
        <v>No</v>
      </c>
      <c r="AF619" t="str">
        <f t="shared" ca="1" si="216"/>
        <v>Recovered</v>
      </c>
      <c r="AG619" t="str">
        <f t="shared" ca="1" si="217"/>
        <v>West Coast</v>
      </c>
      <c r="AH619" t="str">
        <f t="shared" si="200"/>
        <v>December</v>
      </c>
      <c r="AI619">
        <f t="shared" si="201"/>
        <v>2022</v>
      </c>
      <c r="AJ619" t="str">
        <f t="shared" ca="1" si="218"/>
        <v>Vacant</v>
      </c>
      <c r="AK619">
        <f t="shared" ca="1" si="219"/>
        <v>2</v>
      </c>
    </row>
    <row r="620" spans="1:37" x14ac:dyDescent="0.3">
      <c r="A620" t="s">
        <v>5047</v>
      </c>
      <c r="B620">
        <v>75</v>
      </c>
      <c r="C620" t="s">
        <v>32</v>
      </c>
      <c r="D620" t="s">
        <v>38</v>
      </c>
      <c r="E620" t="s">
        <v>25</v>
      </c>
      <c r="F620" s="1">
        <v>43996</v>
      </c>
      <c r="G620" t="s">
        <v>1277</v>
      </c>
      <c r="H620" t="s">
        <v>1278</v>
      </c>
      <c r="I620" t="s">
        <v>20</v>
      </c>
      <c r="J620">
        <v>47517</v>
      </c>
      <c r="K620">
        <v>356</v>
      </c>
      <c r="L620" t="s">
        <v>21</v>
      </c>
      <c r="M620" s="1">
        <v>44002</v>
      </c>
      <c r="N620" t="s">
        <v>67</v>
      </c>
      <c r="O620" t="s">
        <v>23</v>
      </c>
      <c r="P620" t="str">
        <f t="shared" si="202"/>
        <v>P0619</v>
      </c>
      <c r="Q620" t="str">
        <f t="shared" si="198"/>
        <v>Nutrition</v>
      </c>
      <c r="R620">
        <f t="shared" si="199"/>
        <v>6</v>
      </c>
      <c r="S620" t="str">
        <f t="shared" ca="1" si="203"/>
        <v>No</v>
      </c>
      <c r="T620" t="str">
        <f t="shared" ca="1" si="204"/>
        <v>Mild</v>
      </c>
      <c r="U620" t="str">
        <f t="shared" ca="1" si="205"/>
        <v>General Ward</v>
      </c>
      <c r="V620" t="str">
        <f t="shared" si="206"/>
        <v>BED0619</v>
      </c>
      <c r="W620" t="str">
        <f t="shared" ca="1" si="207"/>
        <v>ICU</v>
      </c>
      <c r="X620" t="str">
        <f t="shared" si="208"/>
        <v>NUR019</v>
      </c>
      <c r="Y620" t="str">
        <f t="shared" ca="1" si="209"/>
        <v>Morning</v>
      </c>
      <c r="Z620" t="str">
        <f t="shared" ca="1" si="210"/>
        <v>CT Scanner</v>
      </c>
      <c r="AA620" t="str">
        <f t="shared" ca="1" si="211"/>
        <v>In Use</v>
      </c>
      <c r="AB620" t="str">
        <f t="shared" ca="1" si="212"/>
        <v>Paid</v>
      </c>
      <c r="AC620" t="str">
        <f t="shared" ca="1" si="213"/>
        <v>Cash</v>
      </c>
      <c r="AD620" t="str">
        <f t="shared" ca="1" si="214"/>
        <v>No</v>
      </c>
      <c r="AE620" t="str">
        <f t="shared" ca="1" si="215"/>
        <v>No</v>
      </c>
      <c r="AF620" t="str">
        <f t="shared" ca="1" si="216"/>
        <v>Transferred</v>
      </c>
      <c r="AG620" t="str">
        <f t="shared" ca="1" si="217"/>
        <v>Southwest</v>
      </c>
      <c r="AH620" t="str">
        <f t="shared" si="200"/>
        <v>June</v>
      </c>
      <c r="AI620">
        <f t="shared" si="201"/>
        <v>2020</v>
      </c>
      <c r="AJ620" t="str">
        <f t="shared" ca="1" si="218"/>
        <v>Vacant</v>
      </c>
      <c r="AK620">
        <f t="shared" ca="1" si="219"/>
        <v>4</v>
      </c>
    </row>
    <row r="621" spans="1:37" x14ac:dyDescent="0.3">
      <c r="A621" t="s">
        <v>119</v>
      </c>
      <c r="B621">
        <v>61</v>
      </c>
      <c r="C621" t="s">
        <v>15</v>
      </c>
      <c r="D621" t="s">
        <v>83</v>
      </c>
      <c r="E621" t="s">
        <v>25</v>
      </c>
      <c r="F621" s="1">
        <v>44267</v>
      </c>
      <c r="G621" t="s">
        <v>1279</v>
      </c>
      <c r="H621" t="s">
        <v>1280</v>
      </c>
      <c r="I621" t="s">
        <v>57</v>
      </c>
      <c r="J621">
        <v>41379</v>
      </c>
      <c r="K621">
        <v>354</v>
      </c>
      <c r="L621" t="s">
        <v>21</v>
      </c>
      <c r="M621" s="1">
        <v>44280</v>
      </c>
      <c r="N621" t="s">
        <v>67</v>
      </c>
      <c r="O621" t="s">
        <v>31</v>
      </c>
      <c r="P621" t="str">
        <f t="shared" si="202"/>
        <v>P0620</v>
      </c>
      <c r="Q621" t="str">
        <f t="shared" si="198"/>
        <v>Nutrition</v>
      </c>
      <c r="R621">
        <f t="shared" si="199"/>
        <v>13</v>
      </c>
      <c r="S621" t="str">
        <f t="shared" ca="1" si="203"/>
        <v>No</v>
      </c>
      <c r="T621" t="str">
        <f t="shared" ca="1" si="204"/>
        <v>Mild</v>
      </c>
      <c r="U621" t="str">
        <f t="shared" ca="1" si="205"/>
        <v>ICU</v>
      </c>
      <c r="V621" t="str">
        <f t="shared" si="206"/>
        <v>BED0620</v>
      </c>
      <c r="W621" t="str">
        <f t="shared" ca="1" si="207"/>
        <v>General</v>
      </c>
      <c r="X621" t="str">
        <f t="shared" si="208"/>
        <v>NUR020</v>
      </c>
      <c r="Y621" t="str">
        <f t="shared" ca="1" si="209"/>
        <v>Evening</v>
      </c>
      <c r="Z621" t="str">
        <f t="shared" ca="1" si="210"/>
        <v>MRI Scanner</v>
      </c>
      <c r="AA621" t="str">
        <f t="shared" ca="1" si="211"/>
        <v>Available</v>
      </c>
      <c r="AB621" t="str">
        <f t="shared" ca="1" si="212"/>
        <v>Paid</v>
      </c>
      <c r="AC621" t="str">
        <f t="shared" ca="1" si="213"/>
        <v>Debit Card</v>
      </c>
      <c r="AD621" t="str">
        <f t="shared" ca="1" si="214"/>
        <v>No</v>
      </c>
      <c r="AE621" t="str">
        <f t="shared" ca="1" si="215"/>
        <v>No</v>
      </c>
      <c r="AF621" t="str">
        <f t="shared" ca="1" si="216"/>
        <v>Under Observation</v>
      </c>
      <c r="AG621" t="str">
        <f t="shared" ca="1" si="217"/>
        <v>Northeast</v>
      </c>
      <c r="AH621" t="str">
        <f t="shared" si="200"/>
        <v>March</v>
      </c>
      <c r="AI621">
        <f t="shared" si="201"/>
        <v>2021</v>
      </c>
      <c r="AJ621" t="str">
        <f t="shared" ca="1" si="218"/>
        <v>Occupied</v>
      </c>
      <c r="AK621">
        <f t="shared" ca="1" si="219"/>
        <v>1</v>
      </c>
    </row>
    <row r="622" spans="1:37" x14ac:dyDescent="0.3">
      <c r="A622" t="s">
        <v>5048</v>
      </c>
      <c r="B622">
        <v>82</v>
      </c>
      <c r="C622" t="s">
        <v>15</v>
      </c>
      <c r="D622" t="s">
        <v>44</v>
      </c>
      <c r="E622" t="s">
        <v>48</v>
      </c>
      <c r="F622" s="1">
        <v>44922</v>
      </c>
      <c r="G622" t="s">
        <v>1281</v>
      </c>
      <c r="H622" t="s">
        <v>1282</v>
      </c>
      <c r="I622" t="s">
        <v>51</v>
      </c>
      <c r="J622">
        <v>27481</v>
      </c>
      <c r="K622">
        <v>411</v>
      </c>
      <c r="L622" t="s">
        <v>42</v>
      </c>
      <c r="M622" s="1">
        <v>44938</v>
      </c>
      <c r="N622" t="s">
        <v>22</v>
      </c>
      <c r="O622" t="s">
        <v>43</v>
      </c>
      <c r="P622" t="str">
        <f t="shared" si="202"/>
        <v>P0621</v>
      </c>
      <c r="Q622" t="str">
        <f t="shared" si="198"/>
        <v>Pulmonology</v>
      </c>
      <c r="R622">
        <f t="shared" si="199"/>
        <v>16</v>
      </c>
      <c r="S622" t="str">
        <f t="shared" ca="1" si="203"/>
        <v>Yes</v>
      </c>
      <c r="T622" t="str">
        <f t="shared" ca="1" si="204"/>
        <v>Severe</v>
      </c>
      <c r="U622" t="str">
        <f t="shared" ca="1" si="205"/>
        <v>Private Ward</v>
      </c>
      <c r="V622" t="str">
        <f t="shared" si="206"/>
        <v>BED0621</v>
      </c>
      <c r="W622" t="str">
        <f t="shared" ca="1" si="207"/>
        <v>ICU</v>
      </c>
      <c r="X622" t="str">
        <f t="shared" si="208"/>
        <v>NUR021</v>
      </c>
      <c r="Y622" t="str">
        <f t="shared" ca="1" si="209"/>
        <v>Night</v>
      </c>
      <c r="Z622" t="str">
        <f t="shared" ca="1" si="210"/>
        <v>CT Scanner</v>
      </c>
      <c r="AA622" t="str">
        <f t="shared" ca="1" si="211"/>
        <v>In Use</v>
      </c>
      <c r="AB622" t="str">
        <f t="shared" ca="1" si="212"/>
        <v>Paid</v>
      </c>
      <c r="AC622" t="str">
        <f t="shared" ca="1" si="213"/>
        <v>Insurance</v>
      </c>
      <c r="AD622" t="str">
        <f t="shared" ca="1" si="214"/>
        <v>No</v>
      </c>
      <c r="AE622" t="str">
        <f t="shared" ca="1" si="215"/>
        <v>No</v>
      </c>
      <c r="AF622" t="str">
        <f t="shared" ca="1" si="216"/>
        <v>Transferred</v>
      </c>
      <c r="AG622" t="str">
        <f t="shared" ca="1" si="217"/>
        <v>Southeast</v>
      </c>
      <c r="AH622" t="str">
        <f t="shared" si="200"/>
        <v>December</v>
      </c>
      <c r="AI622">
        <f t="shared" si="201"/>
        <v>2022</v>
      </c>
      <c r="AJ622" t="str">
        <f t="shared" ca="1" si="218"/>
        <v>Occupied</v>
      </c>
      <c r="AK622">
        <f t="shared" ca="1" si="219"/>
        <v>1</v>
      </c>
    </row>
    <row r="623" spans="1:37" x14ac:dyDescent="0.3">
      <c r="A623" t="s">
        <v>5049</v>
      </c>
      <c r="B623">
        <v>51</v>
      </c>
      <c r="C623" t="s">
        <v>32</v>
      </c>
      <c r="D623" t="s">
        <v>33</v>
      </c>
      <c r="E623" t="s">
        <v>25</v>
      </c>
      <c r="F623" s="1">
        <v>43807</v>
      </c>
      <c r="G623" t="s">
        <v>1283</v>
      </c>
      <c r="H623" t="s">
        <v>350</v>
      </c>
      <c r="I623" t="s">
        <v>57</v>
      </c>
      <c r="J623">
        <v>32006</v>
      </c>
      <c r="K623">
        <v>200</v>
      </c>
      <c r="L623" t="s">
        <v>21</v>
      </c>
      <c r="M623" s="1">
        <v>43835</v>
      </c>
      <c r="N623" t="s">
        <v>47</v>
      </c>
      <c r="O623" t="s">
        <v>23</v>
      </c>
      <c r="P623" t="str">
        <f t="shared" si="202"/>
        <v>P0622</v>
      </c>
      <c r="Q623" t="str">
        <f t="shared" si="198"/>
        <v>Nutrition</v>
      </c>
      <c r="R623">
        <f t="shared" si="199"/>
        <v>28</v>
      </c>
      <c r="S623" t="str">
        <f t="shared" ca="1" si="203"/>
        <v>No</v>
      </c>
      <c r="T623" t="str">
        <f t="shared" ca="1" si="204"/>
        <v>Mild</v>
      </c>
      <c r="U623" t="str">
        <f t="shared" ca="1" si="205"/>
        <v>Emergency</v>
      </c>
      <c r="V623" t="str">
        <f t="shared" si="206"/>
        <v>BED0622</v>
      </c>
      <c r="W623" t="str">
        <f t="shared" ca="1" si="207"/>
        <v>Semi-Private</v>
      </c>
      <c r="X623" t="str">
        <f t="shared" si="208"/>
        <v>NUR022</v>
      </c>
      <c r="Y623" t="str">
        <f t="shared" ca="1" si="209"/>
        <v>Morning</v>
      </c>
      <c r="Z623" t="str">
        <f t="shared" ca="1" si="210"/>
        <v>MRI Scanner</v>
      </c>
      <c r="AA623" t="str">
        <f t="shared" ca="1" si="211"/>
        <v>Maintenance</v>
      </c>
      <c r="AB623" t="str">
        <f t="shared" ca="1" si="212"/>
        <v>Partially Paid</v>
      </c>
      <c r="AC623" t="str">
        <f t="shared" ca="1" si="213"/>
        <v>Cash</v>
      </c>
      <c r="AD623" t="str">
        <f t="shared" ca="1" si="214"/>
        <v>No</v>
      </c>
      <c r="AE623" t="str">
        <f t="shared" ca="1" si="215"/>
        <v>No</v>
      </c>
      <c r="AF623" t="str">
        <f t="shared" ca="1" si="216"/>
        <v>Under Observation</v>
      </c>
      <c r="AG623" t="str">
        <f t="shared" ca="1" si="217"/>
        <v>Southeast</v>
      </c>
      <c r="AH623" t="str">
        <f t="shared" si="200"/>
        <v>December</v>
      </c>
      <c r="AI623">
        <f t="shared" si="201"/>
        <v>2019</v>
      </c>
      <c r="AJ623" t="str">
        <f t="shared" ca="1" si="218"/>
        <v>Vacant</v>
      </c>
      <c r="AK623">
        <f t="shared" ca="1" si="219"/>
        <v>2</v>
      </c>
    </row>
    <row r="624" spans="1:37" x14ac:dyDescent="0.3">
      <c r="A624" t="s">
        <v>5050</v>
      </c>
      <c r="B624">
        <v>37</v>
      </c>
      <c r="C624" t="s">
        <v>32</v>
      </c>
      <c r="D624" t="s">
        <v>33</v>
      </c>
      <c r="E624" t="s">
        <v>76</v>
      </c>
      <c r="F624" s="1">
        <v>45096</v>
      </c>
      <c r="G624" t="s">
        <v>1284</v>
      </c>
      <c r="H624" t="s">
        <v>1285</v>
      </c>
      <c r="I624" t="s">
        <v>51</v>
      </c>
      <c r="J624">
        <v>14406</v>
      </c>
      <c r="K624">
        <v>312</v>
      </c>
      <c r="L624" t="s">
        <v>42</v>
      </c>
      <c r="M624" s="1">
        <v>45121</v>
      </c>
      <c r="N624" t="s">
        <v>67</v>
      </c>
      <c r="O624" t="s">
        <v>31</v>
      </c>
      <c r="P624" t="str">
        <f t="shared" si="202"/>
        <v>P0623</v>
      </c>
      <c r="Q624" t="str">
        <f t="shared" si="198"/>
        <v>Orthopedics</v>
      </c>
      <c r="R624">
        <f t="shared" si="199"/>
        <v>25</v>
      </c>
      <c r="S624" t="str">
        <f t="shared" ca="1" si="203"/>
        <v>No</v>
      </c>
      <c r="T624" t="str">
        <f t="shared" ca="1" si="204"/>
        <v>Severe</v>
      </c>
      <c r="U624" t="str">
        <f t="shared" ca="1" si="205"/>
        <v>General Ward</v>
      </c>
      <c r="V624" t="str">
        <f t="shared" si="206"/>
        <v>BED0623</v>
      </c>
      <c r="W624" t="str">
        <f t="shared" ca="1" si="207"/>
        <v>Semi-Private</v>
      </c>
      <c r="X624" t="str">
        <f t="shared" si="208"/>
        <v>NUR023</v>
      </c>
      <c r="Y624" t="str">
        <f t="shared" ca="1" si="209"/>
        <v>Night</v>
      </c>
      <c r="Z624" t="str">
        <f t="shared" ca="1" si="210"/>
        <v>MRI Scanner</v>
      </c>
      <c r="AA624" t="str">
        <f t="shared" ca="1" si="211"/>
        <v>Maintenance</v>
      </c>
      <c r="AB624" t="str">
        <f t="shared" ca="1" si="212"/>
        <v>Pending</v>
      </c>
      <c r="AC624" t="str">
        <f t="shared" ca="1" si="213"/>
        <v>Bank Transfer</v>
      </c>
      <c r="AD624" t="str">
        <f t="shared" ca="1" si="214"/>
        <v>No</v>
      </c>
      <c r="AE624" t="str">
        <f t="shared" ca="1" si="215"/>
        <v>No</v>
      </c>
      <c r="AF624" t="str">
        <f t="shared" ca="1" si="216"/>
        <v>Under Observation</v>
      </c>
      <c r="AG624" t="str">
        <f t="shared" ca="1" si="217"/>
        <v>Northeast</v>
      </c>
      <c r="AH624" t="str">
        <f t="shared" si="200"/>
        <v>June</v>
      </c>
      <c r="AI624">
        <f t="shared" si="201"/>
        <v>2023</v>
      </c>
      <c r="AJ624" t="str">
        <f t="shared" ca="1" si="218"/>
        <v>Vacant</v>
      </c>
      <c r="AK624">
        <f t="shared" ca="1" si="219"/>
        <v>2</v>
      </c>
    </row>
    <row r="625" spans="1:37" x14ac:dyDescent="0.3">
      <c r="A625" t="s">
        <v>5051</v>
      </c>
      <c r="B625">
        <v>51</v>
      </c>
      <c r="C625" t="s">
        <v>15</v>
      </c>
      <c r="D625" t="s">
        <v>83</v>
      </c>
      <c r="E625" t="s">
        <v>64</v>
      </c>
      <c r="F625" s="1">
        <v>43595</v>
      </c>
      <c r="G625" t="s">
        <v>1286</v>
      </c>
      <c r="H625" t="s">
        <v>1287</v>
      </c>
      <c r="I625" t="s">
        <v>51</v>
      </c>
      <c r="J625">
        <v>24691</v>
      </c>
      <c r="K625">
        <v>484</v>
      </c>
      <c r="L625" t="s">
        <v>21</v>
      </c>
      <c r="M625" s="1">
        <v>43623</v>
      </c>
      <c r="N625" t="s">
        <v>47</v>
      </c>
      <c r="O625" t="s">
        <v>23</v>
      </c>
      <c r="P625" t="str">
        <f t="shared" si="202"/>
        <v>P0624</v>
      </c>
      <c r="Q625" t="str">
        <f t="shared" si="198"/>
        <v>Cardiology</v>
      </c>
      <c r="R625">
        <f t="shared" si="199"/>
        <v>28</v>
      </c>
      <c r="S625" t="str">
        <f t="shared" ca="1" si="203"/>
        <v>No</v>
      </c>
      <c r="T625" t="str">
        <f t="shared" ca="1" si="204"/>
        <v>Severe</v>
      </c>
      <c r="U625" t="str">
        <f t="shared" ca="1" si="205"/>
        <v>Private Ward</v>
      </c>
      <c r="V625" t="str">
        <f t="shared" si="206"/>
        <v>BED0624</v>
      </c>
      <c r="W625" t="str">
        <f t="shared" ca="1" si="207"/>
        <v>Semi-Private</v>
      </c>
      <c r="X625" t="str">
        <f t="shared" si="208"/>
        <v>NUR024</v>
      </c>
      <c r="Y625" t="str">
        <f t="shared" ca="1" si="209"/>
        <v>Night</v>
      </c>
      <c r="Z625" t="str">
        <f t="shared" ca="1" si="210"/>
        <v>X-Ray</v>
      </c>
      <c r="AA625" t="str">
        <f t="shared" ca="1" si="211"/>
        <v>In Use</v>
      </c>
      <c r="AB625" t="str">
        <f t="shared" ca="1" si="212"/>
        <v>Pending</v>
      </c>
      <c r="AC625" t="str">
        <f t="shared" ca="1" si="213"/>
        <v>Insurance</v>
      </c>
      <c r="AD625" t="str">
        <f t="shared" ca="1" si="214"/>
        <v>No</v>
      </c>
      <c r="AE625" t="str">
        <f t="shared" ca="1" si="215"/>
        <v>No</v>
      </c>
      <c r="AF625" t="str">
        <f t="shared" ca="1" si="216"/>
        <v>Under Observation</v>
      </c>
      <c r="AG625" t="str">
        <f t="shared" ca="1" si="217"/>
        <v>Southwest</v>
      </c>
      <c r="AH625" t="str">
        <f t="shared" si="200"/>
        <v>May</v>
      </c>
      <c r="AI625">
        <f t="shared" si="201"/>
        <v>2019</v>
      </c>
      <c r="AJ625" t="str">
        <f t="shared" ca="1" si="218"/>
        <v>Vacant</v>
      </c>
      <c r="AK625">
        <f t="shared" ca="1" si="219"/>
        <v>1</v>
      </c>
    </row>
    <row r="626" spans="1:37" x14ac:dyDescent="0.3">
      <c r="A626" t="s">
        <v>5052</v>
      </c>
      <c r="B626">
        <v>23</v>
      </c>
      <c r="C626" t="s">
        <v>15</v>
      </c>
      <c r="D626" t="s">
        <v>33</v>
      </c>
      <c r="E626" t="s">
        <v>48</v>
      </c>
      <c r="F626" s="1">
        <v>44358</v>
      </c>
      <c r="G626" t="s">
        <v>1288</v>
      </c>
      <c r="H626" t="s">
        <v>1289</v>
      </c>
      <c r="I626" t="s">
        <v>20</v>
      </c>
      <c r="J626">
        <v>47491</v>
      </c>
      <c r="K626">
        <v>305</v>
      </c>
      <c r="L626" t="s">
        <v>42</v>
      </c>
      <c r="M626" s="1">
        <v>44374</v>
      </c>
      <c r="N626" t="s">
        <v>30</v>
      </c>
      <c r="O626" t="s">
        <v>43</v>
      </c>
      <c r="P626" t="str">
        <f t="shared" si="202"/>
        <v>P0625</v>
      </c>
      <c r="Q626" t="str">
        <f t="shared" si="198"/>
        <v>Pulmonology</v>
      </c>
      <c r="R626">
        <f t="shared" si="199"/>
        <v>16</v>
      </c>
      <c r="S626" t="str">
        <f t="shared" ca="1" si="203"/>
        <v>No</v>
      </c>
      <c r="T626" t="str">
        <f t="shared" ca="1" si="204"/>
        <v>Severe</v>
      </c>
      <c r="U626" t="str">
        <f t="shared" ca="1" si="205"/>
        <v>Private Ward</v>
      </c>
      <c r="V626" t="str">
        <f t="shared" si="206"/>
        <v>BED0625</v>
      </c>
      <c r="W626" t="str">
        <f t="shared" ca="1" si="207"/>
        <v>Private</v>
      </c>
      <c r="X626" t="str">
        <f t="shared" si="208"/>
        <v>NUR025</v>
      </c>
      <c r="Y626" t="str">
        <f t="shared" ca="1" si="209"/>
        <v>Evening</v>
      </c>
      <c r="Z626" t="str">
        <f t="shared" ca="1" si="210"/>
        <v>X-Ray</v>
      </c>
      <c r="AA626" t="str">
        <f t="shared" ca="1" si="211"/>
        <v>Maintenance</v>
      </c>
      <c r="AB626" t="str">
        <f t="shared" ca="1" si="212"/>
        <v>Partially Paid</v>
      </c>
      <c r="AC626" t="str">
        <f t="shared" ca="1" si="213"/>
        <v>Credit Card</v>
      </c>
      <c r="AD626" t="str">
        <f t="shared" ca="1" si="214"/>
        <v>No</v>
      </c>
      <c r="AE626" t="str">
        <f t="shared" ca="1" si="215"/>
        <v>No</v>
      </c>
      <c r="AF626" t="str">
        <f t="shared" ca="1" si="216"/>
        <v>Under Observation</v>
      </c>
      <c r="AG626" t="str">
        <f t="shared" ca="1" si="217"/>
        <v>Midwest</v>
      </c>
      <c r="AH626" t="str">
        <f t="shared" si="200"/>
        <v>June</v>
      </c>
      <c r="AI626">
        <f t="shared" si="201"/>
        <v>2021</v>
      </c>
      <c r="AJ626" t="str">
        <f t="shared" ca="1" si="218"/>
        <v>Occupied</v>
      </c>
      <c r="AK626">
        <f t="shared" ca="1" si="219"/>
        <v>4</v>
      </c>
    </row>
    <row r="627" spans="1:37" x14ac:dyDescent="0.3">
      <c r="A627" t="s">
        <v>5053</v>
      </c>
      <c r="B627">
        <v>70</v>
      </c>
      <c r="C627" t="s">
        <v>15</v>
      </c>
      <c r="D627" t="s">
        <v>16</v>
      </c>
      <c r="E627" t="s">
        <v>48</v>
      </c>
      <c r="F627" s="1">
        <v>43765</v>
      </c>
      <c r="G627" t="s">
        <v>1290</v>
      </c>
      <c r="H627" t="s">
        <v>1291</v>
      </c>
      <c r="I627" t="s">
        <v>20</v>
      </c>
      <c r="J627">
        <v>37862</v>
      </c>
      <c r="K627">
        <v>428</v>
      </c>
      <c r="L627" t="s">
        <v>29</v>
      </c>
      <c r="M627" s="1">
        <v>43781</v>
      </c>
      <c r="N627" t="s">
        <v>67</v>
      </c>
      <c r="O627" t="s">
        <v>23</v>
      </c>
      <c r="P627" t="str">
        <f t="shared" si="202"/>
        <v>P0626</v>
      </c>
      <c r="Q627" t="str">
        <f t="shared" si="198"/>
        <v>Pulmonology</v>
      </c>
      <c r="R627">
        <f t="shared" si="199"/>
        <v>16</v>
      </c>
      <c r="S627" t="str">
        <f t="shared" ca="1" si="203"/>
        <v>No</v>
      </c>
      <c r="T627" t="str">
        <f t="shared" ca="1" si="204"/>
        <v>Moderate</v>
      </c>
      <c r="U627" t="str">
        <f t="shared" ca="1" si="205"/>
        <v>Semi-Private</v>
      </c>
      <c r="V627" t="str">
        <f t="shared" si="206"/>
        <v>BED0626</v>
      </c>
      <c r="W627" t="str">
        <f t="shared" ca="1" si="207"/>
        <v>ICU</v>
      </c>
      <c r="X627" t="str">
        <f t="shared" si="208"/>
        <v>NUR026</v>
      </c>
      <c r="Y627" t="str">
        <f t="shared" ca="1" si="209"/>
        <v>Morning</v>
      </c>
      <c r="Z627" t="str">
        <f t="shared" ca="1" si="210"/>
        <v>X-Ray</v>
      </c>
      <c r="AA627" t="str">
        <f t="shared" ca="1" si="211"/>
        <v>Maintenance</v>
      </c>
      <c r="AB627" t="str">
        <f t="shared" ca="1" si="212"/>
        <v>Paid</v>
      </c>
      <c r="AC627" t="str">
        <f t="shared" ca="1" si="213"/>
        <v>Credit Card</v>
      </c>
      <c r="AD627" t="str">
        <f t="shared" ca="1" si="214"/>
        <v>No</v>
      </c>
      <c r="AE627" t="str">
        <f t="shared" ca="1" si="215"/>
        <v>No</v>
      </c>
      <c r="AF627" t="str">
        <f t="shared" ca="1" si="216"/>
        <v>Transferred</v>
      </c>
      <c r="AG627" t="str">
        <f t="shared" ca="1" si="217"/>
        <v>Southwest</v>
      </c>
      <c r="AH627" t="str">
        <f t="shared" si="200"/>
        <v>October</v>
      </c>
      <c r="AI627">
        <f t="shared" si="201"/>
        <v>2019</v>
      </c>
      <c r="AJ627" t="str">
        <f t="shared" ca="1" si="218"/>
        <v>Occupied</v>
      </c>
      <c r="AK627">
        <f t="shared" ca="1" si="219"/>
        <v>2</v>
      </c>
    </row>
    <row r="628" spans="1:37" x14ac:dyDescent="0.3">
      <c r="A628" t="s">
        <v>5054</v>
      </c>
      <c r="B628">
        <v>60</v>
      </c>
      <c r="C628" t="s">
        <v>32</v>
      </c>
      <c r="D628" t="s">
        <v>83</v>
      </c>
      <c r="E628" t="s">
        <v>17</v>
      </c>
      <c r="F628" s="1">
        <v>44800</v>
      </c>
      <c r="G628" t="s">
        <v>1292</v>
      </c>
      <c r="H628" t="s">
        <v>1293</v>
      </c>
      <c r="I628" t="s">
        <v>36</v>
      </c>
      <c r="J628">
        <v>22953</v>
      </c>
      <c r="K628">
        <v>342</v>
      </c>
      <c r="L628" t="s">
        <v>42</v>
      </c>
      <c r="M628" s="1">
        <v>44819</v>
      </c>
      <c r="N628" t="s">
        <v>47</v>
      </c>
      <c r="O628" t="s">
        <v>23</v>
      </c>
      <c r="P628" t="str">
        <f t="shared" si="202"/>
        <v>P0627</v>
      </c>
      <c r="Q628" t="str">
        <f t="shared" si="198"/>
        <v>Oncology</v>
      </c>
      <c r="R628">
        <f t="shared" si="199"/>
        <v>19</v>
      </c>
      <c r="S628" t="str">
        <f t="shared" ca="1" si="203"/>
        <v>No</v>
      </c>
      <c r="T628" t="str">
        <f t="shared" ca="1" si="204"/>
        <v>Critical</v>
      </c>
      <c r="U628" t="str">
        <f t="shared" ca="1" si="205"/>
        <v>Private Ward</v>
      </c>
      <c r="V628" t="str">
        <f t="shared" si="206"/>
        <v>BED0627</v>
      </c>
      <c r="W628" t="str">
        <f t="shared" ca="1" si="207"/>
        <v>Semi-Private</v>
      </c>
      <c r="X628" t="str">
        <f t="shared" si="208"/>
        <v>NUR027</v>
      </c>
      <c r="Y628" t="str">
        <f t="shared" ca="1" si="209"/>
        <v>Night</v>
      </c>
      <c r="Z628" t="str">
        <f t="shared" ca="1" si="210"/>
        <v>ECG Machine</v>
      </c>
      <c r="AA628" t="str">
        <f t="shared" ca="1" si="211"/>
        <v>Available</v>
      </c>
      <c r="AB628" t="str">
        <f t="shared" ca="1" si="212"/>
        <v>Partially Paid</v>
      </c>
      <c r="AC628" t="str">
        <f t="shared" ca="1" si="213"/>
        <v>Bank Transfer</v>
      </c>
      <c r="AD628" t="str">
        <f t="shared" ca="1" si="214"/>
        <v>No</v>
      </c>
      <c r="AE628" t="str">
        <f t="shared" ca="1" si="215"/>
        <v>Yes</v>
      </c>
      <c r="AF628" t="str">
        <f t="shared" ca="1" si="216"/>
        <v>Transferred</v>
      </c>
      <c r="AG628" t="str">
        <f t="shared" ca="1" si="217"/>
        <v>Southeast</v>
      </c>
      <c r="AH628" t="str">
        <f t="shared" si="200"/>
        <v>August</v>
      </c>
      <c r="AI628">
        <f t="shared" si="201"/>
        <v>2022</v>
      </c>
      <c r="AJ628" t="str">
        <f t="shared" ca="1" si="218"/>
        <v>Occupied</v>
      </c>
      <c r="AK628">
        <f t="shared" ca="1" si="219"/>
        <v>1</v>
      </c>
    </row>
    <row r="629" spans="1:37" x14ac:dyDescent="0.3">
      <c r="A629" t="s">
        <v>5055</v>
      </c>
      <c r="B629">
        <v>45</v>
      </c>
      <c r="C629" t="s">
        <v>32</v>
      </c>
      <c r="D629" t="s">
        <v>24</v>
      </c>
      <c r="E629" t="s">
        <v>76</v>
      </c>
      <c r="F629" s="1">
        <v>43685</v>
      </c>
      <c r="G629" t="s">
        <v>1294</v>
      </c>
      <c r="H629" t="s">
        <v>1295</v>
      </c>
      <c r="I629" t="s">
        <v>51</v>
      </c>
      <c r="J629">
        <v>2735</v>
      </c>
      <c r="K629">
        <v>497</v>
      </c>
      <c r="L629" t="s">
        <v>29</v>
      </c>
      <c r="M629" s="1">
        <v>43691</v>
      </c>
      <c r="N629" t="s">
        <v>47</v>
      </c>
      <c r="O629" t="s">
        <v>31</v>
      </c>
      <c r="P629" t="str">
        <f t="shared" si="202"/>
        <v>P0628</v>
      </c>
      <c r="Q629" t="str">
        <f t="shared" si="198"/>
        <v>Orthopedics</v>
      </c>
      <c r="R629">
        <f t="shared" si="199"/>
        <v>6</v>
      </c>
      <c r="S629" t="str">
        <f t="shared" ca="1" si="203"/>
        <v>No</v>
      </c>
      <c r="T629" t="str">
        <f t="shared" ca="1" si="204"/>
        <v>Mild</v>
      </c>
      <c r="U629" t="str">
        <f t="shared" ca="1" si="205"/>
        <v>ICU</v>
      </c>
      <c r="V629" t="str">
        <f t="shared" si="206"/>
        <v>BED0628</v>
      </c>
      <c r="W629" t="str">
        <f t="shared" ca="1" si="207"/>
        <v>Private</v>
      </c>
      <c r="X629" t="str">
        <f t="shared" si="208"/>
        <v>NUR028</v>
      </c>
      <c r="Y629" t="str">
        <f t="shared" ca="1" si="209"/>
        <v>Morning</v>
      </c>
      <c r="Z629" t="str">
        <f t="shared" ca="1" si="210"/>
        <v>X-Ray</v>
      </c>
      <c r="AA629" t="str">
        <f t="shared" ca="1" si="211"/>
        <v>Available</v>
      </c>
      <c r="AB629" t="str">
        <f t="shared" ca="1" si="212"/>
        <v>Partially Paid</v>
      </c>
      <c r="AC629" t="str">
        <f t="shared" ca="1" si="213"/>
        <v>Credit Card</v>
      </c>
      <c r="AD629" t="str">
        <f t="shared" ca="1" si="214"/>
        <v>No</v>
      </c>
      <c r="AE629" t="str">
        <f t="shared" ca="1" si="215"/>
        <v>Yes</v>
      </c>
      <c r="AF629" t="str">
        <f t="shared" ca="1" si="216"/>
        <v>Under Observation</v>
      </c>
      <c r="AG629" t="str">
        <f t="shared" ca="1" si="217"/>
        <v>Northeast</v>
      </c>
      <c r="AH629" t="str">
        <f t="shared" si="200"/>
        <v>August</v>
      </c>
      <c r="AI629">
        <f t="shared" si="201"/>
        <v>2019</v>
      </c>
      <c r="AJ629" t="str">
        <f t="shared" ca="1" si="218"/>
        <v>Occupied</v>
      </c>
      <c r="AK629">
        <f t="shared" ca="1" si="219"/>
        <v>4</v>
      </c>
    </row>
    <row r="630" spans="1:37" x14ac:dyDescent="0.3">
      <c r="A630" t="s">
        <v>5056</v>
      </c>
      <c r="B630">
        <v>30</v>
      </c>
      <c r="C630" t="s">
        <v>15</v>
      </c>
      <c r="D630" t="s">
        <v>33</v>
      </c>
      <c r="E630" t="s">
        <v>76</v>
      </c>
      <c r="F630" s="1">
        <v>44969</v>
      </c>
      <c r="G630" t="s">
        <v>1296</v>
      </c>
      <c r="H630" t="s">
        <v>1297</v>
      </c>
      <c r="I630" t="s">
        <v>28</v>
      </c>
      <c r="J630">
        <v>37755</v>
      </c>
      <c r="K630">
        <v>128</v>
      </c>
      <c r="L630" t="s">
        <v>42</v>
      </c>
      <c r="M630" s="1">
        <v>44974</v>
      </c>
      <c r="N630" t="s">
        <v>22</v>
      </c>
      <c r="O630" t="s">
        <v>23</v>
      </c>
      <c r="P630" t="str">
        <f t="shared" si="202"/>
        <v>P0629</v>
      </c>
      <c r="Q630" t="str">
        <f t="shared" si="198"/>
        <v>Orthopedics</v>
      </c>
      <c r="R630">
        <f t="shared" si="199"/>
        <v>5</v>
      </c>
      <c r="S630" t="str">
        <f t="shared" ca="1" si="203"/>
        <v>No</v>
      </c>
      <c r="T630" t="str">
        <f t="shared" ca="1" si="204"/>
        <v>Critical</v>
      </c>
      <c r="U630" t="str">
        <f t="shared" ca="1" si="205"/>
        <v>ICU</v>
      </c>
      <c r="V630" t="str">
        <f t="shared" si="206"/>
        <v>BED0629</v>
      </c>
      <c r="W630" t="str">
        <f t="shared" ca="1" si="207"/>
        <v>Semi-Private</v>
      </c>
      <c r="X630" t="str">
        <f t="shared" si="208"/>
        <v>NUR029</v>
      </c>
      <c r="Y630" t="str">
        <f t="shared" ca="1" si="209"/>
        <v>Morning</v>
      </c>
      <c r="Z630" t="str">
        <f t="shared" ca="1" si="210"/>
        <v>CT Scanner</v>
      </c>
      <c r="AA630" t="str">
        <f t="shared" ca="1" si="211"/>
        <v>Maintenance</v>
      </c>
      <c r="AB630" t="str">
        <f t="shared" ca="1" si="212"/>
        <v>Pending</v>
      </c>
      <c r="AC630" t="str">
        <f t="shared" ca="1" si="213"/>
        <v>Insurance</v>
      </c>
      <c r="AD630" t="str">
        <f t="shared" ca="1" si="214"/>
        <v>No</v>
      </c>
      <c r="AE630" t="str">
        <f t="shared" ca="1" si="215"/>
        <v>No</v>
      </c>
      <c r="AF630" t="str">
        <f t="shared" ca="1" si="216"/>
        <v>Transferred</v>
      </c>
      <c r="AG630" t="str">
        <f t="shared" ca="1" si="217"/>
        <v>West Coast</v>
      </c>
      <c r="AH630" t="str">
        <f t="shared" si="200"/>
        <v>February</v>
      </c>
      <c r="AI630">
        <f t="shared" si="201"/>
        <v>2023</v>
      </c>
      <c r="AJ630" t="str">
        <f t="shared" ca="1" si="218"/>
        <v>Occupied</v>
      </c>
      <c r="AK630">
        <f t="shared" ca="1" si="219"/>
        <v>4</v>
      </c>
    </row>
    <row r="631" spans="1:37" x14ac:dyDescent="0.3">
      <c r="A631" t="s">
        <v>5057</v>
      </c>
      <c r="B631">
        <v>35</v>
      </c>
      <c r="C631" t="s">
        <v>15</v>
      </c>
      <c r="D631" t="s">
        <v>24</v>
      </c>
      <c r="E631" t="s">
        <v>64</v>
      </c>
      <c r="F631" s="1">
        <v>44320</v>
      </c>
      <c r="G631" t="s">
        <v>1298</v>
      </c>
      <c r="H631" t="s">
        <v>1299</v>
      </c>
      <c r="I631" t="s">
        <v>28</v>
      </c>
      <c r="J631">
        <v>2691</v>
      </c>
      <c r="K631">
        <v>338</v>
      </c>
      <c r="L631" t="s">
        <v>42</v>
      </c>
      <c r="M631" s="1">
        <v>44326</v>
      </c>
      <c r="N631" t="s">
        <v>47</v>
      </c>
      <c r="O631" t="s">
        <v>31</v>
      </c>
      <c r="P631" t="str">
        <f t="shared" si="202"/>
        <v>P0630</v>
      </c>
      <c r="Q631" t="str">
        <f t="shared" si="198"/>
        <v>Cardiology</v>
      </c>
      <c r="R631">
        <f t="shared" si="199"/>
        <v>6</v>
      </c>
      <c r="S631" t="str">
        <f t="shared" ca="1" si="203"/>
        <v>No</v>
      </c>
      <c r="T631" t="str">
        <f t="shared" ca="1" si="204"/>
        <v>Critical</v>
      </c>
      <c r="U631" t="str">
        <f t="shared" ca="1" si="205"/>
        <v>General Ward</v>
      </c>
      <c r="V631" t="str">
        <f t="shared" si="206"/>
        <v>BED0630</v>
      </c>
      <c r="W631" t="str">
        <f t="shared" ca="1" si="207"/>
        <v>Semi-Private</v>
      </c>
      <c r="X631" t="str">
        <f t="shared" si="208"/>
        <v>NUR030</v>
      </c>
      <c r="Y631" t="str">
        <f t="shared" ca="1" si="209"/>
        <v>Morning</v>
      </c>
      <c r="Z631" t="str">
        <f t="shared" ca="1" si="210"/>
        <v>X-Ray</v>
      </c>
      <c r="AA631" t="str">
        <f t="shared" ca="1" si="211"/>
        <v>In Use</v>
      </c>
      <c r="AB631" t="str">
        <f t="shared" ca="1" si="212"/>
        <v>Partially Paid</v>
      </c>
      <c r="AC631" t="str">
        <f t="shared" ca="1" si="213"/>
        <v>Credit Card</v>
      </c>
      <c r="AD631" t="str">
        <f t="shared" ca="1" si="214"/>
        <v>No</v>
      </c>
      <c r="AE631" t="str">
        <f t="shared" ca="1" si="215"/>
        <v>No</v>
      </c>
      <c r="AF631" t="str">
        <f t="shared" ca="1" si="216"/>
        <v>Transferred</v>
      </c>
      <c r="AG631" t="str">
        <f t="shared" ca="1" si="217"/>
        <v>Southeast</v>
      </c>
      <c r="AH631" t="str">
        <f t="shared" si="200"/>
        <v>May</v>
      </c>
      <c r="AI631">
        <f t="shared" si="201"/>
        <v>2021</v>
      </c>
      <c r="AJ631" t="str">
        <f t="shared" ca="1" si="218"/>
        <v>Occupied</v>
      </c>
      <c r="AK631">
        <f t="shared" ca="1" si="219"/>
        <v>1</v>
      </c>
    </row>
    <row r="632" spans="1:37" x14ac:dyDescent="0.3">
      <c r="A632" t="s">
        <v>5058</v>
      </c>
      <c r="B632">
        <v>51</v>
      </c>
      <c r="C632" t="s">
        <v>32</v>
      </c>
      <c r="D632" t="s">
        <v>38</v>
      </c>
      <c r="E632" t="s">
        <v>25</v>
      </c>
      <c r="F632" s="1">
        <v>44388</v>
      </c>
      <c r="G632" t="s">
        <v>1300</v>
      </c>
      <c r="H632" t="s">
        <v>1301</v>
      </c>
      <c r="I632" t="s">
        <v>36</v>
      </c>
      <c r="J632">
        <v>7897</v>
      </c>
      <c r="K632">
        <v>335</v>
      </c>
      <c r="L632" t="s">
        <v>42</v>
      </c>
      <c r="M632" s="1">
        <v>44405</v>
      </c>
      <c r="N632" t="s">
        <v>67</v>
      </c>
      <c r="O632" t="s">
        <v>23</v>
      </c>
      <c r="P632" t="str">
        <f t="shared" si="202"/>
        <v>P0631</v>
      </c>
      <c r="Q632" t="str">
        <f t="shared" si="198"/>
        <v>Nutrition</v>
      </c>
      <c r="R632">
        <f t="shared" si="199"/>
        <v>17</v>
      </c>
      <c r="S632" t="str">
        <f t="shared" ca="1" si="203"/>
        <v>No</v>
      </c>
      <c r="T632" t="str">
        <f t="shared" ca="1" si="204"/>
        <v>Mild</v>
      </c>
      <c r="U632" t="str">
        <f t="shared" ca="1" si="205"/>
        <v>General Ward</v>
      </c>
      <c r="V632" t="str">
        <f t="shared" si="206"/>
        <v>BED0631</v>
      </c>
      <c r="W632" t="str">
        <f t="shared" ca="1" si="207"/>
        <v>Semi-Private</v>
      </c>
      <c r="X632" t="str">
        <f t="shared" si="208"/>
        <v>NUR031</v>
      </c>
      <c r="Y632" t="str">
        <f t="shared" ca="1" si="209"/>
        <v>Morning</v>
      </c>
      <c r="Z632" t="str">
        <f t="shared" ca="1" si="210"/>
        <v>X-Ray</v>
      </c>
      <c r="AA632" t="str">
        <f t="shared" ca="1" si="211"/>
        <v>Available</v>
      </c>
      <c r="AB632" t="str">
        <f t="shared" ca="1" si="212"/>
        <v>Paid</v>
      </c>
      <c r="AC632" t="str">
        <f t="shared" ca="1" si="213"/>
        <v>Insurance</v>
      </c>
      <c r="AD632" t="str">
        <f t="shared" ca="1" si="214"/>
        <v>Yes</v>
      </c>
      <c r="AE632" t="str">
        <f t="shared" ca="1" si="215"/>
        <v>No</v>
      </c>
      <c r="AF632" t="str">
        <f t="shared" ca="1" si="216"/>
        <v>Recovered</v>
      </c>
      <c r="AG632" t="str">
        <f t="shared" ca="1" si="217"/>
        <v>Midwest</v>
      </c>
      <c r="AH632" t="str">
        <f t="shared" si="200"/>
        <v>July</v>
      </c>
      <c r="AI632">
        <f t="shared" si="201"/>
        <v>2021</v>
      </c>
      <c r="AJ632" t="str">
        <f t="shared" ca="1" si="218"/>
        <v>Occupied</v>
      </c>
      <c r="AK632">
        <f t="shared" ca="1" si="219"/>
        <v>2</v>
      </c>
    </row>
    <row r="633" spans="1:37" x14ac:dyDescent="0.3">
      <c r="A633" t="s">
        <v>5059</v>
      </c>
      <c r="B633">
        <v>61</v>
      </c>
      <c r="C633" t="s">
        <v>15</v>
      </c>
      <c r="D633" t="s">
        <v>24</v>
      </c>
      <c r="E633" t="s">
        <v>39</v>
      </c>
      <c r="F633" s="1">
        <v>44237</v>
      </c>
      <c r="G633" t="s">
        <v>1302</v>
      </c>
      <c r="H633" t="s">
        <v>1303</v>
      </c>
      <c r="I633" t="s">
        <v>28</v>
      </c>
      <c r="J633">
        <v>4446</v>
      </c>
      <c r="K633">
        <v>345</v>
      </c>
      <c r="L633" t="s">
        <v>29</v>
      </c>
      <c r="M633" s="1">
        <v>44245</v>
      </c>
      <c r="N633" t="s">
        <v>67</v>
      </c>
      <c r="O633" t="s">
        <v>31</v>
      </c>
      <c r="P633" t="str">
        <f t="shared" si="202"/>
        <v>P0632</v>
      </c>
      <c r="Q633" t="str">
        <f t="shared" si="198"/>
        <v>Endocrinology</v>
      </c>
      <c r="R633">
        <f t="shared" si="199"/>
        <v>8</v>
      </c>
      <c r="S633" t="str">
        <f t="shared" ca="1" si="203"/>
        <v>No</v>
      </c>
      <c r="T633" t="str">
        <f t="shared" ca="1" si="204"/>
        <v>Moderate</v>
      </c>
      <c r="U633" t="str">
        <f t="shared" ca="1" si="205"/>
        <v>Private Ward</v>
      </c>
      <c r="V633" t="str">
        <f t="shared" si="206"/>
        <v>BED0632</v>
      </c>
      <c r="W633" t="str">
        <f t="shared" ca="1" si="207"/>
        <v>Private</v>
      </c>
      <c r="X633" t="str">
        <f t="shared" si="208"/>
        <v>NUR032</v>
      </c>
      <c r="Y633" t="str">
        <f t="shared" ca="1" si="209"/>
        <v>Evening</v>
      </c>
      <c r="Z633" t="str">
        <f t="shared" ca="1" si="210"/>
        <v>Ventilator</v>
      </c>
      <c r="AA633" t="str">
        <f t="shared" ca="1" si="211"/>
        <v>Maintenance</v>
      </c>
      <c r="AB633" t="str">
        <f t="shared" ca="1" si="212"/>
        <v>Pending</v>
      </c>
      <c r="AC633" t="str">
        <f t="shared" ca="1" si="213"/>
        <v>Insurance</v>
      </c>
      <c r="AD633" t="str">
        <f t="shared" ca="1" si="214"/>
        <v>No</v>
      </c>
      <c r="AE633" t="str">
        <f t="shared" ca="1" si="215"/>
        <v>No</v>
      </c>
      <c r="AF633" t="str">
        <f t="shared" ca="1" si="216"/>
        <v>Transferred</v>
      </c>
      <c r="AG633" t="str">
        <f t="shared" ca="1" si="217"/>
        <v>Midwest</v>
      </c>
      <c r="AH633" t="str">
        <f t="shared" si="200"/>
        <v>February</v>
      </c>
      <c r="AI633">
        <f t="shared" si="201"/>
        <v>2021</v>
      </c>
      <c r="AJ633" t="str">
        <f t="shared" ca="1" si="218"/>
        <v>Occupied</v>
      </c>
      <c r="AK633">
        <f t="shared" ca="1" si="219"/>
        <v>4</v>
      </c>
    </row>
    <row r="634" spans="1:37" x14ac:dyDescent="0.3">
      <c r="A634" t="s">
        <v>5060</v>
      </c>
      <c r="B634">
        <v>52</v>
      </c>
      <c r="C634" t="s">
        <v>32</v>
      </c>
      <c r="D634" t="s">
        <v>44</v>
      </c>
      <c r="E634" t="s">
        <v>39</v>
      </c>
      <c r="F634" s="1">
        <v>44485</v>
      </c>
      <c r="G634" t="s">
        <v>1304</v>
      </c>
      <c r="H634" t="s">
        <v>1305</v>
      </c>
      <c r="I634" t="s">
        <v>20</v>
      </c>
      <c r="J634">
        <v>20852</v>
      </c>
      <c r="K634">
        <v>380</v>
      </c>
      <c r="L634" t="s">
        <v>42</v>
      </c>
      <c r="M634" s="1">
        <v>44504</v>
      </c>
      <c r="N634" t="s">
        <v>47</v>
      </c>
      <c r="O634" t="s">
        <v>23</v>
      </c>
      <c r="P634" t="str">
        <f t="shared" si="202"/>
        <v>P0633</v>
      </c>
      <c r="Q634" t="str">
        <f t="shared" si="198"/>
        <v>Endocrinology</v>
      </c>
      <c r="R634">
        <f t="shared" si="199"/>
        <v>19</v>
      </c>
      <c r="S634" t="str">
        <f t="shared" ca="1" si="203"/>
        <v>No</v>
      </c>
      <c r="T634" t="str">
        <f t="shared" ca="1" si="204"/>
        <v>Moderate</v>
      </c>
      <c r="U634" t="str">
        <f t="shared" ca="1" si="205"/>
        <v>Emergency</v>
      </c>
      <c r="V634" t="str">
        <f t="shared" si="206"/>
        <v>BED0633</v>
      </c>
      <c r="W634" t="str">
        <f t="shared" ca="1" si="207"/>
        <v>ICU</v>
      </c>
      <c r="X634" t="str">
        <f t="shared" si="208"/>
        <v>NUR033</v>
      </c>
      <c r="Y634" t="str">
        <f t="shared" ca="1" si="209"/>
        <v>Evening</v>
      </c>
      <c r="Z634" t="str">
        <f t="shared" ca="1" si="210"/>
        <v>Ventilator</v>
      </c>
      <c r="AA634" t="str">
        <f t="shared" ca="1" si="211"/>
        <v>Maintenance</v>
      </c>
      <c r="AB634" t="str">
        <f t="shared" ca="1" si="212"/>
        <v>Partially Paid</v>
      </c>
      <c r="AC634" t="str">
        <f t="shared" ca="1" si="213"/>
        <v>Bank Transfer</v>
      </c>
      <c r="AD634" t="str">
        <f t="shared" ca="1" si="214"/>
        <v>No</v>
      </c>
      <c r="AE634" t="str">
        <f t="shared" ca="1" si="215"/>
        <v>No</v>
      </c>
      <c r="AF634" t="str">
        <f t="shared" ca="1" si="216"/>
        <v>Transferred</v>
      </c>
      <c r="AG634" t="str">
        <f t="shared" ca="1" si="217"/>
        <v>Southwest</v>
      </c>
      <c r="AH634" t="str">
        <f t="shared" si="200"/>
        <v>October</v>
      </c>
      <c r="AI634">
        <f t="shared" si="201"/>
        <v>2021</v>
      </c>
      <c r="AJ634" t="str">
        <f t="shared" ca="1" si="218"/>
        <v>Occupied</v>
      </c>
      <c r="AK634">
        <f t="shared" ca="1" si="219"/>
        <v>1</v>
      </c>
    </row>
    <row r="635" spans="1:37" x14ac:dyDescent="0.3">
      <c r="A635" t="s">
        <v>5061</v>
      </c>
      <c r="B635">
        <v>64</v>
      </c>
      <c r="C635" t="s">
        <v>32</v>
      </c>
      <c r="D635" t="s">
        <v>83</v>
      </c>
      <c r="E635" t="s">
        <v>39</v>
      </c>
      <c r="F635" s="1">
        <v>43741</v>
      </c>
      <c r="G635" t="s">
        <v>1306</v>
      </c>
      <c r="H635" t="s">
        <v>1307</v>
      </c>
      <c r="I635" t="s">
        <v>51</v>
      </c>
      <c r="J635">
        <v>47701</v>
      </c>
      <c r="K635">
        <v>109</v>
      </c>
      <c r="L635" t="s">
        <v>21</v>
      </c>
      <c r="M635" s="1">
        <v>43763</v>
      </c>
      <c r="N635" t="s">
        <v>67</v>
      </c>
      <c r="O635" t="s">
        <v>31</v>
      </c>
      <c r="P635" t="str">
        <f t="shared" si="202"/>
        <v>P0634</v>
      </c>
      <c r="Q635" t="str">
        <f t="shared" si="198"/>
        <v>Endocrinology</v>
      </c>
      <c r="R635">
        <f t="shared" si="199"/>
        <v>22</v>
      </c>
      <c r="S635" t="str">
        <f t="shared" ca="1" si="203"/>
        <v>No</v>
      </c>
      <c r="T635" t="str">
        <f t="shared" ca="1" si="204"/>
        <v>Critical</v>
      </c>
      <c r="U635" t="str">
        <f t="shared" ca="1" si="205"/>
        <v>Emergency</v>
      </c>
      <c r="V635" t="str">
        <f t="shared" si="206"/>
        <v>BED0634</v>
      </c>
      <c r="W635" t="str">
        <f t="shared" ca="1" si="207"/>
        <v>General</v>
      </c>
      <c r="X635" t="str">
        <f t="shared" si="208"/>
        <v>NUR034</v>
      </c>
      <c r="Y635" t="str">
        <f t="shared" ca="1" si="209"/>
        <v>Morning</v>
      </c>
      <c r="Z635" t="str">
        <f t="shared" ca="1" si="210"/>
        <v>CT Scanner</v>
      </c>
      <c r="AA635" t="str">
        <f t="shared" ca="1" si="211"/>
        <v>Available</v>
      </c>
      <c r="AB635" t="str">
        <f t="shared" ca="1" si="212"/>
        <v>Partially Paid</v>
      </c>
      <c r="AC635" t="str">
        <f t="shared" ca="1" si="213"/>
        <v>Insurance</v>
      </c>
      <c r="AD635" t="str">
        <f t="shared" ca="1" si="214"/>
        <v>Yes</v>
      </c>
      <c r="AE635" t="str">
        <f t="shared" ca="1" si="215"/>
        <v>No</v>
      </c>
      <c r="AF635" t="str">
        <f t="shared" ca="1" si="216"/>
        <v>Under Observation</v>
      </c>
      <c r="AG635" t="str">
        <f t="shared" ca="1" si="217"/>
        <v>West Coast</v>
      </c>
      <c r="AH635" t="str">
        <f t="shared" si="200"/>
        <v>October</v>
      </c>
      <c r="AI635">
        <f t="shared" si="201"/>
        <v>2019</v>
      </c>
      <c r="AJ635" t="str">
        <f t="shared" ca="1" si="218"/>
        <v>Occupied</v>
      </c>
      <c r="AK635">
        <f t="shared" ca="1" si="219"/>
        <v>1</v>
      </c>
    </row>
    <row r="636" spans="1:37" x14ac:dyDescent="0.3">
      <c r="A636" t="s">
        <v>5062</v>
      </c>
      <c r="B636">
        <v>25</v>
      </c>
      <c r="C636" t="s">
        <v>15</v>
      </c>
      <c r="D636" t="s">
        <v>24</v>
      </c>
      <c r="E636" t="s">
        <v>25</v>
      </c>
      <c r="F636" s="1">
        <v>43947</v>
      </c>
      <c r="G636" t="s">
        <v>1308</v>
      </c>
      <c r="H636" t="s">
        <v>1309</v>
      </c>
      <c r="I636" t="s">
        <v>36</v>
      </c>
      <c r="J636">
        <v>49934</v>
      </c>
      <c r="K636">
        <v>258</v>
      </c>
      <c r="L636" t="s">
        <v>42</v>
      </c>
      <c r="M636" s="1">
        <v>43953</v>
      </c>
      <c r="N636" t="s">
        <v>37</v>
      </c>
      <c r="O636" t="s">
        <v>43</v>
      </c>
      <c r="P636" t="str">
        <f t="shared" si="202"/>
        <v>P0635</v>
      </c>
      <c r="Q636" t="str">
        <f t="shared" si="198"/>
        <v>Nutrition</v>
      </c>
      <c r="R636">
        <f t="shared" si="199"/>
        <v>6</v>
      </c>
      <c r="S636" t="str">
        <f t="shared" ca="1" si="203"/>
        <v>Yes</v>
      </c>
      <c r="T636" t="str">
        <f t="shared" ca="1" si="204"/>
        <v>Severe</v>
      </c>
      <c r="U636" t="str">
        <f t="shared" ca="1" si="205"/>
        <v>Emergency</v>
      </c>
      <c r="V636" t="str">
        <f t="shared" si="206"/>
        <v>BED0635</v>
      </c>
      <c r="W636" t="str">
        <f t="shared" ca="1" si="207"/>
        <v>Private</v>
      </c>
      <c r="X636" t="str">
        <f t="shared" si="208"/>
        <v>NUR035</v>
      </c>
      <c r="Y636" t="str">
        <f t="shared" ca="1" si="209"/>
        <v>Evening</v>
      </c>
      <c r="Z636" t="str">
        <f t="shared" ca="1" si="210"/>
        <v>CT Scanner</v>
      </c>
      <c r="AA636" t="str">
        <f t="shared" ca="1" si="211"/>
        <v>Available</v>
      </c>
      <c r="AB636" t="str">
        <f t="shared" ca="1" si="212"/>
        <v>Paid</v>
      </c>
      <c r="AC636" t="str">
        <f t="shared" ca="1" si="213"/>
        <v>Credit Card</v>
      </c>
      <c r="AD636" t="str">
        <f t="shared" ca="1" si="214"/>
        <v>No</v>
      </c>
      <c r="AE636" t="str">
        <f t="shared" ca="1" si="215"/>
        <v>No</v>
      </c>
      <c r="AF636" t="str">
        <f t="shared" ca="1" si="216"/>
        <v>Under Observation</v>
      </c>
      <c r="AG636" t="str">
        <f t="shared" ca="1" si="217"/>
        <v>West Coast</v>
      </c>
      <c r="AH636" t="str">
        <f t="shared" si="200"/>
        <v>April</v>
      </c>
      <c r="AI636">
        <f t="shared" si="201"/>
        <v>2020</v>
      </c>
      <c r="AJ636" t="str">
        <f t="shared" ca="1" si="218"/>
        <v>Occupied</v>
      </c>
      <c r="AK636">
        <f t="shared" ca="1" si="219"/>
        <v>4</v>
      </c>
    </row>
    <row r="637" spans="1:37" x14ac:dyDescent="0.3">
      <c r="A637" t="s">
        <v>5063</v>
      </c>
      <c r="B637">
        <v>76</v>
      </c>
      <c r="C637" t="s">
        <v>32</v>
      </c>
      <c r="D637" t="s">
        <v>16</v>
      </c>
      <c r="E637" t="s">
        <v>25</v>
      </c>
      <c r="F637" s="1">
        <v>43721</v>
      </c>
      <c r="G637" t="s">
        <v>1310</v>
      </c>
      <c r="H637" t="s">
        <v>1311</v>
      </c>
      <c r="I637" t="s">
        <v>28</v>
      </c>
      <c r="J637">
        <v>17264</v>
      </c>
      <c r="K637">
        <v>394</v>
      </c>
      <c r="L637" t="s">
        <v>29</v>
      </c>
      <c r="M637" s="1">
        <v>43727</v>
      </c>
      <c r="N637" t="s">
        <v>47</v>
      </c>
      <c r="O637" t="s">
        <v>43</v>
      </c>
      <c r="P637" t="str">
        <f t="shared" si="202"/>
        <v>P0636</v>
      </c>
      <c r="Q637" t="str">
        <f t="shared" si="198"/>
        <v>Nutrition</v>
      </c>
      <c r="R637">
        <f t="shared" si="199"/>
        <v>6</v>
      </c>
      <c r="S637" t="str">
        <f t="shared" ca="1" si="203"/>
        <v>No</v>
      </c>
      <c r="T637" t="str">
        <f t="shared" ca="1" si="204"/>
        <v>Moderate</v>
      </c>
      <c r="U637" t="str">
        <f t="shared" ca="1" si="205"/>
        <v>Emergency</v>
      </c>
      <c r="V637" t="str">
        <f t="shared" si="206"/>
        <v>BED0636</v>
      </c>
      <c r="W637" t="str">
        <f t="shared" ca="1" si="207"/>
        <v>ICU</v>
      </c>
      <c r="X637" t="str">
        <f t="shared" si="208"/>
        <v>NUR036</v>
      </c>
      <c r="Y637" t="str">
        <f t="shared" ca="1" si="209"/>
        <v>Morning</v>
      </c>
      <c r="Z637" t="str">
        <f t="shared" ca="1" si="210"/>
        <v>CT Scanner</v>
      </c>
      <c r="AA637" t="str">
        <f t="shared" ca="1" si="211"/>
        <v>Available</v>
      </c>
      <c r="AB637" t="str">
        <f t="shared" ca="1" si="212"/>
        <v>Pending</v>
      </c>
      <c r="AC637" t="str">
        <f t="shared" ca="1" si="213"/>
        <v>Debit Card</v>
      </c>
      <c r="AD637" t="str">
        <f t="shared" ca="1" si="214"/>
        <v>No</v>
      </c>
      <c r="AE637" t="str">
        <f t="shared" ca="1" si="215"/>
        <v>No</v>
      </c>
      <c r="AF637" t="str">
        <f t="shared" ca="1" si="216"/>
        <v>Under Observation</v>
      </c>
      <c r="AG637" t="str">
        <f t="shared" ca="1" si="217"/>
        <v>Southeast</v>
      </c>
      <c r="AH637" t="str">
        <f t="shared" si="200"/>
        <v>September</v>
      </c>
      <c r="AI637">
        <f t="shared" si="201"/>
        <v>2019</v>
      </c>
      <c r="AJ637" t="str">
        <f t="shared" ca="1" si="218"/>
        <v>Occupied</v>
      </c>
      <c r="AK637">
        <f t="shared" ca="1" si="219"/>
        <v>4</v>
      </c>
    </row>
    <row r="638" spans="1:37" x14ac:dyDescent="0.3">
      <c r="A638" t="s">
        <v>5064</v>
      </c>
      <c r="B638">
        <v>52</v>
      </c>
      <c r="C638" t="s">
        <v>32</v>
      </c>
      <c r="D638" t="s">
        <v>16</v>
      </c>
      <c r="E638" t="s">
        <v>39</v>
      </c>
      <c r="F638" s="1">
        <v>44581</v>
      </c>
      <c r="G638" t="s">
        <v>1312</v>
      </c>
      <c r="H638" t="s">
        <v>1313</v>
      </c>
      <c r="I638" t="s">
        <v>36</v>
      </c>
      <c r="J638">
        <v>45274</v>
      </c>
      <c r="K638">
        <v>102</v>
      </c>
      <c r="L638" t="s">
        <v>29</v>
      </c>
      <c r="M638" s="1">
        <v>44598</v>
      </c>
      <c r="N638" t="s">
        <v>47</v>
      </c>
      <c r="O638" t="s">
        <v>31</v>
      </c>
      <c r="P638" t="str">
        <f t="shared" si="202"/>
        <v>P0637</v>
      </c>
      <c r="Q638" t="str">
        <f t="shared" si="198"/>
        <v>Endocrinology</v>
      </c>
      <c r="R638">
        <f t="shared" si="199"/>
        <v>17</v>
      </c>
      <c r="S638" t="str">
        <f t="shared" ca="1" si="203"/>
        <v>No</v>
      </c>
      <c r="T638" t="str">
        <f t="shared" ca="1" si="204"/>
        <v>Mild</v>
      </c>
      <c r="U638" t="str">
        <f t="shared" ca="1" si="205"/>
        <v>Emergency</v>
      </c>
      <c r="V638" t="str">
        <f t="shared" si="206"/>
        <v>BED0637</v>
      </c>
      <c r="W638" t="str">
        <f t="shared" ca="1" si="207"/>
        <v>General</v>
      </c>
      <c r="X638" t="str">
        <f t="shared" si="208"/>
        <v>NUR037</v>
      </c>
      <c r="Y638" t="str">
        <f t="shared" ca="1" si="209"/>
        <v>Night</v>
      </c>
      <c r="Z638" t="str">
        <f t="shared" ca="1" si="210"/>
        <v>X-Ray</v>
      </c>
      <c r="AA638" t="str">
        <f t="shared" ca="1" si="211"/>
        <v>In Use</v>
      </c>
      <c r="AB638" t="str">
        <f t="shared" ca="1" si="212"/>
        <v>Paid</v>
      </c>
      <c r="AC638" t="str">
        <f t="shared" ca="1" si="213"/>
        <v>Cash</v>
      </c>
      <c r="AD638" t="str">
        <f t="shared" ca="1" si="214"/>
        <v>No</v>
      </c>
      <c r="AE638" t="str">
        <f t="shared" ca="1" si="215"/>
        <v>No</v>
      </c>
      <c r="AF638" t="str">
        <f t="shared" ca="1" si="216"/>
        <v>Under Observation</v>
      </c>
      <c r="AG638" t="str">
        <f t="shared" ca="1" si="217"/>
        <v>Southwest</v>
      </c>
      <c r="AH638" t="str">
        <f t="shared" si="200"/>
        <v>January</v>
      </c>
      <c r="AI638">
        <f t="shared" si="201"/>
        <v>2022</v>
      </c>
      <c r="AJ638" t="str">
        <f t="shared" ca="1" si="218"/>
        <v>Occupied</v>
      </c>
      <c r="AK638">
        <f t="shared" ca="1" si="219"/>
        <v>2</v>
      </c>
    </row>
    <row r="639" spans="1:37" x14ac:dyDescent="0.3">
      <c r="A639" t="s">
        <v>1861</v>
      </c>
      <c r="B639">
        <v>77</v>
      </c>
      <c r="C639" t="s">
        <v>15</v>
      </c>
      <c r="D639" t="s">
        <v>83</v>
      </c>
      <c r="E639" t="s">
        <v>25</v>
      </c>
      <c r="F639" s="1">
        <v>45213</v>
      </c>
      <c r="G639" t="s">
        <v>1314</v>
      </c>
      <c r="H639" t="s">
        <v>1315</v>
      </c>
      <c r="I639" t="s">
        <v>28</v>
      </c>
      <c r="J639">
        <v>10058</v>
      </c>
      <c r="K639">
        <v>130</v>
      </c>
      <c r="L639" t="s">
        <v>42</v>
      </c>
      <c r="M639" s="1">
        <v>45234</v>
      </c>
      <c r="N639" t="s">
        <v>22</v>
      </c>
      <c r="O639" t="s">
        <v>43</v>
      </c>
      <c r="P639" t="str">
        <f t="shared" si="202"/>
        <v>P0638</v>
      </c>
      <c r="Q639" t="str">
        <f t="shared" si="198"/>
        <v>Nutrition</v>
      </c>
      <c r="R639">
        <f t="shared" si="199"/>
        <v>21</v>
      </c>
      <c r="S639" t="str">
        <f t="shared" ca="1" si="203"/>
        <v>No</v>
      </c>
      <c r="T639" t="str">
        <f t="shared" ca="1" si="204"/>
        <v>Moderate</v>
      </c>
      <c r="U639" t="str">
        <f t="shared" ca="1" si="205"/>
        <v>Semi-Private</v>
      </c>
      <c r="V639" t="str">
        <f t="shared" si="206"/>
        <v>BED0638</v>
      </c>
      <c r="W639" t="str">
        <f t="shared" ca="1" si="207"/>
        <v>ICU</v>
      </c>
      <c r="X639" t="str">
        <f t="shared" si="208"/>
        <v>NUR038</v>
      </c>
      <c r="Y639" t="str">
        <f t="shared" ca="1" si="209"/>
        <v>Morning</v>
      </c>
      <c r="Z639" t="str">
        <f t="shared" ca="1" si="210"/>
        <v>CT Scanner</v>
      </c>
      <c r="AA639" t="str">
        <f t="shared" ca="1" si="211"/>
        <v>Maintenance</v>
      </c>
      <c r="AB639" t="str">
        <f t="shared" ca="1" si="212"/>
        <v>Partially Paid</v>
      </c>
      <c r="AC639" t="str">
        <f t="shared" ca="1" si="213"/>
        <v>Insurance</v>
      </c>
      <c r="AD639" t="str">
        <f t="shared" ca="1" si="214"/>
        <v>No</v>
      </c>
      <c r="AE639" t="str">
        <f t="shared" ca="1" si="215"/>
        <v>Yes</v>
      </c>
      <c r="AF639" t="str">
        <f t="shared" ca="1" si="216"/>
        <v>Recovered</v>
      </c>
      <c r="AG639" t="str">
        <f t="shared" ca="1" si="217"/>
        <v>Midwest</v>
      </c>
      <c r="AH639" t="str">
        <f t="shared" si="200"/>
        <v>October</v>
      </c>
      <c r="AI639">
        <f t="shared" si="201"/>
        <v>2023</v>
      </c>
      <c r="AJ639" t="str">
        <f t="shared" ca="1" si="218"/>
        <v>Occupied</v>
      </c>
      <c r="AK639">
        <f t="shared" ca="1" si="219"/>
        <v>2</v>
      </c>
    </row>
    <row r="640" spans="1:37" x14ac:dyDescent="0.3">
      <c r="A640" t="s">
        <v>5065</v>
      </c>
      <c r="B640">
        <v>83</v>
      </c>
      <c r="C640" t="s">
        <v>15</v>
      </c>
      <c r="D640" t="s">
        <v>24</v>
      </c>
      <c r="E640" t="s">
        <v>39</v>
      </c>
      <c r="F640" s="1">
        <v>43792</v>
      </c>
      <c r="G640" t="s">
        <v>1316</v>
      </c>
      <c r="H640" t="s">
        <v>1317</v>
      </c>
      <c r="I640" t="s">
        <v>28</v>
      </c>
      <c r="J640">
        <v>36369</v>
      </c>
      <c r="K640">
        <v>148</v>
      </c>
      <c r="L640" t="s">
        <v>21</v>
      </c>
      <c r="M640" s="1">
        <v>43795</v>
      </c>
      <c r="N640" t="s">
        <v>37</v>
      </c>
      <c r="O640" t="s">
        <v>23</v>
      </c>
      <c r="P640" t="str">
        <f t="shared" si="202"/>
        <v>P0639</v>
      </c>
      <c r="Q640" t="str">
        <f t="shared" si="198"/>
        <v>Endocrinology</v>
      </c>
      <c r="R640">
        <f t="shared" si="199"/>
        <v>3</v>
      </c>
      <c r="S640" t="str">
        <f t="shared" ca="1" si="203"/>
        <v>No</v>
      </c>
      <c r="T640" t="str">
        <f t="shared" ca="1" si="204"/>
        <v>Critical</v>
      </c>
      <c r="U640" t="str">
        <f t="shared" ca="1" si="205"/>
        <v>ICU</v>
      </c>
      <c r="V640" t="str">
        <f t="shared" si="206"/>
        <v>BED0639</v>
      </c>
      <c r="W640" t="str">
        <f t="shared" ca="1" si="207"/>
        <v>Semi-Private</v>
      </c>
      <c r="X640" t="str">
        <f t="shared" si="208"/>
        <v>NUR039</v>
      </c>
      <c r="Y640" t="str">
        <f t="shared" ca="1" si="209"/>
        <v>Night</v>
      </c>
      <c r="Z640" t="str">
        <f t="shared" ca="1" si="210"/>
        <v>ECG Machine</v>
      </c>
      <c r="AA640" t="str">
        <f t="shared" ca="1" si="211"/>
        <v>In Use</v>
      </c>
      <c r="AB640" t="str">
        <f t="shared" ca="1" si="212"/>
        <v>Pending</v>
      </c>
      <c r="AC640" t="str">
        <f t="shared" ca="1" si="213"/>
        <v>Credit Card</v>
      </c>
      <c r="AD640" t="str">
        <f t="shared" ca="1" si="214"/>
        <v>No</v>
      </c>
      <c r="AE640" t="str">
        <f t="shared" ca="1" si="215"/>
        <v>No</v>
      </c>
      <c r="AF640" t="str">
        <f t="shared" ca="1" si="216"/>
        <v>Transferred</v>
      </c>
      <c r="AG640" t="str">
        <f t="shared" ca="1" si="217"/>
        <v>West Coast</v>
      </c>
      <c r="AH640" t="str">
        <f t="shared" si="200"/>
        <v>November</v>
      </c>
      <c r="AI640">
        <f t="shared" si="201"/>
        <v>2019</v>
      </c>
      <c r="AJ640" t="str">
        <f t="shared" ca="1" si="218"/>
        <v>Occupied</v>
      </c>
      <c r="AK640">
        <f t="shared" ca="1" si="219"/>
        <v>4</v>
      </c>
    </row>
    <row r="641" spans="1:37" x14ac:dyDescent="0.3">
      <c r="A641" t="s">
        <v>5066</v>
      </c>
      <c r="B641">
        <v>57</v>
      </c>
      <c r="C641" t="s">
        <v>32</v>
      </c>
      <c r="D641" t="s">
        <v>16</v>
      </c>
      <c r="E641" t="s">
        <v>17</v>
      </c>
      <c r="F641" s="1">
        <v>45265</v>
      </c>
      <c r="G641" t="s">
        <v>1318</v>
      </c>
      <c r="H641" t="s">
        <v>1319</v>
      </c>
      <c r="I641" t="s">
        <v>20</v>
      </c>
      <c r="J641">
        <v>3548</v>
      </c>
      <c r="K641">
        <v>431</v>
      </c>
      <c r="L641" t="s">
        <v>42</v>
      </c>
      <c r="M641" s="1">
        <v>45291</v>
      </c>
      <c r="N641" t="s">
        <v>67</v>
      </c>
      <c r="O641" t="s">
        <v>43</v>
      </c>
      <c r="P641" t="str">
        <f t="shared" si="202"/>
        <v>P0640</v>
      </c>
      <c r="Q641" t="str">
        <f t="shared" si="198"/>
        <v>Oncology</v>
      </c>
      <c r="R641">
        <f t="shared" si="199"/>
        <v>26</v>
      </c>
      <c r="S641" t="str">
        <f t="shared" ca="1" si="203"/>
        <v>No</v>
      </c>
      <c r="T641" t="str">
        <f t="shared" ca="1" si="204"/>
        <v>Severe</v>
      </c>
      <c r="U641" t="str">
        <f t="shared" ca="1" si="205"/>
        <v>ICU</v>
      </c>
      <c r="V641" t="str">
        <f t="shared" si="206"/>
        <v>BED0640</v>
      </c>
      <c r="W641" t="str">
        <f t="shared" ca="1" si="207"/>
        <v>General</v>
      </c>
      <c r="X641" t="str">
        <f t="shared" si="208"/>
        <v>NUR040</v>
      </c>
      <c r="Y641" t="str">
        <f t="shared" ca="1" si="209"/>
        <v>Morning</v>
      </c>
      <c r="Z641" t="str">
        <f t="shared" ca="1" si="210"/>
        <v>Ultrasound</v>
      </c>
      <c r="AA641" t="str">
        <f t="shared" ca="1" si="211"/>
        <v>In Use</v>
      </c>
      <c r="AB641" t="str">
        <f t="shared" ca="1" si="212"/>
        <v>Paid</v>
      </c>
      <c r="AC641" t="str">
        <f t="shared" ca="1" si="213"/>
        <v>Bank Transfer</v>
      </c>
      <c r="AD641" t="str">
        <f t="shared" ca="1" si="214"/>
        <v>Yes</v>
      </c>
      <c r="AE641" t="str">
        <f t="shared" ca="1" si="215"/>
        <v>No</v>
      </c>
      <c r="AF641" t="str">
        <f t="shared" ca="1" si="216"/>
        <v>Under Observation</v>
      </c>
      <c r="AG641" t="str">
        <f t="shared" ca="1" si="217"/>
        <v>Northeast</v>
      </c>
      <c r="AH641" t="str">
        <f t="shared" si="200"/>
        <v>December</v>
      </c>
      <c r="AI641">
        <f t="shared" si="201"/>
        <v>2023</v>
      </c>
      <c r="AJ641" t="str">
        <f t="shared" ca="1" si="218"/>
        <v>Occupied</v>
      </c>
      <c r="AK641">
        <f t="shared" ca="1" si="219"/>
        <v>1</v>
      </c>
    </row>
    <row r="642" spans="1:37" x14ac:dyDescent="0.3">
      <c r="A642" t="s">
        <v>5067</v>
      </c>
      <c r="B642">
        <v>54</v>
      </c>
      <c r="C642" t="s">
        <v>15</v>
      </c>
      <c r="D642" t="s">
        <v>83</v>
      </c>
      <c r="E642" t="s">
        <v>76</v>
      </c>
      <c r="F642" s="1">
        <v>44228</v>
      </c>
      <c r="G642" t="s">
        <v>1320</v>
      </c>
      <c r="H642" t="s">
        <v>1321</v>
      </c>
      <c r="I642" t="s">
        <v>51</v>
      </c>
      <c r="J642">
        <v>10011</v>
      </c>
      <c r="K642">
        <v>145</v>
      </c>
      <c r="L642" t="s">
        <v>29</v>
      </c>
      <c r="M642" s="1">
        <v>44234</v>
      </c>
      <c r="N642" t="s">
        <v>67</v>
      </c>
      <c r="O642" t="s">
        <v>31</v>
      </c>
      <c r="P642" t="str">
        <f t="shared" si="202"/>
        <v>P0641</v>
      </c>
      <c r="Q642" t="str">
        <f t="shared" ref="Q642:Q705" si="220">IF(E642="Cancer","Oncology",IF(E642="Obesity","Nutrition",IF(E642="Diabetes","Endocrinology",IF(E642="Asthma","Pulmonology",IF(E642="Arthritis","Orthopedics",IF(E642="Hypertension","Cardiology","General Medicine"))))))</f>
        <v>Orthopedics</v>
      </c>
      <c r="R642">
        <f t="shared" ref="R642:R705" si="221">M642-F642</f>
        <v>6</v>
      </c>
      <c r="S642" t="str">
        <f t="shared" ca="1" si="203"/>
        <v>No</v>
      </c>
      <c r="T642" t="str">
        <f t="shared" ca="1" si="204"/>
        <v>Moderate</v>
      </c>
      <c r="U642" t="str">
        <f t="shared" ca="1" si="205"/>
        <v>Semi-Private</v>
      </c>
      <c r="V642" t="str">
        <f t="shared" si="206"/>
        <v>BED0641</v>
      </c>
      <c r="W642" t="str">
        <f t="shared" ca="1" si="207"/>
        <v>ICU</v>
      </c>
      <c r="X642" t="str">
        <f t="shared" si="208"/>
        <v>NUR041</v>
      </c>
      <c r="Y642" t="str">
        <f t="shared" ca="1" si="209"/>
        <v>Morning</v>
      </c>
      <c r="Z642" t="str">
        <f t="shared" ca="1" si="210"/>
        <v>X-Ray</v>
      </c>
      <c r="AA642" t="str">
        <f t="shared" ca="1" si="211"/>
        <v>Maintenance</v>
      </c>
      <c r="AB642" t="str">
        <f t="shared" ca="1" si="212"/>
        <v>Pending</v>
      </c>
      <c r="AC642" t="str">
        <f t="shared" ca="1" si="213"/>
        <v>Credit Card</v>
      </c>
      <c r="AD642" t="str">
        <f t="shared" ca="1" si="214"/>
        <v>No</v>
      </c>
      <c r="AE642" t="str">
        <f t="shared" ca="1" si="215"/>
        <v>No</v>
      </c>
      <c r="AF642" t="str">
        <f t="shared" ca="1" si="216"/>
        <v>Recovered</v>
      </c>
      <c r="AG642" t="str">
        <f t="shared" ca="1" si="217"/>
        <v>Southwest</v>
      </c>
      <c r="AH642" t="str">
        <f t="shared" ref="AH642:AH705" si="222">TEXT(F642,"MMMM")</f>
        <v>February</v>
      </c>
      <c r="AI642">
        <f t="shared" ref="AI642:AI705" si="223">YEAR(F642)</f>
        <v>2021</v>
      </c>
      <c r="AJ642" t="str">
        <f t="shared" ca="1" si="218"/>
        <v>Occupied</v>
      </c>
      <c r="AK642">
        <f t="shared" ca="1" si="219"/>
        <v>4</v>
      </c>
    </row>
    <row r="643" spans="1:37" x14ac:dyDescent="0.3">
      <c r="A643" t="s">
        <v>5068</v>
      </c>
      <c r="B643">
        <v>62</v>
      </c>
      <c r="C643" t="s">
        <v>15</v>
      </c>
      <c r="D643" t="s">
        <v>33</v>
      </c>
      <c r="E643" t="s">
        <v>17</v>
      </c>
      <c r="F643" s="1">
        <v>44742</v>
      </c>
      <c r="G643" t="s">
        <v>1322</v>
      </c>
      <c r="H643" t="s">
        <v>1323</v>
      </c>
      <c r="I643" t="s">
        <v>20</v>
      </c>
      <c r="J643">
        <v>14876</v>
      </c>
      <c r="K643">
        <v>396</v>
      </c>
      <c r="L643" t="s">
        <v>21</v>
      </c>
      <c r="M643" s="1">
        <v>44743</v>
      </c>
      <c r="N643" t="s">
        <v>67</v>
      </c>
      <c r="O643" t="s">
        <v>31</v>
      </c>
      <c r="P643" t="str">
        <f t="shared" ref="P643:P706" si="224">"P"&amp;TEXT(ROW()-1,"0000")</f>
        <v>P0642</v>
      </c>
      <c r="Q643" t="str">
        <f t="shared" si="220"/>
        <v>Oncology</v>
      </c>
      <c r="R643">
        <f t="shared" si="221"/>
        <v>1</v>
      </c>
      <c r="S643" t="str">
        <f t="shared" ref="S643:S706" ca="1" si="225">IF(RAND()&lt;0.1,"Yes","No")</f>
        <v>No</v>
      </c>
      <c r="T643" t="str">
        <f t="shared" ref="T643:T706" ca="1" si="226">CHOOSE(RANDBETWEEN(1,4),"Mild","Moderate","Severe","Critical")</f>
        <v>Critical</v>
      </c>
      <c r="U643" t="str">
        <f t="shared" ref="U643:U706" ca="1" si="227">CHOOSE(RANDBETWEEN(1,5),"General Ward","ICU","Emergency","Private Ward","Semi-Private")</f>
        <v>General Ward</v>
      </c>
      <c r="V643" t="str">
        <f t="shared" ref="V643:V706" si="228">"BED"&amp;TEXT(ROW()-1,"0000")</f>
        <v>BED0642</v>
      </c>
      <c r="W643" t="str">
        <f t="shared" ref="W643:W706" ca="1" si="229">CHOOSE(RANDBETWEEN(1,4),"General","Private","Semi-Private","ICU")</f>
        <v>ICU</v>
      </c>
      <c r="X643" t="str">
        <f t="shared" ref="X643:X706" si="230">"NUR"&amp;TEXT(MOD(ROW()-2,50)+1,"000")</f>
        <v>NUR042</v>
      </c>
      <c r="Y643" t="str">
        <f t="shared" ref="Y643:Y706" ca="1" si="231">CHOOSE(RANDBETWEEN(1,3),"Morning","Evening","Night")</f>
        <v>Night</v>
      </c>
      <c r="Z643" t="str">
        <f t="shared" ref="Z643:Z706" ca="1" si="232">CHOOSE(RANDBETWEEN(1,6),"MRI Scanner","CT Scanner","Ventilator","X-Ray","ECG Machine","Ultrasound")</f>
        <v>ECG Machine</v>
      </c>
      <c r="AA643" t="str">
        <f t="shared" ref="AA643:AA706" ca="1" si="233">CHOOSE(RANDBETWEEN(1,3),"Available","In Use","Maintenance")</f>
        <v>Maintenance</v>
      </c>
      <c r="AB643" t="str">
        <f t="shared" ref="AB643:AB706" ca="1" si="234">CHOOSE(RANDBETWEEN(1,3),"Paid","Pending","Partially Paid")</f>
        <v>Paid</v>
      </c>
      <c r="AC643" t="str">
        <f t="shared" ref="AC643:AC706" ca="1" si="235">CHOOSE(RANDBETWEEN(1,5),"Cash","Credit Card","Debit Card","Insurance","Bank Transfer")</f>
        <v>Insurance</v>
      </c>
      <c r="AD643" t="str">
        <f t="shared" ref="AD643:AD706" ca="1" si="236">IF(RAND()&lt;0.2,"Yes","No")</f>
        <v>No</v>
      </c>
      <c r="AE643" t="str">
        <f t="shared" ref="AE643:AE706" ca="1" si="237">IF(RAND()&lt;0.15,"Yes","No")</f>
        <v>No</v>
      </c>
      <c r="AF643" t="str">
        <f t="shared" ref="AF643:AF706" ca="1" si="238">CHOOSE(RANDBETWEEN(1,3),"Recovered","Transferred","Under Observation")</f>
        <v>Under Observation</v>
      </c>
      <c r="AG643" t="str">
        <f t="shared" ref="AG643:AG706" ca="1" si="239">CHOOSE(RANDBETWEEN(1,5),"Northeast","Southeast","Midwest","Southwest","West Coast")</f>
        <v>Midwest</v>
      </c>
      <c r="AH643" t="str">
        <f t="shared" si="222"/>
        <v>June</v>
      </c>
      <c r="AI643">
        <f t="shared" si="223"/>
        <v>2022</v>
      </c>
      <c r="AJ643" t="str">
        <f t="shared" ref="AJ643:AJ706" ca="1" si="240">IF(RANDBETWEEN(1,100)&lt;=80,"Occupied","Vacant")</f>
        <v>Occupied</v>
      </c>
      <c r="AK643">
        <f t="shared" ref="AK643:AK706" ca="1" si="241">CHOOSE(RANDBETWEEN(1,3),1,2,4)</f>
        <v>2</v>
      </c>
    </row>
    <row r="644" spans="1:37" x14ac:dyDescent="0.3">
      <c r="A644" t="s">
        <v>5069</v>
      </c>
      <c r="B644">
        <v>37</v>
      </c>
      <c r="C644" t="s">
        <v>15</v>
      </c>
      <c r="D644" t="s">
        <v>16</v>
      </c>
      <c r="E644" t="s">
        <v>76</v>
      </c>
      <c r="F644" s="1">
        <v>45239</v>
      </c>
      <c r="G644" t="s">
        <v>1324</v>
      </c>
      <c r="H644" t="s">
        <v>1325</v>
      </c>
      <c r="I644" t="s">
        <v>28</v>
      </c>
      <c r="J644">
        <v>30295</v>
      </c>
      <c r="K644">
        <v>216</v>
      </c>
      <c r="L644" t="s">
        <v>42</v>
      </c>
      <c r="M644" s="1">
        <v>45259</v>
      </c>
      <c r="N644" t="s">
        <v>47</v>
      </c>
      <c r="O644" t="s">
        <v>23</v>
      </c>
      <c r="P644" t="str">
        <f t="shared" si="224"/>
        <v>P0643</v>
      </c>
      <c r="Q644" t="str">
        <f t="shared" si="220"/>
        <v>Orthopedics</v>
      </c>
      <c r="R644">
        <f t="shared" si="221"/>
        <v>20</v>
      </c>
      <c r="S644" t="str">
        <f t="shared" ca="1" si="225"/>
        <v>No</v>
      </c>
      <c r="T644" t="str">
        <f t="shared" ca="1" si="226"/>
        <v>Critical</v>
      </c>
      <c r="U644" t="str">
        <f t="shared" ca="1" si="227"/>
        <v>ICU</v>
      </c>
      <c r="V644" t="str">
        <f t="shared" si="228"/>
        <v>BED0643</v>
      </c>
      <c r="W644" t="str">
        <f t="shared" ca="1" si="229"/>
        <v>General</v>
      </c>
      <c r="X644" t="str">
        <f t="shared" si="230"/>
        <v>NUR043</v>
      </c>
      <c r="Y644" t="str">
        <f t="shared" ca="1" si="231"/>
        <v>Morning</v>
      </c>
      <c r="Z644" t="str">
        <f t="shared" ca="1" si="232"/>
        <v>MRI Scanner</v>
      </c>
      <c r="AA644" t="str">
        <f t="shared" ca="1" si="233"/>
        <v>In Use</v>
      </c>
      <c r="AB644" t="str">
        <f t="shared" ca="1" si="234"/>
        <v>Partially Paid</v>
      </c>
      <c r="AC644" t="str">
        <f t="shared" ca="1" si="235"/>
        <v>Insurance</v>
      </c>
      <c r="AD644" t="str">
        <f t="shared" ca="1" si="236"/>
        <v>No</v>
      </c>
      <c r="AE644" t="str">
        <f t="shared" ca="1" si="237"/>
        <v>Yes</v>
      </c>
      <c r="AF644" t="str">
        <f t="shared" ca="1" si="238"/>
        <v>Under Observation</v>
      </c>
      <c r="AG644" t="str">
        <f t="shared" ca="1" si="239"/>
        <v>Northeast</v>
      </c>
      <c r="AH644" t="str">
        <f t="shared" si="222"/>
        <v>November</v>
      </c>
      <c r="AI644">
        <f t="shared" si="223"/>
        <v>2023</v>
      </c>
      <c r="AJ644" t="str">
        <f t="shared" ca="1" si="240"/>
        <v>Vacant</v>
      </c>
      <c r="AK644">
        <f t="shared" ca="1" si="241"/>
        <v>4</v>
      </c>
    </row>
    <row r="645" spans="1:37" x14ac:dyDescent="0.3">
      <c r="A645" t="s">
        <v>5070</v>
      </c>
      <c r="B645">
        <v>56</v>
      </c>
      <c r="C645" t="s">
        <v>32</v>
      </c>
      <c r="D645" t="s">
        <v>83</v>
      </c>
      <c r="E645" t="s">
        <v>64</v>
      </c>
      <c r="F645" s="1">
        <v>44042</v>
      </c>
      <c r="G645" t="s">
        <v>1326</v>
      </c>
      <c r="H645" t="s">
        <v>1327</v>
      </c>
      <c r="I645" t="s">
        <v>20</v>
      </c>
      <c r="J645">
        <v>45889</v>
      </c>
      <c r="K645">
        <v>365</v>
      </c>
      <c r="L645" t="s">
        <v>42</v>
      </c>
      <c r="M645" s="1">
        <v>44053</v>
      </c>
      <c r="N645" t="s">
        <v>22</v>
      </c>
      <c r="O645" t="s">
        <v>43</v>
      </c>
      <c r="P645" t="str">
        <f t="shared" si="224"/>
        <v>P0644</v>
      </c>
      <c r="Q645" t="str">
        <f t="shared" si="220"/>
        <v>Cardiology</v>
      </c>
      <c r="R645">
        <f t="shared" si="221"/>
        <v>11</v>
      </c>
      <c r="S645" t="str">
        <f t="shared" ca="1" si="225"/>
        <v>No</v>
      </c>
      <c r="T645" t="str">
        <f t="shared" ca="1" si="226"/>
        <v>Mild</v>
      </c>
      <c r="U645" t="str">
        <f t="shared" ca="1" si="227"/>
        <v>ICU</v>
      </c>
      <c r="V645" t="str">
        <f t="shared" si="228"/>
        <v>BED0644</v>
      </c>
      <c r="W645" t="str">
        <f t="shared" ca="1" si="229"/>
        <v>Private</v>
      </c>
      <c r="X645" t="str">
        <f t="shared" si="230"/>
        <v>NUR044</v>
      </c>
      <c r="Y645" t="str">
        <f t="shared" ca="1" si="231"/>
        <v>Night</v>
      </c>
      <c r="Z645" t="str">
        <f t="shared" ca="1" si="232"/>
        <v>Ultrasound</v>
      </c>
      <c r="AA645" t="str">
        <f t="shared" ca="1" si="233"/>
        <v>Maintenance</v>
      </c>
      <c r="AB645" t="str">
        <f t="shared" ca="1" si="234"/>
        <v>Partially Paid</v>
      </c>
      <c r="AC645" t="str">
        <f t="shared" ca="1" si="235"/>
        <v>Credit Card</v>
      </c>
      <c r="AD645" t="str">
        <f t="shared" ca="1" si="236"/>
        <v>No</v>
      </c>
      <c r="AE645" t="str">
        <f t="shared" ca="1" si="237"/>
        <v>Yes</v>
      </c>
      <c r="AF645" t="str">
        <f t="shared" ca="1" si="238"/>
        <v>Recovered</v>
      </c>
      <c r="AG645" t="str">
        <f t="shared" ca="1" si="239"/>
        <v>West Coast</v>
      </c>
      <c r="AH645" t="str">
        <f t="shared" si="222"/>
        <v>July</v>
      </c>
      <c r="AI645">
        <f t="shared" si="223"/>
        <v>2020</v>
      </c>
      <c r="AJ645" t="str">
        <f t="shared" ca="1" si="240"/>
        <v>Occupied</v>
      </c>
      <c r="AK645">
        <f t="shared" ca="1" si="241"/>
        <v>1</v>
      </c>
    </row>
    <row r="646" spans="1:37" x14ac:dyDescent="0.3">
      <c r="A646" t="s">
        <v>5071</v>
      </c>
      <c r="B646">
        <v>68</v>
      </c>
      <c r="C646" t="s">
        <v>32</v>
      </c>
      <c r="D646" t="s">
        <v>38</v>
      </c>
      <c r="E646" t="s">
        <v>76</v>
      </c>
      <c r="F646" s="1">
        <v>44661</v>
      </c>
      <c r="G646" t="s">
        <v>1328</v>
      </c>
      <c r="H646" t="s">
        <v>1329</v>
      </c>
      <c r="I646" t="s">
        <v>51</v>
      </c>
      <c r="J646">
        <v>31958</v>
      </c>
      <c r="K646">
        <v>203</v>
      </c>
      <c r="L646" t="s">
        <v>42</v>
      </c>
      <c r="M646" s="1">
        <v>44670</v>
      </c>
      <c r="N646" t="s">
        <v>67</v>
      </c>
      <c r="O646" t="s">
        <v>23</v>
      </c>
      <c r="P646" t="str">
        <f t="shared" si="224"/>
        <v>P0645</v>
      </c>
      <c r="Q646" t="str">
        <f t="shared" si="220"/>
        <v>Orthopedics</v>
      </c>
      <c r="R646">
        <f t="shared" si="221"/>
        <v>9</v>
      </c>
      <c r="S646" t="str">
        <f t="shared" ca="1" si="225"/>
        <v>No</v>
      </c>
      <c r="T646" t="str">
        <f t="shared" ca="1" si="226"/>
        <v>Severe</v>
      </c>
      <c r="U646" t="str">
        <f t="shared" ca="1" si="227"/>
        <v>ICU</v>
      </c>
      <c r="V646" t="str">
        <f t="shared" si="228"/>
        <v>BED0645</v>
      </c>
      <c r="W646" t="str">
        <f t="shared" ca="1" si="229"/>
        <v>Private</v>
      </c>
      <c r="X646" t="str">
        <f t="shared" si="230"/>
        <v>NUR045</v>
      </c>
      <c r="Y646" t="str">
        <f t="shared" ca="1" si="231"/>
        <v>Night</v>
      </c>
      <c r="Z646" t="str">
        <f t="shared" ca="1" si="232"/>
        <v>MRI Scanner</v>
      </c>
      <c r="AA646" t="str">
        <f t="shared" ca="1" si="233"/>
        <v>Maintenance</v>
      </c>
      <c r="AB646" t="str">
        <f t="shared" ca="1" si="234"/>
        <v>Pending</v>
      </c>
      <c r="AC646" t="str">
        <f t="shared" ca="1" si="235"/>
        <v>Cash</v>
      </c>
      <c r="AD646" t="str">
        <f t="shared" ca="1" si="236"/>
        <v>Yes</v>
      </c>
      <c r="AE646" t="str">
        <f t="shared" ca="1" si="237"/>
        <v>No</v>
      </c>
      <c r="AF646" t="str">
        <f t="shared" ca="1" si="238"/>
        <v>Recovered</v>
      </c>
      <c r="AG646" t="str">
        <f t="shared" ca="1" si="239"/>
        <v>Southwest</v>
      </c>
      <c r="AH646" t="str">
        <f t="shared" si="222"/>
        <v>April</v>
      </c>
      <c r="AI646">
        <f t="shared" si="223"/>
        <v>2022</v>
      </c>
      <c r="AJ646" t="str">
        <f t="shared" ca="1" si="240"/>
        <v>Occupied</v>
      </c>
      <c r="AK646">
        <f t="shared" ca="1" si="241"/>
        <v>2</v>
      </c>
    </row>
    <row r="647" spans="1:37" x14ac:dyDescent="0.3">
      <c r="A647" t="s">
        <v>2204</v>
      </c>
      <c r="B647">
        <v>46</v>
      </c>
      <c r="C647" t="s">
        <v>15</v>
      </c>
      <c r="D647" t="s">
        <v>33</v>
      </c>
      <c r="E647" t="s">
        <v>25</v>
      </c>
      <c r="F647" s="1">
        <v>43832</v>
      </c>
      <c r="G647" t="s">
        <v>1330</v>
      </c>
      <c r="H647" t="s">
        <v>1331</v>
      </c>
      <c r="I647" t="s">
        <v>28</v>
      </c>
      <c r="J647">
        <v>22646</v>
      </c>
      <c r="K647">
        <v>169</v>
      </c>
      <c r="L647" t="s">
        <v>21</v>
      </c>
      <c r="M647" s="1">
        <v>43846</v>
      </c>
      <c r="N647" t="s">
        <v>22</v>
      </c>
      <c r="O647" t="s">
        <v>23</v>
      </c>
      <c r="P647" t="str">
        <f t="shared" si="224"/>
        <v>P0646</v>
      </c>
      <c r="Q647" t="str">
        <f t="shared" si="220"/>
        <v>Nutrition</v>
      </c>
      <c r="R647">
        <f t="shared" si="221"/>
        <v>14</v>
      </c>
      <c r="S647" t="str">
        <f t="shared" ca="1" si="225"/>
        <v>No</v>
      </c>
      <c r="T647" t="str">
        <f t="shared" ca="1" si="226"/>
        <v>Critical</v>
      </c>
      <c r="U647" t="str">
        <f t="shared" ca="1" si="227"/>
        <v>General Ward</v>
      </c>
      <c r="V647" t="str">
        <f t="shared" si="228"/>
        <v>BED0646</v>
      </c>
      <c r="W647" t="str">
        <f t="shared" ca="1" si="229"/>
        <v>General</v>
      </c>
      <c r="X647" t="str">
        <f t="shared" si="230"/>
        <v>NUR046</v>
      </c>
      <c r="Y647" t="str">
        <f t="shared" ca="1" si="231"/>
        <v>Morning</v>
      </c>
      <c r="Z647" t="str">
        <f t="shared" ca="1" si="232"/>
        <v>Ventilator</v>
      </c>
      <c r="AA647" t="str">
        <f t="shared" ca="1" si="233"/>
        <v>Maintenance</v>
      </c>
      <c r="AB647" t="str">
        <f t="shared" ca="1" si="234"/>
        <v>Partially Paid</v>
      </c>
      <c r="AC647" t="str">
        <f t="shared" ca="1" si="235"/>
        <v>Insurance</v>
      </c>
      <c r="AD647" t="str">
        <f t="shared" ca="1" si="236"/>
        <v>No</v>
      </c>
      <c r="AE647" t="str">
        <f t="shared" ca="1" si="237"/>
        <v>No</v>
      </c>
      <c r="AF647" t="str">
        <f t="shared" ca="1" si="238"/>
        <v>Under Observation</v>
      </c>
      <c r="AG647" t="str">
        <f t="shared" ca="1" si="239"/>
        <v>Southeast</v>
      </c>
      <c r="AH647" t="str">
        <f t="shared" si="222"/>
        <v>January</v>
      </c>
      <c r="AI647">
        <f t="shared" si="223"/>
        <v>2020</v>
      </c>
      <c r="AJ647" t="str">
        <f t="shared" ca="1" si="240"/>
        <v>Occupied</v>
      </c>
      <c r="AK647">
        <f t="shared" ca="1" si="241"/>
        <v>1</v>
      </c>
    </row>
    <row r="648" spans="1:37" x14ac:dyDescent="0.3">
      <c r="A648" t="s">
        <v>5072</v>
      </c>
      <c r="B648">
        <v>62</v>
      </c>
      <c r="C648" t="s">
        <v>15</v>
      </c>
      <c r="D648" t="s">
        <v>16</v>
      </c>
      <c r="E648" t="s">
        <v>64</v>
      </c>
      <c r="F648" s="1">
        <v>45240</v>
      </c>
      <c r="G648" t="s">
        <v>1332</v>
      </c>
      <c r="H648" t="s">
        <v>1333</v>
      </c>
      <c r="I648" t="s">
        <v>28</v>
      </c>
      <c r="J648">
        <v>21297</v>
      </c>
      <c r="K648">
        <v>362</v>
      </c>
      <c r="L648" t="s">
        <v>29</v>
      </c>
      <c r="M648" s="1">
        <v>45261</v>
      </c>
      <c r="N648" t="s">
        <v>22</v>
      </c>
      <c r="O648" t="s">
        <v>43</v>
      </c>
      <c r="P648" t="str">
        <f t="shared" si="224"/>
        <v>P0647</v>
      </c>
      <c r="Q648" t="str">
        <f t="shared" si="220"/>
        <v>Cardiology</v>
      </c>
      <c r="R648">
        <f t="shared" si="221"/>
        <v>21</v>
      </c>
      <c r="S648" t="str">
        <f t="shared" ca="1" si="225"/>
        <v>No</v>
      </c>
      <c r="T648" t="str">
        <f t="shared" ca="1" si="226"/>
        <v>Severe</v>
      </c>
      <c r="U648" t="str">
        <f t="shared" ca="1" si="227"/>
        <v>Private Ward</v>
      </c>
      <c r="V648" t="str">
        <f t="shared" si="228"/>
        <v>BED0647</v>
      </c>
      <c r="W648" t="str">
        <f t="shared" ca="1" si="229"/>
        <v>Private</v>
      </c>
      <c r="X648" t="str">
        <f t="shared" si="230"/>
        <v>NUR047</v>
      </c>
      <c r="Y648" t="str">
        <f t="shared" ca="1" si="231"/>
        <v>Night</v>
      </c>
      <c r="Z648" t="str">
        <f t="shared" ca="1" si="232"/>
        <v>ECG Machine</v>
      </c>
      <c r="AA648" t="str">
        <f t="shared" ca="1" si="233"/>
        <v>Available</v>
      </c>
      <c r="AB648" t="str">
        <f t="shared" ca="1" si="234"/>
        <v>Paid</v>
      </c>
      <c r="AC648" t="str">
        <f t="shared" ca="1" si="235"/>
        <v>Insurance</v>
      </c>
      <c r="AD648" t="str">
        <f t="shared" ca="1" si="236"/>
        <v>No</v>
      </c>
      <c r="AE648" t="str">
        <f t="shared" ca="1" si="237"/>
        <v>No</v>
      </c>
      <c r="AF648" t="str">
        <f t="shared" ca="1" si="238"/>
        <v>Under Observation</v>
      </c>
      <c r="AG648" t="str">
        <f t="shared" ca="1" si="239"/>
        <v>Midwest</v>
      </c>
      <c r="AH648" t="str">
        <f t="shared" si="222"/>
        <v>November</v>
      </c>
      <c r="AI648">
        <f t="shared" si="223"/>
        <v>2023</v>
      </c>
      <c r="AJ648" t="str">
        <f t="shared" ca="1" si="240"/>
        <v>Occupied</v>
      </c>
      <c r="AK648">
        <f t="shared" ca="1" si="241"/>
        <v>4</v>
      </c>
    </row>
    <row r="649" spans="1:37" x14ac:dyDescent="0.3">
      <c r="A649" t="s">
        <v>5073</v>
      </c>
      <c r="B649">
        <v>49</v>
      </c>
      <c r="C649" t="s">
        <v>32</v>
      </c>
      <c r="D649" t="s">
        <v>52</v>
      </c>
      <c r="E649" t="s">
        <v>39</v>
      </c>
      <c r="F649" s="1">
        <v>44241</v>
      </c>
      <c r="G649" t="s">
        <v>1334</v>
      </c>
      <c r="H649" t="s">
        <v>1335</v>
      </c>
      <c r="I649" t="s">
        <v>57</v>
      </c>
      <c r="J649">
        <v>26432</v>
      </c>
      <c r="K649">
        <v>402</v>
      </c>
      <c r="L649" t="s">
        <v>21</v>
      </c>
      <c r="M649" s="1">
        <v>44245</v>
      </c>
      <c r="N649" t="s">
        <v>37</v>
      </c>
      <c r="O649" t="s">
        <v>31</v>
      </c>
      <c r="P649" t="str">
        <f t="shared" si="224"/>
        <v>P0648</v>
      </c>
      <c r="Q649" t="str">
        <f t="shared" si="220"/>
        <v>Endocrinology</v>
      </c>
      <c r="R649">
        <f t="shared" si="221"/>
        <v>4</v>
      </c>
      <c r="S649" t="str">
        <f t="shared" ca="1" si="225"/>
        <v>No</v>
      </c>
      <c r="T649" t="str">
        <f t="shared" ca="1" si="226"/>
        <v>Mild</v>
      </c>
      <c r="U649" t="str">
        <f t="shared" ca="1" si="227"/>
        <v>General Ward</v>
      </c>
      <c r="V649" t="str">
        <f t="shared" si="228"/>
        <v>BED0648</v>
      </c>
      <c r="W649" t="str">
        <f t="shared" ca="1" si="229"/>
        <v>Semi-Private</v>
      </c>
      <c r="X649" t="str">
        <f t="shared" si="230"/>
        <v>NUR048</v>
      </c>
      <c r="Y649" t="str">
        <f t="shared" ca="1" si="231"/>
        <v>Evening</v>
      </c>
      <c r="Z649" t="str">
        <f t="shared" ca="1" si="232"/>
        <v>MRI Scanner</v>
      </c>
      <c r="AA649" t="str">
        <f t="shared" ca="1" si="233"/>
        <v>In Use</v>
      </c>
      <c r="AB649" t="str">
        <f t="shared" ca="1" si="234"/>
        <v>Partially Paid</v>
      </c>
      <c r="AC649" t="str">
        <f t="shared" ca="1" si="235"/>
        <v>Bank Transfer</v>
      </c>
      <c r="AD649" t="str">
        <f t="shared" ca="1" si="236"/>
        <v>No</v>
      </c>
      <c r="AE649" t="str">
        <f t="shared" ca="1" si="237"/>
        <v>Yes</v>
      </c>
      <c r="AF649" t="str">
        <f t="shared" ca="1" si="238"/>
        <v>Recovered</v>
      </c>
      <c r="AG649" t="str">
        <f t="shared" ca="1" si="239"/>
        <v>Southeast</v>
      </c>
      <c r="AH649" t="str">
        <f t="shared" si="222"/>
        <v>February</v>
      </c>
      <c r="AI649">
        <f t="shared" si="223"/>
        <v>2021</v>
      </c>
      <c r="AJ649" t="str">
        <f t="shared" ca="1" si="240"/>
        <v>Occupied</v>
      </c>
      <c r="AK649">
        <f t="shared" ca="1" si="241"/>
        <v>4</v>
      </c>
    </row>
    <row r="650" spans="1:37" x14ac:dyDescent="0.3">
      <c r="A650" t="s">
        <v>5074</v>
      </c>
      <c r="B650">
        <v>75</v>
      </c>
      <c r="C650" t="s">
        <v>15</v>
      </c>
      <c r="D650" t="s">
        <v>16</v>
      </c>
      <c r="E650" t="s">
        <v>64</v>
      </c>
      <c r="F650" s="1">
        <v>44758</v>
      </c>
      <c r="G650" t="s">
        <v>1336</v>
      </c>
      <c r="H650" t="s">
        <v>1337</v>
      </c>
      <c r="I650" t="s">
        <v>57</v>
      </c>
      <c r="J650">
        <v>6337</v>
      </c>
      <c r="K650">
        <v>428</v>
      </c>
      <c r="L650" t="s">
        <v>29</v>
      </c>
      <c r="M650" s="1">
        <v>44786</v>
      </c>
      <c r="N650" t="s">
        <v>30</v>
      </c>
      <c r="O650" t="s">
        <v>23</v>
      </c>
      <c r="P650" t="str">
        <f t="shared" si="224"/>
        <v>P0649</v>
      </c>
      <c r="Q650" t="str">
        <f t="shared" si="220"/>
        <v>Cardiology</v>
      </c>
      <c r="R650">
        <f t="shared" si="221"/>
        <v>28</v>
      </c>
      <c r="S650" t="str">
        <f t="shared" ca="1" si="225"/>
        <v>No</v>
      </c>
      <c r="T650" t="str">
        <f t="shared" ca="1" si="226"/>
        <v>Moderate</v>
      </c>
      <c r="U650" t="str">
        <f t="shared" ca="1" si="227"/>
        <v>Emergency</v>
      </c>
      <c r="V650" t="str">
        <f t="shared" si="228"/>
        <v>BED0649</v>
      </c>
      <c r="W650" t="str">
        <f t="shared" ca="1" si="229"/>
        <v>ICU</v>
      </c>
      <c r="X650" t="str">
        <f t="shared" si="230"/>
        <v>NUR049</v>
      </c>
      <c r="Y650" t="str">
        <f t="shared" ca="1" si="231"/>
        <v>Night</v>
      </c>
      <c r="Z650" t="str">
        <f t="shared" ca="1" si="232"/>
        <v>X-Ray</v>
      </c>
      <c r="AA650" t="str">
        <f t="shared" ca="1" si="233"/>
        <v>Maintenance</v>
      </c>
      <c r="AB650" t="str">
        <f t="shared" ca="1" si="234"/>
        <v>Pending</v>
      </c>
      <c r="AC650" t="str">
        <f t="shared" ca="1" si="235"/>
        <v>Debit Card</v>
      </c>
      <c r="AD650" t="str">
        <f t="shared" ca="1" si="236"/>
        <v>Yes</v>
      </c>
      <c r="AE650" t="str">
        <f t="shared" ca="1" si="237"/>
        <v>Yes</v>
      </c>
      <c r="AF650" t="str">
        <f t="shared" ca="1" si="238"/>
        <v>Under Observation</v>
      </c>
      <c r="AG650" t="str">
        <f t="shared" ca="1" si="239"/>
        <v>Northeast</v>
      </c>
      <c r="AH650" t="str">
        <f t="shared" si="222"/>
        <v>July</v>
      </c>
      <c r="AI650">
        <f t="shared" si="223"/>
        <v>2022</v>
      </c>
      <c r="AJ650" t="str">
        <f t="shared" ca="1" si="240"/>
        <v>Occupied</v>
      </c>
      <c r="AK650">
        <f t="shared" ca="1" si="241"/>
        <v>1</v>
      </c>
    </row>
    <row r="651" spans="1:37" x14ac:dyDescent="0.3">
      <c r="A651" t="s">
        <v>5075</v>
      </c>
      <c r="B651">
        <v>40</v>
      </c>
      <c r="C651" t="s">
        <v>32</v>
      </c>
      <c r="D651" t="s">
        <v>38</v>
      </c>
      <c r="E651" t="s">
        <v>39</v>
      </c>
      <c r="F651" s="1">
        <v>45061</v>
      </c>
      <c r="G651" t="s">
        <v>1338</v>
      </c>
      <c r="H651" t="s">
        <v>1339</v>
      </c>
      <c r="I651" t="s">
        <v>28</v>
      </c>
      <c r="J651">
        <v>31064</v>
      </c>
      <c r="K651">
        <v>345</v>
      </c>
      <c r="L651" t="s">
        <v>42</v>
      </c>
      <c r="M651" s="1">
        <v>45073</v>
      </c>
      <c r="N651" t="s">
        <v>47</v>
      </c>
      <c r="O651" t="s">
        <v>23</v>
      </c>
      <c r="P651" t="str">
        <f t="shared" si="224"/>
        <v>P0650</v>
      </c>
      <c r="Q651" t="str">
        <f t="shared" si="220"/>
        <v>Endocrinology</v>
      </c>
      <c r="R651">
        <f t="shared" si="221"/>
        <v>12</v>
      </c>
      <c r="S651" t="str">
        <f t="shared" ca="1" si="225"/>
        <v>No</v>
      </c>
      <c r="T651" t="str">
        <f t="shared" ca="1" si="226"/>
        <v>Mild</v>
      </c>
      <c r="U651" t="str">
        <f t="shared" ca="1" si="227"/>
        <v>Emergency</v>
      </c>
      <c r="V651" t="str">
        <f t="shared" si="228"/>
        <v>BED0650</v>
      </c>
      <c r="W651" t="str">
        <f t="shared" ca="1" si="229"/>
        <v>Semi-Private</v>
      </c>
      <c r="X651" t="str">
        <f t="shared" si="230"/>
        <v>NUR050</v>
      </c>
      <c r="Y651" t="str">
        <f t="shared" ca="1" si="231"/>
        <v>Evening</v>
      </c>
      <c r="Z651" t="str">
        <f t="shared" ca="1" si="232"/>
        <v>MRI Scanner</v>
      </c>
      <c r="AA651" t="str">
        <f t="shared" ca="1" si="233"/>
        <v>Maintenance</v>
      </c>
      <c r="AB651" t="str">
        <f t="shared" ca="1" si="234"/>
        <v>Paid</v>
      </c>
      <c r="AC651" t="str">
        <f t="shared" ca="1" si="235"/>
        <v>Cash</v>
      </c>
      <c r="AD651" t="str">
        <f t="shared" ca="1" si="236"/>
        <v>No</v>
      </c>
      <c r="AE651" t="str">
        <f t="shared" ca="1" si="237"/>
        <v>No</v>
      </c>
      <c r="AF651" t="str">
        <f t="shared" ca="1" si="238"/>
        <v>Under Observation</v>
      </c>
      <c r="AG651" t="str">
        <f t="shared" ca="1" si="239"/>
        <v>Southeast</v>
      </c>
      <c r="AH651" t="str">
        <f t="shared" si="222"/>
        <v>May</v>
      </c>
      <c r="AI651">
        <f t="shared" si="223"/>
        <v>2023</v>
      </c>
      <c r="AJ651" t="str">
        <f t="shared" ca="1" si="240"/>
        <v>Occupied</v>
      </c>
      <c r="AK651">
        <f t="shared" ca="1" si="241"/>
        <v>4</v>
      </c>
    </row>
    <row r="652" spans="1:37" x14ac:dyDescent="0.3">
      <c r="A652" t="s">
        <v>5076</v>
      </c>
      <c r="B652">
        <v>51</v>
      </c>
      <c r="C652" t="s">
        <v>32</v>
      </c>
      <c r="D652" t="s">
        <v>44</v>
      </c>
      <c r="E652" t="s">
        <v>76</v>
      </c>
      <c r="F652" s="1">
        <v>43951</v>
      </c>
      <c r="G652" t="s">
        <v>1340</v>
      </c>
      <c r="H652" t="s">
        <v>1341</v>
      </c>
      <c r="I652" t="s">
        <v>51</v>
      </c>
      <c r="J652">
        <v>10710</v>
      </c>
      <c r="K652">
        <v>461</v>
      </c>
      <c r="L652" t="s">
        <v>21</v>
      </c>
      <c r="M652" s="1">
        <v>43973</v>
      </c>
      <c r="N652" t="s">
        <v>47</v>
      </c>
      <c r="O652" t="s">
        <v>43</v>
      </c>
      <c r="P652" t="str">
        <f t="shared" si="224"/>
        <v>P0651</v>
      </c>
      <c r="Q652" t="str">
        <f t="shared" si="220"/>
        <v>Orthopedics</v>
      </c>
      <c r="R652">
        <f t="shared" si="221"/>
        <v>22</v>
      </c>
      <c r="S652" t="str">
        <f t="shared" ca="1" si="225"/>
        <v>No</v>
      </c>
      <c r="T652" t="str">
        <f t="shared" ca="1" si="226"/>
        <v>Critical</v>
      </c>
      <c r="U652" t="str">
        <f t="shared" ca="1" si="227"/>
        <v>Private Ward</v>
      </c>
      <c r="V652" t="str">
        <f t="shared" si="228"/>
        <v>BED0651</v>
      </c>
      <c r="W652" t="str">
        <f t="shared" ca="1" si="229"/>
        <v>General</v>
      </c>
      <c r="X652" t="str">
        <f t="shared" si="230"/>
        <v>NUR001</v>
      </c>
      <c r="Y652" t="str">
        <f t="shared" ca="1" si="231"/>
        <v>Evening</v>
      </c>
      <c r="Z652" t="str">
        <f t="shared" ca="1" si="232"/>
        <v>Ventilator</v>
      </c>
      <c r="AA652" t="str">
        <f t="shared" ca="1" si="233"/>
        <v>Maintenance</v>
      </c>
      <c r="AB652" t="str">
        <f t="shared" ca="1" si="234"/>
        <v>Partially Paid</v>
      </c>
      <c r="AC652" t="str">
        <f t="shared" ca="1" si="235"/>
        <v>Cash</v>
      </c>
      <c r="AD652" t="str">
        <f t="shared" ca="1" si="236"/>
        <v>No</v>
      </c>
      <c r="AE652" t="str">
        <f t="shared" ca="1" si="237"/>
        <v>No</v>
      </c>
      <c r="AF652" t="str">
        <f t="shared" ca="1" si="238"/>
        <v>Under Observation</v>
      </c>
      <c r="AG652" t="str">
        <f t="shared" ca="1" si="239"/>
        <v>Midwest</v>
      </c>
      <c r="AH652" t="str">
        <f t="shared" si="222"/>
        <v>April</v>
      </c>
      <c r="AI652">
        <f t="shared" si="223"/>
        <v>2020</v>
      </c>
      <c r="AJ652" t="str">
        <f t="shared" ca="1" si="240"/>
        <v>Vacant</v>
      </c>
      <c r="AK652">
        <f t="shared" ca="1" si="241"/>
        <v>4</v>
      </c>
    </row>
    <row r="653" spans="1:37" x14ac:dyDescent="0.3">
      <c r="A653" t="s">
        <v>5077</v>
      </c>
      <c r="B653">
        <v>64</v>
      </c>
      <c r="C653" t="s">
        <v>15</v>
      </c>
      <c r="D653" t="s">
        <v>44</v>
      </c>
      <c r="E653" t="s">
        <v>48</v>
      </c>
      <c r="F653" s="1">
        <v>44208</v>
      </c>
      <c r="G653" t="s">
        <v>1342</v>
      </c>
      <c r="H653" t="s">
        <v>1343</v>
      </c>
      <c r="I653" t="s">
        <v>20</v>
      </c>
      <c r="J653">
        <v>25067</v>
      </c>
      <c r="K653">
        <v>454</v>
      </c>
      <c r="L653" t="s">
        <v>21</v>
      </c>
      <c r="M653" s="1">
        <v>44221</v>
      </c>
      <c r="N653" t="s">
        <v>30</v>
      </c>
      <c r="O653" t="s">
        <v>43</v>
      </c>
      <c r="P653" t="str">
        <f t="shared" si="224"/>
        <v>P0652</v>
      </c>
      <c r="Q653" t="str">
        <f t="shared" si="220"/>
        <v>Pulmonology</v>
      </c>
      <c r="R653">
        <f t="shared" si="221"/>
        <v>13</v>
      </c>
      <c r="S653" t="str">
        <f t="shared" ca="1" si="225"/>
        <v>No</v>
      </c>
      <c r="T653" t="str">
        <f t="shared" ca="1" si="226"/>
        <v>Moderate</v>
      </c>
      <c r="U653" t="str">
        <f t="shared" ca="1" si="227"/>
        <v>General Ward</v>
      </c>
      <c r="V653" t="str">
        <f t="shared" si="228"/>
        <v>BED0652</v>
      </c>
      <c r="W653" t="str">
        <f t="shared" ca="1" si="229"/>
        <v>ICU</v>
      </c>
      <c r="X653" t="str">
        <f t="shared" si="230"/>
        <v>NUR002</v>
      </c>
      <c r="Y653" t="str">
        <f t="shared" ca="1" si="231"/>
        <v>Morning</v>
      </c>
      <c r="Z653" t="str">
        <f t="shared" ca="1" si="232"/>
        <v>MRI Scanner</v>
      </c>
      <c r="AA653" t="str">
        <f t="shared" ca="1" si="233"/>
        <v>Maintenance</v>
      </c>
      <c r="AB653" t="str">
        <f t="shared" ca="1" si="234"/>
        <v>Pending</v>
      </c>
      <c r="AC653" t="str">
        <f t="shared" ca="1" si="235"/>
        <v>Cash</v>
      </c>
      <c r="AD653" t="str">
        <f t="shared" ca="1" si="236"/>
        <v>No</v>
      </c>
      <c r="AE653" t="str">
        <f t="shared" ca="1" si="237"/>
        <v>No</v>
      </c>
      <c r="AF653" t="str">
        <f t="shared" ca="1" si="238"/>
        <v>Transferred</v>
      </c>
      <c r="AG653" t="str">
        <f t="shared" ca="1" si="239"/>
        <v>Northeast</v>
      </c>
      <c r="AH653" t="str">
        <f t="shared" si="222"/>
        <v>January</v>
      </c>
      <c r="AI653">
        <f t="shared" si="223"/>
        <v>2021</v>
      </c>
      <c r="AJ653" t="str">
        <f t="shared" ca="1" si="240"/>
        <v>Occupied</v>
      </c>
      <c r="AK653">
        <f t="shared" ca="1" si="241"/>
        <v>2</v>
      </c>
    </row>
    <row r="654" spans="1:37" x14ac:dyDescent="0.3">
      <c r="A654" t="s">
        <v>5078</v>
      </c>
      <c r="B654">
        <v>49</v>
      </c>
      <c r="C654" t="s">
        <v>32</v>
      </c>
      <c r="D654" t="s">
        <v>98</v>
      </c>
      <c r="E654" t="s">
        <v>76</v>
      </c>
      <c r="F654" s="1">
        <v>43608</v>
      </c>
      <c r="G654" t="s">
        <v>1344</v>
      </c>
      <c r="H654" t="s">
        <v>1345</v>
      </c>
      <c r="I654" t="s">
        <v>57</v>
      </c>
      <c r="J654">
        <v>13397</v>
      </c>
      <c r="K654">
        <v>273</v>
      </c>
      <c r="L654" t="s">
        <v>29</v>
      </c>
      <c r="M654" s="1">
        <v>43618</v>
      </c>
      <c r="N654" t="s">
        <v>22</v>
      </c>
      <c r="O654" t="s">
        <v>23</v>
      </c>
      <c r="P654" t="str">
        <f t="shared" si="224"/>
        <v>P0653</v>
      </c>
      <c r="Q654" t="str">
        <f t="shared" si="220"/>
        <v>Orthopedics</v>
      </c>
      <c r="R654">
        <f t="shared" si="221"/>
        <v>10</v>
      </c>
      <c r="S654" t="str">
        <f t="shared" ca="1" si="225"/>
        <v>Yes</v>
      </c>
      <c r="T654" t="str">
        <f t="shared" ca="1" si="226"/>
        <v>Critical</v>
      </c>
      <c r="U654" t="str">
        <f t="shared" ca="1" si="227"/>
        <v>ICU</v>
      </c>
      <c r="V654" t="str">
        <f t="shared" si="228"/>
        <v>BED0653</v>
      </c>
      <c r="W654" t="str">
        <f t="shared" ca="1" si="229"/>
        <v>Private</v>
      </c>
      <c r="X654" t="str">
        <f t="shared" si="230"/>
        <v>NUR003</v>
      </c>
      <c r="Y654" t="str">
        <f t="shared" ca="1" si="231"/>
        <v>Evening</v>
      </c>
      <c r="Z654" t="str">
        <f t="shared" ca="1" si="232"/>
        <v>CT Scanner</v>
      </c>
      <c r="AA654" t="str">
        <f t="shared" ca="1" si="233"/>
        <v>Maintenance</v>
      </c>
      <c r="AB654" t="str">
        <f t="shared" ca="1" si="234"/>
        <v>Paid</v>
      </c>
      <c r="AC654" t="str">
        <f t="shared" ca="1" si="235"/>
        <v>Bank Transfer</v>
      </c>
      <c r="AD654" t="str">
        <f t="shared" ca="1" si="236"/>
        <v>No</v>
      </c>
      <c r="AE654" t="str">
        <f t="shared" ca="1" si="237"/>
        <v>No</v>
      </c>
      <c r="AF654" t="str">
        <f t="shared" ca="1" si="238"/>
        <v>Recovered</v>
      </c>
      <c r="AG654" t="str">
        <f t="shared" ca="1" si="239"/>
        <v>Southwest</v>
      </c>
      <c r="AH654" t="str">
        <f t="shared" si="222"/>
        <v>May</v>
      </c>
      <c r="AI654">
        <f t="shared" si="223"/>
        <v>2019</v>
      </c>
      <c r="AJ654" t="str">
        <f t="shared" ca="1" si="240"/>
        <v>Occupied</v>
      </c>
      <c r="AK654">
        <f t="shared" ca="1" si="241"/>
        <v>4</v>
      </c>
    </row>
    <row r="655" spans="1:37" x14ac:dyDescent="0.3">
      <c r="A655" t="s">
        <v>5079</v>
      </c>
      <c r="B655">
        <v>74</v>
      </c>
      <c r="C655" t="s">
        <v>15</v>
      </c>
      <c r="D655" t="s">
        <v>24</v>
      </c>
      <c r="E655" t="s">
        <v>25</v>
      </c>
      <c r="F655" s="1">
        <v>45039</v>
      </c>
      <c r="G655" t="s">
        <v>1346</v>
      </c>
      <c r="H655" t="s">
        <v>1347</v>
      </c>
      <c r="I655" t="s">
        <v>20</v>
      </c>
      <c r="J655">
        <v>29822</v>
      </c>
      <c r="K655">
        <v>231</v>
      </c>
      <c r="L655" t="s">
        <v>29</v>
      </c>
      <c r="M655" s="1">
        <v>45055</v>
      </c>
      <c r="N655" t="s">
        <v>67</v>
      </c>
      <c r="O655" t="s">
        <v>23</v>
      </c>
      <c r="P655" t="str">
        <f t="shared" si="224"/>
        <v>P0654</v>
      </c>
      <c r="Q655" t="str">
        <f t="shared" si="220"/>
        <v>Nutrition</v>
      </c>
      <c r="R655">
        <f t="shared" si="221"/>
        <v>16</v>
      </c>
      <c r="S655" t="str">
        <f t="shared" ca="1" si="225"/>
        <v>No</v>
      </c>
      <c r="T655" t="str">
        <f t="shared" ca="1" si="226"/>
        <v>Moderate</v>
      </c>
      <c r="U655" t="str">
        <f t="shared" ca="1" si="227"/>
        <v>Emergency</v>
      </c>
      <c r="V655" t="str">
        <f t="shared" si="228"/>
        <v>BED0654</v>
      </c>
      <c r="W655" t="str">
        <f t="shared" ca="1" si="229"/>
        <v>Private</v>
      </c>
      <c r="X655" t="str">
        <f t="shared" si="230"/>
        <v>NUR004</v>
      </c>
      <c r="Y655" t="str">
        <f t="shared" ca="1" si="231"/>
        <v>Night</v>
      </c>
      <c r="Z655" t="str">
        <f t="shared" ca="1" si="232"/>
        <v>X-Ray</v>
      </c>
      <c r="AA655" t="str">
        <f t="shared" ca="1" si="233"/>
        <v>In Use</v>
      </c>
      <c r="AB655" t="str">
        <f t="shared" ca="1" si="234"/>
        <v>Partially Paid</v>
      </c>
      <c r="AC655" t="str">
        <f t="shared" ca="1" si="235"/>
        <v>Bank Transfer</v>
      </c>
      <c r="AD655" t="str">
        <f t="shared" ca="1" si="236"/>
        <v>No</v>
      </c>
      <c r="AE655" t="str">
        <f t="shared" ca="1" si="237"/>
        <v>No</v>
      </c>
      <c r="AF655" t="str">
        <f t="shared" ca="1" si="238"/>
        <v>Transferred</v>
      </c>
      <c r="AG655" t="str">
        <f t="shared" ca="1" si="239"/>
        <v>Northeast</v>
      </c>
      <c r="AH655" t="str">
        <f t="shared" si="222"/>
        <v>April</v>
      </c>
      <c r="AI655">
        <f t="shared" si="223"/>
        <v>2023</v>
      </c>
      <c r="AJ655" t="str">
        <f t="shared" ca="1" si="240"/>
        <v>Occupied</v>
      </c>
      <c r="AK655">
        <f t="shared" ca="1" si="241"/>
        <v>4</v>
      </c>
    </row>
    <row r="656" spans="1:37" x14ac:dyDescent="0.3">
      <c r="A656" t="s">
        <v>5080</v>
      </c>
      <c r="B656">
        <v>66</v>
      </c>
      <c r="C656" t="s">
        <v>32</v>
      </c>
      <c r="D656" t="s">
        <v>33</v>
      </c>
      <c r="E656" t="s">
        <v>64</v>
      </c>
      <c r="F656" s="1">
        <v>44902</v>
      </c>
      <c r="G656" t="s">
        <v>1348</v>
      </c>
      <c r="H656" t="s">
        <v>1349</v>
      </c>
      <c r="I656" t="s">
        <v>28</v>
      </c>
      <c r="J656">
        <v>12025</v>
      </c>
      <c r="K656">
        <v>434</v>
      </c>
      <c r="L656" t="s">
        <v>21</v>
      </c>
      <c r="M656" s="1">
        <v>44927</v>
      </c>
      <c r="N656" t="s">
        <v>37</v>
      </c>
      <c r="O656" t="s">
        <v>43</v>
      </c>
      <c r="P656" t="str">
        <f t="shared" si="224"/>
        <v>P0655</v>
      </c>
      <c r="Q656" t="str">
        <f t="shared" si="220"/>
        <v>Cardiology</v>
      </c>
      <c r="R656">
        <f t="shared" si="221"/>
        <v>25</v>
      </c>
      <c r="S656" t="str">
        <f t="shared" ca="1" si="225"/>
        <v>No</v>
      </c>
      <c r="T656" t="str">
        <f t="shared" ca="1" si="226"/>
        <v>Mild</v>
      </c>
      <c r="U656" t="str">
        <f t="shared" ca="1" si="227"/>
        <v>ICU</v>
      </c>
      <c r="V656" t="str">
        <f t="shared" si="228"/>
        <v>BED0655</v>
      </c>
      <c r="W656" t="str">
        <f t="shared" ca="1" si="229"/>
        <v>ICU</v>
      </c>
      <c r="X656" t="str">
        <f t="shared" si="230"/>
        <v>NUR005</v>
      </c>
      <c r="Y656" t="str">
        <f t="shared" ca="1" si="231"/>
        <v>Night</v>
      </c>
      <c r="Z656" t="str">
        <f t="shared" ca="1" si="232"/>
        <v>Ventilator</v>
      </c>
      <c r="AA656" t="str">
        <f t="shared" ca="1" si="233"/>
        <v>Maintenance</v>
      </c>
      <c r="AB656" t="str">
        <f t="shared" ca="1" si="234"/>
        <v>Paid</v>
      </c>
      <c r="AC656" t="str">
        <f t="shared" ca="1" si="235"/>
        <v>Bank Transfer</v>
      </c>
      <c r="AD656" t="str">
        <f t="shared" ca="1" si="236"/>
        <v>No</v>
      </c>
      <c r="AE656" t="str">
        <f t="shared" ca="1" si="237"/>
        <v>No</v>
      </c>
      <c r="AF656" t="str">
        <f t="shared" ca="1" si="238"/>
        <v>Under Observation</v>
      </c>
      <c r="AG656" t="str">
        <f t="shared" ca="1" si="239"/>
        <v>West Coast</v>
      </c>
      <c r="AH656" t="str">
        <f t="shared" si="222"/>
        <v>December</v>
      </c>
      <c r="AI656">
        <f t="shared" si="223"/>
        <v>2022</v>
      </c>
      <c r="AJ656" t="str">
        <f t="shared" ca="1" si="240"/>
        <v>Vacant</v>
      </c>
      <c r="AK656">
        <f t="shared" ca="1" si="241"/>
        <v>2</v>
      </c>
    </row>
    <row r="657" spans="1:37" x14ac:dyDescent="0.3">
      <c r="A657" t="s">
        <v>5081</v>
      </c>
      <c r="B657">
        <v>52</v>
      </c>
      <c r="C657" t="s">
        <v>32</v>
      </c>
      <c r="D657" t="s">
        <v>33</v>
      </c>
      <c r="E657" t="s">
        <v>76</v>
      </c>
      <c r="F657" s="1">
        <v>44129</v>
      </c>
      <c r="G657" t="s">
        <v>1350</v>
      </c>
      <c r="H657" t="s">
        <v>1351</v>
      </c>
      <c r="I657" t="s">
        <v>36</v>
      </c>
      <c r="J657">
        <v>33709</v>
      </c>
      <c r="K657">
        <v>191</v>
      </c>
      <c r="L657" t="s">
        <v>42</v>
      </c>
      <c r="M657" s="1">
        <v>44139</v>
      </c>
      <c r="N657" t="s">
        <v>67</v>
      </c>
      <c r="O657" t="s">
        <v>43</v>
      </c>
      <c r="P657" t="str">
        <f t="shared" si="224"/>
        <v>P0656</v>
      </c>
      <c r="Q657" t="str">
        <f t="shared" si="220"/>
        <v>Orthopedics</v>
      </c>
      <c r="R657">
        <f t="shared" si="221"/>
        <v>10</v>
      </c>
      <c r="S657" t="str">
        <f t="shared" ca="1" si="225"/>
        <v>Yes</v>
      </c>
      <c r="T657" t="str">
        <f t="shared" ca="1" si="226"/>
        <v>Severe</v>
      </c>
      <c r="U657" t="str">
        <f t="shared" ca="1" si="227"/>
        <v>Emergency</v>
      </c>
      <c r="V657" t="str">
        <f t="shared" si="228"/>
        <v>BED0656</v>
      </c>
      <c r="W657" t="str">
        <f t="shared" ca="1" si="229"/>
        <v>Private</v>
      </c>
      <c r="X657" t="str">
        <f t="shared" si="230"/>
        <v>NUR006</v>
      </c>
      <c r="Y657" t="str">
        <f t="shared" ca="1" si="231"/>
        <v>Morning</v>
      </c>
      <c r="Z657" t="str">
        <f t="shared" ca="1" si="232"/>
        <v>ECG Machine</v>
      </c>
      <c r="AA657" t="str">
        <f t="shared" ca="1" si="233"/>
        <v>Maintenance</v>
      </c>
      <c r="AB657" t="str">
        <f t="shared" ca="1" si="234"/>
        <v>Partially Paid</v>
      </c>
      <c r="AC657" t="str">
        <f t="shared" ca="1" si="235"/>
        <v>Bank Transfer</v>
      </c>
      <c r="AD657" t="str">
        <f t="shared" ca="1" si="236"/>
        <v>No</v>
      </c>
      <c r="AE657" t="str">
        <f t="shared" ca="1" si="237"/>
        <v>No</v>
      </c>
      <c r="AF657" t="str">
        <f t="shared" ca="1" si="238"/>
        <v>Recovered</v>
      </c>
      <c r="AG657" t="str">
        <f t="shared" ca="1" si="239"/>
        <v>Southeast</v>
      </c>
      <c r="AH657" t="str">
        <f t="shared" si="222"/>
        <v>October</v>
      </c>
      <c r="AI657">
        <f t="shared" si="223"/>
        <v>2020</v>
      </c>
      <c r="AJ657" t="str">
        <f t="shared" ca="1" si="240"/>
        <v>Occupied</v>
      </c>
      <c r="AK657">
        <f t="shared" ca="1" si="241"/>
        <v>4</v>
      </c>
    </row>
    <row r="658" spans="1:37" x14ac:dyDescent="0.3">
      <c r="A658" t="s">
        <v>5082</v>
      </c>
      <c r="B658">
        <v>58</v>
      </c>
      <c r="C658" t="s">
        <v>32</v>
      </c>
      <c r="D658" t="s">
        <v>16</v>
      </c>
      <c r="E658" t="s">
        <v>25</v>
      </c>
      <c r="F658" s="1">
        <v>44294</v>
      </c>
      <c r="G658" t="s">
        <v>1352</v>
      </c>
      <c r="H658" t="s">
        <v>1353</v>
      </c>
      <c r="I658" t="s">
        <v>57</v>
      </c>
      <c r="J658">
        <v>40825</v>
      </c>
      <c r="K658">
        <v>231</v>
      </c>
      <c r="L658" t="s">
        <v>42</v>
      </c>
      <c r="M658" s="1">
        <v>44317</v>
      </c>
      <c r="N658" t="s">
        <v>30</v>
      </c>
      <c r="O658" t="s">
        <v>23</v>
      </c>
      <c r="P658" t="str">
        <f t="shared" si="224"/>
        <v>P0657</v>
      </c>
      <c r="Q658" t="str">
        <f t="shared" si="220"/>
        <v>Nutrition</v>
      </c>
      <c r="R658">
        <f t="shared" si="221"/>
        <v>23</v>
      </c>
      <c r="S658" t="str">
        <f t="shared" ca="1" si="225"/>
        <v>No</v>
      </c>
      <c r="T658" t="str">
        <f t="shared" ca="1" si="226"/>
        <v>Critical</v>
      </c>
      <c r="U658" t="str">
        <f t="shared" ca="1" si="227"/>
        <v>Private Ward</v>
      </c>
      <c r="V658" t="str">
        <f t="shared" si="228"/>
        <v>BED0657</v>
      </c>
      <c r="W658" t="str">
        <f t="shared" ca="1" si="229"/>
        <v>Private</v>
      </c>
      <c r="X658" t="str">
        <f t="shared" si="230"/>
        <v>NUR007</v>
      </c>
      <c r="Y658" t="str">
        <f t="shared" ca="1" si="231"/>
        <v>Morning</v>
      </c>
      <c r="Z658" t="str">
        <f t="shared" ca="1" si="232"/>
        <v>Ventilator</v>
      </c>
      <c r="AA658" t="str">
        <f t="shared" ca="1" si="233"/>
        <v>Available</v>
      </c>
      <c r="AB658" t="str">
        <f t="shared" ca="1" si="234"/>
        <v>Partially Paid</v>
      </c>
      <c r="AC658" t="str">
        <f t="shared" ca="1" si="235"/>
        <v>Debit Card</v>
      </c>
      <c r="AD658" t="str">
        <f t="shared" ca="1" si="236"/>
        <v>Yes</v>
      </c>
      <c r="AE658" t="str">
        <f t="shared" ca="1" si="237"/>
        <v>No</v>
      </c>
      <c r="AF658" t="str">
        <f t="shared" ca="1" si="238"/>
        <v>Recovered</v>
      </c>
      <c r="AG658" t="str">
        <f t="shared" ca="1" si="239"/>
        <v>Southeast</v>
      </c>
      <c r="AH658" t="str">
        <f t="shared" si="222"/>
        <v>April</v>
      </c>
      <c r="AI658">
        <f t="shared" si="223"/>
        <v>2021</v>
      </c>
      <c r="AJ658" t="str">
        <f t="shared" ca="1" si="240"/>
        <v>Vacant</v>
      </c>
      <c r="AK658">
        <f t="shared" ca="1" si="241"/>
        <v>1</v>
      </c>
    </row>
    <row r="659" spans="1:37" x14ac:dyDescent="0.3">
      <c r="A659" t="s">
        <v>5083</v>
      </c>
      <c r="B659">
        <v>21</v>
      </c>
      <c r="C659" t="s">
        <v>15</v>
      </c>
      <c r="D659" t="s">
        <v>16</v>
      </c>
      <c r="E659" t="s">
        <v>76</v>
      </c>
      <c r="F659" s="1">
        <v>44083</v>
      </c>
      <c r="G659" t="s">
        <v>1354</v>
      </c>
      <c r="H659" t="s">
        <v>1355</v>
      </c>
      <c r="I659" t="s">
        <v>36</v>
      </c>
      <c r="J659">
        <v>27345</v>
      </c>
      <c r="K659">
        <v>371</v>
      </c>
      <c r="L659" t="s">
        <v>29</v>
      </c>
      <c r="M659" s="1">
        <v>44108</v>
      </c>
      <c r="N659" t="s">
        <v>37</v>
      </c>
      <c r="O659" t="s">
        <v>31</v>
      </c>
      <c r="P659" t="str">
        <f t="shared" si="224"/>
        <v>P0658</v>
      </c>
      <c r="Q659" t="str">
        <f t="shared" si="220"/>
        <v>Orthopedics</v>
      </c>
      <c r="R659">
        <f t="shared" si="221"/>
        <v>25</v>
      </c>
      <c r="S659" t="str">
        <f t="shared" ca="1" si="225"/>
        <v>No</v>
      </c>
      <c r="T659" t="str">
        <f t="shared" ca="1" si="226"/>
        <v>Critical</v>
      </c>
      <c r="U659" t="str">
        <f t="shared" ca="1" si="227"/>
        <v>ICU</v>
      </c>
      <c r="V659" t="str">
        <f t="shared" si="228"/>
        <v>BED0658</v>
      </c>
      <c r="W659" t="str">
        <f t="shared" ca="1" si="229"/>
        <v>Private</v>
      </c>
      <c r="X659" t="str">
        <f t="shared" si="230"/>
        <v>NUR008</v>
      </c>
      <c r="Y659" t="str">
        <f t="shared" ca="1" si="231"/>
        <v>Evening</v>
      </c>
      <c r="Z659" t="str">
        <f t="shared" ca="1" si="232"/>
        <v>ECG Machine</v>
      </c>
      <c r="AA659" t="str">
        <f t="shared" ca="1" si="233"/>
        <v>Maintenance</v>
      </c>
      <c r="AB659" t="str">
        <f t="shared" ca="1" si="234"/>
        <v>Paid</v>
      </c>
      <c r="AC659" t="str">
        <f t="shared" ca="1" si="235"/>
        <v>Cash</v>
      </c>
      <c r="AD659" t="str">
        <f t="shared" ca="1" si="236"/>
        <v>No</v>
      </c>
      <c r="AE659" t="str">
        <f t="shared" ca="1" si="237"/>
        <v>No</v>
      </c>
      <c r="AF659" t="str">
        <f t="shared" ca="1" si="238"/>
        <v>Recovered</v>
      </c>
      <c r="AG659" t="str">
        <f t="shared" ca="1" si="239"/>
        <v>West Coast</v>
      </c>
      <c r="AH659" t="str">
        <f t="shared" si="222"/>
        <v>September</v>
      </c>
      <c r="AI659">
        <f t="shared" si="223"/>
        <v>2020</v>
      </c>
      <c r="AJ659" t="str">
        <f t="shared" ca="1" si="240"/>
        <v>Occupied</v>
      </c>
      <c r="AK659">
        <f t="shared" ca="1" si="241"/>
        <v>2</v>
      </c>
    </row>
    <row r="660" spans="1:37" x14ac:dyDescent="0.3">
      <c r="A660" t="s">
        <v>5084</v>
      </c>
      <c r="B660">
        <v>69</v>
      </c>
      <c r="C660" t="s">
        <v>15</v>
      </c>
      <c r="D660" t="s">
        <v>44</v>
      </c>
      <c r="E660" t="s">
        <v>76</v>
      </c>
      <c r="F660" s="1">
        <v>43805</v>
      </c>
      <c r="G660" t="s">
        <v>1356</v>
      </c>
      <c r="H660" t="s">
        <v>1357</v>
      </c>
      <c r="I660" t="s">
        <v>36</v>
      </c>
      <c r="J660">
        <v>38752</v>
      </c>
      <c r="K660">
        <v>439</v>
      </c>
      <c r="L660" t="s">
        <v>29</v>
      </c>
      <c r="M660" s="1">
        <v>43807</v>
      </c>
      <c r="N660" t="s">
        <v>30</v>
      </c>
      <c r="O660" t="s">
        <v>31</v>
      </c>
      <c r="P660" t="str">
        <f t="shared" si="224"/>
        <v>P0659</v>
      </c>
      <c r="Q660" t="str">
        <f t="shared" si="220"/>
        <v>Orthopedics</v>
      </c>
      <c r="R660">
        <f t="shared" si="221"/>
        <v>2</v>
      </c>
      <c r="S660" t="str">
        <f t="shared" ca="1" si="225"/>
        <v>No</v>
      </c>
      <c r="T660" t="str">
        <f t="shared" ca="1" si="226"/>
        <v>Severe</v>
      </c>
      <c r="U660" t="str">
        <f t="shared" ca="1" si="227"/>
        <v>Private Ward</v>
      </c>
      <c r="V660" t="str">
        <f t="shared" si="228"/>
        <v>BED0659</v>
      </c>
      <c r="W660" t="str">
        <f t="shared" ca="1" si="229"/>
        <v>Private</v>
      </c>
      <c r="X660" t="str">
        <f t="shared" si="230"/>
        <v>NUR009</v>
      </c>
      <c r="Y660" t="str">
        <f t="shared" ca="1" si="231"/>
        <v>Evening</v>
      </c>
      <c r="Z660" t="str">
        <f t="shared" ca="1" si="232"/>
        <v>ECG Machine</v>
      </c>
      <c r="AA660" t="str">
        <f t="shared" ca="1" si="233"/>
        <v>Available</v>
      </c>
      <c r="AB660" t="str">
        <f t="shared" ca="1" si="234"/>
        <v>Partially Paid</v>
      </c>
      <c r="AC660" t="str">
        <f t="shared" ca="1" si="235"/>
        <v>Insurance</v>
      </c>
      <c r="AD660" t="str">
        <f t="shared" ca="1" si="236"/>
        <v>No</v>
      </c>
      <c r="AE660" t="str">
        <f t="shared" ca="1" si="237"/>
        <v>No</v>
      </c>
      <c r="AF660" t="str">
        <f t="shared" ca="1" si="238"/>
        <v>Transferred</v>
      </c>
      <c r="AG660" t="str">
        <f t="shared" ca="1" si="239"/>
        <v>Southeast</v>
      </c>
      <c r="AH660" t="str">
        <f t="shared" si="222"/>
        <v>December</v>
      </c>
      <c r="AI660">
        <f t="shared" si="223"/>
        <v>2019</v>
      </c>
      <c r="AJ660" t="str">
        <f t="shared" ca="1" si="240"/>
        <v>Occupied</v>
      </c>
      <c r="AK660">
        <f t="shared" ca="1" si="241"/>
        <v>1</v>
      </c>
    </row>
    <row r="661" spans="1:37" x14ac:dyDescent="0.3">
      <c r="A661" t="s">
        <v>5085</v>
      </c>
      <c r="B661">
        <v>47</v>
      </c>
      <c r="C661" t="s">
        <v>32</v>
      </c>
      <c r="D661" t="s">
        <v>52</v>
      </c>
      <c r="E661" t="s">
        <v>48</v>
      </c>
      <c r="F661" s="1">
        <v>44973</v>
      </c>
      <c r="G661" t="s">
        <v>1358</v>
      </c>
      <c r="H661" t="s">
        <v>1359</v>
      </c>
      <c r="I661" t="s">
        <v>36</v>
      </c>
      <c r="J661">
        <v>6252</v>
      </c>
      <c r="K661">
        <v>365</v>
      </c>
      <c r="L661" t="s">
        <v>42</v>
      </c>
      <c r="M661" s="1">
        <v>44991</v>
      </c>
      <c r="N661" t="s">
        <v>47</v>
      </c>
      <c r="O661" t="s">
        <v>31</v>
      </c>
      <c r="P661" t="str">
        <f t="shared" si="224"/>
        <v>P0660</v>
      </c>
      <c r="Q661" t="str">
        <f t="shared" si="220"/>
        <v>Pulmonology</v>
      </c>
      <c r="R661">
        <f t="shared" si="221"/>
        <v>18</v>
      </c>
      <c r="S661" t="str">
        <f t="shared" ca="1" si="225"/>
        <v>No</v>
      </c>
      <c r="T661" t="str">
        <f t="shared" ca="1" si="226"/>
        <v>Critical</v>
      </c>
      <c r="U661" t="str">
        <f t="shared" ca="1" si="227"/>
        <v>Emergency</v>
      </c>
      <c r="V661" t="str">
        <f t="shared" si="228"/>
        <v>BED0660</v>
      </c>
      <c r="W661" t="str">
        <f t="shared" ca="1" si="229"/>
        <v>Semi-Private</v>
      </c>
      <c r="X661" t="str">
        <f t="shared" si="230"/>
        <v>NUR010</v>
      </c>
      <c r="Y661" t="str">
        <f t="shared" ca="1" si="231"/>
        <v>Morning</v>
      </c>
      <c r="Z661" t="str">
        <f t="shared" ca="1" si="232"/>
        <v>ECG Machine</v>
      </c>
      <c r="AA661" t="str">
        <f t="shared" ca="1" si="233"/>
        <v>In Use</v>
      </c>
      <c r="AB661" t="str">
        <f t="shared" ca="1" si="234"/>
        <v>Partially Paid</v>
      </c>
      <c r="AC661" t="str">
        <f t="shared" ca="1" si="235"/>
        <v>Insurance</v>
      </c>
      <c r="AD661" t="str">
        <f t="shared" ca="1" si="236"/>
        <v>No</v>
      </c>
      <c r="AE661" t="str">
        <f t="shared" ca="1" si="237"/>
        <v>No</v>
      </c>
      <c r="AF661" t="str">
        <f t="shared" ca="1" si="238"/>
        <v>Transferred</v>
      </c>
      <c r="AG661" t="str">
        <f t="shared" ca="1" si="239"/>
        <v>Southeast</v>
      </c>
      <c r="AH661" t="str">
        <f t="shared" si="222"/>
        <v>February</v>
      </c>
      <c r="AI661">
        <f t="shared" si="223"/>
        <v>2023</v>
      </c>
      <c r="AJ661" t="str">
        <f t="shared" ca="1" si="240"/>
        <v>Occupied</v>
      </c>
      <c r="AK661">
        <f t="shared" ca="1" si="241"/>
        <v>1</v>
      </c>
    </row>
    <row r="662" spans="1:37" x14ac:dyDescent="0.3">
      <c r="A662" t="s">
        <v>5086</v>
      </c>
      <c r="B662">
        <v>51</v>
      </c>
      <c r="C662" t="s">
        <v>32</v>
      </c>
      <c r="D662" t="s">
        <v>98</v>
      </c>
      <c r="E662" t="s">
        <v>64</v>
      </c>
      <c r="F662" s="1">
        <v>45181</v>
      </c>
      <c r="G662" t="s">
        <v>1360</v>
      </c>
      <c r="H662" t="s">
        <v>1361</v>
      </c>
      <c r="I662" t="s">
        <v>51</v>
      </c>
      <c r="J662">
        <v>18714</v>
      </c>
      <c r="K662">
        <v>270</v>
      </c>
      <c r="L662" t="s">
        <v>29</v>
      </c>
      <c r="M662" s="1">
        <v>45211</v>
      </c>
      <c r="N662" t="s">
        <v>47</v>
      </c>
      <c r="O662" t="s">
        <v>43</v>
      </c>
      <c r="P662" t="str">
        <f t="shared" si="224"/>
        <v>P0661</v>
      </c>
      <c r="Q662" t="str">
        <f t="shared" si="220"/>
        <v>Cardiology</v>
      </c>
      <c r="R662">
        <f t="shared" si="221"/>
        <v>30</v>
      </c>
      <c r="S662" t="str">
        <f t="shared" ca="1" si="225"/>
        <v>No</v>
      </c>
      <c r="T662" t="str">
        <f t="shared" ca="1" si="226"/>
        <v>Moderate</v>
      </c>
      <c r="U662" t="str">
        <f t="shared" ca="1" si="227"/>
        <v>General Ward</v>
      </c>
      <c r="V662" t="str">
        <f t="shared" si="228"/>
        <v>BED0661</v>
      </c>
      <c r="W662" t="str">
        <f t="shared" ca="1" si="229"/>
        <v>Semi-Private</v>
      </c>
      <c r="X662" t="str">
        <f t="shared" si="230"/>
        <v>NUR011</v>
      </c>
      <c r="Y662" t="str">
        <f t="shared" ca="1" si="231"/>
        <v>Morning</v>
      </c>
      <c r="Z662" t="str">
        <f t="shared" ca="1" si="232"/>
        <v>Ventilator</v>
      </c>
      <c r="AA662" t="str">
        <f t="shared" ca="1" si="233"/>
        <v>Maintenance</v>
      </c>
      <c r="AB662" t="str">
        <f t="shared" ca="1" si="234"/>
        <v>Paid</v>
      </c>
      <c r="AC662" t="str">
        <f t="shared" ca="1" si="235"/>
        <v>Debit Card</v>
      </c>
      <c r="AD662" t="str">
        <f t="shared" ca="1" si="236"/>
        <v>No</v>
      </c>
      <c r="AE662" t="str">
        <f t="shared" ca="1" si="237"/>
        <v>No</v>
      </c>
      <c r="AF662" t="str">
        <f t="shared" ca="1" si="238"/>
        <v>Recovered</v>
      </c>
      <c r="AG662" t="str">
        <f t="shared" ca="1" si="239"/>
        <v>Southeast</v>
      </c>
      <c r="AH662" t="str">
        <f t="shared" si="222"/>
        <v>September</v>
      </c>
      <c r="AI662">
        <f t="shared" si="223"/>
        <v>2023</v>
      </c>
      <c r="AJ662" t="str">
        <f t="shared" ca="1" si="240"/>
        <v>Occupied</v>
      </c>
      <c r="AK662">
        <f t="shared" ca="1" si="241"/>
        <v>1</v>
      </c>
    </row>
    <row r="663" spans="1:37" x14ac:dyDescent="0.3">
      <c r="A663" t="s">
        <v>5087</v>
      </c>
      <c r="B663">
        <v>20</v>
      </c>
      <c r="C663" t="s">
        <v>32</v>
      </c>
      <c r="D663" t="s">
        <v>24</v>
      </c>
      <c r="E663" t="s">
        <v>17</v>
      </c>
      <c r="F663" s="1">
        <v>43790</v>
      </c>
      <c r="G663" t="s">
        <v>1362</v>
      </c>
      <c r="H663" t="s">
        <v>1363</v>
      </c>
      <c r="I663" t="s">
        <v>20</v>
      </c>
      <c r="J663">
        <v>14292</v>
      </c>
      <c r="K663">
        <v>436</v>
      </c>
      <c r="L663" t="s">
        <v>42</v>
      </c>
      <c r="M663" s="1">
        <v>43810</v>
      </c>
      <c r="N663" t="s">
        <v>30</v>
      </c>
      <c r="O663" t="s">
        <v>31</v>
      </c>
      <c r="P663" t="str">
        <f t="shared" si="224"/>
        <v>P0662</v>
      </c>
      <c r="Q663" t="str">
        <f t="shared" si="220"/>
        <v>Oncology</v>
      </c>
      <c r="R663">
        <f t="shared" si="221"/>
        <v>20</v>
      </c>
      <c r="S663" t="str">
        <f t="shared" ca="1" si="225"/>
        <v>No</v>
      </c>
      <c r="T663" t="str">
        <f t="shared" ca="1" si="226"/>
        <v>Mild</v>
      </c>
      <c r="U663" t="str">
        <f t="shared" ca="1" si="227"/>
        <v>ICU</v>
      </c>
      <c r="V663" t="str">
        <f t="shared" si="228"/>
        <v>BED0662</v>
      </c>
      <c r="W663" t="str">
        <f t="shared" ca="1" si="229"/>
        <v>Private</v>
      </c>
      <c r="X663" t="str">
        <f t="shared" si="230"/>
        <v>NUR012</v>
      </c>
      <c r="Y663" t="str">
        <f t="shared" ca="1" si="231"/>
        <v>Evening</v>
      </c>
      <c r="Z663" t="str">
        <f t="shared" ca="1" si="232"/>
        <v>CT Scanner</v>
      </c>
      <c r="AA663" t="str">
        <f t="shared" ca="1" si="233"/>
        <v>Available</v>
      </c>
      <c r="AB663" t="str">
        <f t="shared" ca="1" si="234"/>
        <v>Paid</v>
      </c>
      <c r="AC663" t="str">
        <f t="shared" ca="1" si="235"/>
        <v>Bank Transfer</v>
      </c>
      <c r="AD663" t="str">
        <f t="shared" ca="1" si="236"/>
        <v>Yes</v>
      </c>
      <c r="AE663" t="str">
        <f t="shared" ca="1" si="237"/>
        <v>No</v>
      </c>
      <c r="AF663" t="str">
        <f t="shared" ca="1" si="238"/>
        <v>Transferred</v>
      </c>
      <c r="AG663" t="str">
        <f t="shared" ca="1" si="239"/>
        <v>Midwest</v>
      </c>
      <c r="AH663" t="str">
        <f t="shared" si="222"/>
        <v>November</v>
      </c>
      <c r="AI663">
        <f t="shared" si="223"/>
        <v>2019</v>
      </c>
      <c r="AJ663" t="str">
        <f t="shared" ca="1" si="240"/>
        <v>Occupied</v>
      </c>
      <c r="AK663">
        <f t="shared" ca="1" si="241"/>
        <v>4</v>
      </c>
    </row>
    <row r="664" spans="1:37" x14ac:dyDescent="0.3">
      <c r="A664" t="s">
        <v>5088</v>
      </c>
      <c r="B664">
        <v>38</v>
      </c>
      <c r="C664" t="s">
        <v>32</v>
      </c>
      <c r="D664" t="s">
        <v>16</v>
      </c>
      <c r="E664" t="s">
        <v>64</v>
      </c>
      <c r="F664" s="1">
        <v>43660</v>
      </c>
      <c r="G664" t="s">
        <v>1364</v>
      </c>
      <c r="H664" t="s">
        <v>1365</v>
      </c>
      <c r="I664" t="s">
        <v>20</v>
      </c>
      <c r="J664">
        <v>38211</v>
      </c>
      <c r="K664">
        <v>413</v>
      </c>
      <c r="L664" t="s">
        <v>42</v>
      </c>
      <c r="M664" s="1">
        <v>43665</v>
      </c>
      <c r="N664" t="s">
        <v>67</v>
      </c>
      <c r="O664" t="s">
        <v>31</v>
      </c>
      <c r="P664" t="str">
        <f t="shared" si="224"/>
        <v>P0663</v>
      </c>
      <c r="Q664" t="str">
        <f t="shared" si="220"/>
        <v>Cardiology</v>
      </c>
      <c r="R664">
        <f t="shared" si="221"/>
        <v>5</v>
      </c>
      <c r="S664" t="str">
        <f t="shared" ca="1" si="225"/>
        <v>No</v>
      </c>
      <c r="T664" t="str">
        <f t="shared" ca="1" si="226"/>
        <v>Mild</v>
      </c>
      <c r="U664" t="str">
        <f t="shared" ca="1" si="227"/>
        <v>Private Ward</v>
      </c>
      <c r="V664" t="str">
        <f t="shared" si="228"/>
        <v>BED0663</v>
      </c>
      <c r="W664" t="str">
        <f t="shared" ca="1" si="229"/>
        <v>Private</v>
      </c>
      <c r="X664" t="str">
        <f t="shared" si="230"/>
        <v>NUR013</v>
      </c>
      <c r="Y664" t="str">
        <f t="shared" ca="1" si="231"/>
        <v>Night</v>
      </c>
      <c r="Z664" t="str">
        <f t="shared" ca="1" si="232"/>
        <v>Ventilator</v>
      </c>
      <c r="AA664" t="str">
        <f t="shared" ca="1" si="233"/>
        <v>In Use</v>
      </c>
      <c r="AB664" t="str">
        <f t="shared" ca="1" si="234"/>
        <v>Partially Paid</v>
      </c>
      <c r="AC664" t="str">
        <f t="shared" ca="1" si="235"/>
        <v>Cash</v>
      </c>
      <c r="AD664" t="str">
        <f t="shared" ca="1" si="236"/>
        <v>No</v>
      </c>
      <c r="AE664" t="str">
        <f t="shared" ca="1" si="237"/>
        <v>No</v>
      </c>
      <c r="AF664" t="str">
        <f t="shared" ca="1" si="238"/>
        <v>Under Observation</v>
      </c>
      <c r="AG664" t="str">
        <f t="shared" ca="1" si="239"/>
        <v>West Coast</v>
      </c>
      <c r="AH664" t="str">
        <f t="shared" si="222"/>
        <v>July</v>
      </c>
      <c r="AI664">
        <f t="shared" si="223"/>
        <v>2019</v>
      </c>
      <c r="AJ664" t="str">
        <f t="shared" ca="1" si="240"/>
        <v>Occupied</v>
      </c>
      <c r="AK664">
        <f t="shared" ca="1" si="241"/>
        <v>4</v>
      </c>
    </row>
    <row r="665" spans="1:37" x14ac:dyDescent="0.3">
      <c r="A665" t="s">
        <v>5089</v>
      </c>
      <c r="B665">
        <v>70</v>
      </c>
      <c r="C665" t="s">
        <v>32</v>
      </c>
      <c r="D665" t="s">
        <v>44</v>
      </c>
      <c r="E665" t="s">
        <v>25</v>
      </c>
      <c r="F665" s="1">
        <v>43741</v>
      </c>
      <c r="G665" t="s">
        <v>1366</v>
      </c>
      <c r="H665" t="s">
        <v>1367</v>
      </c>
      <c r="I665" t="s">
        <v>36</v>
      </c>
      <c r="J665">
        <v>7075</v>
      </c>
      <c r="K665">
        <v>339</v>
      </c>
      <c r="L665" t="s">
        <v>29</v>
      </c>
      <c r="M665" s="1">
        <v>43771</v>
      </c>
      <c r="N665" t="s">
        <v>22</v>
      </c>
      <c r="O665" t="s">
        <v>31</v>
      </c>
      <c r="P665" t="str">
        <f t="shared" si="224"/>
        <v>P0664</v>
      </c>
      <c r="Q665" t="str">
        <f t="shared" si="220"/>
        <v>Nutrition</v>
      </c>
      <c r="R665">
        <f t="shared" si="221"/>
        <v>30</v>
      </c>
      <c r="S665" t="str">
        <f t="shared" ca="1" si="225"/>
        <v>Yes</v>
      </c>
      <c r="T665" t="str">
        <f t="shared" ca="1" si="226"/>
        <v>Critical</v>
      </c>
      <c r="U665" t="str">
        <f t="shared" ca="1" si="227"/>
        <v>ICU</v>
      </c>
      <c r="V665" t="str">
        <f t="shared" si="228"/>
        <v>BED0664</v>
      </c>
      <c r="W665" t="str">
        <f t="shared" ca="1" si="229"/>
        <v>ICU</v>
      </c>
      <c r="X665" t="str">
        <f t="shared" si="230"/>
        <v>NUR014</v>
      </c>
      <c r="Y665" t="str">
        <f t="shared" ca="1" si="231"/>
        <v>Night</v>
      </c>
      <c r="Z665" t="str">
        <f t="shared" ca="1" si="232"/>
        <v>Ultrasound</v>
      </c>
      <c r="AA665" t="str">
        <f t="shared" ca="1" si="233"/>
        <v>Maintenance</v>
      </c>
      <c r="AB665" t="str">
        <f t="shared" ca="1" si="234"/>
        <v>Pending</v>
      </c>
      <c r="AC665" t="str">
        <f t="shared" ca="1" si="235"/>
        <v>Cash</v>
      </c>
      <c r="AD665" t="str">
        <f t="shared" ca="1" si="236"/>
        <v>No</v>
      </c>
      <c r="AE665" t="str">
        <f t="shared" ca="1" si="237"/>
        <v>No</v>
      </c>
      <c r="AF665" t="str">
        <f t="shared" ca="1" si="238"/>
        <v>Transferred</v>
      </c>
      <c r="AG665" t="str">
        <f t="shared" ca="1" si="239"/>
        <v>West Coast</v>
      </c>
      <c r="AH665" t="str">
        <f t="shared" si="222"/>
        <v>October</v>
      </c>
      <c r="AI665">
        <f t="shared" si="223"/>
        <v>2019</v>
      </c>
      <c r="AJ665" t="str">
        <f t="shared" ca="1" si="240"/>
        <v>Occupied</v>
      </c>
      <c r="AK665">
        <f t="shared" ca="1" si="241"/>
        <v>1</v>
      </c>
    </row>
    <row r="666" spans="1:37" x14ac:dyDescent="0.3">
      <c r="A666" t="s">
        <v>5090</v>
      </c>
      <c r="B666">
        <v>73</v>
      </c>
      <c r="C666" t="s">
        <v>15</v>
      </c>
      <c r="D666" t="s">
        <v>98</v>
      </c>
      <c r="E666" t="s">
        <v>76</v>
      </c>
      <c r="F666" s="1">
        <v>43650</v>
      </c>
      <c r="G666" t="s">
        <v>1368</v>
      </c>
      <c r="H666" t="s">
        <v>1369</v>
      </c>
      <c r="I666" t="s">
        <v>51</v>
      </c>
      <c r="J666">
        <v>35420</v>
      </c>
      <c r="K666">
        <v>500</v>
      </c>
      <c r="L666" t="s">
        <v>42</v>
      </c>
      <c r="M666" s="1">
        <v>43652</v>
      </c>
      <c r="N666" t="s">
        <v>47</v>
      </c>
      <c r="O666" t="s">
        <v>43</v>
      </c>
      <c r="P666" t="str">
        <f t="shared" si="224"/>
        <v>P0665</v>
      </c>
      <c r="Q666" t="str">
        <f t="shared" si="220"/>
        <v>Orthopedics</v>
      </c>
      <c r="R666">
        <f t="shared" si="221"/>
        <v>2</v>
      </c>
      <c r="S666" t="str">
        <f t="shared" ca="1" si="225"/>
        <v>No</v>
      </c>
      <c r="T666" t="str">
        <f t="shared" ca="1" si="226"/>
        <v>Mild</v>
      </c>
      <c r="U666" t="str">
        <f t="shared" ca="1" si="227"/>
        <v>ICU</v>
      </c>
      <c r="V666" t="str">
        <f t="shared" si="228"/>
        <v>BED0665</v>
      </c>
      <c r="W666" t="str">
        <f t="shared" ca="1" si="229"/>
        <v>ICU</v>
      </c>
      <c r="X666" t="str">
        <f t="shared" si="230"/>
        <v>NUR015</v>
      </c>
      <c r="Y666" t="str">
        <f t="shared" ca="1" si="231"/>
        <v>Morning</v>
      </c>
      <c r="Z666" t="str">
        <f t="shared" ca="1" si="232"/>
        <v>Ultrasound</v>
      </c>
      <c r="AA666" t="str">
        <f t="shared" ca="1" si="233"/>
        <v>Available</v>
      </c>
      <c r="AB666" t="str">
        <f t="shared" ca="1" si="234"/>
        <v>Partially Paid</v>
      </c>
      <c r="AC666" t="str">
        <f t="shared" ca="1" si="235"/>
        <v>Bank Transfer</v>
      </c>
      <c r="AD666" t="str">
        <f t="shared" ca="1" si="236"/>
        <v>No</v>
      </c>
      <c r="AE666" t="str">
        <f t="shared" ca="1" si="237"/>
        <v>No</v>
      </c>
      <c r="AF666" t="str">
        <f t="shared" ca="1" si="238"/>
        <v>Under Observation</v>
      </c>
      <c r="AG666" t="str">
        <f t="shared" ca="1" si="239"/>
        <v>Southeast</v>
      </c>
      <c r="AH666" t="str">
        <f t="shared" si="222"/>
        <v>July</v>
      </c>
      <c r="AI666">
        <f t="shared" si="223"/>
        <v>2019</v>
      </c>
      <c r="AJ666" t="str">
        <f t="shared" ca="1" si="240"/>
        <v>Occupied</v>
      </c>
      <c r="AK666">
        <f t="shared" ca="1" si="241"/>
        <v>1</v>
      </c>
    </row>
    <row r="667" spans="1:37" x14ac:dyDescent="0.3">
      <c r="A667" t="s">
        <v>5091</v>
      </c>
      <c r="B667">
        <v>44</v>
      </c>
      <c r="C667" t="s">
        <v>15</v>
      </c>
      <c r="D667" t="s">
        <v>44</v>
      </c>
      <c r="E667" t="s">
        <v>64</v>
      </c>
      <c r="F667" s="1">
        <v>43611</v>
      </c>
      <c r="G667" t="s">
        <v>1370</v>
      </c>
      <c r="H667" t="s">
        <v>1371</v>
      </c>
      <c r="I667" t="s">
        <v>28</v>
      </c>
      <c r="J667">
        <v>3853</v>
      </c>
      <c r="K667">
        <v>328</v>
      </c>
      <c r="L667" t="s">
        <v>29</v>
      </c>
      <c r="M667" s="1">
        <v>43624</v>
      </c>
      <c r="N667" t="s">
        <v>22</v>
      </c>
      <c r="O667" t="s">
        <v>43</v>
      </c>
      <c r="P667" t="str">
        <f t="shared" si="224"/>
        <v>P0666</v>
      </c>
      <c r="Q667" t="str">
        <f t="shared" si="220"/>
        <v>Cardiology</v>
      </c>
      <c r="R667">
        <f t="shared" si="221"/>
        <v>13</v>
      </c>
      <c r="S667" t="str">
        <f t="shared" ca="1" si="225"/>
        <v>No</v>
      </c>
      <c r="T667" t="str">
        <f t="shared" ca="1" si="226"/>
        <v>Severe</v>
      </c>
      <c r="U667" t="str">
        <f t="shared" ca="1" si="227"/>
        <v>General Ward</v>
      </c>
      <c r="V667" t="str">
        <f t="shared" si="228"/>
        <v>BED0666</v>
      </c>
      <c r="W667" t="str">
        <f t="shared" ca="1" si="229"/>
        <v>ICU</v>
      </c>
      <c r="X667" t="str">
        <f t="shared" si="230"/>
        <v>NUR016</v>
      </c>
      <c r="Y667" t="str">
        <f t="shared" ca="1" si="231"/>
        <v>Evening</v>
      </c>
      <c r="Z667" t="str">
        <f t="shared" ca="1" si="232"/>
        <v>MRI Scanner</v>
      </c>
      <c r="AA667" t="str">
        <f t="shared" ca="1" si="233"/>
        <v>Maintenance</v>
      </c>
      <c r="AB667" t="str">
        <f t="shared" ca="1" si="234"/>
        <v>Pending</v>
      </c>
      <c r="AC667" t="str">
        <f t="shared" ca="1" si="235"/>
        <v>Bank Transfer</v>
      </c>
      <c r="AD667" t="str">
        <f t="shared" ca="1" si="236"/>
        <v>No</v>
      </c>
      <c r="AE667" t="str">
        <f t="shared" ca="1" si="237"/>
        <v>Yes</v>
      </c>
      <c r="AF667" t="str">
        <f t="shared" ca="1" si="238"/>
        <v>Transferred</v>
      </c>
      <c r="AG667" t="str">
        <f t="shared" ca="1" si="239"/>
        <v>Midwest</v>
      </c>
      <c r="AH667" t="str">
        <f t="shared" si="222"/>
        <v>May</v>
      </c>
      <c r="AI667">
        <f t="shared" si="223"/>
        <v>2019</v>
      </c>
      <c r="AJ667" t="str">
        <f t="shared" ca="1" si="240"/>
        <v>Occupied</v>
      </c>
      <c r="AK667">
        <f t="shared" ca="1" si="241"/>
        <v>2</v>
      </c>
    </row>
    <row r="668" spans="1:37" x14ac:dyDescent="0.3">
      <c r="A668" t="s">
        <v>5092</v>
      </c>
      <c r="B668">
        <v>44</v>
      </c>
      <c r="C668" t="s">
        <v>32</v>
      </c>
      <c r="D668" t="s">
        <v>24</v>
      </c>
      <c r="E668" t="s">
        <v>25</v>
      </c>
      <c r="F668" s="1">
        <v>44542</v>
      </c>
      <c r="G668" t="s">
        <v>1372</v>
      </c>
      <c r="H668" t="s">
        <v>1373</v>
      </c>
      <c r="I668" t="s">
        <v>57</v>
      </c>
      <c r="J668">
        <v>48748</v>
      </c>
      <c r="K668">
        <v>321</v>
      </c>
      <c r="L668" t="s">
        <v>42</v>
      </c>
      <c r="M668" s="1">
        <v>44548</v>
      </c>
      <c r="N668" t="s">
        <v>22</v>
      </c>
      <c r="O668" t="s">
        <v>23</v>
      </c>
      <c r="P668" t="str">
        <f t="shared" si="224"/>
        <v>P0667</v>
      </c>
      <c r="Q668" t="str">
        <f t="shared" si="220"/>
        <v>Nutrition</v>
      </c>
      <c r="R668">
        <f t="shared" si="221"/>
        <v>6</v>
      </c>
      <c r="S668" t="str">
        <f t="shared" ca="1" si="225"/>
        <v>No</v>
      </c>
      <c r="T668" t="str">
        <f t="shared" ca="1" si="226"/>
        <v>Critical</v>
      </c>
      <c r="U668" t="str">
        <f t="shared" ca="1" si="227"/>
        <v>Emergency</v>
      </c>
      <c r="V668" t="str">
        <f t="shared" si="228"/>
        <v>BED0667</v>
      </c>
      <c r="W668" t="str">
        <f t="shared" ca="1" si="229"/>
        <v>ICU</v>
      </c>
      <c r="X668" t="str">
        <f t="shared" si="230"/>
        <v>NUR017</v>
      </c>
      <c r="Y668" t="str">
        <f t="shared" ca="1" si="231"/>
        <v>Night</v>
      </c>
      <c r="Z668" t="str">
        <f t="shared" ca="1" si="232"/>
        <v>MRI Scanner</v>
      </c>
      <c r="AA668" t="str">
        <f t="shared" ca="1" si="233"/>
        <v>Available</v>
      </c>
      <c r="AB668" t="str">
        <f t="shared" ca="1" si="234"/>
        <v>Partially Paid</v>
      </c>
      <c r="AC668" t="str">
        <f t="shared" ca="1" si="235"/>
        <v>Bank Transfer</v>
      </c>
      <c r="AD668" t="str">
        <f t="shared" ca="1" si="236"/>
        <v>No</v>
      </c>
      <c r="AE668" t="str">
        <f t="shared" ca="1" si="237"/>
        <v>Yes</v>
      </c>
      <c r="AF668" t="str">
        <f t="shared" ca="1" si="238"/>
        <v>Recovered</v>
      </c>
      <c r="AG668" t="str">
        <f t="shared" ca="1" si="239"/>
        <v>West Coast</v>
      </c>
      <c r="AH668" t="str">
        <f t="shared" si="222"/>
        <v>December</v>
      </c>
      <c r="AI668">
        <f t="shared" si="223"/>
        <v>2021</v>
      </c>
      <c r="AJ668" t="str">
        <f t="shared" ca="1" si="240"/>
        <v>Occupied</v>
      </c>
      <c r="AK668">
        <f t="shared" ca="1" si="241"/>
        <v>2</v>
      </c>
    </row>
    <row r="669" spans="1:37" x14ac:dyDescent="0.3">
      <c r="A669" t="s">
        <v>5093</v>
      </c>
      <c r="B669">
        <v>54</v>
      </c>
      <c r="C669" t="s">
        <v>15</v>
      </c>
      <c r="D669" t="s">
        <v>52</v>
      </c>
      <c r="E669" t="s">
        <v>64</v>
      </c>
      <c r="F669" s="1">
        <v>44338</v>
      </c>
      <c r="G669" t="s">
        <v>1374</v>
      </c>
      <c r="H669" t="s">
        <v>1375</v>
      </c>
      <c r="I669" t="s">
        <v>36</v>
      </c>
      <c r="J669">
        <v>40578</v>
      </c>
      <c r="K669">
        <v>101</v>
      </c>
      <c r="L669" t="s">
        <v>21</v>
      </c>
      <c r="M669" s="1">
        <v>44348</v>
      </c>
      <c r="N669" t="s">
        <v>47</v>
      </c>
      <c r="O669" t="s">
        <v>43</v>
      </c>
      <c r="P669" t="str">
        <f t="shared" si="224"/>
        <v>P0668</v>
      </c>
      <c r="Q669" t="str">
        <f t="shared" si="220"/>
        <v>Cardiology</v>
      </c>
      <c r="R669">
        <f t="shared" si="221"/>
        <v>10</v>
      </c>
      <c r="S669" t="str">
        <f t="shared" ca="1" si="225"/>
        <v>No</v>
      </c>
      <c r="T669" t="str">
        <f t="shared" ca="1" si="226"/>
        <v>Moderate</v>
      </c>
      <c r="U669" t="str">
        <f t="shared" ca="1" si="227"/>
        <v>Private Ward</v>
      </c>
      <c r="V669" t="str">
        <f t="shared" si="228"/>
        <v>BED0668</v>
      </c>
      <c r="W669" t="str">
        <f t="shared" ca="1" si="229"/>
        <v>ICU</v>
      </c>
      <c r="X669" t="str">
        <f t="shared" si="230"/>
        <v>NUR018</v>
      </c>
      <c r="Y669" t="str">
        <f t="shared" ca="1" si="231"/>
        <v>Morning</v>
      </c>
      <c r="Z669" t="str">
        <f t="shared" ca="1" si="232"/>
        <v>X-Ray</v>
      </c>
      <c r="AA669" t="str">
        <f t="shared" ca="1" si="233"/>
        <v>Available</v>
      </c>
      <c r="AB669" t="str">
        <f t="shared" ca="1" si="234"/>
        <v>Partially Paid</v>
      </c>
      <c r="AC669" t="str">
        <f t="shared" ca="1" si="235"/>
        <v>Debit Card</v>
      </c>
      <c r="AD669" t="str">
        <f t="shared" ca="1" si="236"/>
        <v>No</v>
      </c>
      <c r="AE669" t="str">
        <f t="shared" ca="1" si="237"/>
        <v>No</v>
      </c>
      <c r="AF669" t="str">
        <f t="shared" ca="1" si="238"/>
        <v>Transferred</v>
      </c>
      <c r="AG669" t="str">
        <f t="shared" ca="1" si="239"/>
        <v>Southwest</v>
      </c>
      <c r="AH669" t="str">
        <f t="shared" si="222"/>
        <v>May</v>
      </c>
      <c r="AI669">
        <f t="shared" si="223"/>
        <v>2021</v>
      </c>
      <c r="AJ669" t="str">
        <f t="shared" ca="1" si="240"/>
        <v>Occupied</v>
      </c>
      <c r="AK669">
        <f t="shared" ca="1" si="241"/>
        <v>2</v>
      </c>
    </row>
    <row r="670" spans="1:37" x14ac:dyDescent="0.3">
      <c r="A670" t="s">
        <v>5094</v>
      </c>
      <c r="B670">
        <v>45</v>
      </c>
      <c r="C670" t="s">
        <v>15</v>
      </c>
      <c r="D670" t="s">
        <v>52</v>
      </c>
      <c r="E670" t="s">
        <v>39</v>
      </c>
      <c r="F670" s="1">
        <v>44077</v>
      </c>
      <c r="G670" t="s">
        <v>1376</v>
      </c>
      <c r="H670" t="s">
        <v>1377</v>
      </c>
      <c r="I670" t="s">
        <v>51</v>
      </c>
      <c r="J670">
        <v>16649</v>
      </c>
      <c r="K670">
        <v>424</v>
      </c>
      <c r="L670" t="s">
        <v>29</v>
      </c>
      <c r="M670" s="1">
        <v>44089</v>
      </c>
      <c r="N670" t="s">
        <v>37</v>
      </c>
      <c r="O670" t="s">
        <v>23</v>
      </c>
      <c r="P670" t="str">
        <f t="shared" si="224"/>
        <v>P0669</v>
      </c>
      <c r="Q670" t="str">
        <f t="shared" si="220"/>
        <v>Endocrinology</v>
      </c>
      <c r="R670">
        <f t="shared" si="221"/>
        <v>12</v>
      </c>
      <c r="S670" t="str">
        <f t="shared" ca="1" si="225"/>
        <v>No</v>
      </c>
      <c r="T670" t="str">
        <f t="shared" ca="1" si="226"/>
        <v>Critical</v>
      </c>
      <c r="U670" t="str">
        <f t="shared" ca="1" si="227"/>
        <v>Semi-Private</v>
      </c>
      <c r="V670" t="str">
        <f t="shared" si="228"/>
        <v>BED0669</v>
      </c>
      <c r="W670" t="str">
        <f t="shared" ca="1" si="229"/>
        <v>ICU</v>
      </c>
      <c r="X670" t="str">
        <f t="shared" si="230"/>
        <v>NUR019</v>
      </c>
      <c r="Y670" t="str">
        <f t="shared" ca="1" si="231"/>
        <v>Evening</v>
      </c>
      <c r="Z670" t="str">
        <f t="shared" ca="1" si="232"/>
        <v>X-Ray</v>
      </c>
      <c r="AA670" t="str">
        <f t="shared" ca="1" si="233"/>
        <v>In Use</v>
      </c>
      <c r="AB670" t="str">
        <f t="shared" ca="1" si="234"/>
        <v>Partially Paid</v>
      </c>
      <c r="AC670" t="str">
        <f t="shared" ca="1" si="235"/>
        <v>Credit Card</v>
      </c>
      <c r="AD670" t="str">
        <f t="shared" ca="1" si="236"/>
        <v>No</v>
      </c>
      <c r="AE670" t="str">
        <f t="shared" ca="1" si="237"/>
        <v>No</v>
      </c>
      <c r="AF670" t="str">
        <f t="shared" ca="1" si="238"/>
        <v>Under Observation</v>
      </c>
      <c r="AG670" t="str">
        <f t="shared" ca="1" si="239"/>
        <v>Southwest</v>
      </c>
      <c r="AH670" t="str">
        <f t="shared" si="222"/>
        <v>September</v>
      </c>
      <c r="AI670">
        <f t="shared" si="223"/>
        <v>2020</v>
      </c>
      <c r="AJ670" t="str">
        <f t="shared" ca="1" si="240"/>
        <v>Occupied</v>
      </c>
      <c r="AK670">
        <f t="shared" ca="1" si="241"/>
        <v>4</v>
      </c>
    </row>
    <row r="671" spans="1:37" x14ac:dyDescent="0.3">
      <c r="A671" t="s">
        <v>5095</v>
      </c>
      <c r="B671">
        <v>18</v>
      </c>
      <c r="C671" t="s">
        <v>32</v>
      </c>
      <c r="D671" t="s">
        <v>16</v>
      </c>
      <c r="E671" t="s">
        <v>76</v>
      </c>
      <c r="F671" s="1">
        <v>44650</v>
      </c>
      <c r="G671" t="s">
        <v>1378</v>
      </c>
      <c r="H671" t="s">
        <v>1379</v>
      </c>
      <c r="I671" t="s">
        <v>51</v>
      </c>
      <c r="J671">
        <v>38589</v>
      </c>
      <c r="K671">
        <v>449</v>
      </c>
      <c r="L671" t="s">
        <v>21</v>
      </c>
      <c r="M671" s="1">
        <v>44664</v>
      </c>
      <c r="N671" t="s">
        <v>47</v>
      </c>
      <c r="O671" t="s">
        <v>43</v>
      </c>
      <c r="P671" t="str">
        <f t="shared" si="224"/>
        <v>P0670</v>
      </c>
      <c r="Q671" t="str">
        <f t="shared" si="220"/>
        <v>Orthopedics</v>
      </c>
      <c r="R671">
        <f t="shared" si="221"/>
        <v>14</v>
      </c>
      <c r="S671" t="str">
        <f t="shared" ca="1" si="225"/>
        <v>No</v>
      </c>
      <c r="T671" t="str">
        <f t="shared" ca="1" si="226"/>
        <v>Mild</v>
      </c>
      <c r="U671" t="str">
        <f t="shared" ca="1" si="227"/>
        <v>General Ward</v>
      </c>
      <c r="V671" t="str">
        <f t="shared" si="228"/>
        <v>BED0670</v>
      </c>
      <c r="W671" t="str">
        <f t="shared" ca="1" si="229"/>
        <v>ICU</v>
      </c>
      <c r="X671" t="str">
        <f t="shared" si="230"/>
        <v>NUR020</v>
      </c>
      <c r="Y671" t="str">
        <f t="shared" ca="1" si="231"/>
        <v>Evening</v>
      </c>
      <c r="Z671" t="str">
        <f t="shared" ca="1" si="232"/>
        <v>Ultrasound</v>
      </c>
      <c r="AA671" t="str">
        <f t="shared" ca="1" si="233"/>
        <v>In Use</v>
      </c>
      <c r="AB671" t="str">
        <f t="shared" ca="1" si="234"/>
        <v>Paid</v>
      </c>
      <c r="AC671" t="str">
        <f t="shared" ca="1" si="235"/>
        <v>Cash</v>
      </c>
      <c r="AD671" t="str">
        <f t="shared" ca="1" si="236"/>
        <v>No</v>
      </c>
      <c r="AE671" t="str">
        <f t="shared" ca="1" si="237"/>
        <v>No</v>
      </c>
      <c r="AF671" t="str">
        <f t="shared" ca="1" si="238"/>
        <v>Recovered</v>
      </c>
      <c r="AG671" t="str">
        <f t="shared" ca="1" si="239"/>
        <v>Southwest</v>
      </c>
      <c r="AH671" t="str">
        <f t="shared" si="222"/>
        <v>March</v>
      </c>
      <c r="AI671">
        <f t="shared" si="223"/>
        <v>2022</v>
      </c>
      <c r="AJ671" t="str">
        <f t="shared" ca="1" si="240"/>
        <v>Occupied</v>
      </c>
      <c r="AK671">
        <f t="shared" ca="1" si="241"/>
        <v>2</v>
      </c>
    </row>
    <row r="672" spans="1:37" x14ac:dyDescent="0.3">
      <c r="A672" t="s">
        <v>5096</v>
      </c>
      <c r="B672">
        <v>44</v>
      </c>
      <c r="C672" t="s">
        <v>15</v>
      </c>
      <c r="D672" t="s">
        <v>83</v>
      </c>
      <c r="E672" t="s">
        <v>64</v>
      </c>
      <c r="F672" s="1">
        <v>43819</v>
      </c>
      <c r="G672" t="s">
        <v>1380</v>
      </c>
      <c r="H672" t="s">
        <v>1381</v>
      </c>
      <c r="I672" t="s">
        <v>57</v>
      </c>
      <c r="J672">
        <v>32990</v>
      </c>
      <c r="K672">
        <v>486</v>
      </c>
      <c r="L672" t="s">
        <v>42</v>
      </c>
      <c r="M672" s="1">
        <v>43848</v>
      </c>
      <c r="N672" t="s">
        <v>30</v>
      </c>
      <c r="O672" t="s">
        <v>23</v>
      </c>
      <c r="P672" t="str">
        <f t="shared" si="224"/>
        <v>P0671</v>
      </c>
      <c r="Q672" t="str">
        <f t="shared" si="220"/>
        <v>Cardiology</v>
      </c>
      <c r="R672">
        <f t="shared" si="221"/>
        <v>29</v>
      </c>
      <c r="S672" t="str">
        <f t="shared" ca="1" si="225"/>
        <v>No</v>
      </c>
      <c r="T672" t="str">
        <f t="shared" ca="1" si="226"/>
        <v>Moderate</v>
      </c>
      <c r="U672" t="str">
        <f t="shared" ca="1" si="227"/>
        <v>General Ward</v>
      </c>
      <c r="V672" t="str">
        <f t="shared" si="228"/>
        <v>BED0671</v>
      </c>
      <c r="W672" t="str">
        <f t="shared" ca="1" si="229"/>
        <v>Private</v>
      </c>
      <c r="X672" t="str">
        <f t="shared" si="230"/>
        <v>NUR021</v>
      </c>
      <c r="Y672" t="str">
        <f t="shared" ca="1" si="231"/>
        <v>Evening</v>
      </c>
      <c r="Z672" t="str">
        <f t="shared" ca="1" si="232"/>
        <v>Ventilator</v>
      </c>
      <c r="AA672" t="str">
        <f t="shared" ca="1" si="233"/>
        <v>Maintenance</v>
      </c>
      <c r="AB672" t="str">
        <f t="shared" ca="1" si="234"/>
        <v>Paid</v>
      </c>
      <c r="AC672" t="str">
        <f t="shared" ca="1" si="235"/>
        <v>Debit Card</v>
      </c>
      <c r="AD672" t="str">
        <f t="shared" ca="1" si="236"/>
        <v>No</v>
      </c>
      <c r="AE672" t="str">
        <f t="shared" ca="1" si="237"/>
        <v>Yes</v>
      </c>
      <c r="AF672" t="str">
        <f t="shared" ca="1" si="238"/>
        <v>Transferred</v>
      </c>
      <c r="AG672" t="str">
        <f t="shared" ca="1" si="239"/>
        <v>Southeast</v>
      </c>
      <c r="AH672" t="str">
        <f t="shared" si="222"/>
        <v>December</v>
      </c>
      <c r="AI672">
        <f t="shared" si="223"/>
        <v>2019</v>
      </c>
      <c r="AJ672" t="str">
        <f t="shared" ca="1" si="240"/>
        <v>Occupied</v>
      </c>
      <c r="AK672">
        <f t="shared" ca="1" si="241"/>
        <v>2</v>
      </c>
    </row>
    <row r="673" spans="1:37" x14ac:dyDescent="0.3">
      <c r="A673" t="s">
        <v>5097</v>
      </c>
      <c r="B673">
        <v>28</v>
      </c>
      <c r="C673" t="s">
        <v>32</v>
      </c>
      <c r="D673" t="s">
        <v>24</v>
      </c>
      <c r="E673" t="s">
        <v>25</v>
      </c>
      <c r="F673" s="1">
        <v>44582</v>
      </c>
      <c r="G673" t="s">
        <v>1382</v>
      </c>
      <c r="H673" t="s">
        <v>1383</v>
      </c>
      <c r="I673" t="s">
        <v>28</v>
      </c>
      <c r="J673">
        <v>20116</v>
      </c>
      <c r="K673">
        <v>236</v>
      </c>
      <c r="L673" t="s">
        <v>21</v>
      </c>
      <c r="M673" s="1">
        <v>44612</v>
      </c>
      <c r="N673" t="s">
        <v>22</v>
      </c>
      <c r="O673" t="s">
        <v>43</v>
      </c>
      <c r="P673" t="str">
        <f t="shared" si="224"/>
        <v>P0672</v>
      </c>
      <c r="Q673" t="str">
        <f t="shared" si="220"/>
        <v>Nutrition</v>
      </c>
      <c r="R673">
        <f t="shared" si="221"/>
        <v>30</v>
      </c>
      <c r="S673" t="str">
        <f t="shared" ca="1" si="225"/>
        <v>No</v>
      </c>
      <c r="T673" t="str">
        <f t="shared" ca="1" si="226"/>
        <v>Moderate</v>
      </c>
      <c r="U673" t="str">
        <f t="shared" ca="1" si="227"/>
        <v>Private Ward</v>
      </c>
      <c r="V673" t="str">
        <f t="shared" si="228"/>
        <v>BED0672</v>
      </c>
      <c r="W673" t="str">
        <f t="shared" ca="1" si="229"/>
        <v>ICU</v>
      </c>
      <c r="X673" t="str">
        <f t="shared" si="230"/>
        <v>NUR022</v>
      </c>
      <c r="Y673" t="str">
        <f t="shared" ca="1" si="231"/>
        <v>Night</v>
      </c>
      <c r="Z673" t="str">
        <f t="shared" ca="1" si="232"/>
        <v>CT Scanner</v>
      </c>
      <c r="AA673" t="str">
        <f t="shared" ca="1" si="233"/>
        <v>Available</v>
      </c>
      <c r="AB673" t="str">
        <f t="shared" ca="1" si="234"/>
        <v>Pending</v>
      </c>
      <c r="AC673" t="str">
        <f t="shared" ca="1" si="235"/>
        <v>Bank Transfer</v>
      </c>
      <c r="AD673" t="str">
        <f t="shared" ca="1" si="236"/>
        <v>No</v>
      </c>
      <c r="AE673" t="str">
        <f t="shared" ca="1" si="237"/>
        <v>No</v>
      </c>
      <c r="AF673" t="str">
        <f t="shared" ca="1" si="238"/>
        <v>Recovered</v>
      </c>
      <c r="AG673" t="str">
        <f t="shared" ca="1" si="239"/>
        <v>Northeast</v>
      </c>
      <c r="AH673" t="str">
        <f t="shared" si="222"/>
        <v>January</v>
      </c>
      <c r="AI673">
        <f t="shared" si="223"/>
        <v>2022</v>
      </c>
      <c r="AJ673" t="str">
        <f t="shared" ca="1" si="240"/>
        <v>Occupied</v>
      </c>
      <c r="AK673">
        <f t="shared" ca="1" si="241"/>
        <v>4</v>
      </c>
    </row>
    <row r="674" spans="1:37" x14ac:dyDescent="0.3">
      <c r="A674" t="s">
        <v>5098</v>
      </c>
      <c r="B674">
        <v>42</v>
      </c>
      <c r="C674" t="s">
        <v>15</v>
      </c>
      <c r="D674" t="s">
        <v>24</v>
      </c>
      <c r="E674" t="s">
        <v>25</v>
      </c>
      <c r="F674" s="1">
        <v>43970</v>
      </c>
      <c r="G674" t="s">
        <v>1384</v>
      </c>
      <c r="H674" t="s">
        <v>1385</v>
      </c>
      <c r="I674" t="s">
        <v>28</v>
      </c>
      <c r="J674">
        <v>5948</v>
      </c>
      <c r="K674">
        <v>196</v>
      </c>
      <c r="L674" t="s">
        <v>29</v>
      </c>
      <c r="M674" s="1">
        <v>43994</v>
      </c>
      <c r="N674" t="s">
        <v>37</v>
      </c>
      <c r="O674" t="s">
        <v>31</v>
      </c>
      <c r="P674" t="str">
        <f t="shared" si="224"/>
        <v>P0673</v>
      </c>
      <c r="Q674" t="str">
        <f t="shared" si="220"/>
        <v>Nutrition</v>
      </c>
      <c r="R674">
        <f t="shared" si="221"/>
        <v>24</v>
      </c>
      <c r="S674" t="str">
        <f t="shared" ca="1" si="225"/>
        <v>No</v>
      </c>
      <c r="T674" t="str">
        <f t="shared" ca="1" si="226"/>
        <v>Severe</v>
      </c>
      <c r="U674" t="str">
        <f t="shared" ca="1" si="227"/>
        <v>Semi-Private</v>
      </c>
      <c r="V674" t="str">
        <f t="shared" si="228"/>
        <v>BED0673</v>
      </c>
      <c r="W674" t="str">
        <f t="shared" ca="1" si="229"/>
        <v>Semi-Private</v>
      </c>
      <c r="X674" t="str">
        <f t="shared" si="230"/>
        <v>NUR023</v>
      </c>
      <c r="Y674" t="str">
        <f t="shared" ca="1" si="231"/>
        <v>Night</v>
      </c>
      <c r="Z674" t="str">
        <f t="shared" ca="1" si="232"/>
        <v>ECG Machine</v>
      </c>
      <c r="AA674" t="str">
        <f t="shared" ca="1" si="233"/>
        <v>Maintenance</v>
      </c>
      <c r="AB674" t="str">
        <f t="shared" ca="1" si="234"/>
        <v>Partially Paid</v>
      </c>
      <c r="AC674" t="str">
        <f t="shared" ca="1" si="235"/>
        <v>Insurance</v>
      </c>
      <c r="AD674" t="str">
        <f t="shared" ca="1" si="236"/>
        <v>Yes</v>
      </c>
      <c r="AE674" t="str">
        <f t="shared" ca="1" si="237"/>
        <v>No</v>
      </c>
      <c r="AF674" t="str">
        <f t="shared" ca="1" si="238"/>
        <v>Under Observation</v>
      </c>
      <c r="AG674" t="str">
        <f t="shared" ca="1" si="239"/>
        <v>Southeast</v>
      </c>
      <c r="AH674" t="str">
        <f t="shared" si="222"/>
        <v>May</v>
      </c>
      <c r="AI674">
        <f t="shared" si="223"/>
        <v>2020</v>
      </c>
      <c r="AJ674" t="str">
        <f t="shared" ca="1" si="240"/>
        <v>Occupied</v>
      </c>
      <c r="AK674">
        <f t="shared" ca="1" si="241"/>
        <v>4</v>
      </c>
    </row>
    <row r="675" spans="1:37" x14ac:dyDescent="0.3">
      <c r="A675" t="s">
        <v>5099</v>
      </c>
      <c r="B675">
        <v>61</v>
      </c>
      <c r="C675" t="s">
        <v>32</v>
      </c>
      <c r="D675" t="s">
        <v>24</v>
      </c>
      <c r="E675" t="s">
        <v>39</v>
      </c>
      <c r="F675" s="1">
        <v>45342</v>
      </c>
      <c r="G675" t="s">
        <v>1386</v>
      </c>
      <c r="H675" t="s">
        <v>1387</v>
      </c>
      <c r="I675" t="s">
        <v>57</v>
      </c>
      <c r="J675">
        <v>28281</v>
      </c>
      <c r="K675">
        <v>477</v>
      </c>
      <c r="L675" t="s">
        <v>29</v>
      </c>
      <c r="M675" s="1">
        <v>45359</v>
      </c>
      <c r="N675" t="s">
        <v>47</v>
      </c>
      <c r="O675" t="s">
        <v>43</v>
      </c>
      <c r="P675" t="str">
        <f t="shared" si="224"/>
        <v>P0674</v>
      </c>
      <c r="Q675" t="str">
        <f t="shared" si="220"/>
        <v>Endocrinology</v>
      </c>
      <c r="R675">
        <f t="shared" si="221"/>
        <v>17</v>
      </c>
      <c r="S675" t="str">
        <f t="shared" ca="1" si="225"/>
        <v>No</v>
      </c>
      <c r="T675" t="str">
        <f t="shared" ca="1" si="226"/>
        <v>Critical</v>
      </c>
      <c r="U675" t="str">
        <f t="shared" ca="1" si="227"/>
        <v>Semi-Private</v>
      </c>
      <c r="V675" t="str">
        <f t="shared" si="228"/>
        <v>BED0674</v>
      </c>
      <c r="W675" t="str">
        <f t="shared" ca="1" si="229"/>
        <v>Semi-Private</v>
      </c>
      <c r="X675" t="str">
        <f t="shared" si="230"/>
        <v>NUR024</v>
      </c>
      <c r="Y675" t="str">
        <f t="shared" ca="1" si="231"/>
        <v>Evening</v>
      </c>
      <c r="Z675" t="str">
        <f t="shared" ca="1" si="232"/>
        <v>Ventilator</v>
      </c>
      <c r="AA675" t="str">
        <f t="shared" ca="1" si="233"/>
        <v>Maintenance</v>
      </c>
      <c r="AB675" t="str">
        <f t="shared" ca="1" si="234"/>
        <v>Pending</v>
      </c>
      <c r="AC675" t="str">
        <f t="shared" ca="1" si="235"/>
        <v>Debit Card</v>
      </c>
      <c r="AD675" t="str">
        <f t="shared" ca="1" si="236"/>
        <v>Yes</v>
      </c>
      <c r="AE675" t="str">
        <f t="shared" ca="1" si="237"/>
        <v>No</v>
      </c>
      <c r="AF675" t="str">
        <f t="shared" ca="1" si="238"/>
        <v>Transferred</v>
      </c>
      <c r="AG675" t="str">
        <f t="shared" ca="1" si="239"/>
        <v>Southwest</v>
      </c>
      <c r="AH675" t="str">
        <f t="shared" si="222"/>
        <v>February</v>
      </c>
      <c r="AI675">
        <f t="shared" si="223"/>
        <v>2024</v>
      </c>
      <c r="AJ675" t="str">
        <f t="shared" ca="1" si="240"/>
        <v>Occupied</v>
      </c>
      <c r="AK675">
        <f t="shared" ca="1" si="241"/>
        <v>2</v>
      </c>
    </row>
    <row r="676" spans="1:37" x14ac:dyDescent="0.3">
      <c r="A676" t="s">
        <v>5100</v>
      </c>
      <c r="B676">
        <v>75</v>
      </c>
      <c r="C676" t="s">
        <v>32</v>
      </c>
      <c r="D676" t="s">
        <v>52</v>
      </c>
      <c r="E676" t="s">
        <v>17</v>
      </c>
      <c r="F676" s="1">
        <v>45169</v>
      </c>
      <c r="G676" t="s">
        <v>1388</v>
      </c>
      <c r="H676" t="s">
        <v>1389</v>
      </c>
      <c r="I676" t="s">
        <v>28</v>
      </c>
      <c r="J676">
        <v>30874</v>
      </c>
      <c r="K676">
        <v>252</v>
      </c>
      <c r="L676" t="s">
        <v>42</v>
      </c>
      <c r="M676" s="1">
        <v>45176</v>
      </c>
      <c r="N676" t="s">
        <v>30</v>
      </c>
      <c r="O676" t="s">
        <v>31</v>
      </c>
      <c r="P676" t="str">
        <f t="shared" si="224"/>
        <v>P0675</v>
      </c>
      <c r="Q676" t="str">
        <f t="shared" si="220"/>
        <v>Oncology</v>
      </c>
      <c r="R676">
        <f t="shared" si="221"/>
        <v>7</v>
      </c>
      <c r="S676" t="str">
        <f t="shared" ca="1" si="225"/>
        <v>No</v>
      </c>
      <c r="T676" t="str">
        <f t="shared" ca="1" si="226"/>
        <v>Critical</v>
      </c>
      <c r="U676" t="str">
        <f t="shared" ca="1" si="227"/>
        <v>Semi-Private</v>
      </c>
      <c r="V676" t="str">
        <f t="shared" si="228"/>
        <v>BED0675</v>
      </c>
      <c r="W676" t="str">
        <f t="shared" ca="1" si="229"/>
        <v>General</v>
      </c>
      <c r="X676" t="str">
        <f t="shared" si="230"/>
        <v>NUR025</v>
      </c>
      <c r="Y676" t="str">
        <f t="shared" ca="1" si="231"/>
        <v>Night</v>
      </c>
      <c r="Z676" t="str">
        <f t="shared" ca="1" si="232"/>
        <v>CT Scanner</v>
      </c>
      <c r="AA676" t="str">
        <f t="shared" ca="1" si="233"/>
        <v>Available</v>
      </c>
      <c r="AB676" t="str">
        <f t="shared" ca="1" si="234"/>
        <v>Paid</v>
      </c>
      <c r="AC676" t="str">
        <f t="shared" ca="1" si="235"/>
        <v>Bank Transfer</v>
      </c>
      <c r="AD676" t="str">
        <f t="shared" ca="1" si="236"/>
        <v>No</v>
      </c>
      <c r="AE676" t="str">
        <f t="shared" ca="1" si="237"/>
        <v>Yes</v>
      </c>
      <c r="AF676" t="str">
        <f t="shared" ca="1" si="238"/>
        <v>Recovered</v>
      </c>
      <c r="AG676" t="str">
        <f t="shared" ca="1" si="239"/>
        <v>West Coast</v>
      </c>
      <c r="AH676" t="str">
        <f t="shared" si="222"/>
        <v>August</v>
      </c>
      <c r="AI676">
        <f t="shared" si="223"/>
        <v>2023</v>
      </c>
      <c r="AJ676" t="str">
        <f t="shared" ca="1" si="240"/>
        <v>Occupied</v>
      </c>
      <c r="AK676">
        <f t="shared" ca="1" si="241"/>
        <v>1</v>
      </c>
    </row>
    <row r="677" spans="1:37" x14ac:dyDescent="0.3">
      <c r="A677" t="s">
        <v>5101</v>
      </c>
      <c r="B677">
        <v>85</v>
      </c>
      <c r="C677" t="s">
        <v>15</v>
      </c>
      <c r="D677" t="s">
        <v>24</v>
      </c>
      <c r="E677" t="s">
        <v>64</v>
      </c>
      <c r="F677" s="1">
        <v>44945</v>
      </c>
      <c r="G677" t="s">
        <v>1390</v>
      </c>
      <c r="H677" t="s">
        <v>1391</v>
      </c>
      <c r="I677" t="s">
        <v>57</v>
      </c>
      <c r="J677">
        <v>9543</v>
      </c>
      <c r="K677">
        <v>289</v>
      </c>
      <c r="L677" t="s">
        <v>29</v>
      </c>
      <c r="M677" s="1">
        <v>44954</v>
      </c>
      <c r="N677" t="s">
        <v>22</v>
      </c>
      <c r="O677" t="s">
        <v>43</v>
      </c>
      <c r="P677" t="str">
        <f t="shared" si="224"/>
        <v>P0676</v>
      </c>
      <c r="Q677" t="str">
        <f t="shared" si="220"/>
        <v>Cardiology</v>
      </c>
      <c r="R677">
        <f t="shared" si="221"/>
        <v>9</v>
      </c>
      <c r="S677" t="str">
        <f t="shared" ca="1" si="225"/>
        <v>No</v>
      </c>
      <c r="T677" t="str">
        <f t="shared" ca="1" si="226"/>
        <v>Mild</v>
      </c>
      <c r="U677" t="str">
        <f t="shared" ca="1" si="227"/>
        <v>Semi-Private</v>
      </c>
      <c r="V677" t="str">
        <f t="shared" si="228"/>
        <v>BED0676</v>
      </c>
      <c r="W677" t="str">
        <f t="shared" ca="1" si="229"/>
        <v>ICU</v>
      </c>
      <c r="X677" t="str">
        <f t="shared" si="230"/>
        <v>NUR026</v>
      </c>
      <c r="Y677" t="str">
        <f t="shared" ca="1" si="231"/>
        <v>Morning</v>
      </c>
      <c r="Z677" t="str">
        <f t="shared" ca="1" si="232"/>
        <v>CT Scanner</v>
      </c>
      <c r="AA677" t="str">
        <f t="shared" ca="1" si="233"/>
        <v>Available</v>
      </c>
      <c r="AB677" t="str">
        <f t="shared" ca="1" si="234"/>
        <v>Partially Paid</v>
      </c>
      <c r="AC677" t="str">
        <f t="shared" ca="1" si="235"/>
        <v>Insurance</v>
      </c>
      <c r="AD677" t="str">
        <f t="shared" ca="1" si="236"/>
        <v>No</v>
      </c>
      <c r="AE677" t="str">
        <f t="shared" ca="1" si="237"/>
        <v>Yes</v>
      </c>
      <c r="AF677" t="str">
        <f t="shared" ca="1" si="238"/>
        <v>Under Observation</v>
      </c>
      <c r="AG677" t="str">
        <f t="shared" ca="1" si="239"/>
        <v>West Coast</v>
      </c>
      <c r="AH677" t="str">
        <f t="shared" si="222"/>
        <v>January</v>
      </c>
      <c r="AI677">
        <f t="shared" si="223"/>
        <v>2023</v>
      </c>
      <c r="AJ677" t="str">
        <f t="shared" ca="1" si="240"/>
        <v>Occupied</v>
      </c>
      <c r="AK677">
        <f t="shared" ca="1" si="241"/>
        <v>2</v>
      </c>
    </row>
    <row r="678" spans="1:37" x14ac:dyDescent="0.3">
      <c r="A678" t="s">
        <v>5102</v>
      </c>
      <c r="B678">
        <v>74</v>
      </c>
      <c r="C678" t="s">
        <v>15</v>
      </c>
      <c r="D678" t="s">
        <v>98</v>
      </c>
      <c r="E678" t="s">
        <v>25</v>
      </c>
      <c r="F678" s="1">
        <v>45250</v>
      </c>
      <c r="G678" t="s">
        <v>1392</v>
      </c>
      <c r="H678" t="s">
        <v>1393</v>
      </c>
      <c r="I678" t="s">
        <v>20</v>
      </c>
      <c r="J678">
        <v>32430</v>
      </c>
      <c r="K678">
        <v>191</v>
      </c>
      <c r="L678" t="s">
        <v>29</v>
      </c>
      <c r="M678" s="1">
        <v>45277</v>
      </c>
      <c r="N678" t="s">
        <v>30</v>
      </c>
      <c r="O678" t="s">
        <v>31</v>
      </c>
      <c r="P678" t="str">
        <f t="shared" si="224"/>
        <v>P0677</v>
      </c>
      <c r="Q678" t="str">
        <f t="shared" si="220"/>
        <v>Nutrition</v>
      </c>
      <c r="R678">
        <f t="shared" si="221"/>
        <v>27</v>
      </c>
      <c r="S678" t="str">
        <f t="shared" ca="1" si="225"/>
        <v>No</v>
      </c>
      <c r="T678" t="str">
        <f t="shared" ca="1" si="226"/>
        <v>Critical</v>
      </c>
      <c r="U678" t="str">
        <f t="shared" ca="1" si="227"/>
        <v>General Ward</v>
      </c>
      <c r="V678" t="str">
        <f t="shared" si="228"/>
        <v>BED0677</v>
      </c>
      <c r="W678" t="str">
        <f t="shared" ca="1" si="229"/>
        <v>Private</v>
      </c>
      <c r="X678" t="str">
        <f t="shared" si="230"/>
        <v>NUR027</v>
      </c>
      <c r="Y678" t="str">
        <f t="shared" ca="1" si="231"/>
        <v>Morning</v>
      </c>
      <c r="Z678" t="str">
        <f t="shared" ca="1" si="232"/>
        <v>Ventilator</v>
      </c>
      <c r="AA678" t="str">
        <f t="shared" ca="1" si="233"/>
        <v>Maintenance</v>
      </c>
      <c r="AB678" t="str">
        <f t="shared" ca="1" si="234"/>
        <v>Paid</v>
      </c>
      <c r="AC678" t="str">
        <f t="shared" ca="1" si="235"/>
        <v>Bank Transfer</v>
      </c>
      <c r="AD678" t="str">
        <f t="shared" ca="1" si="236"/>
        <v>No</v>
      </c>
      <c r="AE678" t="str">
        <f t="shared" ca="1" si="237"/>
        <v>No</v>
      </c>
      <c r="AF678" t="str">
        <f t="shared" ca="1" si="238"/>
        <v>Under Observation</v>
      </c>
      <c r="AG678" t="str">
        <f t="shared" ca="1" si="239"/>
        <v>Midwest</v>
      </c>
      <c r="AH678" t="str">
        <f t="shared" si="222"/>
        <v>November</v>
      </c>
      <c r="AI678">
        <f t="shared" si="223"/>
        <v>2023</v>
      </c>
      <c r="AJ678" t="str">
        <f t="shared" ca="1" si="240"/>
        <v>Occupied</v>
      </c>
      <c r="AK678">
        <f t="shared" ca="1" si="241"/>
        <v>4</v>
      </c>
    </row>
    <row r="679" spans="1:37" x14ac:dyDescent="0.3">
      <c r="A679" t="s">
        <v>5103</v>
      </c>
      <c r="B679">
        <v>59</v>
      </c>
      <c r="C679" t="s">
        <v>15</v>
      </c>
      <c r="D679" t="s">
        <v>44</v>
      </c>
      <c r="E679" t="s">
        <v>25</v>
      </c>
      <c r="F679" s="1">
        <v>44405</v>
      </c>
      <c r="G679" t="s">
        <v>1394</v>
      </c>
      <c r="H679" t="s">
        <v>1395</v>
      </c>
      <c r="I679" t="s">
        <v>57</v>
      </c>
      <c r="J679">
        <v>5589</v>
      </c>
      <c r="K679">
        <v>459</v>
      </c>
      <c r="L679" t="s">
        <v>21</v>
      </c>
      <c r="M679" s="1">
        <v>44411</v>
      </c>
      <c r="N679" t="s">
        <v>47</v>
      </c>
      <c r="O679" t="s">
        <v>23</v>
      </c>
      <c r="P679" t="str">
        <f t="shared" si="224"/>
        <v>P0678</v>
      </c>
      <c r="Q679" t="str">
        <f t="shared" si="220"/>
        <v>Nutrition</v>
      </c>
      <c r="R679">
        <f t="shared" si="221"/>
        <v>6</v>
      </c>
      <c r="S679" t="str">
        <f t="shared" ca="1" si="225"/>
        <v>No</v>
      </c>
      <c r="T679" t="str">
        <f t="shared" ca="1" si="226"/>
        <v>Critical</v>
      </c>
      <c r="U679" t="str">
        <f t="shared" ca="1" si="227"/>
        <v>General Ward</v>
      </c>
      <c r="V679" t="str">
        <f t="shared" si="228"/>
        <v>BED0678</v>
      </c>
      <c r="W679" t="str">
        <f t="shared" ca="1" si="229"/>
        <v>Private</v>
      </c>
      <c r="X679" t="str">
        <f t="shared" si="230"/>
        <v>NUR028</v>
      </c>
      <c r="Y679" t="str">
        <f t="shared" ca="1" si="231"/>
        <v>Morning</v>
      </c>
      <c r="Z679" t="str">
        <f t="shared" ca="1" si="232"/>
        <v>Ventilator</v>
      </c>
      <c r="AA679" t="str">
        <f t="shared" ca="1" si="233"/>
        <v>Maintenance</v>
      </c>
      <c r="AB679" t="str">
        <f t="shared" ca="1" si="234"/>
        <v>Paid</v>
      </c>
      <c r="AC679" t="str">
        <f t="shared" ca="1" si="235"/>
        <v>Insurance</v>
      </c>
      <c r="AD679" t="str">
        <f t="shared" ca="1" si="236"/>
        <v>No</v>
      </c>
      <c r="AE679" t="str">
        <f t="shared" ca="1" si="237"/>
        <v>No</v>
      </c>
      <c r="AF679" t="str">
        <f t="shared" ca="1" si="238"/>
        <v>Under Observation</v>
      </c>
      <c r="AG679" t="str">
        <f t="shared" ca="1" si="239"/>
        <v>Southwest</v>
      </c>
      <c r="AH679" t="str">
        <f t="shared" si="222"/>
        <v>July</v>
      </c>
      <c r="AI679">
        <f t="shared" si="223"/>
        <v>2021</v>
      </c>
      <c r="AJ679" t="str">
        <f t="shared" ca="1" si="240"/>
        <v>Vacant</v>
      </c>
      <c r="AK679">
        <f t="shared" ca="1" si="241"/>
        <v>1</v>
      </c>
    </row>
    <row r="680" spans="1:37" x14ac:dyDescent="0.3">
      <c r="A680" t="s">
        <v>5104</v>
      </c>
      <c r="B680">
        <v>49</v>
      </c>
      <c r="C680" t="s">
        <v>15</v>
      </c>
      <c r="D680" t="s">
        <v>33</v>
      </c>
      <c r="E680" t="s">
        <v>48</v>
      </c>
      <c r="F680" s="1">
        <v>45020</v>
      </c>
      <c r="G680" t="s">
        <v>1396</v>
      </c>
      <c r="H680" t="s">
        <v>1397</v>
      </c>
      <c r="I680" t="s">
        <v>51</v>
      </c>
      <c r="J680">
        <v>31498</v>
      </c>
      <c r="K680">
        <v>265</v>
      </c>
      <c r="L680" t="s">
        <v>29</v>
      </c>
      <c r="M680" s="1">
        <v>45043</v>
      </c>
      <c r="N680" t="s">
        <v>67</v>
      </c>
      <c r="O680" t="s">
        <v>31</v>
      </c>
      <c r="P680" t="str">
        <f t="shared" si="224"/>
        <v>P0679</v>
      </c>
      <c r="Q680" t="str">
        <f t="shared" si="220"/>
        <v>Pulmonology</v>
      </c>
      <c r="R680">
        <f t="shared" si="221"/>
        <v>23</v>
      </c>
      <c r="S680" t="str">
        <f t="shared" ca="1" si="225"/>
        <v>No</v>
      </c>
      <c r="T680" t="str">
        <f t="shared" ca="1" si="226"/>
        <v>Severe</v>
      </c>
      <c r="U680" t="str">
        <f t="shared" ca="1" si="227"/>
        <v>Semi-Private</v>
      </c>
      <c r="V680" t="str">
        <f t="shared" si="228"/>
        <v>BED0679</v>
      </c>
      <c r="W680" t="str">
        <f t="shared" ca="1" si="229"/>
        <v>General</v>
      </c>
      <c r="X680" t="str">
        <f t="shared" si="230"/>
        <v>NUR029</v>
      </c>
      <c r="Y680" t="str">
        <f t="shared" ca="1" si="231"/>
        <v>Evening</v>
      </c>
      <c r="Z680" t="str">
        <f t="shared" ca="1" si="232"/>
        <v>Ventilator</v>
      </c>
      <c r="AA680" t="str">
        <f t="shared" ca="1" si="233"/>
        <v>Available</v>
      </c>
      <c r="AB680" t="str">
        <f t="shared" ca="1" si="234"/>
        <v>Paid</v>
      </c>
      <c r="AC680" t="str">
        <f t="shared" ca="1" si="235"/>
        <v>Debit Card</v>
      </c>
      <c r="AD680" t="str">
        <f t="shared" ca="1" si="236"/>
        <v>Yes</v>
      </c>
      <c r="AE680" t="str">
        <f t="shared" ca="1" si="237"/>
        <v>No</v>
      </c>
      <c r="AF680" t="str">
        <f t="shared" ca="1" si="238"/>
        <v>Under Observation</v>
      </c>
      <c r="AG680" t="str">
        <f t="shared" ca="1" si="239"/>
        <v>Northeast</v>
      </c>
      <c r="AH680" t="str">
        <f t="shared" si="222"/>
        <v>April</v>
      </c>
      <c r="AI680">
        <f t="shared" si="223"/>
        <v>2023</v>
      </c>
      <c r="AJ680" t="str">
        <f t="shared" ca="1" si="240"/>
        <v>Occupied</v>
      </c>
      <c r="AK680">
        <f t="shared" ca="1" si="241"/>
        <v>4</v>
      </c>
    </row>
    <row r="681" spans="1:37" x14ac:dyDescent="0.3">
      <c r="A681" t="s">
        <v>5105</v>
      </c>
      <c r="B681">
        <v>85</v>
      </c>
      <c r="C681" t="s">
        <v>32</v>
      </c>
      <c r="D681" t="s">
        <v>16</v>
      </c>
      <c r="E681" t="s">
        <v>25</v>
      </c>
      <c r="F681" s="1">
        <v>44054</v>
      </c>
      <c r="G681" t="s">
        <v>1398</v>
      </c>
      <c r="H681" t="s">
        <v>1399</v>
      </c>
      <c r="I681" t="s">
        <v>57</v>
      </c>
      <c r="J681">
        <v>14283</v>
      </c>
      <c r="K681">
        <v>138</v>
      </c>
      <c r="L681" t="s">
        <v>42</v>
      </c>
      <c r="M681" s="1">
        <v>44067</v>
      </c>
      <c r="N681" t="s">
        <v>30</v>
      </c>
      <c r="O681" t="s">
        <v>31</v>
      </c>
      <c r="P681" t="str">
        <f t="shared" si="224"/>
        <v>P0680</v>
      </c>
      <c r="Q681" t="str">
        <f t="shared" si="220"/>
        <v>Nutrition</v>
      </c>
      <c r="R681">
        <f t="shared" si="221"/>
        <v>13</v>
      </c>
      <c r="S681" t="str">
        <f t="shared" ca="1" si="225"/>
        <v>No</v>
      </c>
      <c r="T681" t="str">
        <f t="shared" ca="1" si="226"/>
        <v>Critical</v>
      </c>
      <c r="U681" t="str">
        <f t="shared" ca="1" si="227"/>
        <v>Emergency</v>
      </c>
      <c r="V681" t="str">
        <f t="shared" si="228"/>
        <v>BED0680</v>
      </c>
      <c r="W681" t="str">
        <f t="shared" ca="1" si="229"/>
        <v>Semi-Private</v>
      </c>
      <c r="X681" t="str">
        <f t="shared" si="230"/>
        <v>NUR030</v>
      </c>
      <c r="Y681" t="str">
        <f t="shared" ca="1" si="231"/>
        <v>Morning</v>
      </c>
      <c r="Z681" t="str">
        <f t="shared" ca="1" si="232"/>
        <v>CT Scanner</v>
      </c>
      <c r="AA681" t="str">
        <f t="shared" ca="1" si="233"/>
        <v>Maintenance</v>
      </c>
      <c r="AB681" t="str">
        <f t="shared" ca="1" si="234"/>
        <v>Paid</v>
      </c>
      <c r="AC681" t="str">
        <f t="shared" ca="1" si="235"/>
        <v>Bank Transfer</v>
      </c>
      <c r="AD681" t="str">
        <f t="shared" ca="1" si="236"/>
        <v>No</v>
      </c>
      <c r="AE681" t="str">
        <f t="shared" ca="1" si="237"/>
        <v>No</v>
      </c>
      <c r="AF681" t="str">
        <f t="shared" ca="1" si="238"/>
        <v>Transferred</v>
      </c>
      <c r="AG681" t="str">
        <f t="shared" ca="1" si="239"/>
        <v>Southeast</v>
      </c>
      <c r="AH681" t="str">
        <f t="shared" si="222"/>
        <v>August</v>
      </c>
      <c r="AI681">
        <f t="shared" si="223"/>
        <v>2020</v>
      </c>
      <c r="AJ681" t="str">
        <f t="shared" ca="1" si="240"/>
        <v>Occupied</v>
      </c>
      <c r="AK681">
        <f t="shared" ca="1" si="241"/>
        <v>2</v>
      </c>
    </row>
    <row r="682" spans="1:37" x14ac:dyDescent="0.3">
      <c r="A682" t="s">
        <v>5106</v>
      </c>
      <c r="B682">
        <v>51</v>
      </c>
      <c r="C682" t="s">
        <v>32</v>
      </c>
      <c r="D682" t="s">
        <v>83</v>
      </c>
      <c r="E682" t="s">
        <v>64</v>
      </c>
      <c r="F682" s="1">
        <v>43858</v>
      </c>
      <c r="G682" t="s">
        <v>1400</v>
      </c>
      <c r="H682" t="s">
        <v>1401</v>
      </c>
      <c r="I682" t="s">
        <v>57</v>
      </c>
      <c r="J682">
        <v>15422</v>
      </c>
      <c r="K682">
        <v>154</v>
      </c>
      <c r="L682" t="s">
        <v>21</v>
      </c>
      <c r="M682" s="1">
        <v>43882</v>
      </c>
      <c r="N682" t="s">
        <v>30</v>
      </c>
      <c r="O682" t="s">
        <v>31</v>
      </c>
      <c r="P682" t="str">
        <f t="shared" si="224"/>
        <v>P0681</v>
      </c>
      <c r="Q682" t="str">
        <f t="shared" si="220"/>
        <v>Cardiology</v>
      </c>
      <c r="R682">
        <f t="shared" si="221"/>
        <v>24</v>
      </c>
      <c r="S682" t="str">
        <f t="shared" ca="1" si="225"/>
        <v>No</v>
      </c>
      <c r="T682" t="str">
        <f t="shared" ca="1" si="226"/>
        <v>Moderate</v>
      </c>
      <c r="U682" t="str">
        <f t="shared" ca="1" si="227"/>
        <v>Emergency</v>
      </c>
      <c r="V682" t="str">
        <f t="shared" si="228"/>
        <v>BED0681</v>
      </c>
      <c r="W682" t="str">
        <f t="shared" ca="1" si="229"/>
        <v>Private</v>
      </c>
      <c r="X682" t="str">
        <f t="shared" si="230"/>
        <v>NUR031</v>
      </c>
      <c r="Y682" t="str">
        <f t="shared" ca="1" si="231"/>
        <v>Morning</v>
      </c>
      <c r="Z682" t="str">
        <f t="shared" ca="1" si="232"/>
        <v>CT Scanner</v>
      </c>
      <c r="AA682" t="str">
        <f t="shared" ca="1" si="233"/>
        <v>Available</v>
      </c>
      <c r="AB682" t="str">
        <f t="shared" ca="1" si="234"/>
        <v>Partially Paid</v>
      </c>
      <c r="AC682" t="str">
        <f t="shared" ca="1" si="235"/>
        <v>Credit Card</v>
      </c>
      <c r="AD682" t="str">
        <f t="shared" ca="1" si="236"/>
        <v>No</v>
      </c>
      <c r="AE682" t="str">
        <f t="shared" ca="1" si="237"/>
        <v>No</v>
      </c>
      <c r="AF682" t="str">
        <f t="shared" ca="1" si="238"/>
        <v>Under Observation</v>
      </c>
      <c r="AG682" t="str">
        <f t="shared" ca="1" si="239"/>
        <v>Midwest</v>
      </c>
      <c r="AH682" t="str">
        <f t="shared" si="222"/>
        <v>January</v>
      </c>
      <c r="AI682">
        <f t="shared" si="223"/>
        <v>2020</v>
      </c>
      <c r="AJ682" t="str">
        <f t="shared" ca="1" si="240"/>
        <v>Occupied</v>
      </c>
      <c r="AK682">
        <f t="shared" ca="1" si="241"/>
        <v>2</v>
      </c>
    </row>
    <row r="683" spans="1:37" x14ac:dyDescent="0.3">
      <c r="A683" t="s">
        <v>5107</v>
      </c>
      <c r="B683">
        <v>23</v>
      </c>
      <c r="C683" t="s">
        <v>15</v>
      </c>
      <c r="D683" t="s">
        <v>44</v>
      </c>
      <c r="E683" t="s">
        <v>48</v>
      </c>
      <c r="F683" s="1">
        <v>43837</v>
      </c>
      <c r="G683" t="s">
        <v>1402</v>
      </c>
      <c r="H683" t="s">
        <v>1403</v>
      </c>
      <c r="I683" t="s">
        <v>57</v>
      </c>
      <c r="J683">
        <v>40309</v>
      </c>
      <c r="K683">
        <v>219</v>
      </c>
      <c r="L683" t="s">
        <v>29</v>
      </c>
      <c r="M683" s="1">
        <v>43866</v>
      </c>
      <c r="N683" t="s">
        <v>47</v>
      </c>
      <c r="O683" t="s">
        <v>31</v>
      </c>
      <c r="P683" t="str">
        <f t="shared" si="224"/>
        <v>P0682</v>
      </c>
      <c r="Q683" t="str">
        <f t="shared" si="220"/>
        <v>Pulmonology</v>
      </c>
      <c r="R683">
        <f t="shared" si="221"/>
        <v>29</v>
      </c>
      <c r="S683" t="str">
        <f t="shared" ca="1" si="225"/>
        <v>No</v>
      </c>
      <c r="T683" t="str">
        <f t="shared" ca="1" si="226"/>
        <v>Severe</v>
      </c>
      <c r="U683" t="str">
        <f t="shared" ca="1" si="227"/>
        <v>Semi-Private</v>
      </c>
      <c r="V683" t="str">
        <f t="shared" si="228"/>
        <v>BED0682</v>
      </c>
      <c r="W683" t="str">
        <f t="shared" ca="1" si="229"/>
        <v>General</v>
      </c>
      <c r="X683" t="str">
        <f t="shared" si="230"/>
        <v>NUR032</v>
      </c>
      <c r="Y683" t="str">
        <f t="shared" ca="1" si="231"/>
        <v>Night</v>
      </c>
      <c r="Z683" t="str">
        <f t="shared" ca="1" si="232"/>
        <v>CT Scanner</v>
      </c>
      <c r="AA683" t="str">
        <f t="shared" ca="1" si="233"/>
        <v>Available</v>
      </c>
      <c r="AB683" t="str">
        <f t="shared" ca="1" si="234"/>
        <v>Paid</v>
      </c>
      <c r="AC683" t="str">
        <f t="shared" ca="1" si="235"/>
        <v>Bank Transfer</v>
      </c>
      <c r="AD683" t="str">
        <f t="shared" ca="1" si="236"/>
        <v>No</v>
      </c>
      <c r="AE683" t="str">
        <f t="shared" ca="1" si="237"/>
        <v>No</v>
      </c>
      <c r="AF683" t="str">
        <f t="shared" ca="1" si="238"/>
        <v>Recovered</v>
      </c>
      <c r="AG683" t="str">
        <f t="shared" ca="1" si="239"/>
        <v>Southeast</v>
      </c>
      <c r="AH683" t="str">
        <f t="shared" si="222"/>
        <v>January</v>
      </c>
      <c r="AI683">
        <f t="shared" si="223"/>
        <v>2020</v>
      </c>
      <c r="AJ683" t="str">
        <f t="shared" ca="1" si="240"/>
        <v>Occupied</v>
      </c>
      <c r="AK683">
        <f t="shared" ca="1" si="241"/>
        <v>4</v>
      </c>
    </row>
    <row r="684" spans="1:37" x14ac:dyDescent="0.3">
      <c r="A684" t="s">
        <v>5108</v>
      </c>
      <c r="B684">
        <v>26</v>
      </c>
      <c r="C684" t="s">
        <v>15</v>
      </c>
      <c r="D684" t="s">
        <v>98</v>
      </c>
      <c r="E684" t="s">
        <v>48</v>
      </c>
      <c r="F684" s="1">
        <v>43941</v>
      </c>
      <c r="G684" t="s">
        <v>1404</v>
      </c>
      <c r="H684" t="s">
        <v>95</v>
      </c>
      <c r="I684" t="s">
        <v>36</v>
      </c>
      <c r="J684">
        <v>45916</v>
      </c>
      <c r="K684">
        <v>301</v>
      </c>
      <c r="L684" t="s">
        <v>42</v>
      </c>
      <c r="M684" s="1">
        <v>43968</v>
      </c>
      <c r="N684" t="s">
        <v>47</v>
      </c>
      <c r="O684" t="s">
        <v>43</v>
      </c>
      <c r="P684" t="str">
        <f t="shared" si="224"/>
        <v>P0683</v>
      </c>
      <c r="Q684" t="str">
        <f t="shared" si="220"/>
        <v>Pulmonology</v>
      </c>
      <c r="R684">
        <f t="shared" si="221"/>
        <v>27</v>
      </c>
      <c r="S684" t="str">
        <f t="shared" ca="1" si="225"/>
        <v>No</v>
      </c>
      <c r="T684" t="str">
        <f t="shared" ca="1" si="226"/>
        <v>Severe</v>
      </c>
      <c r="U684" t="str">
        <f t="shared" ca="1" si="227"/>
        <v>General Ward</v>
      </c>
      <c r="V684" t="str">
        <f t="shared" si="228"/>
        <v>BED0683</v>
      </c>
      <c r="W684" t="str">
        <f t="shared" ca="1" si="229"/>
        <v>ICU</v>
      </c>
      <c r="X684" t="str">
        <f t="shared" si="230"/>
        <v>NUR033</v>
      </c>
      <c r="Y684" t="str">
        <f t="shared" ca="1" si="231"/>
        <v>Morning</v>
      </c>
      <c r="Z684" t="str">
        <f t="shared" ca="1" si="232"/>
        <v>MRI Scanner</v>
      </c>
      <c r="AA684" t="str">
        <f t="shared" ca="1" si="233"/>
        <v>In Use</v>
      </c>
      <c r="AB684" t="str">
        <f t="shared" ca="1" si="234"/>
        <v>Paid</v>
      </c>
      <c r="AC684" t="str">
        <f t="shared" ca="1" si="235"/>
        <v>Debit Card</v>
      </c>
      <c r="AD684" t="str">
        <f t="shared" ca="1" si="236"/>
        <v>Yes</v>
      </c>
      <c r="AE684" t="str">
        <f t="shared" ca="1" si="237"/>
        <v>No</v>
      </c>
      <c r="AF684" t="str">
        <f t="shared" ca="1" si="238"/>
        <v>Transferred</v>
      </c>
      <c r="AG684" t="str">
        <f t="shared" ca="1" si="239"/>
        <v>Midwest</v>
      </c>
      <c r="AH684" t="str">
        <f t="shared" si="222"/>
        <v>April</v>
      </c>
      <c r="AI684">
        <f t="shared" si="223"/>
        <v>2020</v>
      </c>
      <c r="AJ684" t="str">
        <f t="shared" ca="1" si="240"/>
        <v>Occupied</v>
      </c>
      <c r="AK684">
        <f t="shared" ca="1" si="241"/>
        <v>1</v>
      </c>
    </row>
    <row r="685" spans="1:37" x14ac:dyDescent="0.3">
      <c r="A685" t="s">
        <v>5109</v>
      </c>
      <c r="B685">
        <v>59</v>
      </c>
      <c r="C685" t="s">
        <v>32</v>
      </c>
      <c r="D685" t="s">
        <v>44</v>
      </c>
      <c r="E685" t="s">
        <v>25</v>
      </c>
      <c r="F685" s="1">
        <v>43908</v>
      </c>
      <c r="G685" t="s">
        <v>1405</v>
      </c>
      <c r="H685" t="s">
        <v>1406</v>
      </c>
      <c r="I685" t="s">
        <v>20</v>
      </c>
      <c r="J685">
        <v>41633</v>
      </c>
      <c r="K685">
        <v>395</v>
      </c>
      <c r="L685" t="s">
        <v>42</v>
      </c>
      <c r="M685" s="1">
        <v>43915</v>
      </c>
      <c r="N685" t="s">
        <v>47</v>
      </c>
      <c r="O685" t="s">
        <v>23</v>
      </c>
      <c r="P685" t="str">
        <f t="shared" si="224"/>
        <v>P0684</v>
      </c>
      <c r="Q685" t="str">
        <f t="shared" si="220"/>
        <v>Nutrition</v>
      </c>
      <c r="R685">
        <f t="shared" si="221"/>
        <v>7</v>
      </c>
      <c r="S685" t="str">
        <f t="shared" ca="1" si="225"/>
        <v>Yes</v>
      </c>
      <c r="T685" t="str">
        <f t="shared" ca="1" si="226"/>
        <v>Severe</v>
      </c>
      <c r="U685" t="str">
        <f t="shared" ca="1" si="227"/>
        <v>General Ward</v>
      </c>
      <c r="V685" t="str">
        <f t="shared" si="228"/>
        <v>BED0684</v>
      </c>
      <c r="W685" t="str">
        <f t="shared" ca="1" si="229"/>
        <v>ICU</v>
      </c>
      <c r="X685" t="str">
        <f t="shared" si="230"/>
        <v>NUR034</v>
      </c>
      <c r="Y685" t="str">
        <f t="shared" ca="1" si="231"/>
        <v>Night</v>
      </c>
      <c r="Z685" t="str">
        <f t="shared" ca="1" si="232"/>
        <v>MRI Scanner</v>
      </c>
      <c r="AA685" t="str">
        <f t="shared" ca="1" si="233"/>
        <v>Maintenance</v>
      </c>
      <c r="AB685" t="str">
        <f t="shared" ca="1" si="234"/>
        <v>Paid</v>
      </c>
      <c r="AC685" t="str">
        <f t="shared" ca="1" si="235"/>
        <v>Debit Card</v>
      </c>
      <c r="AD685" t="str">
        <f t="shared" ca="1" si="236"/>
        <v>No</v>
      </c>
      <c r="AE685" t="str">
        <f t="shared" ca="1" si="237"/>
        <v>No</v>
      </c>
      <c r="AF685" t="str">
        <f t="shared" ca="1" si="238"/>
        <v>Recovered</v>
      </c>
      <c r="AG685" t="str">
        <f t="shared" ca="1" si="239"/>
        <v>Midwest</v>
      </c>
      <c r="AH685" t="str">
        <f t="shared" si="222"/>
        <v>March</v>
      </c>
      <c r="AI685">
        <f t="shared" si="223"/>
        <v>2020</v>
      </c>
      <c r="AJ685" t="str">
        <f t="shared" ca="1" si="240"/>
        <v>Occupied</v>
      </c>
      <c r="AK685">
        <f t="shared" ca="1" si="241"/>
        <v>4</v>
      </c>
    </row>
    <row r="686" spans="1:37" x14ac:dyDescent="0.3">
      <c r="A686" t="s">
        <v>5110</v>
      </c>
      <c r="B686">
        <v>25</v>
      </c>
      <c r="C686" t="s">
        <v>32</v>
      </c>
      <c r="D686" t="s">
        <v>52</v>
      </c>
      <c r="E686" t="s">
        <v>39</v>
      </c>
      <c r="F686" s="1">
        <v>44000</v>
      </c>
      <c r="G686" t="s">
        <v>1407</v>
      </c>
      <c r="H686" t="s">
        <v>1408</v>
      </c>
      <c r="I686" t="s">
        <v>28</v>
      </c>
      <c r="J686">
        <v>7437</v>
      </c>
      <c r="K686">
        <v>412</v>
      </c>
      <c r="L686" t="s">
        <v>29</v>
      </c>
      <c r="M686" s="1">
        <v>44005</v>
      </c>
      <c r="N686" t="s">
        <v>22</v>
      </c>
      <c r="O686" t="s">
        <v>31</v>
      </c>
      <c r="P686" t="str">
        <f t="shared" si="224"/>
        <v>P0685</v>
      </c>
      <c r="Q686" t="str">
        <f t="shared" si="220"/>
        <v>Endocrinology</v>
      </c>
      <c r="R686">
        <f t="shared" si="221"/>
        <v>5</v>
      </c>
      <c r="S686" t="str">
        <f t="shared" ca="1" si="225"/>
        <v>No</v>
      </c>
      <c r="T686" t="str">
        <f t="shared" ca="1" si="226"/>
        <v>Critical</v>
      </c>
      <c r="U686" t="str">
        <f t="shared" ca="1" si="227"/>
        <v>Private Ward</v>
      </c>
      <c r="V686" t="str">
        <f t="shared" si="228"/>
        <v>BED0685</v>
      </c>
      <c r="W686" t="str">
        <f t="shared" ca="1" si="229"/>
        <v>Semi-Private</v>
      </c>
      <c r="X686" t="str">
        <f t="shared" si="230"/>
        <v>NUR035</v>
      </c>
      <c r="Y686" t="str">
        <f t="shared" ca="1" si="231"/>
        <v>Night</v>
      </c>
      <c r="Z686" t="str">
        <f t="shared" ca="1" si="232"/>
        <v>Ultrasound</v>
      </c>
      <c r="AA686" t="str">
        <f t="shared" ca="1" si="233"/>
        <v>Maintenance</v>
      </c>
      <c r="AB686" t="str">
        <f t="shared" ca="1" si="234"/>
        <v>Paid</v>
      </c>
      <c r="AC686" t="str">
        <f t="shared" ca="1" si="235"/>
        <v>Bank Transfer</v>
      </c>
      <c r="AD686" t="str">
        <f t="shared" ca="1" si="236"/>
        <v>No</v>
      </c>
      <c r="AE686" t="str">
        <f t="shared" ca="1" si="237"/>
        <v>No</v>
      </c>
      <c r="AF686" t="str">
        <f t="shared" ca="1" si="238"/>
        <v>Transferred</v>
      </c>
      <c r="AG686" t="str">
        <f t="shared" ca="1" si="239"/>
        <v>Northeast</v>
      </c>
      <c r="AH686" t="str">
        <f t="shared" si="222"/>
        <v>June</v>
      </c>
      <c r="AI686">
        <f t="shared" si="223"/>
        <v>2020</v>
      </c>
      <c r="AJ686" t="str">
        <f t="shared" ca="1" si="240"/>
        <v>Occupied</v>
      </c>
      <c r="AK686">
        <f t="shared" ca="1" si="241"/>
        <v>4</v>
      </c>
    </row>
    <row r="687" spans="1:37" x14ac:dyDescent="0.3">
      <c r="A687" t="s">
        <v>5111</v>
      </c>
      <c r="B687">
        <v>29</v>
      </c>
      <c r="C687" t="s">
        <v>15</v>
      </c>
      <c r="D687" t="s">
        <v>98</v>
      </c>
      <c r="E687" t="s">
        <v>17</v>
      </c>
      <c r="F687" s="1">
        <v>45122</v>
      </c>
      <c r="G687" t="s">
        <v>1409</v>
      </c>
      <c r="H687" t="s">
        <v>1410</v>
      </c>
      <c r="I687" t="s">
        <v>28</v>
      </c>
      <c r="J687">
        <v>38860</v>
      </c>
      <c r="K687">
        <v>436</v>
      </c>
      <c r="L687" t="s">
        <v>42</v>
      </c>
      <c r="M687" s="1">
        <v>45134</v>
      </c>
      <c r="N687" t="s">
        <v>37</v>
      </c>
      <c r="O687" t="s">
        <v>43</v>
      </c>
      <c r="P687" t="str">
        <f t="shared" si="224"/>
        <v>P0686</v>
      </c>
      <c r="Q687" t="str">
        <f t="shared" si="220"/>
        <v>Oncology</v>
      </c>
      <c r="R687">
        <f t="shared" si="221"/>
        <v>12</v>
      </c>
      <c r="S687" t="str">
        <f t="shared" ca="1" si="225"/>
        <v>No</v>
      </c>
      <c r="T687" t="str">
        <f t="shared" ca="1" si="226"/>
        <v>Severe</v>
      </c>
      <c r="U687" t="str">
        <f t="shared" ca="1" si="227"/>
        <v>Semi-Private</v>
      </c>
      <c r="V687" t="str">
        <f t="shared" si="228"/>
        <v>BED0686</v>
      </c>
      <c r="W687" t="str">
        <f t="shared" ca="1" si="229"/>
        <v>ICU</v>
      </c>
      <c r="X687" t="str">
        <f t="shared" si="230"/>
        <v>NUR036</v>
      </c>
      <c r="Y687" t="str">
        <f t="shared" ca="1" si="231"/>
        <v>Morning</v>
      </c>
      <c r="Z687" t="str">
        <f t="shared" ca="1" si="232"/>
        <v>Ventilator</v>
      </c>
      <c r="AA687" t="str">
        <f t="shared" ca="1" si="233"/>
        <v>In Use</v>
      </c>
      <c r="AB687" t="str">
        <f t="shared" ca="1" si="234"/>
        <v>Partially Paid</v>
      </c>
      <c r="AC687" t="str">
        <f t="shared" ca="1" si="235"/>
        <v>Credit Card</v>
      </c>
      <c r="AD687" t="str">
        <f t="shared" ca="1" si="236"/>
        <v>No</v>
      </c>
      <c r="AE687" t="str">
        <f t="shared" ca="1" si="237"/>
        <v>No</v>
      </c>
      <c r="AF687" t="str">
        <f t="shared" ca="1" si="238"/>
        <v>Under Observation</v>
      </c>
      <c r="AG687" t="str">
        <f t="shared" ca="1" si="239"/>
        <v>Southeast</v>
      </c>
      <c r="AH687" t="str">
        <f t="shared" si="222"/>
        <v>July</v>
      </c>
      <c r="AI687">
        <f t="shared" si="223"/>
        <v>2023</v>
      </c>
      <c r="AJ687" t="str">
        <f t="shared" ca="1" si="240"/>
        <v>Occupied</v>
      </c>
      <c r="AK687">
        <f t="shared" ca="1" si="241"/>
        <v>4</v>
      </c>
    </row>
    <row r="688" spans="1:37" x14ac:dyDescent="0.3">
      <c r="A688" t="s">
        <v>5112</v>
      </c>
      <c r="B688">
        <v>25</v>
      </c>
      <c r="C688" t="s">
        <v>15</v>
      </c>
      <c r="D688" t="s">
        <v>33</v>
      </c>
      <c r="E688" t="s">
        <v>64</v>
      </c>
      <c r="F688" s="1">
        <v>45201</v>
      </c>
      <c r="G688" t="s">
        <v>1411</v>
      </c>
      <c r="H688" t="s">
        <v>1412</v>
      </c>
      <c r="I688" t="s">
        <v>57</v>
      </c>
      <c r="J688">
        <v>6662</v>
      </c>
      <c r="K688">
        <v>249</v>
      </c>
      <c r="L688" t="s">
        <v>21</v>
      </c>
      <c r="M688" s="1">
        <v>45223</v>
      </c>
      <c r="N688" t="s">
        <v>30</v>
      </c>
      <c r="O688" t="s">
        <v>31</v>
      </c>
      <c r="P688" t="str">
        <f t="shared" si="224"/>
        <v>P0687</v>
      </c>
      <c r="Q688" t="str">
        <f t="shared" si="220"/>
        <v>Cardiology</v>
      </c>
      <c r="R688">
        <f t="shared" si="221"/>
        <v>22</v>
      </c>
      <c r="S688" t="str">
        <f t="shared" ca="1" si="225"/>
        <v>No</v>
      </c>
      <c r="T688" t="str">
        <f t="shared" ca="1" si="226"/>
        <v>Critical</v>
      </c>
      <c r="U688" t="str">
        <f t="shared" ca="1" si="227"/>
        <v>Emergency</v>
      </c>
      <c r="V688" t="str">
        <f t="shared" si="228"/>
        <v>BED0687</v>
      </c>
      <c r="W688" t="str">
        <f t="shared" ca="1" si="229"/>
        <v>Semi-Private</v>
      </c>
      <c r="X688" t="str">
        <f t="shared" si="230"/>
        <v>NUR037</v>
      </c>
      <c r="Y688" t="str">
        <f t="shared" ca="1" si="231"/>
        <v>Morning</v>
      </c>
      <c r="Z688" t="str">
        <f t="shared" ca="1" si="232"/>
        <v>MRI Scanner</v>
      </c>
      <c r="AA688" t="str">
        <f t="shared" ca="1" si="233"/>
        <v>In Use</v>
      </c>
      <c r="AB688" t="str">
        <f t="shared" ca="1" si="234"/>
        <v>Partially Paid</v>
      </c>
      <c r="AC688" t="str">
        <f t="shared" ca="1" si="235"/>
        <v>Cash</v>
      </c>
      <c r="AD688" t="str">
        <f t="shared" ca="1" si="236"/>
        <v>Yes</v>
      </c>
      <c r="AE688" t="str">
        <f t="shared" ca="1" si="237"/>
        <v>No</v>
      </c>
      <c r="AF688" t="str">
        <f t="shared" ca="1" si="238"/>
        <v>Recovered</v>
      </c>
      <c r="AG688" t="str">
        <f t="shared" ca="1" si="239"/>
        <v>Southeast</v>
      </c>
      <c r="AH688" t="str">
        <f t="shared" si="222"/>
        <v>October</v>
      </c>
      <c r="AI688">
        <f t="shared" si="223"/>
        <v>2023</v>
      </c>
      <c r="AJ688" t="str">
        <f t="shared" ca="1" si="240"/>
        <v>Occupied</v>
      </c>
      <c r="AK688">
        <f t="shared" ca="1" si="241"/>
        <v>1</v>
      </c>
    </row>
    <row r="689" spans="1:37" x14ac:dyDescent="0.3">
      <c r="A689" t="s">
        <v>5113</v>
      </c>
      <c r="B689">
        <v>61</v>
      </c>
      <c r="C689" t="s">
        <v>15</v>
      </c>
      <c r="D689" t="s">
        <v>16</v>
      </c>
      <c r="E689" t="s">
        <v>39</v>
      </c>
      <c r="F689" s="1">
        <v>44209</v>
      </c>
      <c r="G689" t="s">
        <v>1413</v>
      </c>
      <c r="H689" t="s">
        <v>1414</v>
      </c>
      <c r="I689" t="s">
        <v>57</v>
      </c>
      <c r="J689">
        <v>13074</v>
      </c>
      <c r="K689">
        <v>147</v>
      </c>
      <c r="L689" t="s">
        <v>21</v>
      </c>
      <c r="M689" s="1">
        <v>44232</v>
      </c>
      <c r="N689" t="s">
        <v>37</v>
      </c>
      <c r="O689" t="s">
        <v>31</v>
      </c>
      <c r="P689" t="str">
        <f t="shared" si="224"/>
        <v>P0688</v>
      </c>
      <c r="Q689" t="str">
        <f t="shared" si="220"/>
        <v>Endocrinology</v>
      </c>
      <c r="R689">
        <f t="shared" si="221"/>
        <v>23</v>
      </c>
      <c r="S689" t="str">
        <f t="shared" ca="1" si="225"/>
        <v>No</v>
      </c>
      <c r="T689" t="str">
        <f t="shared" ca="1" si="226"/>
        <v>Critical</v>
      </c>
      <c r="U689" t="str">
        <f t="shared" ca="1" si="227"/>
        <v>Private Ward</v>
      </c>
      <c r="V689" t="str">
        <f t="shared" si="228"/>
        <v>BED0688</v>
      </c>
      <c r="W689" t="str">
        <f t="shared" ca="1" si="229"/>
        <v>General</v>
      </c>
      <c r="X689" t="str">
        <f t="shared" si="230"/>
        <v>NUR038</v>
      </c>
      <c r="Y689" t="str">
        <f t="shared" ca="1" si="231"/>
        <v>Night</v>
      </c>
      <c r="Z689" t="str">
        <f t="shared" ca="1" si="232"/>
        <v>CT Scanner</v>
      </c>
      <c r="AA689" t="str">
        <f t="shared" ca="1" si="233"/>
        <v>Maintenance</v>
      </c>
      <c r="AB689" t="str">
        <f t="shared" ca="1" si="234"/>
        <v>Pending</v>
      </c>
      <c r="AC689" t="str">
        <f t="shared" ca="1" si="235"/>
        <v>Bank Transfer</v>
      </c>
      <c r="AD689" t="str">
        <f t="shared" ca="1" si="236"/>
        <v>No</v>
      </c>
      <c r="AE689" t="str">
        <f t="shared" ca="1" si="237"/>
        <v>No</v>
      </c>
      <c r="AF689" t="str">
        <f t="shared" ca="1" si="238"/>
        <v>Transferred</v>
      </c>
      <c r="AG689" t="str">
        <f t="shared" ca="1" si="239"/>
        <v>Southeast</v>
      </c>
      <c r="AH689" t="str">
        <f t="shared" si="222"/>
        <v>January</v>
      </c>
      <c r="AI689">
        <f t="shared" si="223"/>
        <v>2021</v>
      </c>
      <c r="AJ689" t="str">
        <f t="shared" ca="1" si="240"/>
        <v>Occupied</v>
      </c>
      <c r="AK689">
        <f t="shared" ca="1" si="241"/>
        <v>2</v>
      </c>
    </row>
    <row r="690" spans="1:37" x14ac:dyDescent="0.3">
      <c r="A690" t="s">
        <v>5114</v>
      </c>
      <c r="B690">
        <v>46</v>
      </c>
      <c r="C690" t="s">
        <v>15</v>
      </c>
      <c r="D690" t="s">
        <v>24</v>
      </c>
      <c r="E690" t="s">
        <v>64</v>
      </c>
      <c r="F690" s="1">
        <v>44697</v>
      </c>
      <c r="G690" t="s">
        <v>1415</v>
      </c>
      <c r="H690" t="s">
        <v>1416</v>
      </c>
      <c r="I690" t="s">
        <v>36</v>
      </c>
      <c r="J690">
        <v>10443</v>
      </c>
      <c r="K690">
        <v>408</v>
      </c>
      <c r="L690" t="s">
        <v>42</v>
      </c>
      <c r="M690" s="1">
        <v>44712</v>
      </c>
      <c r="N690" t="s">
        <v>37</v>
      </c>
      <c r="O690" t="s">
        <v>31</v>
      </c>
      <c r="P690" t="str">
        <f t="shared" si="224"/>
        <v>P0689</v>
      </c>
      <c r="Q690" t="str">
        <f t="shared" si="220"/>
        <v>Cardiology</v>
      </c>
      <c r="R690">
        <f t="shared" si="221"/>
        <v>15</v>
      </c>
      <c r="S690" t="str">
        <f t="shared" ca="1" si="225"/>
        <v>No</v>
      </c>
      <c r="T690" t="str">
        <f t="shared" ca="1" si="226"/>
        <v>Mild</v>
      </c>
      <c r="U690" t="str">
        <f t="shared" ca="1" si="227"/>
        <v>ICU</v>
      </c>
      <c r="V690" t="str">
        <f t="shared" si="228"/>
        <v>BED0689</v>
      </c>
      <c r="W690" t="str">
        <f t="shared" ca="1" si="229"/>
        <v>ICU</v>
      </c>
      <c r="X690" t="str">
        <f t="shared" si="230"/>
        <v>NUR039</v>
      </c>
      <c r="Y690" t="str">
        <f t="shared" ca="1" si="231"/>
        <v>Morning</v>
      </c>
      <c r="Z690" t="str">
        <f t="shared" ca="1" si="232"/>
        <v>ECG Machine</v>
      </c>
      <c r="AA690" t="str">
        <f t="shared" ca="1" si="233"/>
        <v>Maintenance</v>
      </c>
      <c r="AB690" t="str">
        <f t="shared" ca="1" si="234"/>
        <v>Pending</v>
      </c>
      <c r="AC690" t="str">
        <f t="shared" ca="1" si="235"/>
        <v>Credit Card</v>
      </c>
      <c r="AD690" t="str">
        <f t="shared" ca="1" si="236"/>
        <v>Yes</v>
      </c>
      <c r="AE690" t="str">
        <f t="shared" ca="1" si="237"/>
        <v>No</v>
      </c>
      <c r="AF690" t="str">
        <f t="shared" ca="1" si="238"/>
        <v>Transferred</v>
      </c>
      <c r="AG690" t="str">
        <f t="shared" ca="1" si="239"/>
        <v>Southeast</v>
      </c>
      <c r="AH690" t="str">
        <f t="shared" si="222"/>
        <v>May</v>
      </c>
      <c r="AI690">
        <f t="shared" si="223"/>
        <v>2022</v>
      </c>
      <c r="AJ690" t="str">
        <f t="shared" ca="1" si="240"/>
        <v>Occupied</v>
      </c>
      <c r="AK690">
        <f t="shared" ca="1" si="241"/>
        <v>2</v>
      </c>
    </row>
    <row r="691" spans="1:37" x14ac:dyDescent="0.3">
      <c r="A691" t="s">
        <v>5115</v>
      </c>
      <c r="B691">
        <v>54</v>
      </c>
      <c r="C691" t="s">
        <v>15</v>
      </c>
      <c r="D691" t="s">
        <v>52</v>
      </c>
      <c r="E691" t="s">
        <v>64</v>
      </c>
      <c r="F691" s="1">
        <v>43760</v>
      </c>
      <c r="G691" t="s">
        <v>1417</v>
      </c>
      <c r="H691" t="s">
        <v>1418</v>
      </c>
      <c r="I691" t="s">
        <v>20</v>
      </c>
      <c r="J691">
        <v>20227</v>
      </c>
      <c r="K691">
        <v>144</v>
      </c>
      <c r="L691" t="s">
        <v>29</v>
      </c>
      <c r="M691" s="1">
        <v>43770</v>
      </c>
      <c r="N691" t="s">
        <v>37</v>
      </c>
      <c r="O691" t="s">
        <v>43</v>
      </c>
      <c r="P691" t="str">
        <f t="shared" si="224"/>
        <v>P0690</v>
      </c>
      <c r="Q691" t="str">
        <f t="shared" si="220"/>
        <v>Cardiology</v>
      </c>
      <c r="R691">
        <f t="shared" si="221"/>
        <v>10</v>
      </c>
      <c r="S691" t="str">
        <f t="shared" ca="1" si="225"/>
        <v>No</v>
      </c>
      <c r="T691" t="str">
        <f t="shared" ca="1" si="226"/>
        <v>Mild</v>
      </c>
      <c r="U691" t="str">
        <f t="shared" ca="1" si="227"/>
        <v>Emergency</v>
      </c>
      <c r="V691" t="str">
        <f t="shared" si="228"/>
        <v>BED0690</v>
      </c>
      <c r="W691" t="str">
        <f t="shared" ca="1" si="229"/>
        <v>General</v>
      </c>
      <c r="X691" t="str">
        <f t="shared" si="230"/>
        <v>NUR040</v>
      </c>
      <c r="Y691" t="str">
        <f t="shared" ca="1" si="231"/>
        <v>Morning</v>
      </c>
      <c r="Z691" t="str">
        <f t="shared" ca="1" si="232"/>
        <v>Ultrasound</v>
      </c>
      <c r="AA691" t="str">
        <f t="shared" ca="1" si="233"/>
        <v>Maintenance</v>
      </c>
      <c r="AB691" t="str">
        <f t="shared" ca="1" si="234"/>
        <v>Paid</v>
      </c>
      <c r="AC691" t="str">
        <f t="shared" ca="1" si="235"/>
        <v>Insurance</v>
      </c>
      <c r="AD691" t="str">
        <f t="shared" ca="1" si="236"/>
        <v>No</v>
      </c>
      <c r="AE691" t="str">
        <f t="shared" ca="1" si="237"/>
        <v>No</v>
      </c>
      <c r="AF691" t="str">
        <f t="shared" ca="1" si="238"/>
        <v>Recovered</v>
      </c>
      <c r="AG691" t="str">
        <f t="shared" ca="1" si="239"/>
        <v>Southeast</v>
      </c>
      <c r="AH691" t="str">
        <f t="shared" si="222"/>
        <v>October</v>
      </c>
      <c r="AI691">
        <f t="shared" si="223"/>
        <v>2019</v>
      </c>
      <c r="AJ691" t="str">
        <f t="shared" ca="1" si="240"/>
        <v>Vacant</v>
      </c>
      <c r="AK691">
        <f t="shared" ca="1" si="241"/>
        <v>4</v>
      </c>
    </row>
    <row r="692" spans="1:37" x14ac:dyDescent="0.3">
      <c r="A692" t="s">
        <v>5116</v>
      </c>
      <c r="B692">
        <v>41</v>
      </c>
      <c r="C692" t="s">
        <v>15</v>
      </c>
      <c r="D692" t="s">
        <v>24</v>
      </c>
      <c r="E692" t="s">
        <v>25</v>
      </c>
      <c r="F692" s="1">
        <v>43686</v>
      </c>
      <c r="G692" t="s">
        <v>1419</v>
      </c>
      <c r="H692" t="s">
        <v>1420</v>
      </c>
      <c r="I692" t="s">
        <v>28</v>
      </c>
      <c r="J692">
        <v>38779</v>
      </c>
      <c r="K692">
        <v>268</v>
      </c>
      <c r="L692" t="s">
        <v>29</v>
      </c>
      <c r="M692" s="1">
        <v>43711</v>
      </c>
      <c r="N692" t="s">
        <v>22</v>
      </c>
      <c r="O692" t="s">
        <v>43</v>
      </c>
      <c r="P692" t="str">
        <f t="shared" si="224"/>
        <v>P0691</v>
      </c>
      <c r="Q692" t="str">
        <f t="shared" si="220"/>
        <v>Nutrition</v>
      </c>
      <c r="R692">
        <f t="shared" si="221"/>
        <v>25</v>
      </c>
      <c r="S692" t="str">
        <f t="shared" ca="1" si="225"/>
        <v>No</v>
      </c>
      <c r="T692" t="str">
        <f t="shared" ca="1" si="226"/>
        <v>Moderate</v>
      </c>
      <c r="U692" t="str">
        <f t="shared" ca="1" si="227"/>
        <v>Emergency</v>
      </c>
      <c r="V692" t="str">
        <f t="shared" si="228"/>
        <v>BED0691</v>
      </c>
      <c r="W692" t="str">
        <f t="shared" ca="1" si="229"/>
        <v>Semi-Private</v>
      </c>
      <c r="X692" t="str">
        <f t="shared" si="230"/>
        <v>NUR041</v>
      </c>
      <c r="Y692" t="str">
        <f t="shared" ca="1" si="231"/>
        <v>Evening</v>
      </c>
      <c r="Z692" t="str">
        <f t="shared" ca="1" si="232"/>
        <v>MRI Scanner</v>
      </c>
      <c r="AA692" t="str">
        <f t="shared" ca="1" si="233"/>
        <v>Maintenance</v>
      </c>
      <c r="AB692" t="str">
        <f t="shared" ca="1" si="234"/>
        <v>Paid</v>
      </c>
      <c r="AC692" t="str">
        <f t="shared" ca="1" si="235"/>
        <v>Insurance</v>
      </c>
      <c r="AD692" t="str">
        <f t="shared" ca="1" si="236"/>
        <v>No</v>
      </c>
      <c r="AE692" t="str">
        <f t="shared" ca="1" si="237"/>
        <v>No</v>
      </c>
      <c r="AF692" t="str">
        <f t="shared" ca="1" si="238"/>
        <v>Recovered</v>
      </c>
      <c r="AG692" t="str">
        <f t="shared" ca="1" si="239"/>
        <v>Southwest</v>
      </c>
      <c r="AH692" t="str">
        <f t="shared" si="222"/>
        <v>August</v>
      </c>
      <c r="AI692">
        <f t="shared" si="223"/>
        <v>2019</v>
      </c>
      <c r="AJ692" t="str">
        <f t="shared" ca="1" si="240"/>
        <v>Occupied</v>
      </c>
      <c r="AK692">
        <f t="shared" ca="1" si="241"/>
        <v>4</v>
      </c>
    </row>
    <row r="693" spans="1:37" x14ac:dyDescent="0.3">
      <c r="A693" t="s">
        <v>5117</v>
      </c>
      <c r="B693">
        <v>21</v>
      </c>
      <c r="C693" t="s">
        <v>32</v>
      </c>
      <c r="D693" t="s">
        <v>98</v>
      </c>
      <c r="E693" t="s">
        <v>48</v>
      </c>
      <c r="F693" s="1">
        <v>45290</v>
      </c>
      <c r="G693" t="s">
        <v>1421</v>
      </c>
      <c r="H693" t="s">
        <v>1422</v>
      </c>
      <c r="I693" t="s">
        <v>36</v>
      </c>
      <c r="J693">
        <v>4562</v>
      </c>
      <c r="K693">
        <v>357</v>
      </c>
      <c r="L693" t="s">
        <v>42</v>
      </c>
      <c r="M693" s="1">
        <v>45318</v>
      </c>
      <c r="N693" t="s">
        <v>67</v>
      </c>
      <c r="O693" t="s">
        <v>43</v>
      </c>
      <c r="P693" t="str">
        <f t="shared" si="224"/>
        <v>P0692</v>
      </c>
      <c r="Q693" t="str">
        <f t="shared" si="220"/>
        <v>Pulmonology</v>
      </c>
      <c r="R693">
        <f t="shared" si="221"/>
        <v>28</v>
      </c>
      <c r="S693" t="str">
        <f t="shared" ca="1" si="225"/>
        <v>No</v>
      </c>
      <c r="T693" t="str">
        <f t="shared" ca="1" si="226"/>
        <v>Mild</v>
      </c>
      <c r="U693" t="str">
        <f t="shared" ca="1" si="227"/>
        <v>ICU</v>
      </c>
      <c r="V693" t="str">
        <f t="shared" si="228"/>
        <v>BED0692</v>
      </c>
      <c r="W693" t="str">
        <f t="shared" ca="1" si="229"/>
        <v>Semi-Private</v>
      </c>
      <c r="X693" t="str">
        <f t="shared" si="230"/>
        <v>NUR042</v>
      </c>
      <c r="Y693" t="str">
        <f t="shared" ca="1" si="231"/>
        <v>Night</v>
      </c>
      <c r="Z693" t="str">
        <f t="shared" ca="1" si="232"/>
        <v>CT Scanner</v>
      </c>
      <c r="AA693" t="str">
        <f t="shared" ca="1" si="233"/>
        <v>Maintenance</v>
      </c>
      <c r="AB693" t="str">
        <f t="shared" ca="1" si="234"/>
        <v>Partially Paid</v>
      </c>
      <c r="AC693" t="str">
        <f t="shared" ca="1" si="235"/>
        <v>Cash</v>
      </c>
      <c r="AD693" t="str">
        <f t="shared" ca="1" si="236"/>
        <v>No</v>
      </c>
      <c r="AE693" t="str">
        <f t="shared" ca="1" si="237"/>
        <v>Yes</v>
      </c>
      <c r="AF693" t="str">
        <f t="shared" ca="1" si="238"/>
        <v>Transferred</v>
      </c>
      <c r="AG693" t="str">
        <f t="shared" ca="1" si="239"/>
        <v>Northeast</v>
      </c>
      <c r="AH693" t="str">
        <f t="shared" si="222"/>
        <v>December</v>
      </c>
      <c r="AI693">
        <f t="shared" si="223"/>
        <v>2023</v>
      </c>
      <c r="AJ693" t="str">
        <f t="shared" ca="1" si="240"/>
        <v>Occupied</v>
      </c>
      <c r="AK693">
        <f t="shared" ca="1" si="241"/>
        <v>2</v>
      </c>
    </row>
    <row r="694" spans="1:37" x14ac:dyDescent="0.3">
      <c r="A694" t="s">
        <v>5118</v>
      </c>
      <c r="B694">
        <v>38</v>
      </c>
      <c r="C694" t="s">
        <v>32</v>
      </c>
      <c r="D694" t="s">
        <v>44</v>
      </c>
      <c r="E694" t="s">
        <v>39</v>
      </c>
      <c r="F694" s="1">
        <v>44753</v>
      </c>
      <c r="G694" t="s">
        <v>1423</v>
      </c>
      <c r="H694" t="s">
        <v>1424</v>
      </c>
      <c r="I694" t="s">
        <v>28</v>
      </c>
      <c r="J694">
        <v>1657</v>
      </c>
      <c r="K694">
        <v>176</v>
      </c>
      <c r="L694" t="s">
        <v>42</v>
      </c>
      <c r="M694" s="1">
        <v>44776</v>
      </c>
      <c r="N694" t="s">
        <v>67</v>
      </c>
      <c r="O694" t="s">
        <v>43</v>
      </c>
      <c r="P694" t="str">
        <f t="shared" si="224"/>
        <v>P0693</v>
      </c>
      <c r="Q694" t="str">
        <f t="shared" si="220"/>
        <v>Endocrinology</v>
      </c>
      <c r="R694">
        <f t="shared" si="221"/>
        <v>23</v>
      </c>
      <c r="S694" t="str">
        <f t="shared" ca="1" si="225"/>
        <v>No</v>
      </c>
      <c r="T694" t="str">
        <f t="shared" ca="1" si="226"/>
        <v>Critical</v>
      </c>
      <c r="U694" t="str">
        <f t="shared" ca="1" si="227"/>
        <v>Emergency</v>
      </c>
      <c r="V694" t="str">
        <f t="shared" si="228"/>
        <v>BED0693</v>
      </c>
      <c r="W694" t="str">
        <f t="shared" ca="1" si="229"/>
        <v>ICU</v>
      </c>
      <c r="X694" t="str">
        <f t="shared" si="230"/>
        <v>NUR043</v>
      </c>
      <c r="Y694" t="str">
        <f t="shared" ca="1" si="231"/>
        <v>Night</v>
      </c>
      <c r="Z694" t="str">
        <f t="shared" ca="1" si="232"/>
        <v>Ventilator</v>
      </c>
      <c r="AA694" t="str">
        <f t="shared" ca="1" si="233"/>
        <v>Available</v>
      </c>
      <c r="AB694" t="str">
        <f t="shared" ca="1" si="234"/>
        <v>Paid</v>
      </c>
      <c r="AC694" t="str">
        <f t="shared" ca="1" si="235"/>
        <v>Cash</v>
      </c>
      <c r="AD694" t="str">
        <f t="shared" ca="1" si="236"/>
        <v>No</v>
      </c>
      <c r="AE694" t="str">
        <f t="shared" ca="1" si="237"/>
        <v>No</v>
      </c>
      <c r="AF694" t="str">
        <f t="shared" ca="1" si="238"/>
        <v>Under Observation</v>
      </c>
      <c r="AG694" t="str">
        <f t="shared" ca="1" si="239"/>
        <v>Southwest</v>
      </c>
      <c r="AH694" t="str">
        <f t="shared" si="222"/>
        <v>July</v>
      </c>
      <c r="AI694">
        <f t="shared" si="223"/>
        <v>2022</v>
      </c>
      <c r="AJ694" t="str">
        <f t="shared" ca="1" si="240"/>
        <v>Occupied</v>
      </c>
      <c r="AK694">
        <f t="shared" ca="1" si="241"/>
        <v>1</v>
      </c>
    </row>
    <row r="695" spans="1:37" x14ac:dyDescent="0.3">
      <c r="A695" t="s">
        <v>5119</v>
      </c>
      <c r="B695">
        <v>75</v>
      </c>
      <c r="C695" t="s">
        <v>15</v>
      </c>
      <c r="D695" t="s">
        <v>44</v>
      </c>
      <c r="E695" t="s">
        <v>25</v>
      </c>
      <c r="F695" s="1">
        <v>44093</v>
      </c>
      <c r="G695" t="s">
        <v>1425</v>
      </c>
      <c r="H695" t="s">
        <v>1426</v>
      </c>
      <c r="I695" t="s">
        <v>36</v>
      </c>
      <c r="J695">
        <v>28464</v>
      </c>
      <c r="K695">
        <v>200</v>
      </c>
      <c r="L695" t="s">
        <v>29</v>
      </c>
      <c r="M695" s="1">
        <v>44110</v>
      </c>
      <c r="N695" t="s">
        <v>47</v>
      </c>
      <c r="O695" t="s">
        <v>31</v>
      </c>
      <c r="P695" t="str">
        <f t="shared" si="224"/>
        <v>P0694</v>
      </c>
      <c r="Q695" t="str">
        <f t="shared" si="220"/>
        <v>Nutrition</v>
      </c>
      <c r="R695">
        <f t="shared" si="221"/>
        <v>17</v>
      </c>
      <c r="S695" t="str">
        <f t="shared" ca="1" si="225"/>
        <v>No</v>
      </c>
      <c r="T695" t="str">
        <f t="shared" ca="1" si="226"/>
        <v>Mild</v>
      </c>
      <c r="U695" t="str">
        <f t="shared" ca="1" si="227"/>
        <v>Emergency</v>
      </c>
      <c r="V695" t="str">
        <f t="shared" si="228"/>
        <v>BED0694</v>
      </c>
      <c r="W695" t="str">
        <f t="shared" ca="1" si="229"/>
        <v>ICU</v>
      </c>
      <c r="X695" t="str">
        <f t="shared" si="230"/>
        <v>NUR044</v>
      </c>
      <c r="Y695" t="str">
        <f t="shared" ca="1" si="231"/>
        <v>Morning</v>
      </c>
      <c r="Z695" t="str">
        <f t="shared" ca="1" si="232"/>
        <v>Ultrasound</v>
      </c>
      <c r="AA695" t="str">
        <f t="shared" ca="1" si="233"/>
        <v>Available</v>
      </c>
      <c r="AB695" t="str">
        <f t="shared" ca="1" si="234"/>
        <v>Paid</v>
      </c>
      <c r="AC695" t="str">
        <f t="shared" ca="1" si="235"/>
        <v>Debit Card</v>
      </c>
      <c r="AD695" t="str">
        <f t="shared" ca="1" si="236"/>
        <v>No</v>
      </c>
      <c r="AE695" t="str">
        <f t="shared" ca="1" si="237"/>
        <v>No</v>
      </c>
      <c r="AF695" t="str">
        <f t="shared" ca="1" si="238"/>
        <v>Recovered</v>
      </c>
      <c r="AG695" t="str">
        <f t="shared" ca="1" si="239"/>
        <v>Northeast</v>
      </c>
      <c r="AH695" t="str">
        <f t="shared" si="222"/>
        <v>September</v>
      </c>
      <c r="AI695">
        <f t="shared" si="223"/>
        <v>2020</v>
      </c>
      <c r="AJ695" t="str">
        <f t="shared" ca="1" si="240"/>
        <v>Occupied</v>
      </c>
      <c r="AK695">
        <f t="shared" ca="1" si="241"/>
        <v>4</v>
      </c>
    </row>
    <row r="696" spans="1:37" x14ac:dyDescent="0.3">
      <c r="A696" t="s">
        <v>5120</v>
      </c>
      <c r="B696">
        <v>44</v>
      </c>
      <c r="C696" t="s">
        <v>15</v>
      </c>
      <c r="D696" t="s">
        <v>83</v>
      </c>
      <c r="E696" t="s">
        <v>17</v>
      </c>
      <c r="F696" s="1">
        <v>43714</v>
      </c>
      <c r="G696" t="s">
        <v>1427</v>
      </c>
      <c r="H696" t="s">
        <v>1428</v>
      </c>
      <c r="I696" t="s">
        <v>51</v>
      </c>
      <c r="J696">
        <v>5269</v>
      </c>
      <c r="K696">
        <v>142</v>
      </c>
      <c r="L696" t="s">
        <v>21</v>
      </c>
      <c r="M696" s="1">
        <v>43715</v>
      </c>
      <c r="N696" t="s">
        <v>30</v>
      </c>
      <c r="O696" t="s">
        <v>31</v>
      </c>
      <c r="P696" t="str">
        <f t="shared" si="224"/>
        <v>P0695</v>
      </c>
      <c r="Q696" t="str">
        <f t="shared" si="220"/>
        <v>Oncology</v>
      </c>
      <c r="R696">
        <f t="shared" si="221"/>
        <v>1</v>
      </c>
      <c r="S696" t="str">
        <f t="shared" ca="1" si="225"/>
        <v>No</v>
      </c>
      <c r="T696" t="str">
        <f t="shared" ca="1" si="226"/>
        <v>Moderate</v>
      </c>
      <c r="U696" t="str">
        <f t="shared" ca="1" si="227"/>
        <v>ICU</v>
      </c>
      <c r="V696" t="str">
        <f t="shared" si="228"/>
        <v>BED0695</v>
      </c>
      <c r="W696" t="str">
        <f t="shared" ca="1" si="229"/>
        <v>General</v>
      </c>
      <c r="X696" t="str">
        <f t="shared" si="230"/>
        <v>NUR045</v>
      </c>
      <c r="Y696" t="str">
        <f t="shared" ca="1" si="231"/>
        <v>Evening</v>
      </c>
      <c r="Z696" t="str">
        <f t="shared" ca="1" si="232"/>
        <v>X-Ray</v>
      </c>
      <c r="AA696" t="str">
        <f t="shared" ca="1" si="233"/>
        <v>Available</v>
      </c>
      <c r="AB696" t="str">
        <f t="shared" ca="1" si="234"/>
        <v>Paid</v>
      </c>
      <c r="AC696" t="str">
        <f t="shared" ca="1" si="235"/>
        <v>Cash</v>
      </c>
      <c r="AD696" t="str">
        <f t="shared" ca="1" si="236"/>
        <v>No</v>
      </c>
      <c r="AE696" t="str">
        <f t="shared" ca="1" si="237"/>
        <v>No</v>
      </c>
      <c r="AF696" t="str">
        <f t="shared" ca="1" si="238"/>
        <v>Recovered</v>
      </c>
      <c r="AG696" t="str">
        <f t="shared" ca="1" si="239"/>
        <v>Southwest</v>
      </c>
      <c r="AH696" t="str">
        <f t="shared" si="222"/>
        <v>September</v>
      </c>
      <c r="AI696">
        <f t="shared" si="223"/>
        <v>2019</v>
      </c>
      <c r="AJ696" t="str">
        <f t="shared" ca="1" si="240"/>
        <v>Vacant</v>
      </c>
      <c r="AK696">
        <f t="shared" ca="1" si="241"/>
        <v>1</v>
      </c>
    </row>
    <row r="697" spans="1:37" x14ac:dyDescent="0.3">
      <c r="A697" t="s">
        <v>5121</v>
      </c>
      <c r="B697">
        <v>23</v>
      </c>
      <c r="C697" t="s">
        <v>15</v>
      </c>
      <c r="D697" t="s">
        <v>98</v>
      </c>
      <c r="E697" t="s">
        <v>25</v>
      </c>
      <c r="F697" s="1">
        <v>43791</v>
      </c>
      <c r="G697" t="s">
        <v>1429</v>
      </c>
      <c r="H697" t="s">
        <v>1430</v>
      </c>
      <c r="I697" t="s">
        <v>57</v>
      </c>
      <c r="J697">
        <v>24012</v>
      </c>
      <c r="K697">
        <v>442</v>
      </c>
      <c r="L697" t="s">
        <v>29</v>
      </c>
      <c r="M697" s="1">
        <v>43821</v>
      </c>
      <c r="N697" t="s">
        <v>22</v>
      </c>
      <c r="O697" t="s">
        <v>31</v>
      </c>
      <c r="P697" t="str">
        <f t="shared" si="224"/>
        <v>P0696</v>
      </c>
      <c r="Q697" t="str">
        <f t="shared" si="220"/>
        <v>Nutrition</v>
      </c>
      <c r="R697">
        <f t="shared" si="221"/>
        <v>30</v>
      </c>
      <c r="S697" t="str">
        <f t="shared" ca="1" si="225"/>
        <v>No</v>
      </c>
      <c r="T697" t="str">
        <f t="shared" ca="1" si="226"/>
        <v>Moderate</v>
      </c>
      <c r="U697" t="str">
        <f t="shared" ca="1" si="227"/>
        <v>Private Ward</v>
      </c>
      <c r="V697" t="str">
        <f t="shared" si="228"/>
        <v>BED0696</v>
      </c>
      <c r="W697" t="str">
        <f t="shared" ca="1" si="229"/>
        <v>Semi-Private</v>
      </c>
      <c r="X697" t="str">
        <f t="shared" si="230"/>
        <v>NUR046</v>
      </c>
      <c r="Y697" t="str">
        <f t="shared" ca="1" si="231"/>
        <v>Evening</v>
      </c>
      <c r="Z697" t="str">
        <f t="shared" ca="1" si="232"/>
        <v>Ventilator</v>
      </c>
      <c r="AA697" t="str">
        <f t="shared" ca="1" si="233"/>
        <v>Maintenance</v>
      </c>
      <c r="AB697" t="str">
        <f t="shared" ca="1" si="234"/>
        <v>Paid</v>
      </c>
      <c r="AC697" t="str">
        <f t="shared" ca="1" si="235"/>
        <v>Insurance</v>
      </c>
      <c r="AD697" t="str">
        <f t="shared" ca="1" si="236"/>
        <v>No</v>
      </c>
      <c r="AE697" t="str">
        <f t="shared" ca="1" si="237"/>
        <v>No</v>
      </c>
      <c r="AF697" t="str">
        <f t="shared" ca="1" si="238"/>
        <v>Recovered</v>
      </c>
      <c r="AG697" t="str">
        <f t="shared" ca="1" si="239"/>
        <v>Midwest</v>
      </c>
      <c r="AH697" t="str">
        <f t="shared" si="222"/>
        <v>November</v>
      </c>
      <c r="AI697">
        <f t="shared" si="223"/>
        <v>2019</v>
      </c>
      <c r="AJ697" t="str">
        <f t="shared" ca="1" si="240"/>
        <v>Vacant</v>
      </c>
      <c r="AK697">
        <f t="shared" ca="1" si="241"/>
        <v>4</v>
      </c>
    </row>
    <row r="698" spans="1:37" x14ac:dyDescent="0.3">
      <c r="A698" t="s">
        <v>5122</v>
      </c>
      <c r="B698">
        <v>45</v>
      </c>
      <c r="C698" t="s">
        <v>32</v>
      </c>
      <c r="D698" t="s">
        <v>16</v>
      </c>
      <c r="E698" t="s">
        <v>17</v>
      </c>
      <c r="F698" s="1">
        <v>44034</v>
      </c>
      <c r="G698" t="s">
        <v>1431</v>
      </c>
      <c r="H698" t="s">
        <v>1432</v>
      </c>
      <c r="I698" t="s">
        <v>28</v>
      </c>
      <c r="J698">
        <v>18467</v>
      </c>
      <c r="K698">
        <v>177</v>
      </c>
      <c r="L698" t="s">
        <v>42</v>
      </c>
      <c r="M698" s="1">
        <v>44036</v>
      </c>
      <c r="N698" t="s">
        <v>47</v>
      </c>
      <c r="O698" t="s">
        <v>43</v>
      </c>
      <c r="P698" t="str">
        <f t="shared" si="224"/>
        <v>P0697</v>
      </c>
      <c r="Q698" t="str">
        <f t="shared" si="220"/>
        <v>Oncology</v>
      </c>
      <c r="R698">
        <f t="shared" si="221"/>
        <v>2</v>
      </c>
      <c r="S698" t="str">
        <f t="shared" ca="1" si="225"/>
        <v>No</v>
      </c>
      <c r="T698" t="str">
        <f t="shared" ca="1" si="226"/>
        <v>Moderate</v>
      </c>
      <c r="U698" t="str">
        <f t="shared" ca="1" si="227"/>
        <v>Private Ward</v>
      </c>
      <c r="V698" t="str">
        <f t="shared" si="228"/>
        <v>BED0697</v>
      </c>
      <c r="W698" t="str">
        <f t="shared" ca="1" si="229"/>
        <v>ICU</v>
      </c>
      <c r="X698" t="str">
        <f t="shared" si="230"/>
        <v>NUR047</v>
      </c>
      <c r="Y698" t="str">
        <f t="shared" ca="1" si="231"/>
        <v>Morning</v>
      </c>
      <c r="Z698" t="str">
        <f t="shared" ca="1" si="232"/>
        <v>Ultrasound</v>
      </c>
      <c r="AA698" t="str">
        <f t="shared" ca="1" si="233"/>
        <v>Available</v>
      </c>
      <c r="AB698" t="str">
        <f t="shared" ca="1" si="234"/>
        <v>Pending</v>
      </c>
      <c r="AC698" t="str">
        <f t="shared" ca="1" si="235"/>
        <v>Cash</v>
      </c>
      <c r="AD698" t="str">
        <f t="shared" ca="1" si="236"/>
        <v>No</v>
      </c>
      <c r="AE698" t="str">
        <f t="shared" ca="1" si="237"/>
        <v>No</v>
      </c>
      <c r="AF698" t="str">
        <f t="shared" ca="1" si="238"/>
        <v>Recovered</v>
      </c>
      <c r="AG698" t="str">
        <f t="shared" ca="1" si="239"/>
        <v>Midwest</v>
      </c>
      <c r="AH698" t="str">
        <f t="shared" si="222"/>
        <v>July</v>
      </c>
      <c r="AI698">
        <f t="shared" si="223"/>
        <v>2020</v>
      </c>
      <c r="AJ698" t="str">
        <f t="shared" ca="1" si="240"/>
        <v>Occupied</v>
      </c>
      <c r="AK698">
        <f t="shared" ca="1" si="241"/>
        <v>2</v>
      </c>
    </row>
    <row r="699" spans="1:37" x14ac:dyDescent="0.3">
      <c r="A699" t="s">
        <v>5123</v>
      </c>
      <c r="B699">
        <v>58</v>
      </c>
      <c r="C699" t="s">
        <v>15</v>
      </c>
      <c r="D699" t="s">
        <v>83</v>
      </c>
      <c r="E699" t="s">
        <v>17</v>
      </c>
      <c r="F699" s="1">
        <v>44621</v>
      </c>
      <c r="G699" t="s">
        <v>1433</v>
      </c>
      <c r="H699" t="s">
        <v>1434</v>
      </c>
      <c r="I699" t="s">
        <v>36</v>
      </c>
      <c r="J699">
        <v>3783</v>
      </c>
      <c r="K699">
        <v>134</v>
      </c>
      <c r="L699" t="s">
        <v>21</v>
      </c>
      <c r="M699" s="1">
        <v>44639</v>
      </c>
      <c r="N699" t="s">
        <v>22</v>
      </c>
      <c r="O699" t="s">
        <v>43</v>
      </c>
      <c r="P699" t="str">
        <f t="shared" si="224"/>
        <v>P0698</v>
      </c>
      <c r="Q699" t="str">
        <f t="shared" si="220"/>
        <v>Oncology</v>
      </c>
      <c r="R699">
        <f t="shared" si="221"/>
        <v>18</v>
      </c>
      <c r="S699" t="str">
        <f t="shared" ca="1" si="225"/>
        <v>No</v>
      </c>
      <c r="T699" t="str">
        <f t="shared" ca="1" si="226"/>
        <v>Critical</v>
      </c>
      <c r="U699" t="str">
        <f t="shared" ca="1" si="227"/>
        <v>ICU</v>
      </c>
      <c r="V699" t="str">
        <f t="shared" si="228"/>
        <v>BED0698</v>
      </c>
      <c r="W699" t="str">
        <f t="shared" ca="1" si="229"/>
        <v>General</v>
      </c>
      <c r="X699" t="str">
        <f t="shared" si="230"/>
        <v>NUR048</v>
      </c>
      <c r="Y699" t="str">
        <f t="shared" ca="1" si="231"/>
        <v>Night</v>
      </c>
      <c r="Z699" t="str">
        <f t="shared" ca="1" si="232"/>
        <v>ECG Machine</v>
      </c>
      <c r="AA699" t="str">
        <f t="shared" ca="1" si="233"/>
        <v>In Use</v>
      </c>
      <c r="AB699" t="str">
        <f t="shared" ca="1" si="234"/>
        <v>Pending</v>
      </c>
      <c r="AC699" t="str">
        <f t="shared" ca="1" si="235"/>
        <v>Bank Transfer</v>
      </c>
      <c r="AD699" t="str">
        <f t="shared" ca="1" si="236"/>
        <v>No</v>
      </c>
      <c r="AE699" t="str">
        <f t="shared" ca="1" si="237"/>
        <v>No</v>
      </c>
      <c r="AF699" t="str">
        <f t="shared" ca="1" si="238"/>
        <v>Transferred</v>
      </c>
      <c r="AG699" t="str">
        <f t="shared" ca="1" si="239"/>
        <v>Midwest</v>
      </c>
      <c r="AH699" t="str">
        <f t="shared" si="222"/>
        <v>March</v>
      </c>
      <c r="AI699">
        <f t="shared" si="223"/>
        <v>2022</v>
      </c>
      <c r="AJ699" t="str">
        <f t="shared" ca="1" si="240"/>
        <v>Occupied</v>
      </c>
      <c r="AK699">
        <f t="shared" ca="1" si="241"/>
        <v>4</v>
      </c>
    </row>
    <row r="700" spans="1:37" x14ac:dyDescent="0.3">
      <c r="A700" t="s">
        <v>5124</v>
      </c>
      <c r="B700">
        <v>34</v>
      </c>
      <c r="C700" t="s">
        <v>15</v>
      </c>
      <c r="D700" t="s">
        <v>16</v>
      </c>
      <c r="E700" t="s">
        <v>39</v>
      </c>
      <c r="F700" s="1">
        <v>44986</v>
      </c>
      <c r="G700" t="s">
        <v>1435</v>
      </c>
      <c r="H700" t="s">
        <v>1436</v>
      </c>
      <c r="I700" t="s">
        <v>36</v>
      </c>
      <c r="J700">
        <v>11922</v>
      </c>
      <c r="K700">
        <v>355</v>
      </c>
      <c r="L700" t="s">
        <v>21</v>
      </c>
      <c r="M700" s="1">
        <v>45006</v>
      </c>
      <c r="N700" t="s">
        <v>30</v>
      </c>
      <c r="O700" t="s">
        <v>31</v>
      </c>
      <c r="P700" t="str">
        <f t="shared" si="224"/>
        <v>P0699</v>
      </c>
      <c r="Q700" t="str">
        <f t="shared" si="220"/>
        <v>Endocrinology</v>
      </c>
      <c r="R700">
        <f t="shared" si="221"/>
        <v>20</v>
      </c>
      <c r="S700" t="str">
        <f t="shared" ca="1" si="225"/>
        <v>No</v>
      </c>
      <c r="T700" t="str">
        <f t="shared" ca="1" si="226"/>
        <v>Critical</v>
      </c>
      <c r="U700" t="str">
        <f t="shared" ca="1" si="227"/>
        <v>Emergency</v>
      </c>
      <c r="V700" t="str">
        <f t="shared" si="228"/>
        <v>BED0699</v>
      </c>
      <c r="W700" t="str">
        <f t="shared" ca="1" si="229"/>
        <v>Semi-Private</v>
      </c>
      <c r="X700" t="str">
        <f t="shared" si="230"/>
        <v>NUR049</v>
      </c>
      <c r="Y700" t="str">
        <f t="shared" ca="1" si="231"/>
        <v>Morning</v>
      </c>
      <c r="Z700" t="str">
        <f t="shared" ca="1" si="232"/>
        <v>Ventilator</v>
      </c>
      <c r="AA700" t="str">
        <f t="shared" ca="1" si="233"/>
        <v>In Use</v>
      </c>
      <c r="AB700" t="str">
        <f t="shared" ca="1" si="234"/>
        <v>Partially Paid</v>
      </c>
      <c r="AC700" t="str">
        <f t="shared" ca="1" si="235"/>
        <v>Debit Card</v>
      </c>
      <c r="AD700" t="str">
        <f t="shared" ca="1" si="236"/>
        <v>No</v>
      </c>
      <c r="AE700" t="str">
        <f t="shared" ca="1" si="237"/>
        <v>Yes</v>
      </c>
      <c r="AF700" t="str">
        <f t="shared" ca="1" si="238"/>
        <v>Recovered</v>
      </c>
      <c r="AG700" t="str">
        <f t="shared" ca="1" si="239"/>
        <v>West Coast</v>
      </c>
      <c r="AH700" t="str">
        <f t="shared" si="222"/>
        <v>March</v>
      </c>
      <c r="AI700">
        <f t="shared" si="223"/>
        <v>2023</v>
      </c>
      <c r="AJ700" t="str">
        <f t="shared" ca="1" si="240"/>
        <v>Occupied</v>
      </c>
      <c r="AK700">
        <f t="shared" ca="1" si="241"/>
        <v>1</v>
      </c>
    </row>
    <row r="701" spans="1:37" x14ac:dyDescent="0.3">
      <c r="A701" t="s">
        <v>5125</v>
      </c>
      <c r="B701">
        <v>54</v>
      </c>
      <c r="C701" t="s">
        <v>32</v>
      </c>
      <c r="D701" t="s">
        <v>83</v>
      </c>
      <c r="E701" t="s">
        <v>25</v>
      </c>
      <c r="F701" s="1">
        <v>44308</v>
      </c>
      <c r="G701" t="s">
        <v>1437</v>
      </c>
      <c r="H701" t="s">
        <v>1438</v>
      </c>
      <c r="I701" t="s">
        <v>57</v>
      </c>
      <c r="J701">
        <v>16726</v>
      </c>
      <c r="K701">
        <v>361</v>
      </c>
      <c r="L701" t="s">
        <v>21</v>
      </c>
      <c r="M701" s="1">
        <v>44327</v>
      </c>
      <c r="N701" t="s">
        <v>67</v>
      </c>
      <c r="O701" t="s">
        <v>43</v>
      </c>
      <c r="P701" t="str">
        <f t="shared" si="224"/>
        <v>P0700</v>
      </c>
      <c r="Q701" t="str">
        <f t="shared" si="220"/>
        <v>Nutrition</v>
      </c>
      <c r="R701">
        <f t="shared" si="221"/>
        <v>19</v>
      </c>
      <c r="S701" t="str">
        <f t="shared" ca="1" si="225"/>
        <v>No</v>
      </c>
      <c r="T701" t="str">
        <f t="shared" ca="1" si="226"/>
        <v>Mild</v>
      </c>
      <c r="U701" t="str">
        <f t="shared" ca="1" si="227"/>
        <v>Private Ward</v>
      </c>
      <c r="V701" t="str">
        <f t="shared" si="228"/>
        <v>BED0700</v>
      </c>
      <c r="W701" t="str">
        <f t="shared" ca="1" si="229"/>
        <v>General</v>
      </c>
      <c r="X701" t="str">
        <f t="shared" si="230"/>
        <v>NUR050</v>
      </c>
      <c r="Y701" t="str">
        <f t="shared" ca="1" si="231"/>
        <v>Morning</v>
      </c>
      <c r="Z701" t="str">
        <f t="shared" ca="1" si="232"/>
        <v>Ultrasound</v>
      </c>
      <c r="AA701" t="str">
        <f t="shared" ca="1" si="233"/>
        <v>Available</v>
      </c>
      <c r="AB701" t="str">
        <f t="shared" ca="1" si="234"/>
        <v>Partially Paid</v>
      </c>
      <c r="AC701" t="str">
        <f t="shared" ca="1" si="235"/>
        <v>Insurance</v>
      </c>
      <c r="AD701" t="str">
        <f t="shared" ca="1" si="236"/>
        <v>No</v>
      </c>
      <c r="AE701" t="str">
        <f t="shared" ca="1" si="237"/>
        <v>No</v>
      </c>
      <c r="AF701" t="str">
        <f t="shared" ca="1" si="238"/>
        <v>Transferred</v>
      </c>
      <c r="AG701" t="str">
        <f t="shared" ca="1" si="239"/>
        <v>Midwest</v>
      </c>
      <c r="AH701" t="str">
        <f t="shared" si="222"/>
        <v>April</v>
      </c>
      <c r="AI701">
        <f t="shared" si="223"/>
        <v>2021</v>
      </c>
      <c r="AJ701" t="str">
        <f t="shared" ca="1" si="240"/>
        <v>Occupied</v>
      </c>
      <c r="AK701">
        <f t="shared" ca="1" si="241"/>
        <v>4</v>
      </c>
    </row>
    <row r="702" spans="1:37" x14ac:dyDescent="0.3">
      <c r="A702" t="s">
        <v>5126</v>
      </c>
      <c r="B702">
        <v>29</v>
      </c>
      <c r="C702" t="s">
        <v>32</v>
      </c>
      <c r="D702" t="s">
        <v>24</v>
      </c>
      <c r="E702" t="s">
        <v>25</v>
      </c>
      <c r="F702" s="1">
        <v>44097</v>
      </c>
      <c r="G702" t="s">
        <v>1439</v>
      </c>
      <c r="H702" t="s">
        <v>1440</v>
      </c>
      <c r="I702" t="s">
        <v>57</v>
      </c>
      <c r="J702">
        <v>39701</v>
      </c>
      <c r="K702">
        <v>421</v>
      </c>
      <c r="L702" t="s">
        <v>21</v>
      </c>
      <c r="M702" s="1">
        <v>44099</v>
      </c>
      <c r="N702" t="s">
        <v>22</v>
      </c>
      <c r="O702" t="s">
        <v>31</v>
      </c>
      <c r="P702" t="str">
        <f t="shared" si="224"/>
        <v>P0701</v>
      </c>
      <c r="Q702" t="str">
        <f t="shared" si="220"/>
        <v>Nutrition</v>
      </c>
      <c r="R702">
        <f t="shared" si="221"/>
        <v>2</v>
      </c>
      <c r="S702" t="str">
        <f t="shared" ca="1" si="225"/>
        <v>Yes</v>
      </c>
      <c r="T702" t="str">
        <f t="shared" ca="1" si="226"/>
        <v>Severe</v>
      </c>
      <c r="U702" t="str">
        <f t="shared" ca="1" si="227"/>
        <v>Private Ward</v>
      </c>
      <c r="V702" t="str">
        <f t="shared" si="228"/>
        <v>BED0701</v>
      </c>
      <c r="W702" t="str">
        <f t="shared" ca="1" si="229"/>
        <v>ICU</v>
      </c>
      <c r="X702" t="str">
        <f t="shared" si="230"/>
        <v>NUR001</v>
      </c>
      <c r="Y702" t="str">
        <f t="shared" ca="1" si="231"/>
        <v>Night</v>
      </c>
      <c r="Z702" t="str">
        <f t="shared" ca="1" si="232"/>
        <v>Ventilator</v>
      </c>
      <c r="AA702" t="str">
        <f t="shared" ca="1" si="233"/>
        <v>In Use</v>
      </c>
      <c r="AB702" t="str">
        <f t="shared" ca="1" si="234"/>
        <v>Pending</v>
      </c>
      <c r="AC702" t="str">
        <f t="shared" ca="1" si="235"/>
        <v>Cash</v>
      </c>
      <c r="AD702" t="str">
        <f t="shared" ca="1" si="236"/>
        <v>Yes</v>
      </c>
      <c r="AE702" t="str">
        <f t="shared" ca="1" si="237"/>
        <v>No</v>
      </c>
      <c r="AF702" t="str">
        <f t="shared" ca="1" si="238"/>
        <v>Recovered</v>
      </c>
      <c r="AG702" t="str">
        <f t="shared" ca="1" si="239"/>
        <v>Northeast</v>
      </c>
      <c r="AH702" t="str">
        <f t="shared" si="222"/>
        <v>September</v>
      </c>
      <c r="AI702">
        <f t="shared" si="223"/>
        <v>2020</v>
      </c>
      <c r="AJ702" t="str">
        <f t="shared" ca="1" si="240"/>
        <v>Occupied</v>
      </c>
      <c r="AK702">
        <f t="shared" ca="1" si="241"/>
        <v>4</v>
      </c>
    </row>
    <row r="703" spans="1:37" x14ac:dyDescent="0.3">
      <c r="A703" t="s">
        <v>5127</v>
      </c>
      <c r="B703">
        <v>54</v>
      </c>
      <c r="C703" t="s">
        <v>32</v>
      </c>
      <c r="D703" t="s">
        <v>24</v>
      </c>
      <c r="E703" t="s">
        <v>17</v>
      </c>
      <c r="F703" s="1">
        <v>44934</v>
      </c>
      <c r="G703" t="s">
        <v>1441</v>
      </c>
      <c r="H703" t="s">
        <v>1442</v>
      </c>
      <c r="I703" t="s">
        <v>28</v>
      </c>
      <c r="J703">
        <v>2568</v>
      </c>
      <c r="K703">
        <v>136</v>
      </c>
      <c r="L703" t="s">
        <v>29</v>
      </c>
      <c r="M703" s="1">
        <v>44945</v>
      </c>
      <c r="N703" t="s">
        <v>67</v>
      </c>
      <c r="O703" t="s">
        <v>43</v>
      </c>
      <c r="P703" t="str">
        <f t="shared" si="224"/>
        <v>P0702</v>
      </c>
      <c r="Q703" t="str">
        <f t="shared" si="220"/>
        <v>Oncology</v>
      </c>
      <c r="R703">
        <f t="shared" si="221"/>
        <v>11</v>
      </c>
      <c r="S703" t="str">
        <f t="shared" ca="1" si="225"/>
        <v>Yes</v>
      </c>
      <c r="T703" t="str">
        <f t="shared" ca="1" si="226"/>
        <v>Moderate</v>
      </c>
      <c r="U703" t="str">
        <f t="shared" ca="1" si="227"/>
        <v>Emergency</v>
      </c>
      <c r="V703" t="str">
        <f t="shared" si="228"/>
        <v>BED0702</v>
      </c>
      <c r="W703" t="str">
        <f t="shared" ca="1" si="229"/>
        <v>Private</v>
      </c>
      <c r="X703" t="str">
        <f t="shared" si="230"/>
        <v>NUR002</v>
      </c>
      <c r="Y703" t="str">
        <f t="shared" ca="1" si="231"/>
        <v>Morning</v>
      </c>
      <c r="Z703" t="str">
        <f t="shared" ca="1" si="232"/>
        <v>CT Scanner</v>
      </c>
      <c r="AA703" t="str">
        <f t="shared" ca="1" si="233"/>
        <v>Maintenance</v>
      </c>
      <c r="AB703" t="str">
        <f t="shared" ca="1" si="234"/>
        <v>Pending</v>
      </c>
      <c r="AC703" t="str">
        <f t="shared" ca="1" si="235"/>
        <v>Insurance</v>
      </c>
      <c r="AD703" t="str">
        <f t="shared" ca="1" si="236"/>
        <v>No</v>
      </c>
      <c r="AE703" t="str">
        <f t="shared" ca="1" si="237"/>
        <v>No</v>
      </c>
      <c r="AF703" t="str">
        <f t="shared" ca="1" si="238"/>
        <v>Under Observation</v>
      </c>
      <c r="AG703" t="str">
        <f t="shared" ca="1" si="239"/>
        <v>West Coast</v>
      </c>
      <c r="AH703" t="str">
        <f t="shared" si="222"/>
        <v>January</v>
      </c>
      <c r="AI703">
        <f t="shared" si="223"/>
        <v>2023</v>
      </c>
      <c r="AJ703" t="str">
        <f t="shared" ca="1" si="240"/>
        <v>Occupied</v>
      </c>
      <c r="AK703">
        <f t="shared" ca="1" si="241"/>
        <v>4</v>
      </c>
    </row>
    <row r="704" spans="1:37" x14ac:dyDescent="0.3">
      <c r="A704" t="s">
        <v>5128</v>
      </c>
      <c r="B704">
        <v>46</v>
      </c>
      <c r="C704" t="s">
        <v>15</v>
      </c>
      <c r="D704" t="s">
        <v>52</v>
      </c>
      <c r="E704" t="s">
        <v>48</v>
      </c>
      <c r="F704" s="1">
        <v>44790</v>
      </c>
      <c r="G704" t="s">
        <v>1443</v>
      </c>
      <c r="H704" t="s">
        <v>1444</v>
      </c>
      <c r="I704" t="s">
        <v>28</v>
      </c>
      <c r="J704">
        <v>15242</v>
      </c>
      <c r="K704">
        <v>203</v>
      </c>
      <c r="L704" t="s">
        <v>42</v>
      </c>
      <c r="M704" s="1">
        <v>44812</v>
      </c>
      <c r="N704" t="s">
        <v>22</v>
      </c>
      <c r="O704" t="s">
        <v>43</v>
      </c>
      <c r="P704" t="str">
        <f t="shared" si="224"/>
        <v>P0703</v>
      </c>
      <c r="Q704" t="str">
        <f t="shared" si="220"/>
        <v>Pulmonology</v>
      </c>
      <c r="R704">
        <f t="shared" si="221"/>
        <v>22</v>
      </c>
      <c r="S704" t="str">
        <f t="shared" ca="1" si="225"/>
        <v>No</v>
      </c>
      <c r="T704" t="str">
        <f t="shared" ca="1" si="226"/>
        <v>Critical</v>
      </c>
      <c r="U704" t="str">
        <f t="shared" ca="1" si="227"/>
        <v>ICU</v>
      </c>
      <c r="V704" t="str">
        <f t="shared" si="228"/>
        <v>BED0703</v>
      </c>
      <c r="W704" t="str">
        <f t="shared" ca="1" si="229"/>
        <v>General</v>
      </c>
      <c r="X704" t="str">
        <f t="shared" si="230"/>
        <v>NUR003</v>
      </c>
      <c r="Y704" t="str">
        <f t="shared" ca="1" si="231"/>
        <v>Morning</v>
      </c>
      <c r="Z704" t="str">
        <f t="shared" ca="1" si="232"/>
        <v>X-Ray</v>
      </c>
      <c r="AA704" t="str">
        <f t="shared" ca="1" si="233"/>
        <v>Available</v>
      </c>
      <c r="AB704" t="str">
        <f t="shared" ca="1" si="234"/>
        <v>Paid</v>
      </c>
      <c r="AC704" t="str">
        <f t="shared" ca="1" si="235"/>
        <v>Cash</v>
      </c>
      <c r="AD704" t="str">
        <f t="shared" ca="1" si="236"/>
        <v>No</v>
      </c>
      <c r="AE704" t="str">
        <f t="shared" ca="1" si="237"/>
        <v>Yes</v>
      </c>
      <c r="AF704" t="str">
        <f t="shared" ca="1" si="238"/>
        <v>Transferred</v>
      </c>
      <c r="AG704" t="str">
        <f t="shared" ca="1" si="239"/>
        <v>Northeast</v>
      </c>
      <c r="AH704" t="str">
        <f t="shared" si="222"/>
        <v>August</v>
      </c>
      <c r="AI704">
        <f t="shared" si="223"/>
        <v>2022</v>
      </c>
      <c r="AJ704" t="str">
        <f t="shared" ca="1" si="240"/>
        <v>Occupied</v>
      </c>
      <c r="AK704">
        <f t="shared" ca="1" si="241"/>
        <v>2</v>
      </c>
    </row>
    <row r="705" spans="1:37" x14ac:dyDescent="0.3">
      <c r="A705" t="s">
        <v>5129</v>
      </c>
      <c r="B705">
        <v>35</v>
      </c>
      <c r="C705" t="s">
        <v>32</v>
      </c>
      <c r="D705" t="s">
        <v>44</v>
      </c>
      <c r="E705" t="s">
        <v>64</v>
      </c>
      <c r="F705" s="1">
        <v>44362</v>
      </c>
      <c r="G705" t="s">
        <v>1445</v>
      </c>
      <c r="H705" t="s">
        <v>1446</v>
      </c>
      <c r="I705" t="s">
        <v>51</v>
      </c>
      <c r="J705">
        <v>31054</v>
      </c>
      <c r="K705">
        <v>114</v>
      </c>
      <c r="L705" t="s">
        <v>21</v>
      </c>
      <c r="M705" s="1">
        <v>44372</v>
      </c>
      <c r="N705" t="s">
        <v>67</v>
      </c>
      <c r="O705" t="s">
        <v>23</v>
      </c>
      <c r="P705" t="str">
        <f t="shared" si="224"/>
        <v>P0704</v>
      </c>
      <c r="Q705" t="str">
        <f t="shared" si="220"/>
        <v>Cardiology</v>
      </c>
      <c r="R705">
        <f t="shared" si="221"/>
        <v>10</v>
      </c>
      <c r="S705" t="str">
        <f t="shared" ca="1" si="225"/>
        <v>No</v>
      </c>
      <c r="T705" t="str">
        <f t="shared" ca="1" si="226"/>
        <v>Mild</v>
      </c>
      <c r="U705" t="str">
        <f t="shared" ca="1" si="227"/>
        <v>General Ward</v>
      </c>
      <c r="V705" t="str">
        <f t="shared" si="228"/>
        <v>BED0704</v>
      </c>
      <c r="W705" t="str">
        <f t="shared" ca="1" si="229"/>
        <v>General</v>
      </c>
      <c r="X705" t="str">
        <f t="shared" si="230"/>
        <v>NUR004</v>
      </c>
      <c r="Y705" t="str">
        <f t="shared" ca="1" si="231"/>
        <v>Evening</v>
      </c>
      <c r="Z705" t="str">
        <f t="shared" ca="1" si="232"/>
        <v>Ventilator</v>
      </c>
      <c r="AA705" t="str">
        <f t="shared" ca="1" si="233"/>
        <v>Maintenance</v>
      </c>
      <c r="AB705" t="str">
        <f t="shared" ca="1" si="234"/>
        <v>Paid</v>
      </c>
      <c r="AC705" t="str">
        <f t="shared" ca="1" si="235"/>
        <v>Bank Transfer</v>
      </c>
      <c r="AD705" t="str">
        <f t="shared" ca="1" si="236"/>
        <v>No</v>
      </c>
      <c r="AE705" t="str">
        <f t="shared" ca="1" si="237"/>
        <v>No</v>
      </c>
      <c r="AF705" t="str">
        <f t="shared" ca="1" si="238"/>
        <v>Recovered</v>
      </c>
      <c r="AG705" t="str">
        <f t="shared" ca="1" si="239"/>
        <v>Northeast</v>
      </c>
      <c r="AH705" t="str">
        <f t="shared" si="222"/>
        <v>June</v>
      </c>
      <c r="AI705">
        <f t="shared" si="223"/>
        <v>2021</v>
      </c>
      <c r="AJ705" t="str">
        <f t="shared" ca="1" si="240"/>
        <v>Occupied</v>
      </c>
      <c r="AK705">
        <f t="shared" ca="1" si="241"/>
        <v>2</v>
      </c>
    </row>
    <row r="706" spans="1:37" x14ac:dyDescent="0.3">
      <c r="A706" t="s">
        <v>5130</v>
      </c>
      <c r="B706">
        <v>58</v>
      </c>
      <c r="C706" t="s">
        <v>32</v>
      </c>
      <c r="D706" t="s">
        <v>44</v>
      </c>
      <c r="E706" t="s">
        <v>25</v>
      </c>
      <c r="F706" s="1">
        <v>45352</v>
      </c>
      <c r="G706" t="s">
        <v>1447</v>
      </c>
      <c r="H706" t="s">
        <v>1448</v>
      </c>
      <c r="I706" t="s">
        <v>20</v>
      </c>
      <c r="J706">
        <v>49119</v>
      </c>
      <c r="K706">
        <v>114</v>
      </c>
      <c r="L706" t="s">
        <v>21</v>
      </c>
      <c r="M706" s="1">
        <v>45371</v>
      </c>
      <c r="N706" t="s">
        <v>67</v>
      </c>
      <c r="O706" t="s">
        <v>31</v>
      </c>
      <c r="P706" t="str">
        <f t="shared" si="224"/>
        <v>P0705</v>
      </c>
      <c r="Q706" t="str">
        <f t="shared" ref="Q706:Q769" si="242">IF(E706="Cancer","Oncology",IF(E706="Obesity","Nutrition",IF(E706="Diabetes","Endocrinology",IF(E706="Asthma","Pulmonology",IF(E706="Arthritis","Orthopedics",IF(E706="Hypertension","Cardiology","General Medicine"))))))</f>
        <v>Nutrition</v>
      </c>
      <c r="R706">
        <f t="shared" ref="R706:R769" si="243">M706-F706</f>
        <v>19</v>
      </c>
      <c r="S706" t="str">
        <f t="shared" ca="1" si="225"/>
        <v>No</v>
      </c>
      <c r="T706" t="str">
        <f t="shared" ca="1" si="226"/>
        <v>Severe</v>
      </c>
      <c r="U706" t="str">
        <f t="shared" ca="1" si="227"/>
        <v>Semi-Private</v>
      </c>
      <c r="V706" t="str">
        <f t="shared" si="228"/>
        <v>BED0705</v>
      </c>
      <c r="W706" t="str">
        <f t="shared" ca="1" si="229"/>
        <v>ICU</v>
      </c>
      <c r="X706" t="str">
        <f t="shared" si="230"/>
        <v>NUR005</v>
      </c>
      <c r="Y706" t="str">
        <f t="shared" ca="1" si="231"/>
        <v>Morning</v>
      </c>
      <c r="Z706" t="str">
        <f t="shared" ca="1" si="232"/>
        <v>X-Ray</v>
      </c>
      <c r="AA706" t="str">
        <f t="shared" ca="1" si="233"/>
        <v>Maintenance</v>
      </c>
      <c r="AB706" t="str">
        <f t="shared" ca="1" si="234"/>
        <v>Paid</v>
      </c>
      <c r="AC706" t="str">
        <f t="shared" ca="1" si="235"/>
        <v>Bank Transfer</v>
      </c>
      <c r="AD706" t="str">
        <f t="shared" ca="1" si="236"/>
        <v>No</v>
      </c>
      <c r="AE706" t="str">
        <f t="shared" ca="1" si="237"/>
        <v>No</v>
      </c>
      <c r="AF706" t="str">
        <f t="shared" ca="1" si="238"/>
        <v>Recovered</v>
      </c>
      <c r="AG706" t="str">
        <f t="shared" ca="1" si="239"/>
        <v>Northeast</v>
      </c>
      <c r="AH706" t="str">
        <f t="shared" ref="AH706:AH769" si="244">TEXT(F706,"MMMM")</f>
        <v>March</v>
      </c>
      <c r="AI706">
        <f t="shared" ref="AI706:AI769" si="245">YEAR(F706)</f>
        <v>2024</v>
      </c>
      <c r="AJ706" t="str">
        <f t="shared" ca="1" si="240"/>
        <v>Occupied</v>
      </c>
      <c r="AK706">
        <f t="shared" ca="1" si="241"/>
        <v>2</v>
      </c>
    </row>
    <row r="707" spans="1:37" x14ac:dyDescent="0.3">
      <c r="A707" t="s">
        <v>5131</v>
      </c>
      <c r="B707">
        <v>36</v>
      </c>
      <c r="C707" t="s">
        <v>32</v>
      </c>
      <c r="D707" t="s">
        <v>44</v>
      </c>
      <c r="E707" t="s">
        <v>64</v>
      </c>
      <c r="F707" s="1">
        <v>45271</v>
      </c>
      <c r="G707" t="s">
        <v>1449</v>
      </c>
      <c r="H707" t="s">
        <v>1154</v>
      </c>
      <c r="I707" t="s">
        <v>28</v>
      </c>
      <c r="J707">
        <v>3236</v>
      </c>
      <c r="K707">
        <v>146</v>
      </c>
      <c r="L707" t="s">
        <v>42</v>
      </c>
      <c r="M707" s="1">
        <v>45299</v>
      </c>
      <c r="N707" t="s">
        <v>37</v>
      </c>
      <c r="O707" t="s">
        <v>23</v>
      </c>
      <c r="P707" t="str">
        <f t="shared" ref="P707:P770" si="246">"P"&amp;TEXT(ROW()-1,"0000")</f>
        <v>P0706</v>
      </c>
      <c r="Q707" t="str">
        <f t="shared" si="242"/>
        <v>Cardiology</v>
      </c>
      <c r="R707">
        <f t="shared" si="243"/>
        <v>28</v>
      </c>
      <c r="S707" t="str">
        <f t="shared" ref="S707:S770" ca="1" si="247">IF(RAND()&lt;0.1,"Yes","No")</f>
        <v>No</v>
      </c>
      <c r="T707" t="str">
        <f t="shared" ref="T707:T770" ca="1" si="248">CHOOSE(RANDBETWEEN(1,4),"Mild","Moderate","Severe","Critical")</f>
        <v>Moderate</v>
      </c>
      <c r="U707" t="str">
        <f t="shared" ref="U707:U770" ca="1" si="249">CHOOSE(RANDBETWEEN(1,5),"General Ward","ICU","Emergency","Private Ward","Semi-Private")</f>
        <v>ICU</v>
      </c>
      <c r="V707" t="str">
        <f t="shared" ref="V707:V770" si="250">"BED"&amp;TEXT(ROW()-1,"0000")</f>
        <v>BED0706</v>
      </c>
      <c r="W707" t="str">
        <f t="shared" ref="W707:W770" ca="1" si="251">CHOOSE(RANDBETWEEN(1,4),"General","Private","Semi-Private","ICU")</f>
        <v>Semi-Private</v>
      </c>
      <c r="X707" t="str">
        <f t="shared" ref="X707:X770" si="252">"NUR"&amp;TEXT(MOD(ROW()-2,50)+1,"000")</f>
        <v>NUR006</v>
      </c>
      <c r="Y707" t="str">
        <f t="shared" ref="Y707:Y770" ca="1" si="253">CHOOSE(RANDBETWEEN(1,3),"Morning","Evening","Night")</f>
        <v>Evening</v>
      </c>
      <c r="Z707" t="str">
        <f t="shared" ref="Z707:Z770" ca="1" si="254">CHOOSE(RANDBETWEEN(1,6),"MRI Scanner","CT Scanner","Ventilator","X-Ray","ECG Machine","Ultrasound")</f>
        <v>X-Ray</v>
      </c>
      <c r="AA707" t="str">
        <f t="shared" ref="AA707:AA770" ca="1" si="255">CHOOSE(RANDBETWEEN(1,3),"Available","In Use","Maintenance")</f>
        <v>Available</v>
      </c>
      <c r="AB707" t="str">
        <f t="shared" ref="AB707:AB770" ca="1" si="256">CHOOSE(RANDBETWEEN(1,3),"Paid","Pending","Partially Paid")</f>
        <v>Paid</v>
      </c>
      <c r="AC707" t="str">
        <f t="shared" ref="AC707:AC770" ca="1" si="257">CHOOSE(RANDBETWEEN(1,5),"Cash","Credit Card","Debit Card","Insurance","Bank Transfer")</f>
        <v>Bank Transfer</v>
      </c>
      <c r="AD707" t="str">
        <f t="shared" ref="AD707:AD770" ca="1" si="258">IF(RAND()&lt;0.2,"Yes","No")</f>
        <v>No</v>
      </c>
      <c r="AE707" t="str">
        <f t="shared" ref="AE707:AE770" ca="1" si="259">IF(RAND()&lt;0.15,"Yes","No")</f>
        <v>No</v>
      </c>
      <c r="AF707" t="str">
        <f t="shared" ref="AF707:AF770" ca="1" si="260">CHOOSE(RANDBETWEEN(1,3),"Recovered","Transferred","Under Observation")</f>
        <v>Transferred</v>
      </c>
      <c r="AG707" t="str">
        <f t="shared" ref="AG707:AG770" ca="1" si="261">CHOOSE(RANDBETWEEN(1,5),"Northeast","Southeast","Midwest","Southwest","West Coast")</f>
        <v>Northeast</v>
      </c>
      <c r="AH707" t="str">
        <f t="shared" si="244"/>
        <v>December</v>
      </c>
      <c r="AI707">
        <f t="shared" si="245"/>
        <v>2023</v>
      </c>
      <c r="AJ707" t="str">
        <f t="shared" ref="AJ707:AJ770" ca="1" si="262">IF(RANDBETWEEN(1,100)&lt;=80,"Occupied","Vacant")</f>
        <v>Occupied</v>
      </c>
      <c r="AK707">
        <f t="shared" ref="AK707:AK770" ca="1" si="263">CHOOSE(RANDBETWEEN(1,3),1,2,4)</f>
        <v>2</v>
      </c>
    </row>
    <row r="708" spans="1:37" x14ac:dyDescent="0.3">
      <c r="A708" t="s">
        <v>5132</v>
      </c>
      <c r="B708">
        <v>80</v>
      </c>
      <c r="C708" t="s">
        <v>32</v>
      </c>
      <c r="D708" t="s">
        <v>83</v>
      </c>
      <c r="E708" t="s">
        <v>76</v>
      </c>
      <c r="F708" s="1">
        <v>44685</v>
      </c>
      <c r="G708" t="s">
        <v>1450</v>
      </c>
      <c r="H708" t="s">
        <v>1451</v>
      </c>
      <c r="I708" t="s">
        <v>28</v>
      </c>
      <c r="J708">
        <v>26052</v>
      </c>
      <c r="K708">
        <v>379</v>
      </c>
      <c r="L708" t="s">
        <v>42</v>
      </c>
      <c r="M708" s="1">
        <v>44686</v>
      </c>
      <c r="N708" t="s">
        <v>37</v>
      </c>
      <c r="O708" t="s">
        <v>43</v>
      </c>
      <c r="P708" t="str">
        <f t="shared" si="246"/>
        <v>P0707</v>
      </c>
      <c r="Q708" t="str">
        <f t="shared" si="242"/>
        <v>Orthopedics</v>
      </c>
      <c r="R708">
        <f t="shared" si="243"/>
        <v>1</v>
      </c>
      <c r="S708" t="str">
        <f t="shared" ca="1" si="247"/>
        <v>No</v>
      </c>
      <c r="T708" t="str">
        <f t="shared" ca="1" si="248"/>
        <v>Critical</v>
      </c>
      <c r="U708" t="str">
        <f t="shared" ca="1" si="249"/>
        <v>Emergency</v>
      </c>
      <c r="V708" t="str">
        <f t="shared" si="250"/>
        <v>BED0707</v>
      </c>
      <c r="W708" t="str">
        <f t="shared" ca="1" si="251"/>
        <v>Private</v>
      </c>
      <c r="X708" t="str">
        <f t="shared" si="252"/>
        <v>NUR007</v>
      </c>
      <c r="Y708" t="str">
        <f t="shared" ca="1" si="253"/>
        <v>Morning</v>
      </c>
      <c r="Z708" t="str">
        <f t="shared" ca="1" si="254"/>
        <v>CT Scanner</v>
      </c>
      <c r="AA708" t="str">
        <f t="shared" ca="1" si="255"/>
        <v>Available</v>
      </c>
      <c r="AB708" t="str">
        <f t="shared" ca="1" si="256"/>
        <v>Partially Paid</v>
      </c>
      <c r="AC708" t="str">
        <f t="shared" ca="1" si="257"/>
        <v>Cash</v>
      </c>
      <c r="AD708" t="str">
        <f t="shared" ca="1" si="258"/>
        <v>No</v>
      </c>
      <c r="AE708" t="str">
        <f t="shared" ca="1" si="259"/>
        <v>No</v>
      </c>
      <c r="AF708" t="str">
        <f t="shared" ca="1" si="260"/>
        <v>Under Observation</v>
      </c>
      <c r="AG708" t="str">
        <f t="shared" ca="1" si="261"/>
        <v>Southeast</v>
      </c>
      <c r="AH708" t="str">
        <f t="shared" si="244"/>
        <v>May</v>
      </c>
      <c r="AI708">
        <f t="shared" si="245"/>
        <v>2022</v>
      </c>
      <c r="AJ708" t="str">
        <f t="shared" ca="1" si="262"/>
        <v>Occupied</v>
      </c>
      <c r="AK708">
        <f t="shared" ca="1" si="263"/>
        <v>4</v>
      </c>
    </row>
    <row r="709" spans="1:37" x14ac:dyDescent="0.3">
      <c r="A709" t="s">
        <v>5133</v>
      </c>
      <c r="B709">
        <v>43</v>
      </c>
      <c r="C709" t="s">
        <v>15</v>
      </c>
      <c r="D709" t="s">
        <v>33</v>
      </c>
      <c r="E709" t="s">
        <v>76</v>
      </c>
      <c r="F709" s="1">
        <v>44531</v>
      </c>
      <c r="G709" t="s">
        <v>1452</v>
      </c>
      <c r="H709" t="s">
        <v>1453</v>
      </c>
      <c r="I709" t="s">
        <v>20</v>
      </c>
      <c r="J709">
        <v>11095</v>
      </c>
      <c r="K709">
        <v>288</v>
      </c>
      <c r="L709" t="s">
        <v>29</v>
      </c>
      <c r="M709" s="1">
        <v>44559</v>
      </c>
      <c r="N709" t="s">
        <v>22</v>
      </c>
      <c r="O709" t="s">
        <v>31</v>
      </c>
      <c r="P709" t="str">
        <f t="shared" si="246"/>
        <v>P0708</v>
      </c>
      <c r="Q709" t="str">
        <f t="shared" si="242"/>
        <v>Orthopedics</v>
      </c>
      <c r="R709">
        <f t="shared" si="243"/>
        <v>28</v>
      </c>
      <c r="S709" t="str">
        <f t="shared" ca="1" si="247"/>
        <v>No</v>
      </c>
      <c r="T709" t="str">
        <f t="shared" ca="1" si="248"/>
        <v>Mild</v>
      </c>
      <c r="U709" t="str">
        <f t="shared" ca="1" si="249"/>
        <v>Emergency</v>
      </c>
      <c r="V709" t="str">
        <f t="shared" si="250"/>
        <v>BED0708</v>
      </c>
      <c r="W709" t="str">
        <f t="shared" ca="1" si="251"/>
        <v>Semi-Private</v>
      </c>
      <c r="X709" t="str">
        <f t="shared" si="252"/>
        <v>NUR008</v>
      </c>
      <c r="Y709" t="str">
        <f t="shared" ca="1" si="253"/>
        <v>Evening</v>
      </c>
      <c r="Z709" t="str">
        <f t="shared" ca="1" si="254"/>
        <v>Ventilator</v>
      </c>
      <c r="AA709" t="str">
        <f t="shared" ca="1" si="255"/>
        <v>Available</v>
      </c>
      <c r="AB709" t="str">
        <f t="shared" ca="1" si="256"/>
        <v>Pending</v>
      </c>
      <c r="AC709" t="str">
        <f t="shared" ca="1" si="257"/>
        <v>Debit Card</v>
      </c>
      <c r="AD709" t="str">
        <f t="shared" ca="1" si="258"/>
        <v>No</v>
      </c>
      <c r="AE709" t="str">
        <f t="shared" ca="1" si="259"/>
        <v>No</v>
      </c>
      <c r="AF709" t="str">
        <f t="shared" ca="1" si="260"/>
        <v>Recovered</v>
      </c>
      <c r="AG709" t="str">
        <f t="shared" ca="1" si="261"/>
        <v>Southeast</v>
      </c>
      <c r="AH709" t="str">
        <f t="shared" si="244"/>
        <v>December</v>
      </c>
      <c r="AI709">
        <f t="shared" si="245"/>
        <v>2021</v>
      </c>
      <c r="AJ709" t="str">
        <f t="shared" ca="1" si="262"/>
        <v>Occupied</v>
      </c>
      <c r="AK709">
        <f t="shared" ca="1" si="263"/>
        <v>2</v>
      </c>
    </row>
    <row r="710" spans="1:37" x14ac:dyDescent="0.3">
      <c r="A710" t="s">
        <v>5134</v>
      </c>
      <c r="B710">
        <v>47</v>
      </c>
      <c r="C710" t="s">
        <v>32</v>
      </c>
      <c r="D710" t="s">
        <v>83</v>
      </c>
      <c r="E710" t="s">
        <v>64</v>
      </c>
      <c r="F710" s="1">
        <v>44460</v>
      </c>
      <c r="G710" t="s">
        <v>1454</v>
      </c>
      <c r="H710" t="s">
        <v>1455</v>
      </c>
      <c r="I710" t="s">
        <v>36</v>
      </c>
      <c r="J710">
        <v>10726</v>
      </c>
      <c r="K710">
        <v>355</v>
      </c>
      <c r="L710" t="s">
        <v>42</v>
      </c>
      <c r="M710" s="1">
        <v>44479</v>
      </c>
      <c r="N710" t="s">
        <v>30</v>
      </c>
      <c r="O710" t="s">
        <v>43</v>
      </c>
      <c r="P710" t="str">
        <f t="shared" si="246"/>
        <v>P0709</v>
      </c>
      <c r="Q710" t="str">
        <f t="shared" si="242"/>
        <v>Cardiology</v>
      </c>
      <c r="R710">
        <f t="shared" si="243"/>
        <v>19</v>
      </c>
      <c r="S710" t="str">
        <f t="shared" ca="1" si="247"/>
        <v>No</v>
      </c>
      <c r="T710" t="str">
        <f t="shared" ca="1" si="248"/>
        <v>Moderate</v>
      </c>
      <c r="U710" t="str">
        <f t="shared" ca="1" si="249"/>
        <v>Emergency</v>
      </c>
      <c r="V710" t="str">
        <f t="shared" si="250"/>
        <v>BED0709</v>
      </c>
      <c r="W710" t="str">
        <f t="shared" ca="1" si="251"/>
        <v>General</v>
      </c>
      <c r="X710" t="str">
        <f t="shared" si="252"/>
        <v>NUR009</v>
      </c>
      <c r="Y710" t="str">
        <f t="shared" ca="1" si="253"/>
        <v>Evening</v>
      </c>
      <c r="Z710" t="str">
        <f t="shared" ca="1" si="254"/>
        <v>X-Ray</v>
      </c>
      <c r="AA710" t="str">
        <f t="shared" ca="1" si="255"/>
        <v>Available</v>
      </c>
      <c r="AB710" t="str">
        <f t="shared" ca="1" si="256"/>
        <v>Pending</v>
      </c>
      <c r="AC710" t="str">
        <f t="shared" ca="1" si="257"/>
        <v>Debit Card</v>
      </c>
      <c r="AD710" t="str">
        <f t="shared" ca="1" si="258"/>
        <v>No</v>
      </c>
      <c r="AE710" t="str">
        <f t="shared" ca="1" si="259"/>
        <v>No</v>
      </c>
      <c r="AF710" t="str">
        <f t="shared" ca="1" si="260"/>
        <v>Under Observation</v>
      </c>
      <c r="AG710" t="str">
        <f t="shared" ca="1" si="261"/>
        <v>Southwest</v>
      </c>
      <c r="AH710" t="str">
        <f t="shared" si="244"/>
        <v>September</v>
      </c>
      <c r="AI710">
        <f t="shared" si="245"/>
        <v>2021</v>
      </c>
      <c r="AJ710" t="str">
        <f t="shared" ca="1" si="262"/>
        <v>Occupied</v>
      </c>
      <c r="AK710">
        <f t="shared" ca="1" si="263"/>
        <v>1</v>
      </c>
    </row>
    <row r="711" spans="1:37" x14ac:dyDescent="0.3">
      <c r="A711" t="s">
        <v>5135</v>
      </c>
      <c r="B711">
        <v>49</v>
      </c>
      <c r="C711" t="s">
        <v>32</v>
      </c>
      <c r="D711" t="s">
        <v>16</v>
      </c>
      <c r="E711" t="s">
        <v>64</v>
      </c>
      <c r="F711" s="1">
        <v>43910</v>
      </c>
      <c r="G711" t="s">
        <v>1456</v>
      </c>
      <c r="H711" t="s">
        <v>1457</v>
      </c>
      <c r="I711" t="s">
        <v>51</v>
      </c>
      <c r="J711">
        <v>30038</v>
      </c>
      <c r="K711">
        <v>424</v>
      </c>
      <c r="L711" t="s">
        <v>42</v>
      </c>
      <c r="M711" s="1">
        <v>43930</v>
      </c>
      <c r="N711" t="s">
        <v>30</v>
      </c>
      <c r="O711" t="s">
        <v>43</v>
      </c>
      <c r="P711" t="str">
        <f t="shared" si="246"/>
        <v>P0710</v>
      </c>
      <c r="Q711" t="str">
        <f t="shared" si="242"/>
        <v>Cardiology</v>
      </c>
      <c r="R711">
        <f t="shared" si="243"/>
        <v>20</v>
      </c>
      <c r="S711" t="str">
        <f t="shared" ca="1" si="247"/>
        <v>No</v>
      </c>
      <c r="T711" t="str">
        <f t="shared" ca="1" si="248"/>
        <v>Severe</v>
      </c>
      <c r="U711" t="str">
        <f t="shared" ca="1" si="249"/>
        <v>ICU</v>
      </c>
      <c r="V711" t="str">
        <f t="shared" si="250"/>
        <v>BED0710</v>
      </c>
      <c r="W711" t="str">
        <f t="shared" ca="1" si="251"/>
        <v>General</v>
      </c>
      <c r="X711" t="str">
        <f t="shared" si="252"/>
        <v>NUR010</v>
      </c>
      <c r="Y711" t="str">
        <f t="shared" ca="1" si="253"/>
        <v>Night</v>
      </c>
      <c r="Z711" t="str">
        <f t="shared" ca="1" si="254"/>
        <v>CT Scanner</v>
      </c>
      <c r="AA711" t="str">
        <f t="shared" ca="1" si="255"/>
        <v>Maintenance</v>
      </c>
      <c r="AB711" t="str">
        <f t="shared" ca="1" si="256"/>
        <v>Pending</v>
      </c>
      <c r="AC711" t="str">
        <f t="shared" ca="1" si="257"/>
        <v>Bank Transfer</v>
      </c>
      <c r="AD711" t="str">
        <f t="shared" ca="1" si="258"/>
        <v>No</v>
      </c>
      <c r="AE711" t="str">
        <f t="shared" ca="1" si="259"/>
        <v>No</v>
      </c>
      <c r="AF711" t="str">
        <f t="shared" ca="1" si="260"/>
        <v>Under Observation</v>
      </c>
      <c r="AG711" t="str">
        <f t="shared" ca="1" si="261"/>
        <v>Midwest</v>
      </c>
      <c r="AH711" t="str">
        <f t="shared" si="244"/>
        <v>March</v>
      </c>
      <c r="AI711">
        <f t="shared" si="245"/>
        <v>2020</v>
      </c>
      <c r="AJ711" t="str">
        <f t="shared" ca="1" si="262"/>
        <v>Vacant</v>
      </c>
      <c r="AK711">
        <f t="shared" ca="1" si="263"/>
        <v>2</v>
      </c>
    </row>
    <row r="712" spans="1:37" x14ac:dyDescent="0.3">
      <c r="A712" t="s">
        <v>5136</v>
      </c>
      <c r="B712">
        <v>58</v>
      </c>
      <c r="C712" t="s">
        <v>15</v>
      </c>
      <c r="D712" t="s">
        <v>52</v>
      </c>
      <c r="E712" t="s">
        <v>48</v>
      </c>
      <c r="F712" s="1">
        <v>45380</v>
      </c>
      <c r="G712" t="s">
        <v>1458</v>
      </c>
      <c r="H712" t="s">
        <v>1459</v>
      </c>
      <c r="I712" t="s">
        <v>51</v>
      </c>
      <c r="J712">
        <v>49446</v>
      </c>
      <c r="K712">
        <v>108</v>
      </c>
      <c r="L712" t="s">
        <v>29</v>
      </c>
      <c r="M712" s="1">
        <v>45398</v>
      </c>
      <c r="N712" t="s">
        <v>67</v>
      </c>
      <c r="O712" t="s">
        <v>43</v>
      </c>
      <c r="P712" t="str">
        <f t="shared" si="246"/>
        <v>P0711</v>
      </c>
      <c r="Q712" t="str">
        <f t="shared" si="242"/>
        <v>Pulmonology</v>
      </c>
      <c r="R712">
        <f t="shared" si="243"/>
        <v>18</v>
      </c>
      <c r="S712" t="str">
        <f t="shared" ca="1" si="247"/>
        <v>No</v>
      </c>
      <c r="T712" t="str">
        <f t="shared" ca="1" si="248"/>
        <v>Moderate</v>
      </c>
      <c r="U712" t="str">
        <f t="shared" ca="1" si="249"/>
        <v>ICU</v>
      </c>
      <c r="V712" t="str">
        <f t="shared" si="250"/>
        <v>BED0711</v>
      </c>
      <c r="W712" t="str">
        <f t="shared" ca="1" si="251"/>
        <v>Semi-Private</v>
      </c>
      <c r="X712" t="str">
        <f t="shared" si="252"/>
        <v>NUR011</v>
      </c>
      <c r="Y712" t="str">
        <f t="shared" ca="1" si="253"/>
        <v>Morning</v>
      </c>
      <c r="Z712" t="str">
        <f t="shared" ca="1" si="254"/>
        <v>MRI Scanner</v>
      </c>
      <c r="AA712" t="str">
        <f t="shared" ca="1" si="255"/>
        <v>In Use</v>
      </c>
      <c r="AB712" t="str">
        <f t="shared" ca="1" si="256"/>
        <v>Partially Paid</v>
      </c>
      <c r="AC712" t="str">
        <f t="shared" ca="1" si="257"/>
        <v>Debit Card</v>
      </c>
      <c r="AD712" t="str">
        <f t="shared" ca="1" si="258"/>
        <v>Yes</v>
      </c>
      <c r="AE712" t="str">
        <f t="shared" ca="1" si="259"/>
        <v>No</v>
      </c>
      <c r="AF712" t="str">
        <f t="shared" ca="1" si="260"/>
        <v>Transferred</v>
      </c>
      <c r="AG712" t="str">
        <f t="shared" ca="1" si="261"/>
        <v>Midwest</v>
      </c>
      <c r="AH712" t="str">
        <f t="shared" si="244"/>
        <v>March</v>
      </c>
      <c r="AI712">
        <f t="shared" si="245"/>
        <v>2024</v>
      </c>
      <c r="AJ712" t="str">
        <f t="shared" ca="1" si="262"/>
        <v>Occupied</v>
      </c>
      <c r="AK712">
        <f t="shared" ca="1" si="263"/>
        <v>4</v>
      </c>
    </row>
    <row r="713" spans="1:37" x14ac:dyDescent="0.3">
      <c r="A713" t="s">
        <v>5137</v>
      </c>
      <c r="B713">
        <v>40</v>
      </c>
      <c r="C713" t="s">
        <v>32</v>
      </c>
      <c r="D713" t="s">
        <v>52</v>
      </c>
      <c r="E713" t="s">
        <v>25</v>
      </c>
      <c r="F713" s="1">
        <v>45363</v>
      </c>
      <c r="G713" t="s">
        <v>1460</v>
      </c>
      <c r="H713" t="s">
        <v>1461</v>
      </c>
      <c r="I713" t="s">
        <v>57</v>
      </c>
      <c r="J713">
        <v>5316</v>
      </c>
      <c r="K713">
        <v>258</v>
      </c>
      <c r="L713" t="s">
        <v>29</v>
      </c>
      <c r="M713" s="1">
        <v>45376</v>
      </c>
      <c r="N713" t="s">
        <v>47</v>
      </c>
      <c r="O713" t="s">
        <v>43</v>
      </c>
      <c r="P713" t="str">
        <f t="shared" si="246"/>
        <v>P0712</v>
      </c>
      <c r="Q713" t="str">
        <f t="shared" si="242"/>
        <v>Nutrition</v>
      </c>
      <c r="R713">
        <f t="shared" si="243"/>
        <v>13</v>
      </c>
      <c r="S713" t="str">
        <f t="shared" ca="1" si="247"/>
        <v>No</v>
      </c>
      <c r="T713" t="str">
        <f t="shared" ca="1" si="248"/>
        <v>Moderate</v>
      </c>
      <c r="U713" t="str">
        <f t="shared" ca="1" si="249"/>
        <v>Private Ward</v>
      </c>
      <c r="V713" t="str">
        <f t="shared" si="250"/>
        <v>BED0712</v>
      </c>
      <c r="W713" t="str">
        <f t="shared" ca="1" si="251"/>
        <v>Semi-Private</v>
      </c>
      <c r="X713" t="str">
        <f t="shared" si="252"/>
        <v>NUR012</v>
      </c>
      <c r="Y713" t="str">
        <f t="shared" ca="1" si="253"/>
        <v>Evening</v>
      </c>
      <c r="Z713" t="str">
        <f t="shared" ca="1" si="254"/>
        <v>Ventilator</v>
      </c>
      <c r="AA713" t="str">
        <f t="shared" ca="1" si="255"/>
        <v>Available</v>
      </c>
      <c r="AB713" t="str">
        <f t="shared" ca="1" si="256"/>
        <v>Paid</v>
      </c>
      <c r="AC713" t="str">
        <f t="shared" ca="1" si="257"/>
        <v>Bank Transfer</v>
      </c>
      <c r="AD713" t="str">
        <f t="shared" ca="1" si="258"/>
        <v>No</v>
      </c>
      <c r="AE713" t="str">
        <f t="shared" ca="1" si="259"/>
        <v>No</v>
      </c>
      <c r="AF713" t="str">
        <f t="shared" ca="1" si="260"/>
        <v>Transferred</v>
      </c>
      <c r="AG713" t="str">
        <f t="shared" ca="1" si="261"/>
        <v>Southwest</v>
      </c>
      <c r="AH713" t="str">
        <f t="shared" si="244"/>
        <v>March</v>
      </c>
      <c r="AI713">
        <f t="shared" si="245"/>
        <v>2024</v>
      </c>
      <c r="AJ713" t="str">
        <f t="shared" ca="1" si="262"/>
        <v>Occupied</v>
      </c>
      <c r="AK713">
        <f t="shared" ca="1" si="263"/>
        <v>2</v>
      </c>
    </row>
    <row r="714" spans="1:37" x14ac:dyDescent="0.3">
      <c r="A714" t="s">
        <v>5138</v>
      </c>
      <c r="B714">
        <v>44</v>
      </c>
      <c r="C714" t="s">
        <v>15</v>
      </c>
      <c r="D714" t="s">
        <v>33</v>
      </c>
      <c r="E714" t="s">
        <v>17</v>
      </c>
      <c r="F714" s="1">
        <v>44641</v>
      </c>
      <c r="G714" t="s">
        <v>1462</v>
      </c>
      <c r="H714" t="s">
        <v>1463</v>
      </c>
      <c r="I714" t="s">
        <v>20</v>
      </c>
      <c r="J714">
        <v>13928</v>
      </c>
      <c r="K714">
        <v>113</v>
      </c>
      <c r="L714" t="s">
        <v>29</v>
      </c>
      <c r="M714" s="1">
        <v>44657</v>
      </c>
      <c r="N714" t="s">
        <v>47</v>
      </c>
      <c r="O714" t="s">
        <v>31</v>
      </c>
      <c r="P714" t="str">
        <f t="shared" si="246"/>
        <v>P0713</v>
      </c>
      <c r="Q714" t="str">
        <f t="shared" si="242"/>
        <v>Oncology</v>
      </c>
      <c r="R714">
        <f t="shared" si="243"/>
        <v>16</v>
      </c>
      <c r="S714" t="str">
        <f t="shared" ca="1" si="247"/>
        <v>No</v>
      </c>
      <c r="T714" t="str">
        <f t="shared" ca="1" si="248"/>
        <v>Critical</v>
      </c>
      <c r="U714" t="str">
        <f t="shared" ca="1" si="249"/>
        <v>General Ward</v>
      </c>
      <c r="V714" t="str">
        <f t="shared" si="250"/>
        <v>BED0713</v>
      </c>
      <c r="W714" t="str">
        <f t="shared" ca="1" si="251"/>
        <v>Private</v>
      </c>
      <c r="X714" t="str">
        <f t="shared" si="252"/>
        <v>NUR013</v>
      </c>
      <c r="Y714" t="str">
        <f t="shared" ca="1" si="253"/>
        <v>Evening</v>
      </c>
      <c r="Z714" t="str">
        <f t="shared" ca="1" si="254"/>
        <v>X-Ray</v>
      </c>
      <c r="AA714" t="str">
        <f t="shared" ca="1" si="255"/>
        <v>Available</v>
      </c>
      <c r="AB714" t="str">
        <f t="shared" ca="1" si="256"/>
        <v>Paid</v>
      </c>
      <c r="AC714" t="str">
        <f t="shared" ca="1" si="257"/>
        <v>Debit Card</v>
      </c>
      <c r="AD714" t="str">
        <f t="shared" ca="1" si="258"/>
        <v>No</v>
      </c>
      <c r="AE714" t="str">
        <f t="shared" ca="1" si="259"/>
        <v>No</v>
      </c>
      <c r="AF714" t="str">
        <f t="shared" ca="1" si="260"/>
        <v>Transferred</v>
      </c>
      <c r="AG714" t="str">
        <f t="shared" ca="1" si="261"/>
        <v>Northeast</v>
      </c>
      <c r="AH714" t="str">
        <f t="shared" si="244"/>
        <v>March</v>
      </c>
      <c r="AI714">
        <f t="shared" si="245"/>
        <v>2022</v>
      </c>
      <c r="AJ714" t="str">
        <f t="shared" ca="1" si="262"/>
        <v>Occupied</v>
      </c>
      <c r="AK714">
        <f t="shared" ca="1" si="263"/>
        <v>4</v>
      </c>
    </row>
    <row r="715" spans="1:37" x14ac:dyDescent="0.3">
      <c r="A715" t="s">
        <v>5139</v>
      </c>
      <c r="B715">
        <v>38</v>
      </c>
      <c r="C715" t="s">
        <v>15</v>
      </c>
      <c r="D715" t="s">
        <v>24</v>
      </c>
      <c r="E715" t="s">
        <v>39</v>
      </c>
      <c r="F715" s="1">
        <v>44035</v>
      </c>
      <c r="G715" t="s">
        <v>1147</v>
      </c>
      <c r="H715" t="s">
        <v>1464</v>
      </c>
      <c r="I715" t="s">
        <v>36</v>
      </c>
      <c r="J715">
        <v>2744</v>
      </c>
      <c r="K715">
        <v>162</v>
      </c>
      <c r="L715" t="s">
        <v>29</v>
      </c>
      <c r="M715" s="1">
        <v>44052</v>
      </c>
      <c r="N715" t="s">
        <v>30</v>
      </c>
      <c r="O715" t="s">
        <v>43</v>
      </c>
      <c r="P715" t="str">
        <f t="shared" si="246"/>
        <v>P0714</v>
      </c>
      <c r="Q715" t="str">
        <f t="shared" si="242"/>
        <v>Endocrinology</v>
      </c>
      <c r="R715">
        <f t="shared" si="243"/>
        <v>17</v>
      </c>
      <c r="S715" t="str">
        <f t="shared" ca="1" si="247"/>
        <v>No</v>
      </c>
      <c r="T715" t="str">
        <f t="shared" ca="1" si="248"/>
        <v>Critical</v>
      </c>
      <c r="U715" t="str">
        <f t="shared" ca="1" si="249"/>
        <v>General Ward</v>
      </c>
      <c r="V715" t="str">
        <f t="shared" si="250"/>
        <v>BED0714</v>
      </c>
      <c r="W715" t="str">
        <f t="shared" ca="1" si="251"/>
        <v>ICU</v>
      </c>
      <c r="X715" t="str">
        <f t="shared" si="252"/>
        <v>NUR014</v>
      </c>
      <c r="Y715" t="str">
        <f t="shared" ca="1" si="253"/>
        <v>Evening</v>
      </c>
      <c r="Z715" t="str">
        <f t="shared" ca="1" si="254"/>
        <v>CT Scanner</v>
      </c>
      <c r="AA715" t="str">
        <f t="shared" ca="1" si="255"/>
        <v>Maintenance</v>
      </c>
      <c r="AB715" t="str">
        <f t="shared" ca="1" si="256"/>
        <v>Pending</v>
      </c>
      <c r="AC715" t="str">
        <f t="shared" ca="1" si="257"/>
        <v>Insurance</v>
      </c>
      <c r="AD715" t="str">
        <f t="shared" ca="1" si="258"/>
        <v>No</v>
      </c>
      <c r="AE715" t="str">
        <f t="shared" ca="1" si="259"/>
        <v>No</v>
      </c>
      <c r="AF715" t="str">
        <f t="shared" ca="1" si="260"/>
        <v>Transferred</v>
      </c>
      <c r="AG715" t="str">
        <f t="shared" ca="1" si="261"/>
        <v>Southwest</v>
      </c>
      <c r="AH715" t="str">
        <f t="shared" si="244"/>
        <v>July</v>
      </c>
      <c r="AI715">
        <f t="shared" si="245"/>
        <v>2020</v>
      </c>
      <c r="AJ715" t="str">
        <f t="shared" ca="1" si="262"/>
        <v>Occupied</v>
      </c>
      <c r="AK715">
        <f t="shared" ca="1" si="263"/>
        <v>1</v>
      </c>
    </row>
    <row r="716" spans="1:37" x14ac:dyDescent="0.3">
      <c r="A716" t="s">
        <v>5140</v>
      </c>
      <c r="B716">
        <v>82</v>
      </c>
      <c r="C716" t="s">
        <v>15</v>
      </c>
      <c r="D716" t="s">
        <v>24</v>
      </c>
      <c r="E716" t="s">
        <v>25</v>
      </c>
      <c r="F716" s="1">
        <v>45361</v>
      </c>
      <c r="G716" t="s">
        <v>1465</v>
      </c>
      <c r="H716" t="s">
        <v>1466</v>
      </c>
      <c r="I716" t="s">
        <v>57</v>
      </c>
      <c r="J716">
        <v>27513</v>
      </c>
      <c r="K716">
        <v>442</v>
      </c>
      <c r="L716" t="s">
        <v>29</v>
      </c>
      <c r="M716" s="1">
        <v>45389</v>
      </c>
      <c r="N716" t="s">
        <v>37</v>
      </c>
      <c r="O716" t="s">
        <v>23</v>
      </c>
      <c r="P716" t="str">
        <f t="shared" si="246"/>
        <v>P0715</v>
      </c>
      <c r="Q716" t="str">
        <f t="shared" si="242"/>
        <v>Nutrition</v>
      </c>
      <c r="R716">
        <f t="shared" si="243"/>
        <v>28</v>
      </c>
      <c r="S716" t="str">
        <f t="shared" ca="1" si="247"/>
        <v>No</v>
      </c>
      <c r="T716" t="str">
        <f t="shared" ca="1" si="248"/>
        <v>Moderate</v>
      </c>
      <c r="U716" t="str">
        <f t="shared" ca="1" si="249"/>
        <v>General Ward</v>
      </c>
      <c r="V716" t="str">
        <f t="shared" si="250"/>
        <v>BED0715</v>
      </c>
      <c r="W716" t="str">
        <f t="shared" ca="1" si="251"/>
        <v>Private</v>
      </c>
      <c r="X716" t="str">
        <f t="shared" si="252"/>
        <v>NUR015</v>
      </c>
      <c r="Y716" t="str">
        <f t="shared" ca="1" si="253"/>
        <v>Morning</v>
      </c>
      <c r="Z716" t="str">
        <f t="shared" ca="1" si="254"/>
        <v>Ventilator</v>
      </c>
      <c r="AA716" t="str">
        <f t="shared" ca="1" si="255"/>
        <v>Maintenance</v>
      </c>
      <c r="AB716" t="str">
        <f t="shared" ca="1" si="256"/>
        <v>Paid</v>
      </c>
      <c r="AC716" t="str">
        <f t="shared" ca="1" si="257"/>
        <v>Debit Card</v>
      </c>
      <c r="AD716" t="str">
        <f t="shared" ca="1" si="258"/>
        <v>No</v>
      </c>
      <c r="AE716" t="str">
        <f t="shared" ca="1" si="259"/>
        <v>No</v>
      </c>
      <c r="AF716" t="str">
        <f t="shared" ca="1" si="260"/>
        <v>Recovered</v>
      </c>
      <c r="AG716" t="str">
        <f t="shared" ca="1" si="261"/>
        <v>Southeast</v>
      </c>
      <c r="AH716" t="str">
        <f t="shared" si="244"/>
        <v>March</v>
      </c>
      <c r="AI716">
        <f t="shared" si="245"/>
        <v>2024</v>
      </c>
      <c r="AJ716" t="str">
        <f t="shared" ca="1" si="262"/>
        <v>Occupied</v>
      </c>
      <c r="AK716">
        <f t="shared" ca="1" si="263"/>
        <v>1</v>
      </c>
    </row>
    <row r="717" spans="1:37" x14ac:dyDescent="0.3">
      <c r="A717" t="s">
        <v>5141</v>
      </c>
      <c r="B717">
        <v>71</v>
      </c>
      <c r="C717" t="s">
        <v>15</v>
      </c>
      <c r="D717" t="s">
        <v>33</v>
      </c>
      <c r="E717" t="s">
        <v>76</v>
      </c>
      <c r="F717" s="1">
        <v>43905</v>
      </c>
      <c r="G717" t="s">
        <v>1467</v>
      </c>
      <c r="H717" t="s">
        <v>1468</v>
      </c>
      <c r="I717" t="s">
        <v>20</v>
      </c>
      <c r="J717">
        <v>35854</v>
      </c>
      <c r="K717">
        <v>172</v>
      </c>
      <c r="L717" t="s">
        <v>21</v>
      </c>
      <c r="M717" s="1">
        <v>43919</v>
      </c>
      <c r="N717" t="s">
        <v>67</v>
      </c>
      <c r="O717" t="s">
        <v>43</v>
      </c>
      <c r="P717" t="str">
        <f t="shared" si="246"/>
        <v>P0716</v>
      </c>
      <c r="Q717" t="str">
        <f t="shared" si="242"/>
        <v>Orthopedics</v>
      </c>
      <c r="R717">
        <f t="shared" si="243"/>
        <v>14</v>
      </c>
      <c r="S717" t="str">
        <f t="shared" ca="1" si="247"/>
        <v>No</v>
      </c>
      <c r="T717" t="str">
        <f t="shared" ca="1" si="248"/>
        <v>Mild</v>
      </c>
      <c r="U717" t="str">
        <f t="shared" ca="1" si="249"/>
        <v>ICU</v>
      </c>
      <c r="V717" t="str">
        <f t="shared" si="250"/>
        <v>BED0716</v>
      </c>
      <c r="W717" t="str">
        <f t="shared" ca="1" si="251"/>
        <v>Semi-Private</v>
      </c>
      <c r="X717" t="str">
        <f t="shared" si="252"/>
        <v>NUR016</v>
      </c>
      <c r="Y717" t="str">
        <f t="shared" ca="1" si="253"/>
        <v>Night</v>
      </c>
      <c r="Z717" t="str">
        <f t="shared" ca="1" si="254"/>
        <v>CT Scanner</v>
      </c>
      <c r="AA717" t="str">
        <f t="shared" ca="1" si="255"/>
        <v>Maintenance</v>
      </c>
      <c r="AB717" t="str">
        <f t="shared" ca="1" si="256"/>
        <v>Pending</v>
      </c>
      <c r="AC717" t="str">
        <f t="shared" ca="1" si="257"/>
        <v>Credit Card</v>
      </c>
      <c r="AD717" t="str">
        <f t="shared" ca="1" si="258"/>
        <v>No</v>
      </c>
      <c r="AE717" t="str">
        <f t="shared" ca="1" si="259"/>
        <v>No</v>
      </c>
      <c r="AF717" t="str">
        <f t="shared" ca="1" si="260"/>
        <v>Recovered</v>
      </c>
      <c r="AG717" t="str">
        <f t="shared" ca="1" si="261"/>
        <v>Southwest</v>
      </c>
      <c r="AH717" t="str">
        <f t="shared" si="244"/>
        <v>March</v>
      </c>
      <c r="AI717">
        <f t="shared" si="245"/>
        <v>2020</v>
      </c>
      <c r="AJ717" t="str">
        <f t="shared" ca="1" si="262"/>
        <v>Occupied</v>
      </c>
      <c r="AK717">
        <f t="shared" ca="1" si="263"/>
        <v>2</v>
      </c>
    </row>
    <row r="718" spans="1:37" x14ac:dyDescent="0.3">
      <c r="A718" t="s">
        <v>5142</v>
      </c>
      <c r="B718">
        <v>42</v>
      </c>
      <c r="C718" t="s">
        <v>15</v>
      </c>
      <c r="D718" t="s">
        <v>24</v>
      </c>
      <c r="E718" t="s">
        <v>39</v>
      </c>
      <c r="F718" s="1">
        <v>44326</v>
      </c>
      <c r="G718" t="s">
        <v>1469</v>
      </c>
      <c r="H718" t="s">
        <v>1470</v>
      </c>
      <c r="I718" t="s">
        <v>57</v>
      </c>
      <c r="J718">
        <v>2784</v>
      </c>
      <c r="K718">
        <v>241</v>
      </c>
      <c r="L718" t="s">
        <v>21</v>
      </c>
      <c r="M718" s="1">
        <v>44332</v>
      </c>
      <c r="N718" t="s">
        <v>47</v>
      </c>
      <c r="O718" t="s">
        <v>43</v>
      </c>
      <c r="P718" t="str">
        <f t="shared" si="246"/>
        <v>P0717</v>
      </c>
      <c r="Q718" t="str">
        <f t="shared" si="242"/>
        <v>Endocrinology</v>
      </c>
      <c r="R718">
        <f t="shared" si="243"/>
        <v>6</v>
      </c>
      <c r="S718" t="str">
        <f t="shared" ca="1" si="247"/>
        <v>No</v>
      </c>
      <c r="T718" t="str">
        <f t="shared" ca="1" si="248"/>
        <v>Moderate</v>
      </c>
      <c r="U718" t="str">
        <f t="shared" ca="1" si="249"/>
        <v>General Ward</v>
      </c>
      <c r="V718" t="str">
        <f t="shared" si="250"/>
        <v>BED0717</v>
      </c>
      <c r="W718" t="str">
        <f t="shared" ca="1" si="251"/>
        <v>Private</v>
      </c>
      <c r="X718" t="str">
        <f t="shared" si="252"/>
        <v>NUR017</v>
      </c>
      <c r="Y718" t="str">
        <f t="shared" ca="1" si="253"/>
        <v>Night</v>
      </c>
      <c r="Z718" t="str">
        <f t="shared" ca="1" si="254"/>
        <v>Ventilator</v>
      </c>
      <c r="AA718" t="str">
        <f t="shared" ca="1" si="255"/>
        <v>Maintenance</v>
      </c>
      <c r="AB718" t="str">
        <f t="shared" ca="1" si="256"/>
        <v>Partially Paid</v>
      </c>
      <c r="AC718" t="str">
        <f t="shared" ca="1" si="257"/>
        <v>Credit Card</v>
      </c>
      <c r="AD718" t="str">
        <f t="shared" ca="1" si="258"/>
        <v>No</v>
      </c>
      <c r="AE718" t="str">
        <f t="shared" ca="1" si="259"/>
        <v>No</v>
      </c>
      <c r="AF718" t="str">
        <f t="shared" ca="1" si="260"/>
        <v>Under Observation</v>
      </c>
      <c r="AG718" t="str">
        <f t="shared" ca="1" si="261"/>
        <v>Southwest</v>
      </c>
      <c r="AH718" t="str">
        <f t="shared" si="244"/>
        <v>May</v>
      </c>
      <c r="AI718">
        <f t="shared" si="245"/>
        <v>2021</v>
      </c>
      <c r="AJ718" t="str">
        <f t="shared" ca="1" si="262"/>
        <v>Occupied</v>
      </c>
      <c r="AK718">
        <f t="shared" ca="1" si="263"/>
        <v>4</v>
      </c>
    </row>
    <row r="719" spans="1:37" x14ac:dyDescent="0.3">
      <c r="A719" t="s">
        <v>5143</v>
      </c>
      <c r="B719">
        <v>38</v>
      </c>
      <c r="C719" t="s">
        <v>32</v>
      </c>
      <c r="D719" t="s">
        <v>38</v>
      </c>
      <c r="E719" t="s">
        <v>39</v>
      </c>
      <c r="F719" s="1">
        <v>44194</v>
      </c>
      <c r="G719" t="s">
        <v>1471</v>
      </c>
      <c r="H719" t="s">
        <v>1472</v>
      </c>
      <c r="I719" t="s">
        <v>51</v>
      </c>
      <c r="J719">
        <v>2548</v>
      </c>
      <c r="K719">
        <v>322</v>
      </c>
      <c r="L719" t="s">
        <v>42</v>
      </c>
      <c r="M719" s="1">
        <v>44203</v>
      </c>
      <c r="N719" t="s">
        <v>47</v>
      </c>
      <c r="O719" t="s">
        <v>31</v>
      </c>
      <c r="P719" t="str">
        <f t="shared" si="246"/>
        <v>P0718</v>
      </c>
      <c r="Q719" t="str">
        <f t="shared" si="242"/>
        <v>Endocrinology</v>
      </c>
      <c r="R719">
        <f t="shared" si="243"/>
        <v>9</v>
      </c>
      <c r="S719" t="str">
        <f t="shared" ca="1" si="247"/>
        <v>No</v>
      </c>
      <c r="T719" t="str">
        <f t="shared" ca="1" si="248"/>
        <v>Moderate</v>
      </c>
      <c r="U719" t="str">
        <f t="shared" ca="1" si="249"/>
        <v>Emergency</v>
      </c>
      <c r="V719" t="str">
        <f t="shared" si="250"/>
        <v>BED0718</v>
      </c>
      <c r="W719" t="str">
        <f t="shared" ca="1" si="251"/>
        <v>General</v>
      </c>
      <c r="X719" t="str">
        <f t="shared" si="252"/>
        <v>NUR018</v>
      </c>
      <c r="Y719" t="str">
        <f t="shared" ca="1" si="253"/>
        <v>Morning</v>
      </c>
      <c r="Z719" t="str">
        <f t="shared" ca="1" si="254"/>
        <v>MRI Scanner</v>
      </c>
      <c r="AA719" t="str">
        <f t="shared" ca="1" si="255"/>
        <v>Available</v>
      </c>
      <c r="AB719" t="str">
        <f t="shared" ca="1" si="256"/>
        <v>Pending</v>
      </c>
      <c r="AC719" t="str">
        <f t="shared" ca="1" si="257"/>
        <v>Insurance</v>
      </c>
      <c r="AD719" t="str">
        <f t="shared" ca="1" si="258"/>
        <v>Yes</v>
      </c>
      <c r="AE719" t="str">
        <f t="shared" ca="1" si="259"/>
        <v>No</v>
      </c>
      <c r="AF719" t="str">
        <f t="shared" ca="1" si="260"/>
        <v>Transferred</v>
      </c>
      <c r="AG719" t="str">
        <f t="shared" ca="1" si="261"/>
        <v>Southeast</v>
      </c>
      <c r="AH719" t="str">
        <f t="shared" si="244"/>
        <v>December</v>
      </c>
      <c r="AI719">
        <f t="shared" si="245"/>
        <v>2020</v>
      </c>
      <c r="AJ719" t="str">
        <f t="shared" ca="1" si="262"/>
        <v>Vacant</v>
      </c>
      <c r="AK719">
        <f t="shared" ca="1" si="263"/>
        <v>1</v>
      </c>
    </row>
    <row r="720" spans="1:37" x14ac:dyDescent="0.3">
      <c r="A720" t="s">
        <v>5144</v>
      </c>
      <c r="B720">
        <v>84</v>
      </c>
      <c r="C720" t="s">
        <v>15</v>
      </c>
      <c r="D720" t="s">
        <v>16</v>
      </c>
      <c r="E720" t="s">
        <v>76</v>
      </c>
      <c r="F720" s="1">
        <v>43913</v>
      </c>
      <c r="G720" t="s">
        <v>1473</v>
      </c>
      <c r="H720" t="s">
        <v>1474</v>
      </c>
      <c r="I720" t="s">
        <v>36</v>
      </c>
      <c r="J720">
        <v>29993</v>
      </c>
      <c r="K720">
        <v>456</v>
      </c>
      <c r="L720" t="s">
        <v>21</v>
      </c>
      <c r="M720" s="1">
        <v>43919</v>
      </c>
      <c r="N720" t="s">
        <v>37</v>
      </c>
      <c r="O720" t="s">
        <v>23</v>
      </c>
      <c r="P720" t="str">
        <f t="shared" si="246"/>
        <v>P0719</v>
      </c>
      <c r="Q720" t="str">
        <f t="shared" si="242"/>
        <v>Orthopedics</v>
      </c>
      <c r="R720">
        <f t="shared" si="243"/>
        <v>6</v>
      </c>
      <c r="S720" t="str">
        <f t="shared" ca="1" si="247"/>
        <v>No</v>
      </c>
      <c r="T720" t="str">
        <f t="shared" ca="1" si="248"/>
        <v>Mild</v>
      </c>
      <c r="U720" t="str">
        <f t="shared" ca="1" si="249"/>
        <v>General Ward</v>
      </c>
      <c r="V720" t="str">
        <f t="shared" si="250"/>
        <v>BED0719</v>
      </c>
      <c r="W720" t="str">
        <f t="shared" ca="1" si="251"/>
        <v>Private</v>
      </c>
      <c r="X720" t="str">
        <f t="shared" si="252"/>
        <v>NUR019</v>
      </c>
      <c r="Y720" t="str">
        <f t="shared" ca="1" si="253"/>
        <v>Morning</v>
      </c>
      <c r="Z720" t="str">
        <f t="shared" ca="1" si="254"/>
        <v>MRI Scanner</v>
      </c>
      <c r="AA720" t="str">
        <f t="shared" ca="1" si="255"/>
        <v>Maintenance</v>
      </c>
      <c r="AB720" t="str">
        <f t="shared" ca="1" si="256"/>
        <v>Paid</v>
      </c>
      <c r="AC720" t="str">
        <f t="shared" ca="1" si="257"/>
        <v>Debit Card</v>
      </c>
      <c r="AD720" t="str">
        <f t="shared" ca="1" si="258"/>
        <v>No</v>
      </c>
      <c r="AE720" t="str">
        <f t="shared" ca="1" si="259"/>
        <v>No</v>
      </c>
      <c r="AF720" t="str">
        <f t="shared" ca="1" si="260"/>
        <v>Transferred</v>
      </c>
      <c r="AG720" t="str">
        <f t="shared" ca="1" si="261"/>
        <v>West Coast</v>
      </c>
      <c r="AH720" t="str">
        <f t="shared" si="244"/>
        <v>March</v>
      </c>
      <c r="AI720">
        <f t="shared" si="245"/>
        <v>2020</v>
      </c>
      <c r="AJ720" t="str">
        <f t="shared" ca="1" si="262"/>
        <v>Occupied</v>
      </c>
      <c r="AK720">
        <f t="shared" ca="1" si="263"/>
        <v>4</v>
      </c>
    </row>
    <row r="721" spans="1:37" x14ac:dyDescent="0.3">
      <c r="A721" t="s">
        <v>5145</v>
      </c>
      <c r="B721">
        <v>64</v>
      </c>
      <c r="C721" t="s">
        <v>32</v>
      </c>
      <c r="D721" t="s">
        <v>98</v>
      </c>
      <c r="E721" t="s">
        <v>64</v>
      </c>
      <c r="F721" s="1">
        <v>45120</v>
      </c>
      <c r="G721" t="s">
        <v>1475</v>
      </c>
      <c r="H721" t="s">
        <v>1476</v>
      </c>
      <c r="I721" t="s">
        <v>36</v>
      </c>
      <c r="J721">
        <v>4018</v>
      </c>
      <c r="K721">
        <v>415</v>
      </c>
      <c r="L721" t="s">
        <v>29</v>
      </c>
      <c r="M721" s="1">
        <v>45132</v>
      </c>
      <c r="N721" t="s">
        <v>30</v>
      </c>
      <c r="O721" t="s">
        <v>43</v>
      </c>
      <c r="P721" t="str">
        <f t="shared" si="246"/>
        <v>P0720</v>
      </c>
      <c r="Q721" t="str">
        <f t="shared" si="242"/>
        <v>Cardiology</v>
      </c>
      <c r="R721">
        <f t="shared" si="243"/>
        <v>12</v>
      </c>
      <c r="S721" t="str">
        <f t="shared" ca="1" si="247"/>
        <v>No</v>
      </c>
      <c r="T721" t="str">
        <f t="shared" ca="1" si="248"/>
        <v>Critical</v>
      </c>
      <c r="U721" t="str">
        <f t="shared" ca="1" si="249"/>
        <v>General Ward</v>
      </c>
      <c r="V721" t="str">
        <f t="shared" si="250"/>
        <v>BED0720</v>
      </c>
      <c r="W721" t="str">
        <f t="shared" ca="1" si="251"/>
        <v>Semi-Private</v>
      </c>
      <c r="X721" t="str">
        <f t="shared" si="252"/>
        <v>NUR020</v>
      </c>
      <c r="Y721" t="str">
        <f t="shared" ca="1" si="253"/>
        <v>Night</v>
      </c>
      <c r="Z721" t="str">
        <f t="shared" ca="1" si="254"/>
        <v>X-Ray</v>
      </c>
      <c r="AA721" t="str">
        <f t="shared" ca="1" si="255"/>
        <v>Available</v>
      </c>
      <c r="AB721" t="str">
        <f t="shared" ca="1" si="256"/>
        <v>Paid</v>
      </c>
      <c r="AC721" t="str">
        <f t="shared" ca="1" si="257"/>
        <v>Cash</v>
      </c>
      <c r="AD721" t="str">
        <f t="shared" ca="1" si="258"/>
        <v>No</v>
      </c>
      <c r="AE721" t="str">
        <f t="shared" ca="1" si="259"/>
        <v>No</v>
      </c>
      <c r="AF721" t="str">
        <f t="shared" ca="1" si="260"/>
        <v>Recovered</v>
      </c>
      <c r="AG721" t="str">
        <f t="shared" ca="1" si="261"/>
        <v>Midwest</v>
      </c>
      <c r="AH721" t="str">
        <f t="shared" si="244"/>
        <v>July</v>
      </c>
      <c r="AI721">
        <f t="shared" si="245"/>
        <v>2023</v>
      </c>
      <c r="AJ721" t="str">
        <f t="shared" ca="1" si="262"/>
        <v>Occupied</v>
      </c>
      <c r="AK721">
        <f t="shared" ca="1" si="263"/>
        <v>4</v>
      </c>
    </row>
    <row r="722" spans="1:37" x14ac:dyDescent="0.3">
      <c r="A722" t="s">
        <v>5146</v>
      </c>
      <c r="B722">
        <v>57</v>
      </c>
      <c r="C722" t="s">
        <v>32</v>
      </c>
      <c r="D722" t="s">
        <v>52</v>
      </c>
      <c r="E722" t="s">
        <v>48</v>
      </c>
      <c r="F722" s="1">
        <v>45127</v>
      </c>
      <c r="G722" t="s">
        <v>1477</v>
      </c>
      <c r="H722" t="s">
        <v>1478</v>
      </c>
      <c r="I722" t="s">
        <v>36</v>
      </c>
      <c r="J722">
        <v>20509</v>
      </c>
      <c r="K722">
        <v>261</v>
      </c>
      <c r="L722" t="s">
        <v>21</v>
      </c>
      <c r="M722" s="1">
        <v>45140</v>
      </c>
      <c r="N722" t="s">
        <v>30</v>
      </c>
      <c r="O722" t="s">
        <v>31</v>
      </c>
      <c r="P722" t="str">
        <f t="shared" si="246"/>
        <v>P0721</v>
      </c>
      <c r="Q722" t="str">
        <f t="shared" si="242"/>
        <v>Pulmonology</v>
      </c>
      <c r="R722">
        <f t="shared" si="243"/>
        <v>13</v>
      </c>
      <c r="S722" t="str">
        <f t="shared" ca="1" si="247"/>
        <v>No</v>
      </c>
      <c r="T722" t="str">
        <f t="shared" ca="1" si="248"/>
        <v>Critical</v>
      </c>
      <c r="U722" t="str">
        <f t="shared" ca="1" si="249"/>
        <v>Emergency</v>
      </c>
      <c r="V722" t="str">
        <f t="shared" si="250"/>
        <v>BED0721</v>
      </c>
      <c r="W722" t="str">
        <f t="shared" ca="1" si="251"/>
        <v>General</v>
      </c>
      <c r="X722" t="str">
        <f t="shared" si="252"/>
        <v>NUR021</v>
      </c>
      <c r="Y722" t="str">
        <f t="shared" ca="1" si="253"/>
        <v>Night</v>
      </c>
      <c r="Z722" t="str">
        <f t="shared" ca="1" si="254"/>
        <v>MRI Scanner</v>
      </c>
      <c r="AA722" t="str">
        <f t="shared" ca="1" si="255"/>
        <v>Maintenance</v>
      </c>
      <c r="AB722" t="str">
        <f t="shared" ca="1" si="256"/>
        <v>Pending</v>
      </c>
      <c r="AC722" t="str">
        <f t="shared" ca="1" si="257"/>
        <v>Cash</v>
      </c>
      <c r="AD722" t="str">
        <f t="shared" ca="1" si="258"/>
        <v>No</v>
      </c>
      <c r="AE722" t="str">
        <f t="shared" ca="1" si="259"/>
        <v>No</v>
      </c>
      <c r="AF722" t="str">
        <f t="shared" ca="1" si="260"/>
        <v>Recovered</v>
      </c>
      <c r="AG722" t="str">
        <f t="shared" ca="1" si="261"/>
        <v>Southeast</v>
      </c>
      <c r="AH722" t="str">
        <f t="shared" si="244"/>
        <v>July</v>
      </c>
      <c r="AI722">
        <f t="shared" si="245"/>
        <v>2023</v>
      </c>
      <c r="AJ722" t="str">
        <f t="shared" ca="1" si="262"/>
        <v>Occupied</v>
      </c>
      <c r="AK722">
        <f t="shared" ca="1" si="263"/>
        <v>1</v>
      </c>
    </row>
    <row r="723" spans="1:37" x14ac:dyDescent="0.3">
      <c r="A723" t="s">
        <v>5147</v>
      </c>
      <c r="B723">
        <v>54</v>
      </c>
      <c r="C723" t="s">
        <v>15</v>
      </c>
      <c r="D723" t="s">
        <v>83</v>
      </c>
      <c r="E723" t="s">
        <v>39</v>
      </c>
      <c r="F723" s="1">
        <v>43875</v>
      </c>
      <c r="G723" t="s">
        <v>1479</v>
      </c>
      <c r="H723" t="s">
        <v>1480</v>
      </c>
      <c r="I723" t="s">
        <v>20</v>
      </c>
      <c r="J723">
        <v>25648</v>
      </c>
      <c r="K723">
        <v>424</v>
      </c>
      <c r="L723" t="s">
        <v>21</v>
      </c>
      <c r="M723" s="1">
        <v>43891</v>
      </c>
      <c r="N723" t="s">
        <v>22</v>
      </c>
      <c r="O723" t="s">
        <v>23</v>
      </c>
      <c r="P723" t="str">
        <f t="shared" si="246"/>
        <v>P0722</v>
      </c>
      <c r="Q723" t="str">
        <f t="shared" si="242"/>
        <v>Endocrinology</v>
      </c>
      <c r="R723">
        <f t="shared" si="243"/>
        <v>16</v>
      </c>
      <c r="S723" t="str">
        <f t="shared" ca="1" si="247"/>
        <v>Yes</v>
      </c>
      <c r="T723" t="str">
        <f t="shared" ca="1" si="248"/>
        <v>Mild</v>
      </c>
      <c r="U723" t="str">
        <f t="shared" ca="1" si="249"/>
        <v>Emergency</v>
      </c>
      <c r="V723" t="str">
        <f t="shared" si="250"/>
        <v>BED0722</v>
      </c>
      <c r="W723" t="str">
        <f t="shared" ca="1" si="251"/>
        <v>Private</v>
      </c>
      <c r="X723" t="str">
        <f t="shared" si="252"/>
        <v>NUR022</v>
      </c>
      <c r="Y723" t="str">
        <f t="shared" ca="1" si="253"/>
        <v>Evening</v>
      </c>
      <c r="Z723" t="str">
        <f t="shared" ca="1" si="254"/>
        <v>Ventilator</v>
      </c>
      <c r="AA723" t="str">
        <f t="shared" ca="1" si="255"/>
        <v>Available</v>
      </c>
      <c r="AB723" t="str">
        <f t="shared" ca="1" si="256"/>
        <v>Pending</v>
      </c>
      <c r="AC723" t="str">
        <f t="shared" ca="1" si="257"/>
        <v>Cash</v>
      </c>
      <c r="AD723" t="str">
        <f t="shared" ca="1" si="258"/>
        <v>Yes</v>
      </c>
      <c r="AE723" t="str">
        <f t="shared" ca="1" si="259"/>
        <v>No</v>
      </c>
      <c r="AF723" t="str">
        <f t="shared" ca="1" si="260"/>
        <v>Transferred</v>
      </c>
      <c r="AG723" t="str">
        <f t="shared" ca="1" si="261"/>
        <v>Northeast</v>
      </c>
      <c r="AH723" t="str">
        <f t="shared" si="244"/>
        <v>February</v>
      </c>
      <c r="AI723">
        <f t="shared" si="245"/>
        <v>2020</v>
      </c>
      <c r="AJ723" t="str">
        <f t="shared" ca="1" si="262"/>
        <v>Occupied</v>
      </c>
      <c r="AK723">
        <f t="shared" ca="1" si="263"/>
        <v>2</v>
      </c>
    </row>
    <row r="724" spans="1:37" x14ac:dyDescent="0.3">
      <c r="A724" t="s">
        <v>5148</v>
      </c>
      <c r="B724">
        <v>44</v>
      </c>
      <c r="C724" t="s">
        <v>15</v>
      </c>
      <c r="D724" t="s">
        <v>16</v>
      </c>
      <c r="E724" t="s">
        <v>76</v>
      </c>
      <c r="F724" s="1">
        <v>45074</v>
      </c>
      <c r="G724" t="s">
        <v>1481</v>
      </c>
      <c r="H724" t="s">
        <v>1482</v>
      </c>
      <c r="I724" t="s">
        <v>20</v>
      </c>
      <c r="J724">
        <v>19691</v>
      </c>
      <c r="K724">
        <v>264</v>
      </c>
      <c r="L724" t="s">
        <v>42</v>
      </c>
      <c r="M724" s="1">
        <v>45099</v>
      </c>
      <c r="N724" t="s">
        <v>37</v>
      </c>
      <c r="O724" t="s">
        <v>31</v>
      </c>
      <c r="P724" t="str">
        <f t="shared" si="246"/>
        <v>P0723</v>
      </c>
      <c r="Q724" t="str">
        <f t="shared" si="242"/>
        <v>Orthopedics</v>
      </c>
      <c r="R724">
        <f t="shared" si="243"/>
        <v>25</v>
      </c>
      <c r="S724" t="str">
        <f t="shared" ca="1" si="247"/>
        <v>Yes</v>
      </c>
      <c r="T724" t="str">
        <f t="shared" ca="1" si="248"/>
        <v>Moderate</v>
      </c>
      <c r="U724" t="str">
        <f t="shared" ca="1" si="249"/>
        <v>ICU</v>
      </c>
      <c r="V724" t="str">
        <f t="shared" si="250"/>
        <v>BED0723</v>
      </c>
      <c r="W724" t="str">
        <f t="shared" ca="1" si="251"/>
        <v>ICU</v>
      </c>
      <c r="X724" t="str">
        <f t="shared" si="252"/>
        <v>NUR023</v>
      </c>
      <c r="Y724" t="str">
        <f t="shared" ca="1" si="253"/>
        <v>Night</v>
      </c>
      <c r="Z724" t="str">
        <f t="shared" ca="1" si="254"/>
        <v>Ventilator</v>
      </c>
      <c r="AA724" t="str">
        <f t="shared" ca="1" si="255"/>
        <v>In Use</v>
      </c>
      <c r="AB724" t="str">
        <f t="shared" ca="1" si="256"/>
        <v>Paid</v>
      </c>
      <c r="AC724" t="str">
        <f t="shared" ca="1" si="257"/>
        <v>Debit Card</v>
      </c>
      <c r="AD724" t="str">
        <f t="shared" ca="1" si="258"/>
        <v>Yes</v>
      </c>
      <c r="AE724" t="str">
        <f t="shared" ca="1" si="259"/>
        <v>No</v>
      </c>
      <c r="AF724" t="str">
        <f t="shared" ca="1" si="260"/>
        <v>Under Observation</v>
      </c>
      <c r="AG724" t="str">
        <f t="shared" ca="1" si="261"/>
        <v>Southwest</v>
      </c>
      <c r="AH724" t="str">
        <f t="shared" si="244"/>
        <v>May</v>
      </c>
      <c r="AI724">
        <f t="shared" si="245"/>
        <v>2023</v>
      </c>
      <c r="AJ724" t="str">
        <f t="shared" ca="1" si="262"/>
        <v>Occupied</v>
      </c>
      <c r="AK724">
        <f t="shared" ca="1" si="263"/>
        <v>4</v>
      </c>
    </row>
    <row r="725" spans="1:37" x14ac:dyDescent="0.3">
      <c r="A725" t="s">
        <v>5149</v>
      </c>
      <c r="B725">
        <v>78</v>
      </c>
      <c r="C725" t="s">
        <v>32</v>
      </c>
      <c r="D725" t="s">
        <v>16</v>
      </c>
      <c r="E725" t="s">
        <v>17</v>
      </c>
      <c r="F725" s="1">
        <v>44724</v>
      </c>
      <c r="G725" t="s">
        <v>1483</v>
      </c>
      <c r="H725" t="s">
        <v>1484</v>
      </c>
      <c r="I725" t="s">
        <v>57</v>
      </c>
      <c r="J725">
        <v>10312</v>
      </c>
      <c r="K725">
        <v>211</v>
      </c>
      <c r="L725" t="s">
        <v>21</v>
      </c>
      <c r="M725" s="1">
        <v>44739</v>
      </c>
      <c r="N725" t="s">
        <v>47</v>
      </c>
      <c r="O725" t="s">
        <v>31</v>
      </c>
      <c r="P725" t="str">
        <f t="shared" si="246"/>
        <v>P0724</v>
      </c>
      <c r="Q725" t="str">
        <f t="shared" si="242"/>
        <v>Oncology</v>
      </c>
      <c r="R725">
        <f t="shared" si="243"/>
        <v>15</v>
      </c>
      <c r="S725" t="str">
        <f t="shared" ca="1" si="247"/>
        <v>No</v>
      </c>
      <c r="T725" t="str">
        <f t="shared" ca="1" si="248"/>
        <v>Severe</v>
      </c>
      <c r="U725" t="str">
        <f t="shared" ca="1" si="249"/>
        <v>ICU</v>
      </c>
      <c r="V725" t="str">
        <f t="shared" si="250"/>
        <v>BED0724</v>
      </c>
      <c r="W725" t="str">
        <f t="shared" ca="1" si="251"/>
        <v>General</v>
      </c>
      <c r="X725" t="str">
        <f t="shared" si="252"/>
        <v>NUR024</v>
      </c>
      <c r="Y725" t="str">
        <f t="shared" ca="1" si="253"/>
        <v>Night</v>
      </c>
      <c r="Z725" t="str">
        <f t="shared" ca="1" si="254"/>
        <v>MRI Scanner</v>
      </c>
      <c r="AA725" t="str">
        <f t="shared" ca="1" si="255"/>
        <v>In Use</v>
      </c>
      <c r="AB725" t="str">
        <f t="shared" ca="1" si="256"/>
        <v>Pending</v>
      </c>
      <c r="AC725" t="str">
        <f t="shared" ca="1" si="257"/>
        <v>Credit Card</v>
      </c>
      <c r="AD725" t="str">
        <f t="shared" ca="1" si="258"/>
        <v>No</v>
      </c>
      <c r="AE725" t="str">
        <f t="shared" ca="1" si="259"/>
        <v>No</v>
      </c>
      <c r="AF725" t="str">
        <f t="shared" ca="1" si="260"/>
        <v>Transferred</v>
      </c>
      <c r="AG725" t="str">
        <f t="shared" ca="1" si="261"/>
        <v>Southeast</v>
      </c>
      <c r="AH725" t="str">
        <f t="shared" si="244"/>
        <v>June</v>
      </c>
      <c r="AI725">
        <f t="shared" si="245"/>
        <v>2022</v>
      </c>
      <c r="AJ725" t="str">
        <f t="shared" ca="1" si="262"/>
        <v>Occupied</v>
      </c>
      <c r="AK725">
        <f t="shared" ca="1" si="263"/>
        <v>4</v>
      </c>
    </row>
    <row r="726" spans="1:37" x14ac:dyDescent="0.3">
      <c r="A726" t="s">
        <v>5150</v>
      </c>
      <c r="B726">
        <v>63</v>
      </c>
      <c r="C726" t="s">
        <v>32</v>
      </c>
      <c r="D726" t="s">
        <v>24</v>
      </c>
      <c r="E726" t="s">
        <v>17</v>
      </c>
      <c r="F726" s="1">
        <v>45272</v>
      </c>
      <c r="G726" t="s">
        <v>1485</v>
      </c>
      <c r="H726" t="s">
        <v>1486</v>
      </c>
      <c r="I726" t="s">
        <v>28</v>
      </c>
      <c r="J726">
        <v>17734</v>
      </c>
      <c r="K726">
        <v>114</v>
      </c>
      <c r="L726" t="s">
        <v>42</v>
      </c>
      <c r="M726" s="1">
        <v>45273</v>
      </c>
      <c r="N726" t="s">
        <v>67</v>
      </c>
      <c r="O726" t="s">
        <v>23</v>
      </c>
      <c r="P726" t="str">
        <f t="shared" si="246"/>
        <v>P0725</v>
      </c>
      <c r="Q726" t="str">
        <f t="shared" si="242"/>
        <v>Oncology</v>
      </c>
      <c r="R726">
        <f t="shared" si="243"/>
        <v>1</v>
      </c>
      <c r="S726" t="str">
        <f t="shared" ca="1" si="247"/>
        <v>No</v>
      </c>
      <c r="T726" t="str">
        <f t="shared" ca="1" si="248"/>
        <v>Moderate</v>
      </c>
      <c r="U726" t="str">
        <f t="shared" ca="1" si="249"/>
        <v>Semi-Private</v>
      </c>
      <c r="V726" t="str">
        <f t="shared" si="250"/>
        <v>BED0725</v>
      </c>
      <c r="W726" t="str">
        <f t="shared" ca="1" si="251"/>
        <v>ICU</v>
      </c>
      <c r="X726" t="str">
        <f t="shared" si="252"/>
        <v>NUR025</v>
      </c>
      <c r="Y726" t="str">
        <f t="shared" ca="1" si="253"/>
        <v>Morning</v>
      </c>
      <c r="Z726" t="str">
        <f t="shared" ca="1" si="254"/>
        <v>CT Scanner</v>
      </c>
      <c r="AA726" t="str">
        <f t="shared" ca="1" si="255"/>
        <v>Available</v>
      </c>
      <c r="AB726" t="str">
        <f t="shared" ca="1" si="256"/>
        <v>Partially Paid</v>
      </c>
      <c r="AC726" t="str">
        <f t="shared" ca="1" si="257"/>
        <v>Credit Card</v>
      </c>
      <c r="AD726" t="str">
        <f t="shared" ca="1" si="258"/>
        <v>No</v>
      </c>
      <c r="AE726" t="str">
        <f t="shared" ca="1" si="259"/>
        <v>No</v>
      </c>
      <c r="AF726" t="str">
        <f t="shared" ca="1" si="260"/>
        <v>Transferred</v>
      </c>
      <c r="AG726" t="str">
        <f t="shared" ca="1" si="261"/>
        <v>Southwest</v>
      </c>
      <c r="AH726" t="str">
        <f t="shared" si="244"/>
        <v>December</v>
      </c>
      <c r="AI726">
        <f t="shared" si="245"/>
        <v>2023</v>
      </c>
      <c r="AJ726" t="str">
        <f t="shared" ca="1" si="262"/>
        <v>Occupied</v>
      </c>
      <c r="AK726">
        <f t="shared" ca="1" si="263"/>
        <v>1</v>
      </c>
    </row>
    <row r="727" spans="1:37" x14ac:dyDescent="0.3">
      <c r="A727" t="s">
        <v>5151</v>
      </c>
      <c r="B727">
        <v>66</v>
      </c>
      <c r="C727" t="s">
        <v>32</v>
      </c>
      <c r="D727" t="s">
        <v>16</v>
      </c>
      <c r="E727" t="s">
        <v>64</v>
      </c>
      <c r="F727" s="1">
        <v>45236</v>
      </c>
      <c r="G727" t="s">
        <v>1487</v>
      </c>
      <c r="H727" t="s">
        <v>1488</v>
      </c>
      <c r="I727" t="s">
        <v>57</v>
      </c>
      <c r="J727">
        <v>10521</v>
      </c>
      <c r="K727">
        <v>288</v>
      </c>
      <c r="L727" t="s">
        <v>29</v>
      </c>
      <c r="M727" s="1">
        <v>45242</v>
      </c>
      <c r="N727" t="s">
        <v>67</v>
      </c>
      <c r="O727" t="s">
        <v>31</v>
      </c>
      <c r="P727" t="str">
        <f t="shared" si="246"/>
        <v>P0726</v>
      </c>
      <c r="Q727" t="str">
        <f t="shared" si="242"/>
        <v>Cardiology</v>
      </c>
      <c r="R727">
        <f t="shared" si="243"/>
        <v>6</v>
      </c>
      <c r="S727" t="str">
        <f t="shared" ca="1" si="247"/>
        <v>No</v>
      </c>
      <c r="T727" t="str">
        <f t="shared" ca="1" si="248"/>
        <v>Moderate</v>
      </c>
      <c r="U727" t="str">
        <f t="shared" ca="1" si="249"/>
        <v>General Ward</v>
      </c>
      <c r="V727" t="str">
        <f t="shared" si="250"/>
        <v>BED0726</v>
      </c>
      <c r="W727" t="str">
        <f t="shared" ca="1" si="251"/>
        <v>ICU</v>
      </c>
      <c r="X727" t="str">
        <f t="shared" si="252"/>
        <v>NUR026</v>
      </c>
      <c r="Y727" t="str">
        <f t="shared" ca="1" si="253"/>
        <v>Evening</v>
      </c>
      <c r="Z727" t="str">
        <f t="shared" ca="1" si="254"/>
        <v>Ultrasound</v>
      </c>
      <c r="AA727" t="str">
        <f t="shared" ca="1" si="255"/>
        <v>In Use</v>
      </c>
      <c r="AB727" t="str">
        <f t="shared" ca="1" si="256"/>
        <v>Pending</v>
      </c>
      <c r="AC727" t="str">
        <f t="shared" ca="1" si="257"/>
        <v>Insurance</v>
      </c>
      <c r="AD727" t="str">
        <f t="shared" ca="1" si="258"/>
        <v>No</v>
      </c>
      <c r="AE727" t="str">
        <f t="shared" ca="1" si="259"/>
        <v>No</v>
      </c>
      <c r="AF727" t="str">
        <f t="shared" ca="1" si="260"/>
        <v>Recovered</v>
      </c>
      <c r="AG727" t="str">
        <f t="shared" ca="1" si="261"/>
        <v>Northeast</v>
      </c>
      <c r="AH727" t="str">
        <f t="shared" si="244"/>
        <v>November</v>
      </c>
      <c r="AI727">
        <f t="shared" si="245"/>
        <v>2023</v>
      </c>
      <c r="AJ727" t="str">
        <f t="shared" ca="1" si="262"/>
        <v>Occupied</v>
      </c>
      <c r="AK727">
        <f t="shared" ca="1" si="263"/>
        <v>4</v>
      </c>
    </row>
    <row r="728" spans="1:37" x14ac:dyDescent="0.3">
      <c r="A728" t="s">
        <v>5152</v>
      </c>
      <c r="B728">
        <v>75</v>
      </c>
      <c r="C728" t="s">
        <v>15</v>
      </c>
      <c r="D728" t="s">
        <v>52</v>
      </c>
      <c r="E728" t="s">
        <v>76</v>
      </c>
      <c r="F728" s="1">
        <v>45062</v>
      </c>
      <c r="G728" t="s">
        <v>1489</v>
      </c>
      <c r="H728" t="s">
        <v>1490</v>
      </c>
      <c r="I728" t="s">
        <v>20</v>
      </c>
      <c r="J728">
        <v>29911</v>
      </c>
      <c r="K728">
        <v>400</v>
      </c>
      <c r="L728" t="s">
        <v>42</v>
      </c>
      <c r="M728" s="1">
        <v>45076</v>
      </c>
      <c r="N728" t="s">
        <v>47</v>
      </c>
      <c r="O728" t="s">
        <v>43</v>
      </c>
      <c r="P728" t="str">
        <f t="shared" si="246"/>
        <v>P0727</v>
      </c>
      <c r="Q728" t="str">
        <f t="shared" si="242"/>
        <v>Orthopedics</v>
      </c>
      <c r="R728">
        <f t="shared" si="243"/>
        <v>14</v>
      </c>
      <c r="S728" t="str">
        <f t="shared" ca="1" si="247"/>
        <v>No</v>
      </c>
      <c r="T728" t="str">
        <f t="shared" ca="1" si="248"/>
        <v>Critical</v>
      </c>
      <c r="U728" t="str">
        <f t="shared" ca="1" si="249"/>
        <v>Private Ward</v>
      </c>
      <c r="V728" t="str">
        <f t="shared" si="250"/>
        <v>BED0727</v>
      </c>
      <c r="W728" t="str">
        <f t="shared" ca="1" si="251"/>
        <v>ICU</v>
      </c>
      <c r="X728" t="str">
        <f t="shared" si="252"/>
        <v>NUR027</v>
      </c>
      <c r="Y728" t="str">
        <f t="shared" ca="1" si="253"/>
        <v>Night</v>
      </c>
      <c r="Z728" t="str">
        <f t="shared" ca="1" si="254"/>
        <v>Ultrasound</v>
      </c>
      <c r="AA728" t="str">
        <f t="shared" ca="1" si="255"/>
        <v>Available</v>
      </c>
      <c r="AB728" t="str">
        <f t="shared" ca="1" si="256"/>
        <v>Pending</v>
      </c>
      <c r="AC728" t="str">
        <f t="shared" ca="1" si="257"/>
        <v>Credit Card</v>
      </c>
      <c r="AD728" t="str">
        <f t="shared" ca="1" si="258"/>
        <v>No</v>
      </c>
      <c r="AE728" t="str">
        <f t="shared" ca="1" si="259"/>
        <v>No</v>
      </c>
      <c r="AF728" t="str">
        <f t="shared" ca="1" si="260"/>
        <v>Transferred</v>
      </c>
      <c r="AG728" t="str">
        <f t="shared" ca="1" si="261"/>
        <v>Southeast</v>
      </c>
      <c r="AH728" t="str">
        <f t="shared" si="244"/>
        <v>May</v>
      </c>
      <c r="AI728">
        <f t="shared" si="245"/>
        <v>2023</v>
      </c>
      <c r="AJ728" t="str">
        <f t="shared" ca="1" si="262"/>
        <v>Vacant</v>
      </c>
      <c r="AK728">
        <f t="shared" ca="1" si="263"/>
        <v>4</v>
      </c>
    </row>
    <row r="729" spans="1:37" x14ac:dyDescent="0.3">
      <c r="A729" t="s">
        <v>5153</v>
      </c>
      <c r="B729">
        <v>36</v>
      </c>
      <c r="C729" t="s">
        <v>15</v>
      </c>
      <c r="D729" t="s">
        <v>98</v>
      </c>
      <c r="E729" t="s">
        <v>39</v>
      </c>
      <c r="F729" s="1">
        <v>44846</v>
      </c>
      <c r="G729" t="s">
        <v>1491</v>
      </c>
      <c r="H729" t="s">
        <v>1492</v>
      </c>
      <c r="I729" t="s">
        <v>57</v>
      </c>
      <c r="J729">
        <v>26612</v>
      </c>
      <c r="K729">
        <v>377</v>
      </c>
      <c r="L729" t="s">
        <v>42</v>
      </c>
      <c r="M729" s="1">
        <v>44848</v>
      </c>
      <c r="N729" t="s">
        <v>37</v>
      </c>
      <c r="O729" t="s">
        <v>23</v>
      </c>
      <c r="P729" t="str">
        <f t="shared" si="246"/>
        <v>P0728</v>
      </c>
      <c r="Q729" t="str">
        <f t="shared" si="242"/>
        <v>Endocrinology</v>
      </c>
      <c r="R729">
        <f t="shared" si="243"/>
        <v>2</v>
      </c>
      <c r="S729" t="str">
        <f t="shared" ca="1" si="247"/>
        <v>No</v>
      </c>
      <c r="T729" t="str">
        <f t="shared" ca="1" si="248"/>
        <v>Severe</v>
      </c>
      <c r="U729" t="str">
        <f t="shared" ca="1" si="249"/>
        <v>Emergency</v>
      </c>
      <c r="V729" t="str">
        <f t="shared" si="250"/>
        <v>BED0728</v>
      </c>
      <c r="W729" t="str">
        <f t="shared" ca="1" si="251"/>
        <v>ICU</v>
      </c>
      <c r="X729" t="str">
        <f t="shared" si="252"/>
        <v>NUR028</v>
      </c>
      <c r="Y729" t="str">
        <f t="shared" ca="1" si="253"/>
        <v>Evening</v>
      </c>
      <c r="Z729" t="str">
        <f t="shared" ca="1" si="254"/>
        <v>Ultrasound</v>
      </c>
      <c r="AA729" t="str">
        <f t="shared" ca="1" si="255"/>
        <v>Maintenance</v>
      </c>
      <c r="AB729" t="str">
        <f t="shared" ca="1" si="256"/>
        <v>Paid</v>
      </c>
      <c r="AC729" t="str">
        <f t="shared" ca="1" si="257"/>
        <v>Cash</v>
      </c>
      <c r="AD729" t="str">
        <f t="shared" ca="1" si="258"/>
        <v>No</v>
      </c>
      <c r="AE729" t="str">
        <f t="shared" ca="1" si="259"/>
        <v>No</v>
      </c>
      <c r="AF729" t="str">
        <f t="shared" ca="1" si="260"/>
        <v>Recovered</v>
      </c>
      <c r="AG729" t="str">
        <f t="shared" ca="1" si="261"/>
        <v>Midwest</v>
      </c>
      <c r="AH729" t="str">
        <f t="shared" si="244"/>
        <v>October</v>
      </c>
      <c r="AI729">
        <f t="shared" si="245"/>
        <v>2022</v>
      </c>
      <c r="AJ729" t="str">
        <f t="shared" ca="1" si="262"/>
        <v>Occupied</v>
      </c>
      <c r="AK729">
        <f t="shared" ca="1" si="263"/>
        <v>1</v>
      </c>
    </row>
    <row r="730" spans="1:37" x14ac:dyDescent="0.3">
      <c r="A730" t="s">
        <v>5154</v>
      </c>
      <c r="B730">
        <v>18</v>
      </c>
      <c r="C730" t="s">
        <v>32</v>
      </c>
      <c r="D730" t="s">
        <v>44</v>
      </c>
      <c r="E730" t="s">
        <v>39</v>
      </c>
      <c r="F730" s="1">
        <v>45290</v>
      </c>
      <c r="G730" t="s">
        <v>1493</v>
      </c>
      <c r="H730" t="s">
        <v>1494</v>
      </c>
      <c r="I730" t="s">
        <v>36</v>
      </c>
      <c r="J730">
        <v>25858</v>
      </c>
      <c r="K730">
        <v>324</v>
      </c>
      <c r="L730" t="s">
        <v>42</v>
      </c>
      <c r="M730" s="1">
        <v>45305</v>
      </c>
      <c r="N730" t="s">
        <v>47</v>
      </c>
      <c r="O730" t="s">
        <v>23</v>
      </c>
      <c r="P730" t="str">
        <f t="shared" si="246"/>
        <v>P0729</v>
      </c>
      <c r="Q730" t="str">
        <f t="shared" si="242"/>
        <v>Endocrinology</v>
      </c>
      <c r="R730">
        <f t="shared" si="243"/>
        <v>15</v>
      </c>
      <c r="S730" t="str">
        <f t="shared" ca="1" si="247"/>
        <v>No</v>
      </c>
      <c r="T730" t="str">
        <f t="shared" ca="1" si="248"/>
        <v>Severe</v>
      </c>
      <c r="U730" t="str">
        <f t="shared" ca="1" si="249"/>
        <v>Semi-Private</v>
      </c>
      <c r="V730" t="str">
        <f t="shared" si="250"/>
        <v>BED0729</v>
      </c>
      <c r="W730" t="str">
        <f t="shared" ca="1" si="251"/>
        <v>Semi-Private</v>
      </c>
      <c r="X730" t="str">
        <f t="shared" si="252"/>
        <v>NUR029</v>
      </c>
      <c r="Y730" t="str">
        <f t="shared" ca="1" si="253"/>
        <v>Evening</v>
      </c>
      <c r="Z730" t="str">
        <f t="shared" ca="1" si="254"/>
        <v>ECG Machine</v>
      </c>
      <c r="AA730" t="str">
        <f t="shared" ca="1" si="255"/>
        <v>In Use</v>
      </c>
      <c r="AB730" t="str">
        <f t="shared" ca="1" si="256"/>
        <v>Pending</v>
      </c>
      <c r="AC730" t="str">
        <f t="shared" ca="1" si="257"/>
        <v>Cash</v>
      </c>
      <c r="AD730" t="str">
        <f t="shared" ca="1" si="258"/>
        <v>No</v>
      </c>
      <c r="AE730" t="str">
        <f t="shared" ca="1" si="259"/>
        <v>No</v>
      </c>
      <c r="AF730" t="str">
        <f t="shared" ca="1" si="260"/>
        <v>Recovered</v>
      </c>
      <c r="AG730" t="str">
        <f t="shared" ca="1" si="261"/>
        <v>Midwest</v>
      </c>
      <c r="AH730" t="str">
        <f t="shared" si="244"/>
        <v>December</v>
      </c>
      <c r="AI730">
        <f t="shared" si="245"/>
        <v>2023</v>
      </c>
      <c r="AJ730" t="str">
        <f t="shared" ca="1" si="262"/>
        <v>Vacant</v>
      </c>
      <c r="AK730">
        <f t="shared" ca="1" si="263"/>
        <v>2</v>
      </c>
    </row>
    <row r="731" spans="1:37" x14ac:dyDescent="0.3">
      <c r="A731" t="s">
        <v>5155</v>
      </c>
      <c r="B731">
        <v>49</v>
      </c>
      <c r="C731" t="s">
        <v>15</v>
      </c>
      <c r="D731" t="s">
        <v>83</v>
      </c>
      <c r="E731" t="s">
        <v>64</v>
      </c>
      <c r="F731" s="1">
        <v>45348</v>
      </c>
      <c r="G731" t="s">
        <v>1495</v>
      </c>
      <c r="H731" t="s">
        <v>1496</v>
      </c>
      <c r="I731" t="s">
        <v>36</v>
      </c>
      <c r="J731">
        <v>22070</v>
      </c>
      <c r="K731">
        <v>142</v>
      </c>
      <c r="L731" t="s">
        <v>42</v>
      </c>
      <c r="M731" s="1">
        <v>45360</v>
      </c>
      <c r="N731" t="s">
        <v>22</v>
      </c>
      <c r="O731" t="s">
        <v>23</v>
      </c>
      <c r="P731" t="str">
        <f t="shared" si="246"/>
        <v>P0730</v>
      </c>
      <c r="Q731" t="str">
        <f t="shared" si="242"/>
        <v>Cardiology</v>
      </c>
      <c r="R731">
        <f t="shared" si="243"/>
        <v>12</v>
      </c>
      <c r="S731" t="str">
        <f t="shared" ca="1" si="247"/>
        <v>No</v>
      </c>
      <c r="T731" t="str">
        <f t="shared" ca="1" si="248"/>
        <v>Severe</v>
      </c>
      <c r="U731" t="str">
        <f t="shared" ca="1" si="249"/>
        <v>Semi-Private</v>
      </c>
      <c r="V731" t="str">
        <f t="shared" si="250"/>
        <v>BED0730</v>
      </c>
      <c r="W731" t="str">
        <f t="shared" ca="1" si="251"/>
        <v>Semi-Private</v>
      </c>
      <c r="X731" t="str">
        <f t="shared" si="252"/>
        <v>NUR030</v>
      </c>
      <c r="Y731" t="str">
        <f t="shared" ca="1" si="253"/>
        <v>Evening</v>
      </c>
      <c r="Z731" t="str">
        <f t="shared" ca="1" si="254"/>
        <v>X-Ray</v>
      </c>
      <c r="AA731" t="str">
        <f t="shared" ca="1" si="255"/>
        <v>Maintenance</v>
      </c>
      <c r="AB731" t="str">
        <f t="shared" ca="1" si="256"/>
        <v>Paid</v>
      </c>
      <c r="AC731" t="str">
        <f t="shared" ca="1" si="257"/>
        <v>Bank Transfer</v>
      </c>
      <c r="AD731" t="str">
        <f t="shared" ca="1" si="258"/>
        <v>No</v>
      </c>
      <c r="AE731" t="str">
        <f t="shared" ca="1" si="259"/>
        <v>No</v>
      </c>
      <c r="AF731" t="str">
        <f t="shared" ca="1" si="260"/>
        <v>Under Observation</v>
      </c>
      <c r="AG731" t="str">
        <f t="shared" ca="1" si="261"/>
        <v>Midwest</v>
      </c>
      <c r="AH731" t="str">
        <f t="shared" si="244"/>
        <v>February</v>
      </c>
      <c r="AI731">
        <f t="shared" si="245"/>
        <v>2024</v>
      </c>
      <c r="AJ731" t="str">
        <f t="shared" ca="1" si="262"/>
        <v>Occupied</v>
      </c>
      <c r="AK731">
        <f t="shared" ca="1" si="263"/>
        <v>1</v>
      </c>
    </row>
    <row r="732" spans="1:37" x14ac:dyDescent="0.3">
      <c r="A732" t="s">
        <v>5156</v>
      </c>
      <c r="B732">
        <v>22</v>
      </c>
      <c r="C732" t="s">
        <v>32</v>
      </c>
      <c r="D732" t="s">
        <v>83</v>
      </c>
      <c r="E732" t="s">
        <v>48</v>
      </c>
      <c r="F732" s="1">
        <v>44507</v>
      </c>
      <c r="G732" t="s">
        <v>1497</v>
      </c>
      <c r="H732" t="s">
        <v>1498</v>
      </c>
      <c r="I732" t="s">
        <v>57</v>
      </c>
      <c r="J732">
        <v>43118</v>
      </c>
      <c r="K732">
        <v>458</v>
      </c>
      <c r="L732" t="s">
        <v>29</v>
      </c>
      <c r="M732" s="1">
        <v>44526</v>
      </c>
      <c r="N732" t="s">
        <v>47</v>
      </c>
      <c r="O732" t="s">
        <v>43</v>
      </c>
      <c r="P732" t="str">
        <f t="shared" si="246"/>
        <v>P0731</v>
      </c>
      <c r="Q732" t="str">
        <f t="shared" si="242"/>
        <v>Pulmonology</v>
      </c>
      <c r="R732">
        <f t="shared" si="243"/>
        <v>19</v>
      </c>
      <c r="S732" t="str">
        <f t="shared" ca="1" si="247"/>
        <v>No</v>
      </c>
      <c r="T732" t="str">
        <f t="shared" ca="1" si="248"/>
        <v>Critical</v>
      </c>
      <c r="U732" t="str">
        <f t="shared" ca="1" si="249"/>
        <v>Semi-Private</v>
      </c>
      <c r="V732" t="str">
        <f t="shared" si="250"/>
        <v>BED0731</v>
      </c>
      <c r="W732" t="str">
        <f t="shared" ca="1" si="251"/>
        <v>Private</v>
      </c>
      <c r="X732" t="str">
        <f t="shared" si="252"/>
        <v>NUR031</v>
      </c>
      <c r="Y732" t="str">
        <f t="shared" ca="1" si="253"/>
        <v>Morning</v>
      </c>
      <c r="Z732" t="str">
        <f t="shared" ca="1" si="254"/>
        <v>X-Ray</v>
      </c>
      <c r="AA732" t="str">
        <f t="shared" ca="1" si="255"/>
        <v>In Use</v>
      </c>
      <c r="AB732" t="str">
        <f t="shared" ca="1" si="256"/>
        <v>Pending</v>
      </c>
      <c r="AC732" t="str">
        <f t="shared" ca="1" si="257"/>
        <v>Cash</v>
      </c>
      <c r="AD732" t="str">
        <f t="shared" ca="1" si="258"/>
        <v>No</v>
      </c>
      <c r="AE732" t="str">
        <f t="shared" ca="1" si="259"/>
        <v>No</v>
      </c>
      <c r="AF732" t="str">
        <f t="shared" ca="1" si="260"/>
        <v>Transferred</v>
      </c>
      <c r="AG732" t="str">
        <f t="shared" ca="1" si="261"/>
        <v>Southeast</v>
      </c>
      <c r="AH732" t="str">
        <f t="shared" si="244"/>
        <v>November</v>
      </c>
      <c r="AI732">
        <f t="shared" si="245"/>
        <v>2021</v>
      </c>
      <c r="AJ732" t="str">
        <f t="shared" ca="1" si="262"/>
        <v>Occupied</v>
      </c>
      <c r="AK732">
        <f t="shared" ca="1" si="263"/>
        <v>4</v>
      </c>
    </row>
    <row r="733" spans="1:37" x14ac:dyDescent="0.3">
      <c r="A733" t="s">
        <v>5157</v>
      </c>
      <c r="B733">
        <v>72</v>
      </c>
      <c r="C733" t="s">
        <v>32</v>
      </c>
      <c r="D733" t="s">
        <v>83</v>
      </c>
      <c r="E733" t="s">
        <v>64</v>
      </c>
      <c r="F733" s="1">
        <v>43864</v>
      </c>
      <c r="G733" t="s">
        <v>1499</v>
      </c>
      <c r="H733" t="s">
        <v>1500</v>
      </c>
      <c r="I733" t="s">
        <v>57</v>
      </c>
      <c r="J733">
        <v>3719</v>
      </c>
      <c r="K733">
        <v>304</v>
      </c>
      <c r="L733" t="s">
        <v>21</v>
      </c>
      <c r="M733" s="1">
        <v>43865</v>
      </c>
      <c r="N733" t="s">
        <v>37</v>
      </c>
      <c r="O733" t="s">
        <v>23</v>
      </c>
      <c r="P733" t="str">
        <f t="shared" si="246"/>
        <v>P0732</v>
      </c>
      <c r="Q733" t="str">
        <f t="shared" si="242"/>
        <v>Cardiology</v>
      </c>
      <c r="R733">
        <f t="shared" si="243"/>
        <v>1</v>
      </c>
      <c r="S733" t="str">
        <f t="shared" ca="1" si="247"/>
        <v>No</v>
      </c>
      <c r="T733" t="str">
        <f t="shared" ca="1" si="248"/>
        <v>Severe</v>
      </c>
      <c r="U733" t="str">
        <f t="shared" ca="1" si="249"/>
        <v>General Ward</v>
      </c>
      <c r="V733" t="str">
        <f t="shared" si="250"/>
        <v>BED0732</v>
      </c>
      <c r="W733" t="str">
        <f t="shared" ca="1" si="251"/>
        <v>ICU</v>
      </c>
      <c r="X733" t="str">
        <f t="shared" si="252"/>
        <v>NUR032</v>
      </c>
      <c r="Y733" t="str">
        <f t="shared" ca="1" si="253"/>
        <v>Evening</v>
      </c>
      <c r="Z733" t="str">
        <f t="shared" ca="1" si="254"/>
        <v>X-Ray</v>
      </c>
      <c r="AA733" t="str">
        <f t="shared" ca="1" si="255"/>
        <v>Maintenance</v>
      </c>
      <c r="AB733" t="str">
        <f t="shared" ca="1" si="256"/>
        <v>Pending</v>
      </c>
      <c r="AC733" t="str">
        <f t="shared" ca="1" si="257"/>
        <v>Insurance</v>
      </c>
      <c r="AD733" t="str">
        <f t="shared" ca="1" si="258"/>
        <v>No</v>
      </c>
      <c r="AE733" t="str">
        <f t="shared" ca="1" si="259"/>
        <v>No</v>
      </c>
      <c r="AF733" t="str">
        <f t="shared" ca="1" si="260"/>
        <v>Transferred</v>
      </c>
      <c r="AG733" t="str">
        <f t="shared" ca="1" si="261"/>
        <v>West Coast</v>
      </c>
      <c r="AH733" t="str">
        <f t="shared" si="244"/>
        <v>February</v>
      </c>
      <c r="AI733">
        <f t="shared" si="245"/>
        <v>2020</v>
      </c>
      <c r="AJ733" t="str">
        <f t="shared" ca="1" si="262"/>
        <v>Occupied</v>
      </c>
      <c r="AK733">
        <f t="shared" ca="1" si="263"/>
        <v>4</v>
      </c>
    </row>
    <row r="734" spans="1:37" x14ac:dyDescent="0.3">
      <c r="A734" t="s">
        <v>5158</v>
      </c>
      <c r="B734">
        <v>46</v>
      </c>
      <c r="C734" t="s">
        <v>32</v>
      </c>
      <c r="D734" t="s">
        <v>83</v>
      </c>
      <c r="E734" t="s">
        <v>76</v>
      </c>
      <c r="F734" s="1">
        <v>43651</v>
      </c>
      <c r="G734" t="s">
        <v>1501</v>
      </c>
      <c r="H734" t="s">
        <v>1502</v>
      </c>
      <c r="I734" t="s">
        <v>20</v>
      </c>
      <c r="J734">
        <v>18788</v>
      </c>
      <c r="K734">
        <v>267</v>
      </c>
      <c r="L734" t="s">
        <v>29</v>
      </c>
      <c r="M734" s="1">
        <v>43666</v>
      </c>
      <c r="N734" t="s">
        <v>67</v>
      </c>
      <c r="O734" t="s">
        <v>31</v>
      </c>
      <c r="P734" t="str">
        <f t="shared" si="246"/>
        <v>P0733</v>
      </c>
      <c r="Q734" t="str">
        <f t="shared" si="242"/>
        <v>Orthopedics</v>
      </c>
      <c r="R734">
        <f t="shared" si="243"/>
        <v>15</v>
      </c>
      <c r="S734" t="str">
        <f t="shared" ca="1" si="247"/>
        <v>No</v>
      </c>
      <c r="T734" t="str">
        <f t="shared" ca="1" si="248"/>
        <v>Critical</v>
      </c>
      <c r="U734" t="str">
        <f t="shared" ca="1" si="249"/>
        <v>ICU</v>
      </c>
      <c r="V734" t="str">
        <f t="shared" si="250"/>
        <v>BED0733</v>
      </c>
      <c r="W734" t="str">
        <f t="shared" ca="1" si="251"/>
        <v>Private</v>
      </c>
      <c r="X734" t="str">
        <f t="shared" si="252"/>
        <v>NUR033</v>
      </c>
      <c r="Y734" t="str">
        <f t="shared" ca="1" si="253"/>
        <v>Morning</v>
      </c>
      <c r="Z734" t="str">
        <f t="shared" ca="1" si="254"/>
        <v>X-Ray</v>
      </c>
      <c r="AA734" t="str">
        <f t="shared" ca="1" si="255"/>
        <v>Available</v>
      </c>
      <c r="AB734" t="str">
        <f t="shared" ca="1" si="256"/>
        <v>Paid</v>
      </c>
      <c r="AC734" t="str">
        <f t="shared" ca="1" si="257"/>
        <v>Cash</v>
      </c>
      <c r="AD734" t="str">
        <f t="shared" ca="1" si="258"/>
        <v>No</v>
      </c>
      <c r="AE734" t="str">
        <f t="shared" ca="1" si="259"/>
        <v>Yes</v>
      </c>
      <c r="AF734" t="str">
        <f t="shared" ca="1" si="260"/>
        <v>Under Observation</v>
      </c>
      <c r="AG734" t="str">
        <f t="shared" ca="1" si="261"/>
        <v>Northeast</v>
      </c>
      <c r="AH734" t="str">
        <f t="shared" si="244"/>
        <v>July</v>
      </c>
      <c r="AI734">
        <f t="shared" si="245"/>
        <v>2019</v>
      </c>
      <c r="AJ734" t="str">
        <f t="shared" ca="1" si="262"/>
        <v>Vacant</v>
      </c>
      <c r="AK734">
        <f t="shared" ca="1" si="263"/>
        <v>2</v>
      </c>
    </row>
    <row r="735" spans="1:37" x14ac:dyDescent="0.3">
      <c r="A735" t="s">
        <v>5159</v>
      </c>
      <c r="B735">
        <v>50</v>
      </c>
      <c r="C735" t="s">
        <v>15</v>
      </c>
      <c r="D735" t="s">
        <v>98</v>
      </c>
      <c r="E735" t="s">
        <v>48</v>
      </c>
      <c r="F735" s="1">
        <v>44513</v>
      </c>
      <c r="G735" t="s">
        <v>1503</v>
      </c>
      <c r="H735" t="s">
        <v>1504</v>
      </c>
      <c r="I735" t="s">
        <v>57</v>
      </c>
      <c r="J735">
        <v>39090</v>
      </c>
      <c r="K735">
        <v>466</v>
      </c>
      <c r="L735" t="s">
        <v>21</v>
      </c>
      <c r="M735" s="1">
        <v>44523</v>
      </c>
      <c r="N735" t="s">
        <v>47</v>
      </c>
      <c r="O735" t="s">
        <v>43</v>
      </c>
      <c r="P735" t="str">
        <f t="shared" si="246"/>
        <v>P0734</v>
      </c>
      <c r="Q735" t="str">
        <f t="shared" si="242"/>
        <v>Pulmonology</v>
      </c>
      <c r="R735">
        <f t="shared" si="243"/>
        <v>10</v>
      </c>
      <c r="S735" t="str">
        <f t="shared" ca="1" si="247"/>
        <v>No</v>
      </c>
      <c r="T735" t="str">
        <f t="shared" ca="1" si="248"/>
        <v>Moderate</v>
      </c>
      <c r="U735" t="str">
        <f t="shared" ca="1" si="249"/>
        <v>Private Ward</v>
      </c>
      <c r="V735" t="str">
        <f t="shared" si="250"/>
        <v>BED0734</v>
      </c>
      <c r="W735" t="str">
        <f t="shared" ca="1" si="251"/>
        <v>Semi-Private</v>
      </c>
      <c r="X735" t="str">
        <f t="shared" si="252"/>
        <v>NUR034</v>
      </c>
      <c r="Y735" t="str">
        <f t="shared" ca="1" si="253"/>
        <v>Evening</v>
      </c>
      <c r="Z735" t="str">
        <f t="shared" ca="1" si="254"/>
        <v>Ventilator</v>
      </c>
      <c r="AA735" t="str">
        <f t="shared" ca="1" si="255"/>
        <v>Maintenance</v>
      </c>
      <c r="AB735" t="str">
        <f t="shared" ca="1" si="256"/>
        <v>Pending</v>
      </c>
      <c r="AC735" t="str">
        <f t="shared" ca="1" si="257"/>
        <v>Debit Card</v>
      </c>
      <c r="AD735" t="str">
        <f t="shared" ca="1" si="258"/>
        <v>Yes</v>
      </c>
      <c r="AE735" t="str">
        <f t="shared" ca="1" si="259"/>
        <v>No</v>
      </c>
      <c r="AF735" t="str">
        <f t="shared" ca="1" si="260"/>
        <v>Under Observation</v>
      </c>
      <c r="AG735" t="str">
        <f t="shared" ca="1" si="261"/>
        <v>Midwest</v>
      </c>
      <c r="AH735" t="str">
        <f t="shared" si="244"/>
        <v>November</v>
      </c>
      <c r="AI735">
        <f t="shared" si="245"/>
        <v>2021</v>
      </c>
      <c r="AJ735" t="str">
        <f t="shared" ca="1" si="262"/>
        <v>Vacant</v>
      </c>
      <c r="AK735">
        <f t="shared" ca="1" si="263"/>
        <v>1</v>
      </c>
    </row>
    <row r="736" spans="1:37" x14ac:dyDescent="0.3">
      <c r="A736" t="s">
        <v>5160</v>
      </c>
      <c r="B736">
        <v>61</v>
      </c>
      <c r="C736" t="s">
        <v>15</v>
      </c>
      <c r="D736" t="s">
        <v>83</v>
      </c>
      <c r="E736" t="s">
        <v>39</v>
      </c>
      <c r="F736" s="1">
        <v>43692</v>
      </c>
      <c r="G736" t="s">
        <v>1505</v>
      </c>
      <c r="H736" t="s">
        <v>1506</v>
      </c>
      <c r="I736" t="s">
        <v>20</v>
      </c>
      <c r="J736">
        <v>47594</v>
      </c>
      <c r="K736">
        <v>145</v>
      </c>
      <c r="L736" t="s">
        <v>42</v>
      </c>
      <c r="M736" s="1">
        <v>43717</v>
      </c>
      <c r="N736" t="s">
        <v>22</v>
      </c>
      <c r="O736" t="s">
        <v>43</v>
      </c>
      <c r="P736" t="str">
        <f t="shared" si="246"/>
        <v>P0735</v>
      </c>
      <c r="Q736" t="str">
        <f t="shared" si="242"/>
        <v>Endocrinology</v>
      </c>
      <c r="R736">
        <f t="shared" si="243"/>
        <v>25</v>
      </c>
      <c r="S736" t="str">
        <f t="shared" ca="1" si="247"/>
        <v>No</v>
      </c>
      <c r="T736" t="str">
        <f t="shared" ca="1" si="248"/>
        <v>Moderate</v>
      </c>
      <c r="U736" t="str">
        <f t="shared" ca="1" si="249"/>
        <v>Semi-Private</v>
      </c>
      <c r="V736" t="str">
        <f t="shared" si="250"/>
        <v>BED0735</v>
      </c>
      <c r="W736" t="str">
        <f t="shared" ca="1" si="251"/>
        <v>Semi-Private</v>
      </c>
      <c r="X736" t="str">
        <f t="shared" si="252"/>
        <v>NUR035</v>
      </c>
      <c r="Y736" t="str">
        <f t="shared" ca="1" si="253"/>
        <v>Night</v>
      </c>
      <c r="Z736" t="str">
        <f t="shared" ca="1" si="254"/>
        <v>Ultrasound</v>
      </c>
      <c r="AA736" t="str">
        <f t="shared" ca="1" si="255"/>
        <v>In Use</v>
      </c>
      <c r="AB736" t="str">
        <f t="shared" ca="1" si="256"/>
        <v>Pending</v>
      </c>
      <c r="AC736" t="str">
        <f t="shared" ca="1" si="257"/>
        <v>Insurance</v>
      </c>
      <c r="AD736" t="str">
        <f t="shared" ca="1" si="258"/>
        <v>Yes</v>
      </c>
      <c r="AE736" t="str">
        <f t="shared" ca="1" si="259"/>
        <v>No</v>
      </c>
      <c r="AF736" t="str">
        <f t="shared" ca="1" si="260"/>
        <v>Transferred</v>
      </c>
      <c r="AG736" t="str">
        <f t="shared" ca="1" si="261"/>
        <v>Southwest</v>
      </c>
      <c r="AH736" t="str">
        <f t="shared" si="244"/>
        <v>August</v>
      </c>
      <c r="AI736">
        <f t="shared" si="245"/>
        <v>2019</v>
      </c>
      <c r="AJ736" t="str">
        <f t="shared" ca="1" si="262"/>
        <v>Vacant</v>
      </c>
      <c r="AK736">
        <f t="shared" ca="1" si="263"/>
        <v>4</v>
      </c>
    </row>
    <row r="737" spans="1:37" x14ac:dyDescent="0.3">
      <c r="A737" t="s">
        <v>5161</v>
      </c>
      <c r="B737">
        <v>40</v>
      </c>
      <c r="C737" t="s">
        <v>15</v>
      </c>
      <c r="D737" t="s">
        <v>38</v>
      </c>
      <c r="E737" t="s">
        <v>48</v>
      </c>
      <c r="F737" s="1">
        <v>45126</v>
      </c>
      <c r="G737" t="s">
        <v>1507</v>
      </c>
      <c r="H737" t="s">
        <v>1508</v>
      </c>
      <c r="I737" t="s">
        <v>36</v>
      </c>
      <c r="J737">
        <v>19262</v>
      </c>
      <c r="K737">
        <v>203</v>
      </c>
      <c r="L737" t="s">
        <v>29</v>
      </c>
      <c r="M737" s="1">
        <v>45152</v>
      </c>
      <c r="N737" t="s">
        <v>22</v>
      </c>
      <c r="O737" t="s">
        <v>23</v>
      </c>
      <c r="P737" t="str">
        <f t="shared" si="246"/>
        <v>P0736</v>
      </c>
      <c r="Q737" t="str">
        <f t="shared" si="242"/>
        <v>Pulmonology</v>
      </c>
      <c r="R737">
        <f t="shared" si="243"/>
        <v>26</v>
      </c>
      <c r="S737" t="str">
        <f t="shared" ca="1" si="247"/>
        <v>No</v>
      </c>
      <c r="T737" t="str">
        <f t="shared" ca="1" si="248"/>
        <v>Critical</v>
      </c>
      <c r="U737" t="str">
        <f t="shared" ca="1" si="249"/>
        <v>Emergency</v>
      </c>
      <c r="V737" t="str">
        <f t="shared" si="250"/>
        <v>BED0736</v>
      </c>
      <c r="W737" t="str">
        <f t="shared" ca="1" si="251"/>
        <v>General</v>
      </c>
      <c r="X737" t="str">
        <f t="shared" si="252"/>
        <v>NUR036</v>
      </c>
      <c r="Y737" t="str">
        <f t="shared" ca="1" si="253"/>
        <v>Evening</v>
      </c>
      <c r="Z737" t="str">
        <f t="shared" ca="1" si="254"/>
        <v>Ultrasound</v>
      </c>
      <c r="AA737" t="str">
        <f t="shared" ca="1" si="255"/>
        <v>Maintenance</v>
      </c>
      <c r="AB737" t="str">
        <f t="shared" ca="1" si="256"/>
        <v>Pending</v>
      </c>
      <c r="AC737" t="str">
        <f t="shared" ca="1" si="257"/>
        <v>Debit Card</v>
      </c>
      <c r="AD737" t="str">
        <f t="shared" ca="1" si="258"/>
        <v>No</v>
      </c>
      <c r="AE737" t="str">
        <f t="shared" ca="1" si="259"/>
        <v>No</v>
      </c>
      <c r="AF737" t="str">
        <f t="shared" ca="1" si="260"/>
        <v>Transferred</v>
      </c>
      <c r="AG737" t="str">
        <f t="shared" ca="1" si="261"/>
        <v>Midwest</v>
      </c>
      <c r="AH737" t="str">
        <f t="shared" si="244"/>
        <v>July</v>
      </c>
      <c r="AI737">
        <f t="shared" si="245"/>
        <v>2023</v>
      </c>
      <c r="AJ737" t="str">
        <f t="shared" ca="1" si="262"/>
        <v>Vacant</v>
      </c>
      <c r="AK737">
        <f t="shared" ca="1" si="263"/>
        <v>2</v>
      </c>
    </row>
    <row r="738" spans="1:37" x14ac:dyDescent="0.3">
      <c r="A738" t="s">
        <v>5162</v>
      </c>
      <c r="B738">
        <v>34</v>
      </c>
      <c r="C738" t="s">
        <v>15</v>
      </c>
      <c r="D738" t="s">
        <v>33</v>
      </c>
      <c r="E738" t="s">
        <v>39</v>
      </c>
      <c r="F738" s="1">
        <v>45022</v>
      </c>
      <c r="G738" t="s">
        <v>1509</v>
      </c>
      <c r="H738" t="s">
        <v>1510</v>
      </c>
      <c r="I738" t="s">
        <v>28</v>
      </c>
      <c r="J738">
        <v>6578</v>
      </c>
      <c r="K738">
        <v>162</v>
      </c>
      <c r="L738" t="s">
        <v>29</v>
      </c>
      <c r="M738" s="1">
        <v>45052</v>
      </c>
      <c r="N738" t="s">
        <v>30</v>
      </c>
      <c r="O738" t="s">
        <v>31</v>
      </c>
      <c r="P738" t="str">
        <f t="shared" si="246"/>
        <v>P0737</v>
      </c>
      <c r="Q738" t="str">
        <f t="shared" si="242"/>
        <v>Endocrinology</v>
      </c>
      <c r="R738">
        <f t="shared" si="243"/>
        <v>30</v>
      </c>
      <c r="S738" t="str">
        <f t="shared" ca="1" si="247"/>
        <v>No</v>
      </c>
      <c r="T738" t="str">
        <f t="shared" ca="1" si="248"/>
        <v>Moderate</v>
      </c>
      <c r="U738" t="str">
        <f t="shared" ca="1" si="249"/>
        <v>Private Ward</v>
      </c>
      <c r="V738" t="str">
        <f t="shared" si="250"/>
        <v>BED0737</v>
      </c>
      <c r="W738" t="str">
        <f t="shared" ca="1" si="251"/>
        <v>Semi-Private</v>
      </c>
      <c r="X738" t="str">
        <f t="shared" si="252"/>
        <v>NUR037</v>
      </c>
      <c r="Y738" t="str">
        <f t="shared" ca="1" si="253"/>
        <v>Night</v>
      </c>
      <c r="Z738" t="str">
        <f t="shared" ca="1" si="254"/>
        <v>MRI Scanner</v>
      </c>
      <c r="AA738" t="str">
        <f t="shared" ca="1" si="255"/>
        <v>Available</v>
      </c>
      <c r="AB738" t="str">
        <f t="shared" ca="1" si="256"/>
        <v>Paid</v>
      </c>
      <c r="AC738" t="str">
        <f t="shared" ca="1" si="257"/>
        <v>Cash</v>
      </c>
      <c r="AD738" t="str">
        <f t="shared" ca="1" si="258"/>
        <v>No</v>
      </c>
      <c r="AE738" t="str">
        <f t="shared" ca="1" si="259"/>
        <v>No</v>
      </c>
      <c r="AF738" t="str">
        <f t="shared" ca="1" si="260"/>
        <v>Under Observation</v>
      </c>
      <c r="AG738" t="str">
        <f t="shared" ca="1" si="261"/>
        <v>Midwest</v>
      </c>
      <c r="AH738" t="str">
        <f t="shared" si="244"/>
        <v>April</v>
      </c>
      <c r="AI738">
        <f t="shared" si="245"/>
        <v>2023</v>
      </c>
      <c r="AJ738" t="str">
        <f t="shared" ca="1" si="262"/>
        <v>Occupied</v>
      </c>
      <c r="AK738">
        <f t="shared" ca="1" si="263"/>
        <v>2</v>
      </c>
    </row>
    <row r="739" spans="1:37" x14ac:dyDescent="0.3">
      <c r="A739" t="s">
        <v>5163</v>
      </c>
      <c r="B739">
        <v>71</v>
      </c>
      <c r="C739" t="s">
        <v>32</v>
      </c>
      <c r="D739" t="s">
        <v>44</v>
      </c>
      <c r="E739" t="s">
        <v>76</v>
      </c>
      <c r="F739" s="1">
        <v>43746</v>
      </c>
      <c r="G739" t="s">
        <v>1511</v>
      </c>
      <c r="H739" t="s">
        <v>1512</v>
      </c>
      <c r="I739" t="s">
        <v>20</v>
      </c>
      <c r="J739">
        <v>38435</v>
      </c>
      <c r="K739">
        <v>340</v>
      </c>
      <c r="L739" t="s">
        <v>42</v>
      </c>
      <c r="M739" s="1">
        <v>43766</v>
      </c>
      <c r="N739" t="s">
        <v>47</v>
      </c>
      <c r="O739" t="s">
        <v>43</v>
      </c>
      <c r="P739" t="str">
        <f t="shared" si="246"/>
        <v>P0738</v>
      </c>
      <c r="Q739" t="str">
        <f t="shared" si="242"/>
        <v>Orthopedics</v>
      </c>
      <c r="R739">
        <f t="shared" si="243"/>
        <v>20</v>
      </c>
      <c r="S739" t="str">
        <f t="shared" ca="1" si="247"/>
        <v>No</v>
      </c>
      <c r="T739" t="str">
        <f t="shared" ca="1" si="248"/>
        <v>Severe</v>
      </c>
      <c r="U739" t="str">
        <f t="shared" ca="1" si="249"/>
        <v>Private Ward</v>
      </c>
      <c r="V739" t="str">
        <f t="shared" si="250"/>
        <v>BED0738</v>
      </c>
      <c r="W739" t="str">
        <f t="shared" ca="1" si="251"/>
        <v>Private</v>
      </c>
      <c r="X739" t="str">
        <f t="shared" si="252"/>
        <v>NUR038</v>
      </c>
      <c r="Y739" t="str">
        <f t="shared" ca="1" si="253"/>
        <v>Evening</v>
      </c>
      <c r="Z739" t="str">
        <f t="shared" ca="1" si="254"/>
        <v>MRI Scanner</v>
      </c>
      <c r="AA739" t="str">
        <f t="shared" ca="1" si="255"/>
        <v>In Use</v>
      </c>
      <c r="AB739" t="str">
        <f t="shared" ca="1" si="256"/>
        <v>Pending</v>
      </c>
      <c r="AC739" t="str">
        <f t="shared" ca="1" si="257"/>
        <v>Debit Card</v>
      </c>
      <c r="AD739" t="str">
        <f t="shared" ca="1" si="258"/>
        <v>No</v>
      </c>
      <c r="AE739" t="str">
        <f t="shared" ca="1" si="259"/>
        <v>No</v>
      </c>
      <c r="AF739" t="str">
        <f t="shared" ca="1" si="260"/>
        <v>Recovered</v>
      </c>
      <c r="AG739" t="str">
        <f t="shared" ca="1" si="261"/>
        <v>Midwest</v>
      </c>
      <c r="AH739" t="str">
        <f t="shared" si="244"/>
        <v>October</v>
      </c>
      <c r="AI739">
        <f t="shared" si="245"/>
        <v>2019</v>
      </c>
      <c r="AJ739" t="str">
        <f t="shared" ca="1" si="262"/>
        <v>Occupied</v>
      </c>
      <c r="AK739">
        <f t="shared" ca="1" si="263"/>
        <v>1</v>
      </c>
    </row>
    <row r="740" spans="1:37" x14ac:dyDescent="0.3">
      <c r="A740" t="s">
        <v>5164</v>
      </c>
      <c r="B740">
        <v>61</v>
      </c>
      <c r="C740" t="s">
        <v>15</v>
      </c>
      <c r="D740" t="s">
        <v>24</v>
      </c>
      <c r="E740" t="s">
        <v>25</v>
      </c>
      <c r="F740" s="1">
        <v>44053</v>
      </c>
      <c r="G740" t="s">
        <v>1513</v>
      </c>
      <c r="H740" t="s">
        <v>1514</v>
      </c>
      <c r="I740" t="s">
        <v>36</v>
      </c>
      <c r="J740">
        <v>29810</v>
      </c>
      <c r="K740">
        <v>346</v>
      </c>
      <c r="L740" t="s">
        <v>29</v>
      </c>
      <c r="M740" s="1">
        <v>44080</v>
      </c>
      <c r="N740" t="s">
        <v>47</v>
      </c>
      <c r="O740" t="s">
        <v>23</v>
      </c>
      <c r="P740" t="str">
        <f t="shared" si="246"/>
        <v>P0739</v>
      </c>
      <c r="Q740" t="str">
        <f t="shared" si="242"/>
        <v>Nutrition</v>
      </c>
      <c r="R740">
        <f t="shared" si="243"/>
        <v>27</v>
      </c>
      <c r="S740" t="str">
        <f t="shared" ca="1" si="247"/>
        <v>No</v>
      </c>
      <c r="T740" t="str">
        <f t="shared" ca="1" si="248"/>
        <v>Severe</v>
      </c>
      <c r="U740" t="str">
        <f t="shared" ca="1" si="249"/>
        <v>ICU</v>
      </c>
      <c r="V740" t="str">
        <f t="shared" si="250"/>
        <v>BED0739</v>
      </c>
      <c r="W740" t="str">
        <f t="shared" ca="1" si="251"/>
        <v>ICU</v>
      </c>
      <c r="X740" t="str">
        <f t="shared" si="252"/>
        <v>NUR039</v>
      </c>
      <c r="Y740" t="str">
        <f t="shared" ca="1" si="253"/>
        <v>Evening</v>
      </c>
      <c r="Z740" t="str">
        <f t="shared" ca="1" si="254"/>
        <v>Ventilator</v>
      </c>
      <c r="AA740" t="str">
        <f t="shared" ca="1" si="255"/>
        <v>In Use</v>
      </c>
      <c r="AB740" t="str">
        <f t="shared" ca="1" si="256"/>
        <v>Pending</v>
      </c>
      <c r="AC740" t="str">
        <f t="shared" ca="1" si="257"/>
        <v>Bank Transfer</v>
      </c>
      <c r="AD740" t="str">
        <f t="shared" ca="1" si="258"/>
        <v>No</v>
      </c>
      <c r="AE740" t="str">
        <f t="shared" ca="1" si="259"/>
        <v>Yes</v>
      </c>
      <c r="AF740" t="str">
        <f t="shared" ca="1" si="260"/>
        <v>Under Observation</v>
      </c>
      <c r="AG740" t="str">
        <f t="shared" ca="1" si="261"/>
        <v>West Coast</v>
      </c>
      <c r="AH740" t="str">
        <f t="shared" si="244"/>
        <v>August</v>
      </c>
      <c r="AI740">
        <f t="shared" si="245"/>
        <v>2020</v>
      </c>
      <c r="AJ740" t="str">
        <f t="shared" ca="1" si="262"/>
        <v>Vacant</v>
      </c>
      <c r="AK740">
        <f t="shared" ca="1" si="263"/>
        <v>4</v>
      </c>
    </row>
    <row r="741" spans="1:37" x14ac:dyDescent="0.3">
      <c r="A741" t="s">
        <v>5165</v>
      </c>
      <c r="B741">
        <v>24</v>
      </c>
      <c r="C741" t="s">
        <v>15</v>
      </c>
      <c r="D741" t="s">
        <v>24</v>
      </c>
      <c r="E741" t="s">
        <v>48</v>
      </c>
      <c r="F741" s="1">
        <v>43734</v>
      </c>
      <c r="G741" t="s">
        <v>1515</v>
      </c>
      <c r="H741" t="s">
        <v>1516</v>
      </c>
      <c r="I741" t="s">
        <v>20</v>
      </c>
      <c r="J741">
        <v>4809</v>
      </c>
      <c r="K741">
        <v>415</v>
      </c>
      <c r="L741" t="s">
        <v>29</v>
      </c>
      <c r="M741" s="1">
        <v>43752</v>
      </c>
      <c r="N741" t="s">
        <v>30</v>
      </c>
      <c r="O741" t="s">
        <v>23</v>
      </c>
      <c r="P741" t="str">
        <f t="shared" si="246"/>
        <v>P0740</v>
      </c>
      <c r="Q741" t="str">
        <f t="shared" si="242"/>
        <v>Pulmonology</v>
      </c>
      <c r="R741">
        <f t="shared" si="243"/>
        <v>18</v>
      </c>
      <c r="S741" t="str">
        <f t="shared" ca="1" si="247"/>
        <v>No</v>
      </c>
      <c r="T741" t="str">
        <f t="shared" ca="1" si="248"/>
        <v>Severe</v>
      </c>
      <c r="U741" t="str">
        <f t="shared" ca="1" si="249"/>
        <v>General Ward</v>
      </c>
      <c r="V741" t="str">
        <f t="shared" si="250"/>
        <v>BED0740</v>
      </c>
      <c r="W741" t="str">
        <f t="shared" ca="1" si="251"/>
        <v>Semi-Private</v>
      </c>
      <c r="X741" t="str">
        <f t="shared" si="252"/>
        <v>NUR040</v>
      </c>
      <c r="Y741" t="str">
        <f t="shared" ca="1" si="253"/>
        <v>Night</v>
      </c>
      <c r="Z741" t="str">
        <f t="shared" ca="1" si="254"/>
        <v>MRI Scanner</v>
      </c>
      <c r="AA741" t="str">
        <f t="shared" ca="1" si="255"/>
        <v>Available</v>
      </c>
      <c r="AB741" t="str">
        <f t="shared" ca="1" si="256"/>
        <v>Paid</v>
      </c>
      <c r="AC741" t="str">
        <f t="shared" ca="1" si="257"/>
        <v>Debit Card</v>
      </c>
      <c r="AD741" t="str">
        <f t="shared" ca="1" si="258"/>
        <v>No</v>
      </c>
      <c r="AE741" t="str">
        <f t="shared" ca="1" si="259"/>
        <v>No</v>
      </c>
      <c r="AF741" t="str">
        <f t="shared" ca="1" si="260"/>
        <v>Under Observation</v>
      </c>
      <c r="AG741" t="str">
        <f t="shared" ca="1" si="261"/>
        <v>Midwest</v>
      </c>
      <c r="AH741" t="str">
        <f t="shared" si="244"/>
        <v>September</v>
      </c>
      <c r="AI741">
        <f t="shared" si="245"/>
        <v>2019</v>
      </c>
      <c r="AJ741" t="str">
        <f t="shared" ca="1" si="262"/>
        <v>Occupied</v>
      </c>
      <c r="AK741">
        <f t="shared" ca="1" si="263"/>
        <v>1</v>
      </c>
    </row>
    <row r="742" spans="1:37" x14ac:dyDescent="0.3">
      <c r="A742" t="s">
        <v>5166</v>
      </c>
      <c r="B742">
        <v>28</v>
      </c>
      <c r="C742" t="s">
        <v>15</v>
      </c>
      <c r="D742" t="s">
        <v>38</v>
      </c>
      <c r="E742" t="s">
        <v>17</v>
      </c>
      <c r="F742" s="1">
        <v>44238</v>
      </c>
      <c r="G742" t="s">
        <v>1517</v>
      </c>
      <c r="H742" t="s">
        <v>1518</v>
      </c>
      <c r="I742" t="s">
        <v>57</v>
      </c>
      <c r="J742">
        <v>38366</v>
      </c>
      <c r="K742">
        <v>183</v>
      </c>
      <c r="L742" t="s">
        <v>21</v>
      </c>
      <c r="M742" s="1">
        <v>44246</v>
      </c>
      <c r="N742" t="s">
        <v>67</v>
      </c>
      <c r="O742" t="s">
        <v>43</v>
      </c>
      <c r="P742" t="str">
        <f t="shared" si="246"/>
        <v>P0741</v>
      </c>
      <c r="Q742" t="str">
        <f t="shared" si="242"/>
        <v>Oncology</v>
      </c>
      <c r="R742">
        <f t="shared" si="243"/>
        <v>8</v>
      </c>
      <c r="S742" t="str">
        <f t="shared" ca="1" si="247"/>
        <v>No</v>
      </c>
      <c r="T742" t="str">
        <f t="shared" ca="1" si="248"/>
        <v>Moderate</v>
      </c>
      <c r="U742" t="str">
        <f t="shared" ca="1" si="249"/>
        <v>Semi-Private</v>
      </c>
      <c r="V742" t="str">
        <f t="shared" si="250"/>
        <v>BED0741</v>
      </c>
      <c r="W742" t="str">
        <f t="shared" ca="1" si="251"/>
        <v>General</v>
      </c>
      <c r="X742" t="str">
        <f t="shared" si="252"/>
        <v>NUR041</v>
      </c>
      <c r="Y742" t="str">
        <f t="shared" ca="1" si="253"/>
        <v>Morning</v>
      </c>
      <c r="Z742" t="str">
        <f t="shared" ca="1" si="254"/>
        <v>MRI Scanner</v>
      </c>
      <c r="AA742" t="str">
        <f t="shared" ca="1" si="255"/>
        <v>Available</v>
      </c>
      <c r="AB742" t="str">
        <f t="shared" ca="1" si="256"/>
        <v>Paid</v>
      </c>
      <c r="AC742" t="str">
        <f t="shared" ca="1" si="257"/>
        <v>Debit Card</v>
      </c>
      <c r="AD742" t="str">
        <f t="shared" ca="1" si="258"/>
        <v>Yes</v>
      </c>
      <c r="AE742" t="str">
        <f t="shared" ca="1" si="259"/>
        <v>No</v>
      </c>
      <c r="AF742" t="str">
        <f t="shared" ca="1" si="260"/>
        <v>Recovered</v>
      </c>
      <c r="AG742" t="str">
        <f t="shared" ca="1" si="261"/>
        <v>Northeast</v>
      </c>
      <c r="AH742" t="str">
        <f t="shared" si="244"/>
        <v>February</v>
      </c>
      <c r="AI742">
        <f t="shared" si="245"/>
        <v>2021</v>
      </c>
      <c r="AJ742" t="str">
        <f t="shared" ca="1" si="262"/>
        <v>Occupied</v>
      </c>
      <c r="AK742">
        <f t="shared" ca="1" si="263"/>
        <v>1</v>
      </c>
    </row>
    <row r="743" spans="1:37" x14ac:dyDescent="0.3">
      <c r="A743" t="s">
        <v>5167</v>
      </c>
      <c r="B743">
        <v>21</v>
      </c>
      <c r="C743" t="s">
        <v>32</v>
      </c>
      <c r="D743" t="s">
        <v>38</v>
      </c>
      <c r="E743" t="s">
        <v>76</v>
      </c>
      <c r="F743" s="1">
        <v>43713</v>
      </c>
      <c r="G743" t="s">
        <v>1519</v>
      </c>
      <c r="H743" t="s">
        <v>1520</v>
      </c>
      <c r="I743" t="s">
        <v>20</v>
      </c>
      <c r="J743">
        <v>45540</v>
      </c>
      <c r="K743">
        <v>394</v>
      </c>
      <c r="L743" t="s">
        <v>42</v>
      </c>
      <c r="M743" s="1">
        <v>43737</v>
      </c>
      <c r="N743" t="s">
        <v>67</v>
      </c>
      <c r="O743" t="s">
        <v>31</v>
      </c>
      <c r="P743" t="str">
        <f t="shared" si="246"/>
        <v>P0742</v>
      </c>
      <c r="Q743" t="str">
        <f t="shared" si="242"/>
        <v>Orthopedics</v>
      </c>
      <c r="R743">
        <f t="shared" si="243"/>
        <v>24</v>
      </c>
      <c r="S743" t="str">
        <f t="shared" ca="1" si="247"/>
        <v>No</v>
      </c>
      <c r="T743" t="str">
        <f t="shared" ca="1" si="248"/>
        <v>Critical</v>
      </c>
      <c r="U743" t="str">
        <f t="shared" ca="1" si="249"/>
        <v>ICU</v>
      </c>
      <c r="V743" t="str">
        <f t="shared" si="250"/>
        <v>BED0742</v>
      </c>
      <c r="W743" t="str">
        <f t="shared" ca="1" si="251"/>
        <v>General</v>
      </c>
      <c r="X743" t="str">
        <f t="shared" si="252"/>
        <v>NUR042</v>
      </c>
      <c r="Y743" t="str">
        <f t="shared" ca="1" si="253"/>
        <v>Night</v>
      </c>
      <c r="Z743" t="str">
        <f t="shared" ca="1" si="254"/>
        <v>Ventilator</v>
      </c>
      <c r="AA743" t="str">
        <f t="shared" ca="1" si="255"/>
        <v>Available</v>
      </c>
      <c r="AB743" t="str">
        <f t="shared" ca="1" si="256"/>
        <v>Pending</v>
      </c>
      <c r="AC743" t="str">
        <f t="shared" ca="1" si="257"/>
        <v>Bank Transfer</v>
      </c>
      <c r="AD743" t="str">
        <f t="shared" ca="1" si="258"/>
        <v>Yes</v>
      </c>
      <c r="AE743" t="str">
        <f t="shared" ca="1" si="259"/>
        <v>No</v>
      </c>
      <c r="AF743" t="str">
        <f t="shared" ca="1" si="260"/>
        <v>Recovered</v>
      </c>
      <c r="AG743" t="str">
        <f t="shared" ca="1" si="261"/>
        <v>West Coast</v>
      </c>
      <c r="AH743" t="str">
        <f t="shared" si="244"/>
        <v>September</v>
      </c>
      <c r="AI743">
        <f t="shared" si="245"/>
        <v>2019</v>
      </c>
      <c r="AJ743" t="str">
        <f t="shared" ca="1" si="262"/>
        <v>Occupied</v>
      </c>
      <c r="AK743">
        <f t="shared" ca="1" si="263"/>
        <v>4</v>
      </c>
    </row>
    <row r="744" spans="1:37" x14ac:dyDescent="0.3">
      <c r="A744" t="s">
        <v>5168</v>
      </c>
      <c r="B744">
        <v>40</v>
      </c>
      <c r="C744" t="s">
        <v>32</v>
      </c>
      <c r="D744" t="s">
        <v>83</v>
      </c>
      <c r="E744" t="s">
        <v>48</v>
      </c>
      <c r="F744" s="1">
        <v>44256</v>
      </c>
      <c r="G744" t="s">
        <v>1521</v>
      </c>
      <c r="H744" t="s">
        <v>1522</v>
      </c>
      <c r="I744" t="s">
        <v>57</v>
      </c>
      <c r="J744">
        <v>31444</v>
      </c>
      <c r="K744">
        <v>124</v>
      </c>
      <c r="L744" t="s">
        <v>21</v>
      </c>
      <c r="M744" s="1">
        <v>44275</v>
      </c>
      <c r="N744" t="s">
        <v>47</v>
      </c>
      <c r="O744" t="s">
        <v>43</v>
      </c>
      <c r="P744" t="str">
        <f t="shared" si="246"/>
        <v>P0743</v>
      </c>
      <c r="Q744" t="str">
        <f t="shared" si="242"/>
        <v>Pulmonology</v>
      </c>
      <c r="R744">
        <f t="shared" si="243"/>
        <v>19</v>
      </c>
      <c r="S744" t="str">
        <f t="shared" ca="1" si="247"/>
        <v>No</v>
      </c>
      <c r="T744" t="str">
        <f t="shared" ca="1" si="248"/>
        <v>Mild</v>
      </c>
      <c r="U744" t="str">
        <f t="shared" ca="1" si="249"/>
        <v>Emergency</v>
      </c>
      <c r="V744" t="str">
        <f t="shared" si="250"/>
        <v>BED0743</v>
      </c>
      <c r="W744" t="str">
        <f t="shared" ca="1" si="251"/>
        <v>ICU</v>
      </c>
      <c r="X744" t="str">
        <f t="shared" si="252"/>
        <v>NUR043</v>
      </c>
      <c r="Y744" t="str">
        <f t="shared" ca="1" si="253"/>
        <v>Evening</v>
      </c>
      <c r="Z744" t="str">
        <f t="shared" ca="1" si="254"/>
        <v>MRI Scanner</v>
      </c>
      <c r="AA744" t="str">
        <f t="shared" ca="1" si="255"/>
        <v>Maintenance</v>
      </c>
      <c r="AB744" t="str">
        <f t="shared" ca="1" si="256"/>
        <v>Paid</v>
      </c>
      <c r="AC744" t="str">
        <f t="shared" ca="1" si="257"/>
        <v>Debit Card</v>
      </c>
      <c r="AD744" t="str">
        <f t="shared" ca="1" si="258"/>
        <v>Yes</v>
      </c>
      <c r="AE744" t="str">
        <f t="shared" ca="1" si="259"/>
        <v>No</v>
      </c>
      <c r="AF744" t="str">
        <f t="shared" ca="1" si="260"/>
        <v>Transferred</v>
      </c>
      <c r="AG744" t="str">
        <f t="shared" ca="1" si="261"/>
        <v>Northeast</v>
      </c>
      <c r="AH744" t="str">
        <f t="shared" si="244"/>
        <v>March</v>
      </c>
      <c r="AI744">
        <f t="shared" si="245"/>
        <v>2021</v>
      </c>
      <c r="AJ744" t="str">
        <f t="shared" ca="1" si="262"/>
        <v>Occupied</v>
      </c>
      <c r="AK744">
        <f t="shared" ca="1" si="263"/>
        <v>4</v>
      </c>
    </row>
    <row r="745" spans="1:37" x14ac:dyDescent="0.3">
      <c r="A745" t="s">
        <v>5169</v>
      </c>
      <c r="B745">
        <v>57</v>
      </c>
      <c r="C745" t="s">
        <v>15</v>
      </c>
      <c r="D745" t="s">
        <v>33</v>
      </c>
      <c r="E745" t="s">
        <v>17</v>
      </c>
      <c r="F745" s="1">
        <v>45401</v>
      </c>
      <c r="G745" t="s">
        <v>1523</v>
      </c>
      <c r="H745" t="s">
        <v>1524</v>
      </c>
      <c r="I745" t="s">
        <v>28</v>
      </c>
      <c r="J745">
        <v>37194</v>
      </c>
      <c r="K745">
        <v>278</v>
      </c>
      <c r="L745" t="s">
        <v>21</v>
      </c>
      <c r="M745" s="1">
        <v>45426</v>
      </c>
      <c r="N745" t="s">
        <v>30</v>
      </c>
      <c r="O745" t="s">
        <v>43</v>
      </c>
      <c r="P745" t="str">
        <f t="shared" si="246"/>
        <v>P0744</v>
      </c>
      <c r="Q745" t="str">
        <f t="shared" si="242"/>
        <v>Oncology</v>
      </c>
      <c r="R745">
        <f t="shared" si="243"/>
        <v>25</v>
      </c>
      <c r="S745" t="str">
        <f t="shared" ca="1" si="247"/>
        <v>No</v>
      </c>
      <c r="T745" t="str">
        <f t="shared" ca="1" si="248"/>
        <v>Severe</v>
      </c>
      <c r="U745" t="str">
        <f t="shared" ca="1" si="249"/>
        <v>ICU</v>
      </c>
      <c r="V745" t="str">
        <f t="shared" si="250"/>
        <v>BED0744</v>
      </c>
      <c r="W745" t="str">
        <f t="shared" ca="1" si="251"/>
        <v>Semi-Private</v>
      </c>
      <c r="X745" t="str">
        <f t="shared" si="252"/>
        <v>NUR044</v>
      </c>
      <c r="Y745" t="str">
        <f t="shared" ca="1" si="253"/>
        <v>Morning</v>
      </c>
      <c r="Z745" t="str">
        <f t="shared" ca="1" si="254"/>
        <v>X-Ray</v>
      </c>
      <c r="AA745" t="str">
        <f t="shared" ca="1" si="255"/>
        <v>In Use</v>
      </c>
      <c r="AB745" t="str">
        <f t="shared" ca="1" si="256"/>
        <v>Partially Paid</v>
      </c>
      <c r="AC745" t="str">
        <f t="shared" ca="1" si="257"/>
        <v>Credit Card</v>
      </c>
      <c r="AD745" t="str">
        <f t="shared" ca="1" si="258"/>
        <v>No</v>
      </c>
      <c r="AE745" t="str">
        <f t="shared" ca="1" si="259"/>
        <v>No</v>
      </c>
      <c r="AF745" t="str">
        <f t="shared" ca="1" si="260"/>
        <v>Recovered</v>
      </c>
      <c r="AG745" t="str">
        <f t="shared" ca="1" si="261"/>
        <v>Midwest</v>
      </c>
      <c r="AH745" t="str">
        <f t="shared" si="244"/>
        <v>April</v>
      </c>
      <c r="AI745">
        <f t="shared" si="245"/>
        <v>2024</v>
      </c>
      <c r="AJ745" t="str">
        <f t="shared" ca="1" si="262"/>
        <v>Occupied</v>
      </c>
      <c r="AK745">
        <f t="shared" ca="1" si="263"/>
        <v>1</v>
      </c>
    </row>
    <row r="746" spans="1:37" x14ac:dyDescent="0.3">
      <c r="A746" t="s">
        <v>5170</v>
      </c>
      <c r="B746">
        <v>47</v>
      </c>
      <c r="C746" t="s">
        <v>32</v>
      </c>
      <c r="D746" t="s">
        <v>44</v>
      </c>
      <c r="E746" t="s">
        <v>17</v>
      </c>
      <c r="F746" s="1">
        <v>45043</v>
      </c>
      <c r="G746" t="s">
        <v>1525</v>
      </c>
      <c r="H746" t="s">
        <v>1526</v>
      </c>
      <c r="I746" t="s">
        <v>20</v>
      </c>
      <c r="J746">
        <v>12423</v>
      </c>
      <c r="K746">
        <v>355</v>
      </c>
      <c r="L746" t="s">
        <v>42</v>
      </c>
      <c r="M746" s="1">
        <v>45049</v>
      </c>
      <c r="N746" t="s">
        <v>67</v>
      </c>
      <c r="O746" t="s">
        <v>23</v>
      </c>
      <c r="P746" t="str">
        <f t="shared" si="246"/>
        <v>P0745</v>
      </c>
      <c r="Q746" t="str">
        <f t="shared" si="242"/>
        <v>Oncology</v>
      </c>
      <c r="R746">
        <f t="shared" si="243"/>
        <v>6</v>
      </c>
      <c r="S746" t="str">
        <f t="shared" ca="1" si="247"/>
        <v>No</v>
      </c>
      <c r="T746" t="str">
        <f t="shared" ca="1" si="248"/>
        <v>Moderate</v>
      </c>
      <c r="U746" t="str">
        <f t="shared" ca="1" si="249"/>
        <v>Semi-Private</v>
      </c>
      <c r="V746" t="str">
        <f t="shared" si="250"/>
        <v>BED0745</v>
      </c>
      <c r="W746" t="str">
        <f t="shared" ca="1" si="251"/>
        <v>General</v>
      </c>
      <c r="X746" t="str">
        <f t="shared" si="252"/>
        <v>NUR045</v>
      </c>
      <c r="Y746" t="str">
        <f t="shared" ca="1" si="253"/>
        <v>Morning</v>
      </c>
      <c r="Z746" t="str">
        <f t="shared" ca="1" si="254"/>
        <v>Ultrasound</v>
      </c>
      <c r="AA746" t="str">
        <f t="shared" ca="1" si="255"/>
        <v>Maintenance</v>
      </c>
      <c r="AB746" t="str">
        <f t="shared" ca="1" si="256"/>
        <v>Pending</v>
      </c>
      <c r="AC746" t="str">
        <f t="shared" ca="1" si="257"/>
        <v>Cash</v>
      </c>
      <c r="AD746" t="str">
        <f t="shared" ca="1" si="258"/>
        <v>No</v>
      </c>
      <c r="AE746" t="str">
        <f t="shared" ca="1" si="259"/>
        <v>No</v>
      </c>
      <c r="AF746" t="str">
        <f t="shared" ca="1" si="260"/>
        <v>Under Observation</v>
      </c>
      <c r="AG746" t="str">
        <f t="shared" ca="1" si="261"/>
        <v>Northeast</v>
      </c>
      <c r="AH746" t="str">
        <f t="shared" si="244"/>
        <v>April</v>
      </c>
      <c r="AI746">
        <f t="shared" si="245"/>
        <v>2023</v>
      </c>
      <c r="AJ746" t="str">
        <f t="shared" ca="1" si="262"/>
        <v>Occupied</v>
      </c>
      <c r="AK746">
        <f t="shared" ca="1" si="263"/>
        <v>4</v>
      </c>
    </row>
    <row r="747" spans="1:37" x14ac:dyDescent="0.3">
      <c r="A747" t="s">
        <v>5171</v>
      </c>
      <c r="B747">
        <v>59</v>
      </c>
      <c r="C747" t="s">
        <v>15</v>
      </c>
      <c r="D747" t="s">
        <v>38</v>
      </c>
      <c r="E747" t="s">
        <v>17</v>
      </c>
      <c r="F747" s="1">
        <v>44748</v>
      </c>
      <c r="G747" t="s">
        <v>1527</v>
      </c>
      <c r="H747" t="s">
        <v>1528</v>
      </c>
      <c r="I747" t="s">
        <v>36</v>
      </c>
      <c r="J747">
        <v>8024</v>
      </c>
      <c r="K747">
        <v>451</v>
      </c>
      <c r="L747" t="s">
        <v>42</v>
      </c>
      <c r="M747" s="1">
        <v>44768</v>
      </c>
      <c r="N747" t="s">
        <v>37</v>
      </c>
      <c r="O747" t="s">
        <v>31</v>
      </c>
      <c r="P747" t="str">
        <f t="shared" si="246"/>
        <v>P0746</v>
      </c>
      <c r="Q747" t="str">
        <f t="shared" si="242"/>
        <v>Oncology</v>
      </c>
      <c r="R747">
        <f t="shared" si="243"/>
        <v>20</v>
      </c>
      <c r="S747" t="str">
        <f t="shared" ca="1" si="247"/>
        <v>No</v>
      </c>
      <c r="T747" t="str">
        <f t="shared" ca="1" si="248"/>
        <v>Mild</v>
      </c>
      <c r="U747" t="str">
        <f t="shared" ca="1" si="249"/>
        <v>Semi-Private</v>
      </c>
      <c r="V747" t="str">
        <f t="shared" si="250"/>
        <v>BED0746</v>
      </c>
      <c r="W747" t="str">
        <f t="shared" ca="1" si="251"/>
        <v>ICU</v>
      </c>
      <c r="X747" t="str">
        <f t="shared" si="252"/>
        <v>NUR046</v>
      </c>
      <c r="Y747" t="str">
        <f t="shared" ca="1" si="253"/>
        <v>Evening</v>
      </c>
      <c r="Z747" t="str">
        <f t="shared" ca="1" si="254"/>
        <v>ECG Machine</v>
      </c>
      <c r="AA747" t="str">
        <f t="shared" ca="1" si="255"/>
        <v>In Use</v>
      </c>
      <c r="AB747" t="str">
        <f t="shared" ca="1" si="256"/>
        <v>Paid</v>
      </c>
      <c r="AC747" t="str">
        <f t="shared" ca="1" si="257"/>
        <v>Debit Card</v>
      </c>
      <c r="AD747" t="str">
        <f t="shared" ca="1" si="258"/>
        <v>No</v>
      </c>
      <c r="AE747" t="str">
        <f t="shared" ca="1" si="259"/>
        <v>No</v>
      </c>
      <c r="AF747" t="str">
        <f t="shared" ca="1" si="260"/>
        <v>Recovered</v>
      </c>
      <c r="AG747" t="str">
        <f t="shared" ca="1" si="261"/>
        <v>Southeast</v>
      </c>
      <c r="AH747" t="str">
        <f t="shared" si="244"/>
        <v>July</v>
      </c>
      <c r="AI747">
        <f t="shared" si="245"/>
        <v>2022</v>
      </c>
      <c r="AJ747" t="str">
        <f t="shared" ca="1" si="262"/>
        <v>Occupied</v>
      </c>
      <c r="AK747">
        <f t="shared" ca="1" si="263"/>
        <v>1</v>
      </c>
    </row>
    <row r="748" spans="1:37" x14ac:dyDescent="0.3">
      <c r="A748" t="s">
        <v>5172</v>
      </c>
      <c r="B748">
        <v>33</v>
      </c>
      <c r="C748" t="s">
        <v>32</v>
      </c>
      <c r="D748" t="s">
        <v>98</v>
      </c>
      <c r="E748" t="s">
        <v>76</v>
      </c>
      <c r="F748" s="1">
        <v>44135</v>
      </c>
      <c r="G748" t="s">
        <v>1529</v>
      </c>
      <c r="H748" t="s">
        <v>1530</v>
      </c>
      <c r="I748" t="s">
        <v>20</v>
      </c>
      <c r="J748">
        <v>13034</v>
      </c>
      <c r="K748">
        <v>300</v>
      </c>
      <c r="L748" t="s">
        <v>21</v>
      </c>
      <c r="M748" s="1">
        <v>44153</v>
      </c>
      <c r="N748" t="s">
        <v>47</v>
      </c>
      <c r="O748" t="s">
        <v>23</v>
      </c>
      <c r="P748" t="str">
        <f t="shared" si="246"/>
        <v>P0747</v>
      </c>
      <c r="Q748" t="str">
        <f t="shared" si="242"/>
        <v>Orthopedics</v>
      </c>
      <c r="R748">
        <f t="shared" si="243"/>
        <v>18</v>
      </c>
      <c r="S748" t="str">
        <f t="shared" ca="1" si="247"/>
        <v>No</v>
      </c>
      <c r="T748" t="str">
        <f t="shared" ca="1" si="248"/>
        <v>Critical</v>
      </c>
      <c r="U748" t="str">
        <f t="shared" ca="1" si="249"/>
        <v>Private Ward</v>
      </c>
      <c r="V748" t="str">
        <f t="shared" si="250"/>
        <v>BED0747</v>
      </c>
      <c r="W748" t="str">
        <f t="shared" ca="1" si="251"/>
        <v>ICU</v>
      </c>
      <c r="X748" t="str">
        <f t="shared" si="252"/>
        <v>NUR047</v>
      </c>
      <c r="Y748" t="str">
        <f t="shared" ca="1" si="253"/>
        <v>Night</v>
      </c>
      <c r="Z748" t="str">
        <f t="shared" ca="1" si="254"/>
        <v>Ventilator</v>
      </c>
      <c r="AA748" t="str">
        <f t="shared" ca="1" si="255"/>
        <v>Maintenance</v>
      </c>
      <c r="AB748" t="str">
        <f t="shared" ca="1" si="256"/>
        <v>Paid</v>
      </c>
      <c r="AC748" t="str">
        <f t="shared" ca="1" si="257"/>
        <v>Insurance</v>
      </c>
      <c r="AD748" t="str">
        <f t="shared" ca="1" si="258"/>
        <v>No</v>
      </c>
      <c r="AE748" t="str">
        <f t="shared" ca="1" si="259"/>
        <v>No</v>
      </c>
      <c r="AF748" t="str">
        <f t="shared" ca="1" si="260"/>
        <v>Under Observation</v>
      </c>
      <c r="AG748" t="str">
        <f t="shared" ca="1" si="261"/>
        <v>Southwest</v>
      </c>
      <c r="AH748" t="str">
        <f t="shared" si="244"/>
        <v>October</v>
      </c>
      <c r="AI748">
        <f t="shared" si="245"/>
        <v>2020</v>
      </c>
      <c r="AJ748" t="str">
        <f t="shared" ca="1" si="262"/>
        <v>Occupied</v>
      </c>
      <c r="AK748">
        <f t="shared" ca="1" si="263"/>
        <v>2</v>
      </c>
    </row>
    <row r="749" spans="1:37" x14ac:dyDescent="0.3">
      <c r="A749" t="s">
        <v>5173</v>
      </c>
      <c r="B749">
        <v>58</v>
      </c>
      <c r="C749" t="s">
        <v>32</v>
      </c>
      <c r="D749" t="s">
        <v>16</v>
      </c>
      <c r="E749" t="s">
        <v>17</v>
      </c>
      <c r="F749" s="1">
        <v>45177</v>
      </c>
      <c r="G749" t="s">
        <v>1531</v>
      </c>
      <c r="H749" t="s">
        <v>1532</v>
      </c>
      <c r="I749" t="s">
        <v>57</v>
      </c>
      <c r="J749">
        <v>37903</v>
      </c>
      <c r="K749">
        <v>421</v>
      </c>
      <c r="L749" t="s">
        <v>42</v>
      </c>
      <c r="M749" s="1">
        <v>45191</v>
      </c>
      <c r="N749" t="s">
        <v>67</v>
      </c>
      <c r="O749" t="s">
        <v>23</v>
      </c>
      <c r="P749" t="str">
        <f t="shared" si="246"/>
        <v>P0748</v>
      </c>
      <c r="Q749" t="str">
        <f t="shared" si="242"/>
        <v>Oncology</v>
      </c>
      <c r="R749">
        <f t="shared" si="243"/>
        <v>14</v>
      </c>
      <c r="S749" t="str">
        <f t="shared" ca="1" si="247"/>
        <v>Yes</v>
      </c>
      <c r="T749" t="str">
        <f t="shared" ca="1" si="248"/>
        <v>Moderate</v>
      </c>
      <c r="U749" t="str">
        <f t="shared" ca="1" si="249"/>
        <v>ICU</v>
      </c>
      <c r="V749" t="str">
        <f t="shared" si="250"/>
        <v>BED0748</v>
      </c>
      <c r="W749" t="str">
        <f t="shared" ca="1" si="251"/>
        <v>General</v>
      </c>
      <c r="X749" t="str">
        <f t="shared" si="252"/>
        <v>NUR048</v>
      </c>
      <c r="Y749" t="str">
        <f t="shared" ca="1" si="253"/>
        <v>Night</v>
      </c>
      <c r="Z749" t="str">
        <f t="shared" ca="1" si="254"/>
        <v>Ultrasound</v>
      </c>
      <c r="AA749" t="str">
        <f t="shared" ca="1" si="255"/>
        <v>Maintenance</v>
      </c>
      <c r="AB749" t="str">
        <f t="shared" ca="1" si="256"/>
        <v>Pending</v>
      </c>
      <c r="AC749" t="str">
        <f t="shared" ca="1" si="257"/>
        <v>Bank Transfer</v>
      </c>
      <c r="AD749" t="str">
        <f t="shared" ca="1" si="258"/>
        <v>No</v>
      </c>
      <c r="AE749" t="str">
        <f t="shared" ca="1" si="259"/>
        <v>No</v>
      </c>
      <c r="AF749" t="str">
        <f t="shared" ca="1" si="260"/>
        <v>Recovered</v>
      </c>
      <c r="AG749" t="str">
        <f t="shared" ca="1" si="261"/>
        <v>Southeast</v>
      </c>
      <c r="AH749" t="str">
        <f t="shared" si="244"/>
        <v>September</v>
      </c>
      <c r="AI749">
        <f t="shared" si="245"/>
        <v>2023</v>
      </c>
      <c r="AJ749" t="str">
        <f t="shared" ca="1" si="262"/>
        <v>Occupied</v>
      </c>
      <c r="AK749">
        <f t="shared" ca="1" si="263"/>
        <v>4</v>
      </c>
    </row>
    <row r="750" spans="1:37" x14ac:dyDescent="0.3">
      <c r="A750" t="s">
        <v>5174</v>
      </c>
      <c r="B750">
        <v>39</v>
      </c>
      <c r="C750" t="s">
        <v>32</v>
      </c>
      <c r="D750" t="s">
        <v>98</v>
      </c>
      <c r="E750" t="s">
        <v>17</v>
      </c>
      <c r="F750" s="1">
        <v>44885</v>
      </c>
      <c r="G750" t="s">
        <v>1533</v>
      </c>
      <c r="H750" t="s">
        <v>1534</v>
      </c>
      <c r="I750" t="s">
        <v>20</v>
      </c>
      <c r="J750">
        <v>45913</v>
      </c>
      <c r="K750">
        <v>398</v>
      </c>
      <c r="L750" t="s">
        <v>29</v>
      </c>
      <c r="M750" s="1">
        <v>44914</v>
      </c>
      <c r="N750" t="s">
        <v>22</v>
      </c>
      <c r="O750" t="s">
        <v>43</v>
      </c>
      <c r="P750" t="str">
        <f t="shared" si="246"/>
        <v>P0749</v>
      </c>
      <c r="Q750" t="str">
        <f t="shared" si="242"/>
        <v>Oncology</v>
      </c>
      <c r="R750">
        <f t="shared" si="243"/>
        <v>29</v>
      </c>
      <c r="S750" t="str">
        <f t="shared" ca="1" si="247"/>
        <v>No</v>
      </c>
      <c r="T750" t="str">
        <f t="shared" ca="1" si="248"/>
        <v>Moderate</v>
      </c>
      <c r="U750" t="str">
        <f t="shared" ca="1" si="249"/>
        <v>Private Ward</v>
      </c>
      <c r="V750" t="str">
        <f t="shared" si="250"/>
        <v>BED0749</v>
      </c>
      <c r="W750" t="str">
        <f t="shared" ca="1" si="251"/>
        <v>Private</v>
      </c>
      <c r="X750" t="str">
        <f t="shared" si="252"/>
        <v>NUR049</v>
      </c>
      <c r="Y750" t="str">
        <f t="shared" ca="1" si="253"/>
        <v>Night</v>
      </c>
      <c r="Z750" t="str">
        <f t="shared" ca="1" si="254"/>
        <v>ECG Machine</v>
      </c>
      <c r="AA750" t="str">
        <f t="shared" ca="1" si="255"/>
        <v>Available</v>
      </c>
      <c r="AB750" t="str">
        <f t="shared" ca="1" si="256"/>
        <v>Pending</v>
      </c>
      <c r="AC750" t="str">
        <f t="shared" ca="1" si="257"/>
        <v>Debit Card</v>
      </c>
      <c r="AD750" t="str">
        <f t="shared" ca="1" si="258"/>
        <v>No</v>
      </c>
      <c r="AE750" t="str">
        <f t="shared" ca="1" si="259"/>
        <v>No</v>
      </c>
      <c r="AF750" t="str">
        <f t="shared" ca="1" si="260"/>
        <v>Under Observation</v>
      </c>
      <c r="AG750" t="str">
        <f t="shared" ca="1" si="261"/>
        <v>Southeast</v>
      </c>
      <c r="AH750" t="str">
        <f t="shared" si="244"/>
        <v>November</v>
      </c>
      <c r="AI750">
        <f t="shared" si="245"/>
        <v>2022</v>
      </c>
      <c r="AJ750" t="str">
        <f t="shared" ca="1" si="262"/>
        <v>Occupied</v>
      </c>
      <c r="AK750">
        <f t="shared" ca="1" si="263"/>
        <v>2</v>
      </c>
    </row>
    <row r="751" spans="1:37" x14ac:dyDescent="0.3">
      <c r="A751" t="s">
        <v>5175</v>
      </c>
      <c r="B751">
        <v>30</v>
      </c>
      <c r="C751" t="s">
        <v>15</v>
      </c>
      <c r="D751" t="s">
        <v>98</v>
      </c>
      <c r="E751" t="s">
        <v>76</v>
      </c>
      <c r="F751" s="1">
        <v>44016</v>
      </c>
      <c r="G751" t="s">
        <v>1535</v>
      </c>
      <c r="H751" t="s">
        <v>1536</v>
      </c>
      <c r="I751" t="s">
        <v>51</v>
      </c>
      <c r="J751">
        <v>30468</v>
      </c>
      <c r="K751">
        <v>378</v>
      </c>
      <c r="L751" t="s">
        <v>29</v>
      </c>
      <c r="M751" s="1">
        <v>44045</v>
      </c>
      <c r="N751" t="s">
        <v>67</v>
      </c>
      <c r="O751" t="s">
        <v>23</v>
      </c>
      <c r="P751" t="str">
        <f t="shared" si="246"/>
        <v>P0750</v>
      </c>
      <c r="Q751" t="str">
        <f t="shared" si="242"/>
        <v>Orthopedics</v>
      </c>
      <c r="R751">
        <f t="shared" si="243"/>
        <v>29</v>
      </c>
      <c r="S751" t="str">
        <f t="shared" ca="1" si="247"/>
        <v>No</v>
      </c>
      <c r="T751" t="str">
        <f t="shared" ca="1" si="248"/>
        <v>Critical</v>
      </c>
      <c r="U751" t="str">
        <f t="shared" ca="1" si="249"/>
        <v>Private Ward</v>
      </c>
      <c r="V751" t="str">
        <f t="shared" si="250"/>
        <v>BED0750</v>
      </c>
      <c r="W751" t="str">
        <f t="shared" ca="1" si="251"/>
        <v>Private</v>
      </c>
      <c r="X751" t="str">
        <f t="shared" si="252"/>
        <v>NUR050</v>
      </c>
      <c r="Y751" t="str">
        <f t="shared" ca="1" si="253"/>
        <v>Night</v>
      </c>
      <c r="Z751" t="str">
        <f t="shared" ca="1" si="254"/>
        <v>ECG Machine</v>
      </c>
      <c r="AA751" t="str">
        <f t="shared" ca="1" si="255"/>
        <v>In Use</v>
      </c>
      <c r="AB751" t="str">
        <f t="shared" ca="1" si="256"/>
        <v>Partially Paid</v>
      </c>
      <c r="AC751" t="str">
        <f t="shared" ca="1" si="257"/>
        <v>Insurance</v>
      </c>
      <c r="AD751" t="str">
        <f t="shared" ca="1" si="258"/>
        <v>No</v>
      </c>
      <c r="AE751" t="str">
        <f t="shared" ca="1" si="259"/>
        <v>No</v>
      </c>
      <c r="AF751" t="str">
        <f t="shared" ca="1" si="260"/>
        <v>Transferred</v>
      </c>
      <c r="AG751" t="str">
        <f t="shared" ca="1" si="261"/>
        <v>West Coast</v>
      </c>
      <c r="AH751" t="str">
        <f t="shared" si="244"/>
        <v>July</v>
      </c>
      <c r="AI751">
        <f t="shared" si="245"/>
        <v>2020</v>
      </c>
      <c r="AJ751" t="str">
        <f t="shared" ca="1" si="262"/>
        <v>Occupied</v>
      </c>
      <c r="AK751">
        <f t="shared" ca="1" si="263"/>
        <v>4</v>
      </c>
    </row>
    <row r="752" spans="1:37" x14ac:dyDescent="0.3">
      <c r="A752" t="s">
        <v>550</v>
      </c>
      <c r="B752">
        <v>27</v>
      </c>
      <c r="C752" t="s">
        <v>15</v>
      </c>
      <c r="D752" t="s">
        <v>83</v>
      </c>
      <c r="E752" t="s">
        <v>48</v>
      </c>
      <c r="F752" s="1">
        <v>45101</v>
      </c>
      <c r="G752" t="s">
        <v>1537</v>
      </c>
      <c r="H752" t="s">
        <v>1538</v>
      </c>
      <c r="I752" t="s">
        <v>20</v>
      </c>
      <c r="J752">
        <v>50202</v>
      </c>
      <c r="K752">
        <v>198</v>
      </c>
      <c r="L752" t="s">
        <v>21</v>
      </c>
      <c r="M752" s="1">
        <v>45120</v>
      </c>
      <c r="N752" t="s">
        <v>37</v>
      </c>
      <c r="O752" t="s">
        <v>43</v>
      </c>
      <c r="P752" t="str">
        <f t="shared" si="246"/>
        <v>P0751</v>
      </c>
      <c r="Q752" t="str">
        <f t="shared" si="242"/>
        <v>Pulmonology</v>
      </c>
      <c r="R752">
        <f t="shared" si="243"/>
        <v>19</v>
      </c>
      <c r="S752" t="str">
        <f t="shared" ca="1" si="247"/>
        <v>No</v>
      </c>
      <c r="T752" t="str">
        <f t="shared" ca="1" si="248"/>
        <v>Mild</v>
      </c>
      <c r="U752" t="str">
        <f t="shared" ca="1" si="249"/>
        <v>General Ward</v>
      </c>
      <c r="V752" t="str">
        <f t="shared" si="250"/>
        <v>BED0751</v>
      </c>
      <c r="W752" t="str">
        <f t="shared" ca="1" si="251"/>
        <v>ICU</v>
      </c>
      <c r="X752" t="str">
        <f t="shared" si="252"/>
        <v>NUR001</v>
      </c>
      <c r="Y752" t="str">
        <f t="shared" ca="1" si="253"/>
        <v>Morning</v>
      </c>
      <c r="Z752" t="str">
        <f t="shared" ca="1" si="254"/>
        <v>CT Scanner</v>
      </c>
      <c r="AA752" t="str">
        <f t="shared" ca="1" si="255"/>
        <v>Maintenance</v>
      </c>
      <c r="AB752" t="str">
        <f t="shared" ca="1" si="256"/>
        <v>Paid</v>
      </c>
      <c r="AC752" t="str">
        <f t="shared" ca="1" si="257"/>
        <v>Credit Card</v>
      </c>
      <c r="AD752" t="str">
        <f t="shared" ca="1" si="258"/>
        <v>No</v>
      </c>
      <c r="AE752" t="str">
        <f t="shared" ca="1" si="259"/>
        <v>Yes</v>
      </c>
      <c r="AF752" t="str">
        <f t="shared" ca="1" si="260"/>
        <v>Under Observation</v>
      </c>
      <c r="AG752" t="str">
        <f t="shared" ca="1" si="261"/>
        <v>Southwest</v>
      </c>
      <c r="AH752" t="str">
        <f t="shared" si="244"/>
        <v>June</v>
      </c>
      <c r="AI752">
        <f t="shared" si="245"/>
        <v>2023</v>
      </c>
      <c r="AJ752" t="str">
        <f t="shared" ca="1" si="262"/>
        <v>Occupied</v>
      </c>
      <c r="AK752">
        <f t="shared" ca="1" si="263"/>
        <v>4</v>
      </c>
    </row>
    <row r="753" spans="1:37" x14ac:dyDescent="0.3">
      <c r="A753" t="s">
        <v>5176</v>
      </c>
      <c r="B753">
        <v>39</v>
      </c>
      <c r="C753" t="s">
        <v>32</v>
      </c>
      <c r="D753" t="s">
        <v>98</v>
      </c>
      <c r="E753" t="s">
        <v>64</v>
      </c>
      <c r="F753" s="1">
        <v>44110</v>
      </c>
      <c r="G753" t="s">
        <v>1539</v>
      </c>
      <c r="H753" t="s">
        <v>1540</v>
      </c>
      <c r="I753" t="s">
        <v>57</v>
      </c>
      <c r="J753">
        <v>2104</v>
      </c>
      <c r="K753">
        <v>260</v>
      </c>
      <c r="L753" t="s">
        <v>42</v>
      </c>
      <c r="M753" s="1">
        <v>44118</v>
      </c>
      <c r="N753" t="s">
        <v>47</v>
      </c>
      <c r="O753" t="s">
        <v>23</v>
      </c>
      <c r="P753" t="str">
        <f t="shared" si="246"/>
        <v>P0752</v>
      </c>
      <c r="Q753" t="str">
        <f t="shared" si="242"/>
        <v>Cardiology</v>
      </c>
      <c r="R753">
        <f t="shared" si="243"/>
        <v>8</v>
      </c>
      <c r="S753" t="str">
        <f t="shared" ca="1" si="247"/>
        <v>No</v>
      </c>
      <c r="T753" t="str">
        <f t="shared" ca="1" si="248"/>
        <v>Critical</v>
      </c>
      <c r="U753" t="str">
        <f t="shared" ca="1" si="249"/>
        <v>General Ward</v>
      </c>
      <c r="V753" t="str">
        <f t="shared" si="250"/>
        <v>BED0752</v>
      </c>
      <c r="W753" t="str">
        <f t="shared" ca="1" si="251"/>
        <v>Semi-Private</v>
      </c>
      <c r="X753" t="str">
        <f t="shared" si="252"/>
        <v>NUR002</v>
      </c>
      <c r="Y753" t="str">
        <f t="shared" ca="1" si="253"/>
        <v>Night</v>
      </c>
      <c r="Z753" t="str">
        <f t="shared" ca="1" si="254"/>
        <v>X-Ray</v>
      </c>
      <c r="AA753" t="str">
        <f t="shared" ca="1" si="255"/>
        <v>Available</v>
      </c>
      <c r="AB753" t="str">
        <f t="shared" ca="1" si="256"/>
        <v>Paid</v>
      </c>
      <c r="AC753" t="str">
        <f t="shared" ca="1" si="257"/>
        <v>Debit Card</v>
      </c>
      <c r="AD753" t="str">
        <f t="shared" ca="1" si="258"/>
        <v>No</v>
      </c>
      <c r="AE753" t="str">
        <f t="shared" ca="1" si="259"/>
        <v>No</v>
      </c>
      <c r="AF753" t="str">
        <f t="shared" ca="1" si="260"/>
        <v>Transferred</v>
      </c>
      <c r="AG753" t="str">
        <f t="shared" ca="1" si="261"/>
        <v>Northeast</v>
      </c>
      <c r="AH753" t="str">
        <f t="shared" si="244"/>
        <v>October</v>
      </c>
      <c r="AI753">
        <f t="shared" si="245"/>
        <v>2020</v>
      </c>
      <c r="AJ753" t="str">
        <f t="shared" ca="1" si="262"/>
        <v>Occupied</v>
      </c>
      <c r="AK753">
        <f t="shared" ca="1" si="263"/>
        <v>1</v>
      </c>
    </row>
    <row r="754" spans="1:37" x14ac:dyDescent="0.3">
      <c r="A754" t="s">
        <v>5177</v>
      </c>
      <c r="B754">
        <v>76</v>
      </c>
      <c r="C754" t="s">
        <v>32</v>
      </c>
      <c r="D754" t="s">
        <v>83</v>
      </c>
      <c r="E754" t="s">
        <v>17</v>
      </c>
      <c r="F754" s="1">
        <v>45001</v>
      </c>
      <c r="G754" t="s">
        <v>1541</v>
      </c>
      <c r="H754" t="s">
        <v>1177</v>
      </c>
      <c r="I754" t="s">
        <v>36</v>
      </c>
      <c r="J754">
        <v>43206</v>
      </c>
      <c r="K754">
        <v>441</v>
      </c>
      <c r="L754" t="s">
        <v>29</v>
      </c>
      <c r="M754" s="1">
        <v>45018</v>
      </c>
      <c r="N754" t="s">
        <v>37</v>
      </c>
      <c r="O754" t="s">
        <v>31</v>
      </c>
      <c r="P754" t="str">
        <f t="shared" si="246"/>
        <v>P0753</v>
      </c>
      <c r="Q754" t="str">
        <f t="shared" si="242"/>
        <v>Oncology</v>
      </c>
      <c r="R754">
        <f t="shared" si="243"/>
        <v>17</v>
      </c>
      <c r="S754" t="str">
        <f t="shared" ca="1" si="247"/>
        <v>No</v>
      </c>
      <c r="T754" t="str">
        <f t="shared" ca="1" si="248"/>
        <v>Mild</v>
      </c>
      <c r="U754" t="str">
        <f t="shared" ca="1" si="249"/>
        <v>Semi-Private</v>
      </c>
      <c r="V754" t="str">
        <f t="shared" si="250"/>
        <v>BED0753</v>
      </c>
      <c r="W754" t="str">
        <f t="shared" ca="1" si="251"/>
        <v>ICU</v>
      </c>
      <c r="X754" t="str">
        <f t="shared" si="252"/>
        <v>NUR003</v>
      </c>
      <c r="Y754" t="str">
        <f t="shared" ca="1" si="253"/>
        <v>Morning</v>
      </c>
      <c r="Z754" t="str">
        <f t="shared" ca="1" si="254"/>
        <v>Ultrasound</v>
      </c>
      <c r="AA754" t="str">
        <f t="shared" ca="1" si="255"/>
        <v>Available</v>
      </c>
      <c r="AB754" t="str">
        <f t="shared" ca="1" si="256"/>
        <v>Partially Paid</v>
      </c>
      <c r="AC754" t="str">
        <f t="shared" ca="1" si="257"/>
        <v>Bank Transfer</v>
      </c>
      <c r="AD754" t="str">
        <f t="shared" ca="1" si="258"/>
        <v>No</v>
      </c>
      <c r="AE754" t="str">
        <f t="shared" ca="1" si="259"/>
        <v>No</v>
      </c>
      <c r="AF754" t="str">
        <f t="shared" ca="1" si="260"/>
        <v>Transferred</v>
      </c>
      <c r="AG754" t="str">
        <f t="shared" ca="1" si="261"/>
        <v>Northeast</v>
      </c>
      <c r="AH754" t="str">
        <f t="shared" si="244"/>
        <v>March</v>
      </c>
      <c r="AI754">
        <f t="shared" si="245"/>
        <v>2023</v>
      </c>
      <c r="AJ754" t="str">
        <f t="shared" ca="1" si="262"/>
        <v>Occupied</v>
      </c>
      <c r="AK754">
        <f t="shared" ca="1" si="263"/>
        <v>1</v>
      </c>
    </row>
    <row r="755" spans="1:37" x14ac:dyDescent="0.3">
      <c r="A755" t="s">
        <v>5178</v>
      </c>
      <c r="B755">
        <v>62</v>
      </c>
      <c r="C755" t="s">
        <v>15</v>
      </c>
      <c r="D755" t="s">
        <v>98</v>
      </c>
      <c r="E755" t="s">
        <v>76</v>
      </c>
      <c r="F755" s="1">
        <v>43724</v>
      </c>
      <c r="G755" t="s">
        <v>1542</v>
      </c>
      <c r="H755" t="s">
        <v>1514</v>
      </c>
      <c r="I755" t="s">
        <v>20</v>
      </c>
      <c r="J755">
        <v>10622</v>
      </c>
      <c r="K755">
        <v>199</v>
      </c>
      <c r="L755" t="s">
        <v>21</v>
      </c>
      <c r="M755" s="1">
        <v>43729</v>
      </c>
      <c r="N755" t="s">
        <v>67</v>
      </c>
      <c r="O755" t="s">
        <v>43</v>
      </c>
      <c r="P755" t="str">
        <f t="shared" si="246"/>
        <v>P0754</v>
      </c>
      <c r="Q755" t="str">
        <f t="shared" si="242"/>
        <v>Orthopedics</v>
      </c>
      <c r="R755">
        <f t="shared" si="243"/>
        <v>5</v>
      </c>
      <c r="S755" t="str">
        <f t="shared" ca="1" si="247"/>
        <v>No</v>
      </c>
      <c r="T755" t="str">
        <f t="shared" ca="1" si="248"/>
        <v>Severe</v>
      </c>
      <c r="U755" t="str">
        <f t="shared" ca="1" si="249"/>
        <v>Semi-Private</v>
      </c>
      <c r="V755" t="str">
        <f t="shared" si="250"/>
        <v>BED0754</v>
      </c>
      <c r="W755" t="str">
        <f t="shared" ca="1" si="251"/>
        <v>General</v>
      </c>
      <c r="X755" t="str">
        <f t="shared" si="252"/>
        <v>NUR004</v>
      </c>
      <c r="Y755" t="str">
        <f t="shared" ca="1" si="253"/>
        <v>Morning</v>
      </c>
      <c r="Z755" t="str">
        <f t="shared" ca="1" si="254"/>
        <v>ECG Machine</v>
      </c>
      <c r="AA755" t="str">
        <f t="shared" ca="1" si="255"/>
        <v>In Use</v>
      </c>
      <c r="AB755" t="str">
        <f t="shared" ca="1" si="256"/>
        <v>Partially Paid</v>
      </c>
      <c r="AC755" t="str">
        <f t="shared" ca="1" si="257"/>
        <v>Insurance</v>
      </c>
      <c r="AD755" t="str">
        <f t="shared" ca="1" si="258"/>
        <v>No</v>
      </c>
      <c r="AE755" t="str">
        <f t="shared" ca="1" si="259"/>
        <v>No</v>
      </c>
      <c r="AF755" t="str">
        <f t="shared" ca="1" si="260"/>
        <v>Transferred</v>
      </c>
      <c r="AG755" t="str">
        <f t="shared" ca="1" si="261"/>
        <v>West Coast</v>
      </c>
      <c r="AH755" t="str">
        <f t="shared" si="244"/>
        <v>September</v>
      </c>
      <c r="AI755">
        <f t="shared" si="245"/>
        <v>2019</v>
      </c>
      <c r="AJ755" t="str">
        <f t="shared" ca="1" si="262"/>
        <v>Occupied</v>
      </c>
      <c r="AK755">
        <f t="shared" ca="1" si="263"/>
        <v>2</v>
      </c>
    </row>
    <row r="756" spans="1:37" x14ac:dyDescent="0.3">
      <c r="A756" t="s">
        <v>5179</v>
      </c>
      <c r="B756">
        <v>71</v>
      </c>
      <c r="C756" t="s">
        <v>15</v>
      </c>
      <c r="D756" t="s">
        <v>98</v>
      </c>
      <c r="E756" t="s">
        <v>48</v>
      </c>
      <c r="F756" s="1">
        <v>44296</v>
      </c>
      <c r="G756" t="s">
        <v>1543</v>
      </c>
      <c r="H756" t="s">
        <v>1544</v>
      </c>
      <c r="I756" t="s">
        <v>28</v>
      </c>
      <c r="J756">
        <v>10660</v>
      </c>
      <c r="K756">
        <v>170</v>
      </c>
      <c r="L756" t="s">
        <v>42</v>
      </c>
      <c r="M756" s="1">
        <v>44304</v>
      </c>
      <c r="N756" t="s">
        <v>30</v>
      </c>
      <c r="O756" t="s">
        <v>43</v>
      </c>
      <c r="P756" t="str">
        <f t="shared" si="246"/>
        <v>P0755</v>
      </c>
      <c r="Q756" t="str">
        <f t="shared" si="242"/>
        <v>Pulmonology</v>
      </c>
      <c r="R756">
        <f t="shared" si="243"/>
        <v>8</v>
      </c>
      <c r="S756" t="str">
        <f t="shared" ca="1" si="247"/>
        <v>No</v>
      </c>
      <c r="T756" t="str">
        <f t="shared" ca="1" si="248"/>
        <v>Critical</v>
      </c>
      <c r="U756" t="str">
        <f t="shared" ca="1" si="249"/>
        <v>Semi-Private</v>
      </c>
      <c r="V756" t="str">
        <f t="shared" si="250"/>
        <v>BED0755</v>
      </c>
      <c r="W756" t="str">
        <f t="shared" ca="1" si="251"/>
        <v>General</v>
      </c>
      <c r="X756" t="str">
        <f t="shared" si="252"/>
        <v>NUR005</v>
      </c>
      <c r="Y756" t="str">
        <f t="shared" ca="1" si="253"/>
        <v>Night</v>
      </c>
      <c r="Z756" t="str">
        <f t="shared" ca="1" si="254"/>
        <v>MRI Scanner</v>
      </c>
      <c r="AA756" t="str">
        <f t="shared" ca="1" si="255"/>
        <v>Maintenance</v>
      </c>
      <c r="AB756" t="str">
        <f t="shared" ca="1" si="256"/>
        <v>Pending</v>
      </c>
      <c r="AC756" t="str">
        <f t="shared" ca="1" si="257"/>
        <v>Bank Transfer</v>
      </c>
      <c r="AD756" t="str">
        <f t="shared" ca="1" si="258"/>
        <v>No</v>
      </c>
      <c r="AE756" t="str">
        <f t="shared" ca="1" si="259"/>
        <v>No</v>
      </c>
      <c r="AF756" t="str">
        <f t="shared" ca="1" si="260"/>
        <v>Under Observation</v>
      </c>
      <c r="AG756" t="str">
        <f t="shared" ca="1" si="261"/>
        <v>West Coast</v>
      </c>
      <c r="AH756" t="str">
        <f t="shared" si="244"/>
        <v>April</v>
      </c>
      <c r="AI756">
        <f t="shared" si="245"/>
        <v>2021</v>
      </c>
      <c r="AJ756" t="str">
        <f t="shared" ca="1" si="262"/>
        <v>Occupied</v>
      </c>
      <c r="AK756">
        <f t="shared" ca="1" si="263"/>
        <v>4</v>
      </c>
    </row>
    <row r="757" spans="1:37" x14ac:dyDescent="0.3">
      <c r="A757" t="s">
        <v>5180</v>
      </c>
      <c r="B757">
        <v>67</v>
      </c>
      <c r="C757" t="s">
        <v>15</v>
      </c>
      <c r="D757" t="s">
        <v>16</v>
      </c>
      <c r="E757" t="s">
        <v>39</v>
      </c>
      <c r="F757" s="1">
        <v>43667</v>
      </c>
      <c r="G757" t="s">
        <v>1545</v>
      </c>
      <c r="H757" t="s">
        <v>1546</v>
      </c>
      <c r="I757" t="s">
        <v>57</v>
      </c>
      <c r="J757">
        <v>10919</v>
      </c>
      <c r="K757">
        <v>288</v>
      </c>
      <c r="L757" t="s">
        <v>42</v>
      </c>
      <c r="M757" s="1">
        <v>43694</v>
      </c>
      <c r="N757" t="s">
        <v>47</v>
      </c>
      <c r="O757" t="s">
        <v>23</v>
      </c>
      <c r="P757" t="str">
        <f t="shared" si="246"/>
        <v>P0756</v>
      </c>
      <c r="Q757" t="str">
        <f t="shared" si="242"/>
        <v>Endocrinology</v>
      </c>
      <c r="R757">
        <f t="shared" si="243"/>
        <v>27</v>
      </c>
      <c r="S757" t="str">
        <f t="shared" ca="1" si="247"/>
        <v>No</v>
      </c>
      <c r="T757" t="str">
        <f t="shared" ca="1" si="248"/>
        <v>Severe</v>
      </c>
      <c r="U757" t="str">
        <f t="shared" ca="1" si="249"/>
        <v>Emergency</v>
      </c>
      <c r="V757" t="str">
        <f t="shared" si="250"/>
        <v>BED0756</v>
      </c>
      <c r="W757" t="str">
        <f t="shared" ca="1" si="251"/>
        <v>ICU</v>
      </c>
      <c r="X757" t="str">
        <f t="shared" si="252"/>
        <v>NUR006</v>
      </c>
      <c r="Y757" t="str">
        <f t="shared" ca="1" si="253"/>
        <v>Evening</v>
      </c>
      <c r="Z757" t="str">
        <f t="shared" ca="1" si="254"/>
        <v>MRI Scanner</v>
      </c>
      <c r="AA757" t="str">
        <f t="shared" ca="1" si="255"/>
        <v>Available</v>
      </c>
      <c r="AB757" t="str">
        <f t="shared" ca="1" si="256"/>
        <v>Pending</v>
      </c>
      <c r="AC757" t="str">
        <f t="shared" ca="1" si="257"/>
        <v>Bank Transfer</v>
      </c>
      <c r="AD757" t="str">
        <f t="shared" ca="1" si="258"/>
        <v>No</v>
      </c>
      <c r="AE757" t="str">
        <f t="shared" ca="1" si="259"/>
        <v>No</v>
      </c>
      <c r="AF757" t="str">
        <f t="shared" ca="1" si="260"/>
        <v>Under Observation</v>
      </c>
      <c r="AG757" t="str">
        <f t="shared" ca="1" si="261"/>
        <v>West Coast</v>
      </c>
      <c r="AH757" t="str">
        <f t="shared" si="244"/>
        <v>July</v>
      </c>
      <c r="AI757">
        <f t="shared" si="245"/>
        <v>2019</v>
      </c>
      <c r="AJ757" t="str">
        <f t="shared" ca="1" si="262"/>
        <v>Occupied</v>
      </c>
      <c r="AK757">
        <f t="shared" ca="1" si="263"/>
        <v>1</v>
      </c>
    </row>
    <row r="758" spans="1:37" x14ac:dyDescent="0.3">
      <c r="A758" t="s">
        <v>5181</v>
      </c>
      <c r="B758">
        <v>34</v>
      </c>
      <c r="C758" t="s">
        <v>32</v>
      </c>
      <c r="D758" t="s">
        <v>24</v>
      </c>
      <c r="E758" t="s">
        <v>17</v>
      </c>
      <c r="F758" s="1">
        <v>44544</v>
      </c>
      <c r="G758" t="s">
        <v>1547</v>
      </c>
      <c r="H758" t="s">
        <v>1548</v>
      </c>
      <c r="I758" t="s">
        <v>28</v>
      </c>
      <c r="J758">
        <v>8407</v>
      </c>
      <c r="K758">
        <v>425</v>
      </c>
      <c r="L758" t="s">
        <v>21</v>
      </c>
      <c r="M758" s="1">
        <v>44551</v>
      </c>
      <c r="N758" t="s">
        <v>30</v>
      </c>
      <c r="O758" t="s">
        <v>43</v>
      </c>
      <c r="P758" t="str">
        <f t="shared" si="246"/>
        <v>P0757</v>
      </c>
      <c r="Q758" t="str">
        <f t="shared" si="242"/>
        <v>Oncology</v>
      </c>
      <c r="R758">
        <f t="shared" si="243"/>
        <v>7</v>
      </c>
      <c r="S758" t="str">
        <f t="shared" ca="1" si="247"/>
        <v>No</v>
      </c>
      <c r="T758" t="str">
        <f t="shared" ca="1" si="248"/>
        <v>Critical</v>
      </c>
      <c r="U758" t="str">
        <f t="shared" ca="1" si="249"/>
        <v>General Ward</v>
      </c>
      <c r="V758" t="str">
        <f t="shared" si="250"/>
        <v>BED0757</v>
      </c>
      <c r="W758" t="str">
        <f t="shared" ca="1" si="251"/>
        <v>General</v>
      </c>
      <c r="X758" t="str">
        <f t="shared" si="252"/>
        <v>NUR007</v>
      </c>
      <c r="Y758" t="str">
        <f t="shared" ca="1" si="253"/>
        <v>Morning</v>
      </c>
      <c r="Z758" t="str">
        <f t="shared" ca="1" si="254"/>
        <v>CT Scanner</v>
      </c>
      <c r="AA758" t="str">
        <f t="shared" ca="1" si="255"/>
        <v>Available</v>
      </c>
      <c r="AB758" t="str">
        <f t="shared" ca="1" si="256"/>
        <v>Pending</v>
      </c>
      <c r="AC758" t="str">
        <f t="shared" ca="1" si="257"/>
        <v>Bank Transfer</v>
      </c>
      <c r="AD758" t="str">
        <f t="shared" ca="1" si="258"/>
        <v>No</v>
      </c>
      <c r="AE758" t="str">
        <f t="shared" ca="1" si="259"/>
        <v>No</v>
      </c>
      <c r="AF758" t="str">
        <f t="shared" ca="1" si="260"/>
        <v>Recovered</v>
      </c>
      <c r="AG758" t="str">
        <f t="shared" ca="1" si="261"/>
        <v>West Coast</v>
      </c>
      <c r="AH758" t="str">
        <f t="shared" si="244"/>
        <v>December</v>
      </c>
      <c r="AI758">
        <f t="shared" si="245"/>
        <v>2021</v>
      </c>
      <c r="AJ758" t="str">
        <f t="shared" ca="1" si="262"/>
        <v>Occupied</v>
      </c>
      <c r="AK758">
        <f t="shared" ca="1" si="263"/>
        <v>2</v>
      </c>
    </row>
    <row r="759" spans="1:37" x14ac:dyDescent="0.3">
      <c r="A759" t="s">
        <v>5182</v>
      </c>
      <c r="B759">
        <v>31</v>
      </c>
      <c r="C759" t="s">
        <v>15</v>
      </c>
      <c r="D759" t="s">
        <v>98</v>
      </c>
      <c r="E759" t="s">
        <v>17</v>
      </c>
      <c r="F759" s="1">
        <v>45188</v>
      </c>
      <c r="G759" t="s">
        <v>1549</v>
      </c>
      <c r="H759" t="s">
        <v>1550</v>
      </c>
      <c r="I759" t="s">
        <v>36</v>
      </c>
      <c r="J759">
        <v>32926</v>
      </c>
      <c r="K759">
        <v>459</v>
      </c>
      <c r="L759" t="s">
        <v>29</v>
      </c>
      <c r="M759" s="1">
        <v>45215</v>
      </c>
      <c r="N759" t="s">
        <v>67</v>
      </c>
      <c r="O759" t="s">
        <v>31</v>
      </c>
      <c r="P759" t="str">
        <f t="shared" si="246"/>
        <v>P0758</v>
      </c>
      <c r="Q759" t="str">
        <f t="shared" si="242"/>
        <v>Oncology</v>
      </c>
      <c r="R759">
        <f t="shared" si="243"/>
        <v>27</v>
      </c>
      <c r="S759" t="str">
        <f t="shared" ca="1" si="247"/>
        <v>No</v>
      </c>
      <c r="T759" t="str">
        <f t="shared" ca="1" si="248"/>
        <v>Critical</v>
      </c>
      <c r="U759" t="str">
        <f t="shared" ca="1" si="249"/>
        <v>ICU</v>
      </c>
      <c r="V759" t="str">
        <f t="shared" si="250"/>
        <v>BED0758</v>
      </c>
      <c r="W759" t="str">
        <f t="shared" ca="1" si="251"/>
        <v>ICU</v>
      </c>
      <c r="X759" t="str">
        <f t="shared" si="252"/>
        <v>NUR008</v>
      </c>
      <c r="Y759" t="str">
        <f t="shared" ca="1" si="253"/>
        <v>Morning</v>
      </c>
      <c r="Z759" t="str">
        <f t="shared" ca="1" si="254"/>
        <v>ECG Machine</v>
      </c>
      <c r="AA759" t="str">
        <f t="shared" ca="1" si="255"/>
        <v>Available</v>
      </c>
      <c r="AB759" t="str">
        <f t="shared" ca="1" si="256"/>
        <v>Pending</v>
      </c>
      <c r="AC759" t="str">
        <f t="shared" ca="1" si="257"/>
        <v>Bank Transfer</v>
      </c>
      <c r="AD759" t="str">
        <f t="shared" ca="1" si="258"/>
        <v>No</v>
      </c>
      <c r="AE759" t="str">
        <f t="shared" ca="1" si="259"/>
        <v>No</v>
      </c>
      <c r="AF759" t="str">
        <f t="shared" ca="1" si="260"/>
        <v>Under Observation</v>
      </c>
      <c r="AG759" t="str">
        <f t="shared" ca="1" si="261"/>
        <v>West Coast</v>
      </c>
      <c r="AH759" t="str">
        <f t="shared" si="244"/>
        <v>September</v>
      </c>
      <c r="AI759">
        <f t="shared" si="245"/>
        <v>2023</v>
      </c>
      <c r="AJ759" t="str">
        <f t="shared" ca="1" si="262"/>
        <v>Occupied</v>
      </c>
      <c r="AK759">
        <f t="shared" ca="1" si="263"/>
        <v>1</v>
      </c>
    </row>
    <row r="760" spans="1:37" x14ac:dyDescent="0.3">
      <c r="A760" t="s">
        <v>5183</v>
      </c>
      <c r="B760">
        <v>25</v>
      </c>
      <c r="C760" t="s">
        <v>15</v>
      </c>
      <c r="D760" t="s">
        <v>33</v>
      </c>
      <c r="E760" t="s">
        <v>17</v>
      </c>
      <c r="F760" s="1">
        <v>45318</v>
      </c>
      <c r="G760" t="s">
        <v>1551</v>
      </c>
      <c r="H760" t="s">
        <v>1552</v>
      </c>
      <c r="I760" t="s">
        <v>36</v>
      </c>
      <c r="J760">
        <v>48005</v>
      </c>
      <c r="K760">
        <v>416</v>
      </c>
      <c r="L760" t="s">
        <v>29</v>
      </c>
      <c r="M760" s="1">
        <v>45348</v>
      </c>
      <c r="N760" t="s">
        <v>22</v>
      </c>
      <c r="O760" t="s">
        <v>23</v>
      </c>
      <c r="P760" t="str">
        <f t="shared" si="246"/>
        <v>P0759</v>
      </c>
      <c r="Q760" t="str">
        <f t="shared" si="242"/>
        <v>Oncology</v>
      </c>
      <c r="R760">
        <f t="shared" si="243"/>
        <v>30</v>
      </c>
      <c r="S760" t="str">
        <f t="shared" ca="1" si="247"/>
        <v>No</v>
      </c>
      <c r="T760" t="str">
        <f t="shared" ca="1" si="248"/>
        <v>Moderate</v>
      </c>
      <c r="U760" t="str">
        <f t="shared" ca="1" si="249"/>
        <v>Emergency</v>
      </c>
      <c r="V760" t="str">
        <f t="shared" si="250"/>
        <v>BED0759</v>
      </c>
      <c r="W760" t="str">
        <f t="shared" ca="1" si="251"/>
        <v>General</v>
      </c>
      <c r="X760" t="str">
        <f t="shared" si="252"/>
        <v>NUR009</v>
      </c>
      <c r="Y760" t="str">
        <f t="shared" ca="1" si="253"/>
        <v>Morning</v>
      </c>
      <c r="Z760" t="str">
        <f t="shared" ca="1" si="254"/>
        <v>ECG Machine</v>
      </c>
      <c r="AA760" t="str">
        <f t="shared" ca="1" si="255"/>
        <v>Maintenance</v>
      </c>
      <c r="AB760" t="str">
        <f t="shared" ca="1" si="256"/>
        <v>Partially Paid</v>
      </c>
      <c r="AC760" t="str">
        <f t="shared" ca="1" si="257"/>
        <v>Debit Card</v>
      </c>
      <c r="AD760" t="str">
        <f t="shared" ca="1" si="258"/>
        <v>No</v>
      </c>
      <c r="AE760" t="str">
        <f t="shared" ca="1" si="259"/>
        <v>No</v>
      </c>
      <c r="AF760" t="str">
        <f t="shared" ca="1" si="260"/>
        <v>Under Observation</v>
      </c>
      <c r="AG760" t="str">
        <f t="shared" ca="1" si="261"/>
        <v>Southwest</v>
      </c>
      <c r="AH760" t="str">
        <f t="shared" si="244"/>
        <v>January</v>
      </c>
      <c r="AI760">
        <f t="shared" si="245"/>
        <v>2024</v>
      </c>
      <c r="AJ760" t="str">
        <f t="shared" ca="1" si="262"/>
        <v>Vacant</v>
      </c>
      <c r="AK760">
        <f t="shared" ca="1" si="263"/>
        <v>2</v>
      </c>
    </row>
    <row r="761" spans="1:37" x14ac:dyDescent="0.3">
      <c r="A761" t="s">
        <v>5184</v>
      </c>
      <c r="B761">
        <v>33</v>
      </c>
      <c r="C761" t="s">
        <v>32</v>
      </c>
      <c r="D761" t="s">
        <v>98</v>
      </c>
      <c r="E761" t="s">
        <v>76</v>
      </c>
      <c r="F761" s="1">
        <v>43924</v>
      </c>
      <c r="G761" t="s">
        <v>1553</v>
      </c>
      <c r="H761" t="s">
        <v>1554</v>
      </c>
      <c r="I761" t="s">
        <v>57</v>
      </c>
      <c r="J761">
        <v>28453</v>
      </c>
      <c r="K761">
        <v>180</v>
      </c>
      <c r="L761" t="s">
        <v>42</v>
      </c>
      <c r="M761" s="1">
        <v>43954</v>
      </c>
      <c r="N761" t="s">
        <v>37</v>
      </c>
      <c r="O761" t="s">
        <v>31</v>
      </c>
      <c r="P761" t="str">
        <f t="shared" si="246"/>
        <v>P0760</v>
      </c>
      <c r="Q761" t="str">
        <f t="shared" si="242"/>
        <v>Orthopedics</v>
      </c>
      <c r="R761">
        <f t="shared" si="243"/>
        <v>30</v>
      </c>
      <c r="S761" t="str">
        <f t="shared" ca="1" si="247"/>
        <v>No</v>
      </c>
      <c r="T761" t="str">
        <f t="shared" ca="1" si="248"/>
        <v>Mild</v>
      </c>
      <c r="U761" t="str">
        <f t="shared" ca="1" si="249"/>
        <v>General Ward</v>
      </c>
      <c r="V761" t="str">
        <f t="shared" si="250"/>
        <v>BED0760</v>
      </c>
      <c r="W761" t="str">
        <f t="shared" ca="1" si="251"/>
        <v>Semi-Private</v>
      </c>
      <c r="X761" t="str">
        <f t="shared" si="252"/>
        <v>NUR010</v>
      </c>
      <c r="Y761" t="str">
        <f t="shared" ca="1" si="253"/>
        <v>Evening</v>
      </c>
      <c r="Z761" t="str">
        <f t="shared" ca="1" si="254"/>
        <v>CT Scanner</v>
      </c>
      <c r="AA761" t="str">
        <f t="shared" ca="1" si="255"/>
        <v>In Use</v>
      </c>
      <c r="AB761" t="str">
        <f t="shared" ca="1" si="256"/>
        <v>Paid</v>
      </c>
      <c r="AC761" t="str">
        <f t="shared" ca="1" si="257"/>
        <v>Cash</v>
      </c>
      <c r="AD761" t="str">
        <f t="shared" ca="1" si="258"/>
        <v>Yes</v>
      </c>
      <c r="AE761" t="str">
        <f t="shared" ca="1" si="259"/>
        <v>No</v>
      </c>
      <c r="AF761" t="str">
        <f t="shared" ca="1" si="260"/>
        <v>Transferred</v>
      </c>
      <c r="AG761" t="str">
        <f t="shared" ca="1" si="261"/>
        <v>Midwest</v>
      </c>
      <c r="AH761" t="str">
        <f t="shared" si="244"/>
        <v>April</v>
      </c>
      <c r="AI761">
        <f t="shared" si="245"/>
        <v>2020</v>
      </c>
      <c r="AJ761" t="str">
        <f t="shared" ca="1" si="262"/>
        <v>Vacant</v>
      </c>
      <c r="AK761">
        <f t="shared" ca="1" si="263"/>
        <v>4</v>
      </c>
    </row>
    <row r="762" spans="1:37" x14ac:dyDescent="0.3">
      <c r="A762" t="s">
        <v>5185</v>
      </c>
      <c r="B762">
        <v>61</v>
      </c>
      <c r="C762" t="s">
        <v>32</v>
      </c>
      <c r="D762" t="s">
        <v>44</v>
      </c>
      <c r="E762" t="s">
        <v>64</v>
      </c>
      <c r="F762" s="1">
        <v>43937</v>
      </c>
      <c r="G762" t="s">
        <v>1555</v>
      </c>
      <c r="H762" t="s">
        <v>1556</v>
      </c>
      <c r="I762" t="s">
        <v>28</v>
      </c>
      <c r="J762">
        <v>20652</v>
      </c>
      <c r="K762">
        <v>470</v>
      </c>
      <c r="L762" t="s">
        <v>21</v>
      </c>
      <c r="M762" s="1">
        <v>43943</v>
      </c>
      <c r="N762" t="s">
        <v>37</v>
      </c>
      <c r="O762" t="s">
        <v>43</v>
      </c>
      <c r="P762" t="str">
        <f t="shared" si="246"/>
        <v>P0761</v>
      </c>
      <c r="Q762" t="str">
        <f t="shared" si="242"/>
        <v>Cardiology</v>
      </c>
      <c r="R762">
        <f t="shared" si="243"/>
        <v>6</v>
      </c>
      <c r="S762" t="str">
        <f t="shared" ca="1" si="247"/>
        <v>No</v>
      </c>
      <c r="T762" t="str">
        <f t="shared" ca="1" si="248"/>
        <v>Mild</v>
      </c>
      <c r="U762" t="str">
        <f t="shared" ca="1" si="249"/>
        <v>Private Ward</v>
      </c>
      <c r="V762" t="str">
        <f t="shared" si="250"/>
        <v>BED0761</v>
      </c>
      <c r="W762" t="str">
        <f t="shared" ca="1" si="251"/>
        <v>Private</v>
      </c>
      <c r="X762" t="str">
        <f t="shared" si="252"/>
        <v>NUR011</v>
      </c>
      <c r="Y762" t="str">
        <f t="shared" ca="1" si="253"/>
        <v>Night</v>
      </c>
      <c r="Z762" t="str">
        <f t="shared" ca="1" si="254"/>
        <v>CT Scanner</v>
      </c>
      <c r="AA762" t="str">
        <f t="shared" ca="1" si="255"/>
        <v>In Use</v>
      </c>
      <c r="AB762" t="str">
        <f t="shared" ca="1" si="256"/>
        <v>Paid</v>
      </c>
      <c r="AC762" t="str">
        <f t="shared" ca="1" si="257"/>
        <v>Insurance</v>
      </c>
      <c r="AD762" t="str">
        <f t="shared" ca="1" si="258"/>
        <v>No</v>
      </c>
      <c r="AE762" t="str">
        <f t="shared" ca="1" si="259"/>
        <v>No</v>
      </c>
      <c r="AF762" t="str">
        <f t="shared" ca="1" si="260"/>
        <v>Transferred</v>
      </c>
      <c r="AG762" t="str">
        <f t="shared" ca="1" si="261"/>
        <v>Midwest</v>
      </c>
      <c r="AH762" t="str">
        <f t="shared" si="244"/>
        <v>April</v>
      </c>
      <c r="AI762">
        <f t="shared" si="245"/>
        <v>2020</v>
      </c>
      <c r="AJ762" t="str">
        <f t="shared" ca="1" si="262"/>
        <v>Vacant</v>
      </c>
      <c r="AK762">
        <f t="shared" ca="1" si="263"/>
        <v>1</v>
      </c>
    </row>
    <row r="763" spans="1:37" x14ac:dyDescent="0.3">
      <c r="A763" t="s">
        <v>5186</v>
      </c>
      <c r="B763">
        <v>42</v>
      </c>
      <c r="C763" t="s">
        <v>32</v>
      </c>
      <c r="D763" t="s">
        <v>38</v>
      </c>
      <c r="E763" t="s">
        <v>64</v>
      </c>
      <c r="F763" s="1">
        <v>43700</v>
      </c>
      <c r="G763" t="s">
        <v>1557</v>
      </c>
      <c r="H763" t="s">
        <v>1558</v>
      </c>
      <c r="I763" t="s">
        <v>57</v>
      </c>
      <c r="J763">
        <v>31823</v>
      </c>
      <c r="K763">
        <v>370</v>
      </c>
      <c r="L763" t="s">
        <v>29</v>
      </c>
      <c r="M763" s="1">
        <v>43713</v>
      </c>
      <c r="N763" t="s">
        <v>67</v>
      </c>
      <c r="O763" t="s">
        <v>43</v>
      </c>
      <c r="P763" t="str">
        <f t="shared" si="246"/>
        <v>P0762</v>
      </c>
      <c r="Q763" t="str">
        <f t="shared" si="242"/>
        <v>Cardiology</v>
      </c>
      <c r="R763">
        <f t="shared" si="243"/>
        <v>13</v>
      </c>
      <c r="S763" t="str">
        <f t="shared" ca="1" si="247"/>
        <v>No</v>
      </c>
      <c r="T763" t="str">
        <f t="shared" ca="1" si="248"/>
        <v>Mild</v>
      </c>
      <c r="U763" t="str">
        <f t="shared" ca="1" si="249"/>
        <v>Emergency</v>
      </c>
      <c r="V763" t="str">
        <f t="shared" si="250"/>
        <v>BED0762</v>
      </c>
      <c r="W763" t="str">
        <f t="shared" ca="1" si="251"/>
        <v>Private</v>
      </c>
      <c r="X763" t="str">
        <f t="shared" si="252"/>
        <v>NUR012</v>
      </c>
      <c r="Y763" t="str">
        <f t="shared" ca="1" si="253"/>
        <v>Morning</v>
      </c>
      <c r="Z763" t="str">
        <f t="shared" ca="1" si="254"/>
        <v>MRI Scanner</v>
      </c>
      <c r="AA763" t="str">
        <f t="shared" ca="1" si="255"/>
        <v>In Use</v>
      </c>
      <c r="AB763" t="str">
        <f t="shared" ca="1" si="256"/>
        <v>Partially Paid</v>
      </c>
      <c r="AC763" t="str">
        <f t="shared" ca="1" si="257"/>
        <v>Bank Transfer</v>
      </c>
      <c r="AD763" t="str">
        <f t="shared" ca="1" si="258"/>
        <v>No</v>
      </c>
      <c r="AE763" t="str">
        <f t="shared" ca="1" si="259"/>
        <v>No</v>
      </c>
      <c r="AF763" t="str">
        <f t="shared" ca="1" si="260"/>
        <v>Under Observation</v>
      </c>
      <c r="AG763" t="str">
        <f t="shared" ca="1" si="261"/>
        <v>Southeast</v>
      </c>
      <c r="AH763" t="str">
        <f t="shared" si="244"/>
        <v>August</v>
      </c>
      <c r="AI763">
        <f t="shared" si="245"/>
        <v>2019</v>
      </c>
      <c r="AJ763" t="str">
        <f t="shared" ca="1" si="262"/>
        <v>Occupied</v>
      </c>
      <c r="AK763">
        <f t="shared" ca="1" si="263"/>
        <v>1</v>
      </c>
    </row>
    <row r="764" spans="1:37" x14ac:dyDescent="0.3">
      <c r="A764" t="s">
        <v>5187</v>
      </c>
      <c r="B764">
        <v>44</v>
      </c>
      <c r="C764" t="s">
        <v>15</v>
      </c>
      <c r="D764" t="s">
        <v>52</v>
      </c>
      <c r="E764" t="s">
        <v>39</v>
      </c>
      <c r="F764" s="1">
        <v>44378</v>
      </c>
      <c r="G764" t="s">
        <v>1559</v>
      </c>
      <c r="H764" t="s">
        <v>1560</v>
      </c>
      <c r="I764" t="s">
        <v>51</v>
      </c>
      <c r="J764">
        <v>21857</v>
      </c>
      <c r="K764">
        <v>482</v>
      </c>
      <c r="L764" t="s">
        <v>42</v>
      </c>
      <c r="M764" s="1">
        <v>44400</v>
      </c>
      <c r="N764" t="s">
        <v>22</v>
      </c>
      <c r="O764" t="s">
        <v>31</v>
      </c>
      <c r="P764" t="str">
        <f t="shared" si="246"/>
        <v>P0763</v>
      </c>
      <c r="Q764" t="str">
        <f t="shared" si="242"/>
        <v>Endocrinology</v>
      </c>
      <c r="R764">
        <f t="shared" si="243"/>
        <v>22</v>
      </c>
      <c r="S764" t="str">
        <f t="shared" ca="1" si="247"/>
        <v>No</v>
      </c>
      <c r="T764" t="str">
        <f t="shared" ca="1" si="248"/>
        <v>Severe</v>
      </c>
      <c r="U764" t="str">
        <f t="shared" ca="1" si="249"/>
        <v>ICU</v>
      </c>
      <c r="V764" t="str">
        <f t="shared" si="250"/>
        <v>BED0763</v>
      </c>
      <c r="W764" t="str">
        <f t="shared" ca="1" si="251"/>
        <v>General</v>
      </c>
      <c r="X764" t="str">
        <f t="shared" si="252"/>
        <v>NUR013</v>
      </c>
      <c r="Y764" t="str">
        <f t="shared" ca="1" si="253"/>
        <v>Evening</v>
      </c>
      <c r="Z764" t="str">
        <f t="shared" ca="1" si="254"/>
        <v>Ventilator</v>
      </c>
      <c r="AA764" t="str">
        <f t="shared" ca="1" si="255"/>
        <v>In Use</v>
      </c>
      <c r="AB764" t="str">
        <f t="shared" ca="1" si="256"/>
        <v>Partially Paid</v>
      </c>
      <c r="AC764" t="str">
        <f t="shared" ca="1" si="257"/>
        <v>Cash</v>
      </c>
      <c r="AD764" t="str">
        <f t="shared" ca="1" si="258"/>
        <v>No</v>
      </c>
      <c r="AE764" t="str">
        <f t="shared" ca="1" si="259"/>
        <v>No</v>
      </c>
      <c r="AF764" t="str">
        <f t="shared" ca="1" si="260"/>
        <v>Recovered</v>
      </c>
      <c r="AG764" t="str">
        <f t="shared" ca="1" si="261"/>
        <v>Southeast</v>
      </c>
      <c r="AH764" t="str">
        <f t="shared" si="244"/>
        <v>July</v>
      </c>
      <c r="AI764">
        <f t="shared" si="245"/>
        <v>2021</v>
      </c>
      <c r="AJ764" t="str">
        <f t="shared" ca="1" si="262"/>
        <v>Vacant</v>
      </c>
      <c r="AK764">
        <f t="shared" ca="1" si="263"/>
        <v>1</v>
      </c>
    </row>
    <row r="765" spans="1:37" x14ac:dyDescent="0.3">
      <c r="A765" t="s">
        <v>5188</v>
      </c>
      <c r="B765">
        <v>18</v>
      </c>
      <c r="C765" t="s">
        <v>32</v>
      </c>
      <c r="D765" t="s">
        <v>83</v>
      </c>
      <c r="E765" t="s">
        <v>25</v>
      </c>
      <c r="F765" s="1">
        <v>44794</v>
      </c>
      <c r="G765" t="s">
        <v>692</v>
      </c>
      <c r="H765" t="s">
        <v>1561</v>
      </c>
      <c r="I765" t="s">
        <v>28</v>
      </c>
      <c r="J765">
        <v>45327</v>
      </c>
      <c r="K765">
        <v>260</v>
      </c>
      <c r="L765" t="s">
        <v>29</v>
      </c>
      <c r="M765" s="1">
        <v>44808</v>
      </c>
      <c r="N765" t="s">
        <v>30</v>
      </c>
      <c r="O765" t="s">
        <v>43</v>
      </c>
      <c r="P765" t="str">
        <f t="shared" si="246"/>
        <v>P0764</v>
      </c>
      <c r="Q765" t="str">
        <f t="shared" si="242"/>
        <v>Nutrition</v>
      </c>
      <c r="R765">
        <f t="shared" si="243"/>
        <v>14</v>
      </c>
      <c r="S765" t="str">
        <f t="shared" ca="1" si="247"/>
        <v>No</v>
      </c>
      <c r="T765" t="str">
        <f t="shared" ca="1" si="248"/>
        <v>Mild</v>
      </c>
      <c r="U765" t="str">
        <f t="shared" ca="1" si="249"/>
        <v>Semi-Private</v>
      </c>
      <c r="V765" t="str">
        <f t="shared" si="250"/>
        <v>BED0764</v>
      </c>
      <c r="W765" t="str">
        <f t="shared" ca="1" si="251"/>
        <v>Semi-Private</v>
      </c>
      <c r="X765" t="str">
        <f t="shared" si="252"/>
        <v>NUR014</v>
      </c>
      <c r="Y765" t="str">
        <f t="shared" ca="1" si="253"/>
        <v>Evening</v>
      </c>
      <c r="Z765" t="str">
        <f t="shared" ca="1" si="254"/>
        <v>Ventilator</v>
      </c>
      <c r="AA765" t="str">
        <f t="shared" ca="1" si="255"/>
        <v>In Use</v>
      </c>
      <c r="AB765" t="str">
        <f t="shared" ca="1" si="256"/>
        <v>Pending</v>
      </c>
      <c r="AC765" t="str">
        <f t="shared" ca="1" si="257"/>
        <v>Bank Transfer</v>
      </c>
      <c r="AD765" t="str">
        <f t="shared" ca="1" si="258"/>
        <v>Yes</v>
      </c>
      <c r="AE765" t="str">
        <f t="shared" ca="1" si="259"/>
        <v>No</v>
      </c>
      <c r="AF765" t="str">
        <f t="shared" ca="1" si="260"/>
        <v>Recovered</v>
      </c>
      <c r="AG765" t="str">
        <f t="shared" ca="1" si="261"/>
        <v>Southeast</v>
      </c>
      <c r="AH765" t="str">
        <f t="shared" si="244"/>
        <v>August</v>
      </c>
      <c r="AI765">
        <f t="shared" si="245"/>
        <v>2022</v>
      </c>
      <c r="AJ765" t="str">
        <f t="shared" ca="1" si="262"/>
        <v>Vacant</v>
      </c>
      <c r="AK765">
        <f t="shared" ca="1" si="263"/>
        <v>4</v>
      </c>
    </row>
    <row r="766" spans="1:37" x14ac:dyDescent="0.3">
      <c r="A766" t="s">
        <v>5189</v>
      </c>
      <c r="B766">
        <v>51</v>
      </c>
      <c r="C766" t="s">
        <v>15</v>
      </c>
      <c r="D766" t="s">
        <v>33</v>
      </c>
      <c r="E766" t="s">
        <v>17</v>
      </c>
      <c r="F766" s="1">
        <v>44049</v>
      </c>
      <c r="G766" t="s">
        <v>1562</v>
      </c>
      <c r="H766" t="s">
        <v>1563</v>
      </c>
      <c r="I766" t="s">
        <v>51</v>
      </c>
      <c r="J766">
        <v>25152</v>
      </c>
      <c r="K766">
        <v>103</v>
      </c>
      <c r="L766" t="s">
        <v>29</v>
      </c>
      <c r="M766" s="1">
        <v>44069</v>
      </c>
      <c r="N766" t="s">
        <v>67</v>
      </c>
      <c r="O766" t="s">
        <v>43</v>
      </c>
      <c r="P766" t="str">
        <f t="shared" si="246"/>
        <v>P0765</v>
      </c>
      <c r="Q766" t="str">
        <f t="shared" si="242"/>
        <v>Oncology</v>
      </c>
      <c r="R766">
        <f t="shared" si="243"/>
        <v>20</v>
      </c>
      <c r="S766" t="str">
        <f t="shared" ca="1" si="247"/>
        <v>No</v>
      </c>
      <c r="T766" t="str">
        <f t="shared" ca="1" si="248"/>
        <v>Mild</v>
      </c>
      <c r="U766" t="str">
        <f t="shared" ca="1" si="249"/>
        <v>Private Ward</v>
      </c>
      <c r="V766" t="str">
        <f t="shared" si="250"/>
        <v>BED0765</v>
      </c>
      <c r="W766" t="str">
        <f t="shared" ca="1" si="251"/>
        <v>Private</v>
      </c>
      <c r="X766" t="str">
        <f t="shared" si="252"/>
        <v>NUR015</v>
      </c>
      <c r="Y766" t="str">
        <f t="shared" ca="1" si="253"/>
        <v>Night</v>
      </c>
      <c r="Z766" t="str">
        <f t="shared" ca="1" si="254"/>
        <v>ECG Machine</v>
      </c>
      <c r="AA766" t="str">
        <f t="shared" ca="1" si="255"/>
        <v>Maintenance</v>
      </c>
      <c r="AB766" t="str">
        <f t="shared" ca="1" si="256"/>
        <v>Paid</v>
      </c>
      <c r="AC766" t="str">
        <f t="shared" ca="1" si="257"/>
        <v>Bank Transfer</v>
      </c>
      <c r="AD766" t="str">
        <f t="shared" ca="1" si="258"/>
        <v>No</v>
      </c>
      <c r="AE766" t="str">
        <f t="shared" ca="1" si="259"/>
        <v>Yes</v>
      </c>
      <c r="AF766" t="str">
        <f t="shared" ca="1" si="260"/>
        <v>Transferred</v>
      </c>
      <c r="AG766" t="str">
        <f t="shared" ca="1" si="261"/>
        <v>West Coast</v>
      </c>
      <c r="AH766" t="str">
        <f t="shared" si="244"/>
        <v>August</v>
      </c>
      <c r="AI766">
        <f t="shared" si="245"/>
        <v>2020</v>
      </c>
      <c r="AJ766" t="str">
        <f t="shared" ca="1" si="262"/>
        <v>Vacant</v>
      </c>
      <c r="AK766">
        <f t="shared" ca="1" si="263"/>
        <v>1</v>
      </c>
    </row>
    <row r="767" spans="1:37" x14ac:dyDescent="0.3">
      <c r="A767" t="s">
        <v>5190</v>
      </c>
      <c r="B767">
        <v>26</v>
      </c>
      <c r="C767" t="s">
        <v>32</v>
      </c>
      <c r="D767" t="s">
        <v>44</v>
      </c>
      <c r="E767" t="s">
        <v>39</v>
      </c>
      <c r="F767" s="1">
        <v>44577</v>
      </c>
      <c r="G767" t="s">
        <v>1564</v>
      </c>
      <c r="H767" t="s">
        <v>1565</v>
      </c>
      <c r="I767" t="s">
        <v>57</v>
      </c>
      <c r="J767">
        <v>37545</v>
      </c>
      <c r="K767">
        <v>430</v>
      </c>
      <c r="L767" t="s">
        <v>42</v>
      </c>
      <c r="M767" s="1">
        <v>44602</v>
      </c>
      <c r="N767" t="s">
        <v>67</v>
      </c>
      <c r="O767" t="s">
        <v>31</v>
      </c>
      <c r="P767" t="str">
        <f t="shared" si="246"/>
        <v>P0766</v>
      </c>
      <c r="Q767" t="str">
        <f t="shared" si="242"/>
        <v>Endocrinology</v>
      </c>
      <c r="R767">
        <f t="shared" si="243"/>
        <v>25</v>
      </c>
      <c r="S767" t="str">
        <f t="shared" ca="1" si="247"/>
        <v>No</v>
      </c>
      <c r="T767" t="str">
        <f t="shared" ca="1" si="248"/>
        <v>Critical</v>
      </c>
      <c r="U767" t="str">
        <f t="shared" ca="1" si="249"/>
        <v>Emergency</v>
      </c>
      <c r="V767" t="str">
        <f t="shared" si="250"/>
        <v>BED0766</v>
      </c>
      <c r="W767" t="str">
        <f t="shared" ca="1" si="251"/>
        <v>Private</v>
      </c>
      <c r="X767" t="str">
        <f t="shared" si="252"/>
        <v>NUR016</v>
      </c>
      <c r="Y767" t="str">
        <f t="shared" ca="1" si="253"/>
        <v>Evening</v>
      </c>
      <c r="Z767" t="str">
        <f t="shared" ca="1" si="254"/>
        <v>Ventilator</v>
      </c>
      <c r="AA767" t="str">
        <f t="shared" ca="1" si="255"/>
        <v>In Use</v>
      </c>
      <c r="AB767" t="str">
        <f t="shared" ca="1" si="256"/>
        <v>Partially Paid</v>
      </c>
      <c r="AC767" t="str">
        <f t="shared" ca="1" si="257"/>
        <v>Cash</v>
      </c>
      <c r="AD767" t="str">
        <f t="shared" ca="1" si="258"/>
        <v>No</v>
      </c>
      <c r="AE767" t="str">
        <f t="shared" ca="1" si="259"/>
        <v>No</v>
      </c>
      <c r="AF767" t="str">
        <f t="shared" ca="1" si="260"/>
        <v>Under Observation</v>
      </c>
      <c r="AG767" t="str">
        <f t="shared" ca="1" si="261"/>
        <v>Midwest</v>
      </c>
      <c r="AH767" t="str">
        <f t="shared" si="244"/>
        <v>January</v>
      </c>
      <c r="AI767">
        <f t="shared" si="245"/>
        <v>2022</v>
      </c>
      <c r="AJ767" t="str">
        <f t="shared" ca="1" si="262"/>
        <v>Occupied</v>
      </c>
      <c r="AK767">
        <f t="shared" ca="1" si="263"/>
        <v>2</v>
      </c>
    </row>
    <row r="768" spans="1:37" x14ac:dyDescent="0.3">
      <c r="A768" t="s">
        <v>5191</v>
      </c>
      <c r="B768">
        <v>44</v>
      </c>
      <c r="C768" t="s">
        <v>15</v>
      </c>
      <c r="D768" t="s">
        <v>98</v>
      </c>
      <c r="E768" t="s">
        <v>39</v>
      </c>
      <c r="F768" s="1">
        <v>44410</v>
      </c>
      <c r="G768" t="s">
        <v>1566</v>
      </c>
      <c r="H768" t="s">
        <v>1567</v>
      </c>
      <c r="I768" t="s">
        <v>51</v>
      </c>
      <c r="J768">
        <v>35488</v>
      </c>
      <c r="K768">
        <v>190</v>
      </c>
      <c r="L768" t="s">
        <v>21</v>
      </c>
      <c r="M768" s="1">
        <v>44412</v>
      </c>
      <c r="N768" t="s">
        <v>47</v>
      </c>
      <c r="O768" t="s">
        <v>43</v>
      </c>
      <c r="P768" t="str">
        <f t="shared" si="246"/>
        <v>P0767</v>
      </c>
      <c r="Q768" t="str">
        <f t="shared" si="242"/>
        <v>Endocrinology</v>
      </c>
      <c r="R768">
        <f t="shared" si="243"/>
        <v>2</v>
      </c>
      <c r="S768" t="str">
        <f t="shared" ca="1" si="247"/>
        <v>No</v>
      </c>
      <c r="T768" t="str">
        <f t="shared" ca="1" si="248"/>
        <v>Critical</v>
      </c>
      <c r="U768" t="str">
        <f t="shared" ca="1" si="249"/>
        <v>Emergency</v>
      </c>
      <c r="V768" t="str">
        <f t="shared" si="250"/>
        <v>BED0767</v>
      </c>
      <c r="W768" t="str">
        <f t="shared" ca="1" si="251"/>
        <v>Private</v>
      </c>
      <c r="X768" t="str">
        <f t="shared" si="252"/>
        <v>NUR017</v>
      </c>
      <c r="Y768" t="str">
        <f t="shared" ca="1" si="253"/>
        <v>Evening</v>
      </c>
      <c r="Z768" t="str">
        <f t="shared" ca="1" si="254"/>
        <v>Ventilator</v>
      </c>
      <c r="AA768" t="str">
        <f t="shared" ca="1" si="255"/>
        <v>Available</v>
      </c>
      <c r="AB768" t="str">
        <f t="shared" ca="1" si="256"/>
        <v>Paid</v>
      </c>
      <c r="AC768" t="str">
        <f t="shared" ca="1" si="257"/>
        <v>Bank Transfer</v>
      </c>
      <c r="AD768" t="str">
        <f t="shared" ca="1" si="258"/>
        <v>No</v>
      </c>
      <c r="AE768" t="str">
        <f t="shared" ca="1" si="259"/>
        <v>No</v>
      </c>
      <c r="AF768" t="str">
        <f t="shared" ca="1" si="260"/>
        <v>Under Observation</v>
      </c>
      <c r="AG768" t="str">
        <f t="shared" ca="1" si="261"/>
        <v>Northeast</v>
      </c>
      <c r="AH768" t="str">
        <f t="shared" si="244"/>
        <v>August</v>
      </c>
      <c r="AI768">
        <f t="shared" si="245"/>
        <v>2021</v>
      </c>
      <c r="AJ768" t="str">
        <f t="shared" ca="1" si="262"/>
        <v>Occupied</v>
      </c>
      <c r="AK768">
        <f t="shared" ca="1" si="263"/>
        <v>2</v>
      </c>
    </row>
    <row r="769" spans="1:37" x14ac:dyDescent="0.3">
      <c r="A769" t="s">
        <v>5192</v>
      </c>
      <c r="B769">
        <v>56</v>
      </c>
      <c r="C769" t="s">
        <v>32</v>
      </c>
      <c r="D769" t="s">
        <v>44</v>
      </c>
      <c r="E769" t="s">
        <v>25</v>
      </c>
      <c r="F769" s="1">
        <v>43907</v>
      </c>
      <c r="G769" t="s">
        <v>1568</v>
      </c>
      <c r="H769" t="s">
        <v>1569</v>
      </c>
      <c r="I769" t="s">
        <v>20</v>
      </c>
      <c r="J769">
        <v>2076</v>
      </c>
      <c r="K769">
        <v>265</v>
      </c>
      <c r="L769" t="s">
        <v>29</v>
      </c>
      <c r="M769" s="1">
        <v>43934</v>
      </c>
      <c r="N769" t="s">
        <v>37</v>
      </c>
      <c r="O769" t="s">
        <v>31</v>
      </c>
      <c r="P769" t="str">
        <f t="shared" si="246"/>
        <v>P0768</v>
      </c>
      <c r="Q769" t="str">
        <f t="shared" si="242"/>
        <v>Nutrition</v>
      </c>
      <c r="R769">
        <f t="shared" si="243"/>
        <v>27</v>
      </c>
      <c r="S769" t="str">
        <f t="shared" ca="1" si="247"/>
        <v>No</v>
      </c>
      <c r="T769" t="str">
        <f t="shared" ca="1" si="248"/>
        <v>Mild</v>
      </c>
      <c r="U769" t="str">
        <f t="shared" ca="1" si="249"/>
        <v>Emergency</v>
      </c>
      <c r="V769" t="str">
        <f t="shared" si="250"/>
        <v>BED0768</v>
      </c>
      <c r="W769" t="str">
        <f t="shared" ca="1" si="251"/>
        <v>Semi-Private</v>
      </c>
      <c r="X769" t="str">
        <f t="shared" si="252"/>
        <v>NUR018</v>
      </c>
      <c r="Y769" t="str">
        <f t="shared" ca="1" si="253"/>
        <v>Evening</v>
      </c>
      <c r="Z769" t="str">
        <f t="shared" ca="1" si="254"/>
        <v>ECG Machine</v>
      </c>
      <c r="AA769" t="str">
        <f t="shared" ca="1" si="255"/>
        <v>In Use</v>
      </c>
      <c r="AB769" t="str">
        <f t="shared" ca="1" si="256"/>
        <v>Partially Paid</v>
      </c>
      <c r="AC769" t="str">
        <f t="shared" ca="1" si="257"/>
        <v>Debit Card</v>
      </c>
      <c r="AD769" t="str">
        <f t="shared" ca="1" si="258"/>
        <v>No</v>
      </c>
      <c r="AE769" t="str">
        <f t="shared" ca="1" si="259"/>
        <v>No</v>
      </c>
      <c r="AF769" t="str">
        <f t="shared" ca="1" si="260"/>
        <v>Recovered</v>
      </c>
      <c r="AG769" t="str">
        <f t="shared" ca="1" si="261"/>
        <v>Northeast</v>
      </c>
      <c r="AH769" t="str">
        <f t="shared" si="244"/>
        <v>March</v>
      </c>
      <c r="AI769">
        <f t="shared" si="245"/>
        <v>2020</v>
      </c>
      <c r="AJ769" t="str">
        <f t="shared" ca="1" si="262"/>
        <v>Occupied</v>
      </c>
      <c r="AK769">
        <f t="shared" ca="1" si="263"/>
        <v>4</v>
      </c>
    </row>
    <row r="770" spans="1:37" x14ac:dyDescent="0.3">
      <c r="A770" t="s">
        <v>5193</v>
      </c>
      <c r="B770">
        <v>24</v>
      </c>
      <c r="C770" t="s">
        <v>15</v>
      </c>
      <c r="D770" t="s">
        <v>44</v>
      </c>
      <c r="E770" t="s">
        <v>25</v>
      </c>
      <c r="F770" s="1">
        <v>44035</v>
      </c>
      <c r="G770" t="s">
        <v>1570</v>
      </c>
      <c r="H770" t="s">
        <v>1571</v>
      </c>
      <c r="I770" t="s">
        <v>28</v>
      </c>
      <c r="J770">
        <v>35312</v>
      </c>
      <c r="K770">
        <v>314</v>
      </c>
      <c r="L770" t="s">
        <v>29</v>
      </c>
      <c r="M770" s="1">
        <v>44046</v>
      </c>
      <c r="N770" t="s">
        <v>47</v>
      </c>
      <c r="O770" t="s">
        <v>23</v>
      </c>
      <c r="P770" t="str">
        <f t="shared" si="246"/>
        <v>P0769</v>
      </c>
      <c r="Q770" t="str">
        <f t="shared" ref="Q770:Q833" si="264">IF(E770="Cancer","Oncology",IF(E770="Obesity","Nutrition",IF(E770="Diabetes","Endocrinology",IF(E770="Asthma","Pulmonology",IF(E770="Arthritis","Orthopedics",IF(E770="Hypertension","Cardiology","General Medicine"))))))</f>
        <v>Nutrition</v>
      </c>
      <c r="R770">
        <f t="shared" ref="R770:R833" si="265">M770-F770</f>
        <v>11</v>
      </c>
      <c r="S770" t="str">
        <f t="shared" ca="1" si="247"/>
        <v>No</v>
      </c>
      <c r="T770" t="str">
        <f t="shared" ca="1" si="248"/>
        <v>Moderate</v>
      </c>
      <c r="U770" t="str">
        <f t="shared" ca="1" si="249"/>
        <v>Emergency</v>
      </c>
      <c r="V770" t="str">
        <f t="shared" si="250"/>
        <v>BED0769</v>
      </c>
      <c r="W770" t="str">
        <f t="shared" ca="1" si="251"/>
        <v>Private</v>
      </c>
      <c r="X770" t="str">
        <f t="shared" si="252"/>
        <v>NUR019</v>
      </c>
      <c r="Y770" t="str">
        <f t="shared" ca="1" si="253"/>
        <v>Evening</v>
      </c>
      <c r="Z770" t="str">
        <f t="shared" ca="1" si="254"/>
        <v>Ultrasound</v>
      </c>
      <c r="AA770" t="str">
        <f t="shared" ca="1" si="255"/>
        <v>In Use</v>
      </c>
      <c r="AB770" t="str">
        <f t="shared" ca="1" si="256"/>
        <v>Paid</v>
      </c>
      <c r="AC770" t="str">
        <f t="shared" ca="1" si="257"/>
        <v>Bank Transfer</v>
      </c>
      <c r="AD770" t="str">
        <f t="shared" ca="1" si="258"/>
        <v>No</v>
      </c>
      <c r="AE770" t="str">
        <f t="shared" ca="1" si="259"/>
        <v>No</v>
      </c>
      <c r="AF770" t="str">
        <f t="shared" ca="1" si="260"/>
        <v>Recovered</v>
      </c>
      <c r="AG770" t="str">
        <f t="shared" ca="1" si="261"/>
        <v>Southwest</v>
      </c>
      <c r="AH770" t="str">
        <f t="shared" ref="AH770:AH833" si="266">TEXT(F770,"MMMM")</f>
        <v>July</v>
      </c>
      <c r="AI770">
        <f t="shared" ref="AI770:AI833" si="267">YEAR(F770)</f>
        <v>2020</v>
      </c>
      <c r="AJ770" t="str">
        <f t="shared" ca="1" si="262"/>
        <v>Occupied</v>
      </c>
      <c r="AK770">
        <f t="shared" ca="1" si="263"/>
        <v>4</v>
      </c>
    </row>
    <row r="771" spans="1:37" x14ac:dyDescent="0.3">
      <c r="A771" t="s">
        <v>5194</v>
      </c>
      <c r="B771">
        <v>39</v>
      </c>
      <c r="C771" t="s">
        <v>15</v>
      </c>
      <c r="D771" t="s">
        <v>98</v>
      </c>
      <c r="E771" t="s">
        <v>64</v>
      </c>
      <c r="F771" s="1">
        <v>44764</v>
      </c>
      <c r="G771" t="s">
        <v>1572</v>
      </c>
      <c r="H771" t="s">
        <v>1573</v>
      </c>
      <c r="I771" t="s">
        <v>57</v>
      </c>
      <c r="J771">
        <v>13870</v>
      </c>
      <c r="K771">
        <v>314</v>
      </c>
      <c r="L771" t="s">
        <v>21</v>
      </c>
      <c r="M771" s="1">
        <v>44766</v>
      </c>
      <c r="N771" t="s">
        <v>37</v>
      </c>
      <c r="O771" t="s">
        <v>43</v>
      </c>
      <c r="P771" t="str">
        <f t="shared" ref="P771:P834" si="268">"P"&amp;TEXT(ROW()-1,"0000")</f>
        <v>P0770</v>
      </c>
      <c r="Q771" t="str">
        <f t="shared" si="264"/>
        <v>Cardiology</v>
      </c>
      <c r="R771">
        <f t="shared" si="265"/>
        <v>2</v>
      </c>
      <c r="S771" t="str">
        <f t="shared" ref="S771:S834" ca="1" si="269">IF(RAND()&lt;0.1,"Yes","No")</f>
        <v>No</v>
      </c>
      <c r="T771" t="str">
        <f t="shared" ref="T771:T834" ca="1" si="270">CHOOSE(RANDBETWEEN(1,4),"Mild","Moderate","Severe","Critical")</f>
        <v>Critical</v>
      </c>
      <c r="U771" t="str">
        <f t="shared" ref="U771:U834" ca="1" si="271">CHOOSE(RANDBETWEEN(1,5),"General Ward","ICU","Emergency","Private Ward","Semi-Private")</f>
        <v>General Ward</v>
      </c>
      <c r="V771" t="str">
        <f t="shared" ref="V771:V834" si="272">"BED"&amp;TEXT(ROW()-1,"0000")</f>
        <v>BED0770</v>
      </c>
      <c r="W771" t="str">
        <f t="shared" ref="W771:W834" ca="1" si="273">CHOOSE(RANDBETWEEN(1,4),"General","Private","Semi-Private","ICU")</f>
        <v>General</v>
      </c>
      <c r="X771" t="str">
        <f t="shared" ref="X771:X834" si="274">"NUR"&amp;TEXT(MOD(ROW()-2,50)+1,"000")</f>
        <v>NUR020</v>
      </c>
      <c r="Y771" t="str">
        <f t="shared" ref="Y771:Y834" ca="1" si="275">CHOOSE(RANDBETWEEN(1,3),"Morning","Evening","Night")</f>
        <v>Night</v>
      </c>
      <c r="Z771" t="str">
        <f t="shared" ref="Z771:Z834" ca="1" si="276">CHOOSE(RANDBETWEEN(1,6),"MRI Scanner","CT Scanner","Ventilator","X-Ray","ECG Machine","Ultrasound")</f>
        <v>X-Ray</v>
      </c>
      <c r="AA771" t="str">
        <f t="shared" ref="AA771:AA834" ca="1" si="277">CHOOSE(RANDBETWEEN(1,3),"Available","In Use","Maintenance")</f>
        <v>Maintenance</v>
      </c>
      <c r="AB771" t="str">
        <f t="shared" ref="AB771:AB834" ca="1" si="278">CHOOSE(RANDBETWEEN(1,3),"Paid","Pending","Partially Paid")</f>
        <v>Partially Paid</v>
      </c>
      <c r="AC771" t="str">
        <f t="shared" ref="AC771:AC834" ca="1" si="279">CHOOSE(RANDBETWEEN(1,5),"Cash","Credit Card","Debit Card","Insurance","Bank Transfer")</f>
        <v>Cash</v>
      </c>
      <c r="AD771" t="str">
        <f t="shared" ref="AD771:AD834" ca="1" si="280">IF(RAND()&lt;0.2,"Yes","No")</f>
        <v>Yes</v>
      </c>
      <c r="AE771" t="str">
        <f t="shared" ref="AE771:AE834" ca="1" si="281">IF(RAND()&lt;0.15,"Yes","No")</f>
        <v>No</v>
      </c>
      <c r="AF771" t="str">
        <f t="shared" ref="AF771:AF834" ca="1" si="282">CHOOSE(RANDBETWEEN(1,3),"Recovered","Transferred","Under Observation")</f>
        <v>Under Observation</v>
      </c>
      <c r="AG771" t="str">
        <f t="shared" ref="AG771:AG834" ca="1" si="283">CHOOSE(RANDBETWEEN(1,5),"Northeast","Southeast","Midwest","Southwest","West Coast")</f>
        <v>West Coast</v>
      </c>
      <c r="AH771" t="str">
        <f t="shared" si="266"/>
        <v>July</v>
      </c>
      <c r="AI771">
        <f t="shared" si="267"/>
        <v>2022</v>
      </c>
      <c r="AJ771" t="str">
        <f t="shared" ref="AJ771:AJ834" ca="1" si="284">IF(RANDBETWEEN(1,100)&lt;=80,"Occupied","Vacant")</f>
        <v>Occupied</v>
      </c>
      <c r="AK771">
        <f t="shared" ref="AK771:AK834" ca="1" si="285">CHOOSE(RANDBETWEEN(1,3),1,2,4)</f>
        <v>1</v>
      </c>
    </row>
    <row r="772" spans="1:37" x14ac:dyDescent="0.3">
      <c r="A772" t="s">
        <v>1223</v>
      </c>
      <c r="B772">
        <v>53</v>
      </c>
      <c r="C772" t="s">
        <v>15</v>
      </c>
      <c r="D772" t="s">
        <v>98</v>
      </c>
      <c r="E772" t="s">
        <v>64</v>
      </c>
      <c r="F772" s="1">
        <v>44051</v>
      </c>
      <c r="G772" t="s">
        <v>1574</v>
      </c>
      <c r="H772" t="s">
        <v>1575</v>
      </c>
      <c r="I772" t="s">
        <v>36</v>
      </c>
      <c r="J772">
        <v>36107</v>
      </c>
      <c r="K772">
        <v>363</v>
      </c>
      <c r="L772" t="s">
        <v>29</v>
      </c>
      <c r="M772" s="1">
        <v>44064</v>
      </c>
      <c r="N772" t="s">
        <v>30</v>
      </c>
      <c r="O772" t="s">
        <v>23</v>
      </c>
      <c r="P772" t="str">
        <f t="shared" si="268"/>
        <v>P0771</v>
      </c>
      <c r="Q772" t="str">
        <f t="shared" si="264"/>
        <v>Cardiology</v>
      </c>
      <c r="R772">
        <f t="shared" si="265"/>
        <v>13</v>
      </c>
      <c r="S772" t="str">
        <f t="shared" ca="1" si="269"/>
        <v>No</v>
      </c>
      <c r="T772" t="str">
        <f t="shared" ca="1" si="270"/>
        <v>Severe</v>
      </c>
      <c r="U772" t="str">
        <f t="shared" ca="1" si="271"/>
        <v>Semi-Private</v>
      </c>
      <c r="V772" t="str">
        <f t="shared" si="272"/>
        <v>BED0771</v>
      </c>
      <c r="W772" t="str">
        <f t="shared" ca="1" si="273"/>
        <v>Private</v>
      </c>
      <c r="X772" t="str">
        <f t="shared" si="274"/>
        <v>NUR021</v>
      </c>
      <c r="Y772" t="str">
        <f t="shared" ca="1" si="275"/>
        <v>Evening</v>
      </c>
      <c r="Z772" t="str">
        <f t="shared" ca="1" si="276"/>
        <v>Ultrasound</v>
      </c>
      <c r="AA772" t="str">
        <f t="shared" ca="1" si="277"/>
        <v>Maintenance</v>
      </c>
      <c r="AB772" t="str">
        <f t="shared" ca="1" si="278"/>
        <v>Pending</v>
      </c>
      <c r="AC772" t="str">
        <f t="shared" ca="1" si="279"/>
        <v>Credit Card</v>
      </c>
      <c r="AD772" t="str">
        <f t="shared" ca="1" si="280"/>
        <v>Yes</v>
      </c>
      <c r="AE772" t="str">
        <f t="shared" ca="1" si="281"/>
        <v>Yes</v>
      </c>
      <c r="AF772" t="str">
        <f t="shared" ca="1" si="282"/>
        <v>Recovered</v>
      </c>
      <c r="AG772" t="str">
        <f t="shared" ca="1" si="283"/>
        <v>West Coast</v>
      </c>
      <c r="AH772" t="str">
        <f t="shared" si="266"/>
        <v>August</v>
      </c>
      <c r="AI772">
        <f t="shared" si="267"/>
        <v>2020</v>
      </c>
      <c r="AJ772" t="str">
        <f t="shared" ca="1" si="284"/>
        <v>Occupied</v>
      </c>
      <c r="AK772">
        <f t="shared" ca="1" si="285"/>
        <v>4</v>
      </c>
    </row>
    <row r="773" spans="1:37" x14ac:dyDescent="0.3">
      <c r="A773" t="s">
        <v>5195</v>
      </c>
      <c r="B773">
        <v>21</v>
      </c>
      <c r="C773" t="s">
        <v>15</v>
      </c>
      <c r="D773" t="s">
        <v>98</v>
      </c>
      <c r="E773" t="s">
        <v>48</v>
      </c>
      <c r="F773" s="1">
        <v>45198</v>
      </c>
      <c r="G773" t="s">
        <v>1576</v>
      </c>
      <c r="H773" t="s">
        <v>1577</v>
      </c>
      <c r="I773" t="s">
        <v>20</v>
      </c>
      <c r="J773">
        <v>41208</v>
      </c>
      <c r="K773">
        <v>359</v>
      </c>
      <c r="L773" t="s">
        <v>29</v>
      </c>
      <c r="M773" s="1">
        <v>45205</v>
      </c>
      <c r="N773" t="s">
        <v>22</v>
      </c>
      <c r="O773" t="s">
        <v>23</v>
      </c>
      <c r="P773" t="str">
        <f t="shared" si="268"/>
        <v>P0772</v>
      </c>
      <c r="Q773" t="str">
        <f t="shared" si="264"/>
        <v>Pulmonology</v>
      </c>
      <c r="R773">
        <f t="shared" si="265"/>
        <v>7</v>
      </c>
      <c r="S773" t="str">
        <f t="shared" ca="1" si="269"/>
        <v>No</v>
      </c>
      <c r="T773" t="str">
        <f t="shared" ca="1" si="270"/>
        <v>Mild</v>
      </c>
      <c r="U773" t="str">
        <f t="shared" ca="1" si="271"/>
        <v>Semi-Private</v>
      </c>
      <c r="V773" t="str">
        <f t="shared" si="272"/>
        <v>BED0772</v>
      </c>
      <c r="W773" t="str">
        <f t="shared" ca="1" si="273"/>
        <v>ICU</v>
      </c>
      <c r="X773" t="str">
        <f t="shared" si="274"/>
        <v>NUR022</v>
      </c>
      <c r="Y773" t="str">
        <f t="shared" ca="1" si="275"/>
        <v>Morning</v>
      </c>
      <c r="Z773" t="str">
        <f t="shared" ca="1" si="276"/>
        <v>X-Ray</v>
      </c>
      <c r="AA773" t="str">
        <f t="shared" ca="1" si="277"/>
        <v>Maintenance</v>
      </c>
      <c r="AB773" t="str">
        <f t="shared" ca="1" si="278"/>
        <v>Partially Paid</v>
      </c>
      <c r="AC773" t="str">
        <f t="shared" ca="1" si="279"/>
        <v>Cash</v>
      </c>
      <c r="AD773" t="str">
        <f t="shared" ca="1" si="280"/>
        <v>Yes</v>
      </c>
      <c r="AE773" t="str">
        <f t="shared" ca="1" si="281"/>
        <v>Yes</v>
      </c>
      <c r="AF773" t="str">
        <f t="shared" ca="1" si="282"/>
        <v>Recovered</v>
      </c>
      <c r="AG773" t="str">
        <f t="shared" ca="1" si="283"/>
        <v>Southeast</v>
      </c>
      <c r="AH773" t="str">
        <f t="shared" si="266"/>
        <v>September</v>
      </c>
      <c r="AI773">
        <f t="shared" si="267"/>
        <v>2023</v>
      </c>
      <c r="AJ773" t="str">
        <f t="shared" ca="1" si="284"/>
        <v>Occupied</v>
      </c>
      <c r="AK773">
        <f t="shared" ca="1" si="285"/>
        <v>1</v>
      </c>
    </row>
    <row r="774" spans="1:37" x14ac:dyDescent="0.3">
      <c r="A774" t="s">
        <v>5196</v>
      </c>
      <c r="B774">
        <v>82</v>
      </c>
      <c r="C774" t="s">
        <v>32</v>
      </c>
      <c r="D774" t="s">
        <v>16</v>
      </c>
      <c r="E774" t="s">
        <v>17</v>
      </c>
      <c r="F774" s="1">
        <v>44566</v>
      </c>
      <c r="G774" t="s">
        <v>1578</v>
      </c>
      <c r="H774" t="s">
        <v>1579</v>
      </c>
      <c r="I774" t="s">
        <v>36</v>
      </c>
      <c r="J774">
        <v>14292</v>
      </c>
      <c r="K774">
        <v>420</v>
      </c>
      <c r="L774" t="s">
        <v>21</v>
      </c>
      <c r="M774" s="1">
        <v>44569</v>
      </c>
      <c r="N774" t="s">
        <v>30</v>
      </c>
      <c r="O774" t="s">
        <v>43</v>
      </c>
      <c r="P774" t="str">
        <f t="shared" si="268"/>
        <v>P0773</v>
      </c>
      <c r="Q774" t="str">
        <f t="shared" si="264"/>
        <v>Oncology</v>
      </c>
      <c r="R774">
        <f t="shared" si="265"/>
        <v>3</v>
      </c>
      <c r="S774" t="str">
        <f t="shared" ca="1" si="269"/>
        <v>No</v>
      </c>
      <c r="T774" t="str">
        <f t="shared" ca="1" si="270"/>
        <v>Moderate</v>
      </c>
      <c r="U774" t="str">
        <f t="shared" ca="1" si="271"/>
        <v>Emergency</v>
      </c>
      <c r="V774" t="str">
        <f t="shared" si="272"/>
        <v>BED0773</v>
      </c>
      <c r="W774" t="str">
        <f t="shared" ca="1" si="273"/>
        <v>ICU</v>
      </c>
      <c r="X774" t="str">
        <f t="shared" si="274"/>
        <v>NUR023</v>
      </c>
      <c r="Y774" t="str">
        <f t="shared" ca="1" si="275"/>
        <v>Evening</v>
      </c>
      <c r="Z774" t="str">
        <f t="shared" ca="1" si="276"/>
        <v>CT Scanner</v>
      </c>
      <c r="AA774" t="str">
        <f t="shared" ca="1" si="277"/>
        <v>Available</v>
      </c>
      <c r="AB774" t="str">
        <f t="shared" ca="1" si="278"/>
        <v>Paid</v>
      </c>
      <c r="AC774" t="str">
        <f t="shared" ca="1" si="279"/>
        <v>Credit Card</v>
      </c>
      <c r="AD774" t="str">
        <f t="shared" ca="1" si="280"/>
        <v>No</v>
      </c>
      <c r="AE774" t="str">
        <f t="shared" ca="1" si="281"/>
        <v>No</v>
      </c>
      <c r="AF774" t="str">
        <f t="shared" ca="1" si="282"/>
        <v>Under Observation</v>
      </c>
      <c r="AG774" t="str">
        <f t="shared" ca="1" si="283"/>
        <v>Midwest</v>
      </c>
      <c r="AH774" t="str">
        <f t="shared" si="266"/>
        <v>January</v>
      </c>
      <c r="AI774">
        <f t="shared" si="267"/>
        <v>2022</v>
      </c>
      <c r="AJ774" t="str">
        <f t="shared" ca="1" si="284"/>
        <v>Vacant</v>
      </c>
      <c r="AK774">
        <f t="shared" ca="1" si="285"/>
        <v>2</v>
      </c>
    </row>
    <row r="775" spans="1:37" x14ac:dyDescent="0.3">
      <c r="A775" t="s">
        <v>5197</v>
      </c>
      <c r="B775">
        <v>61</v>
      </c>
      <c r="C775" t="s">
        <v>32</v>
      </c>
      <c r="D775" t="s">
        <v>52</v>
      </c>
      <c r="E775" t="s">
        <v>17</v>
      </c>
      <c r="F775" s="1">
        <v>44004</v>
      </c>
      <c r="G775" t="s">
        <v>1580</v>
      </c>
      <c r="H775" t="s">
        <v>1581</v>
      </c>
      <c r="I775" t="s">
        <v>36</v>
      </c>
      <c r="J775">
        <v>17723</v>
      </c>
      <c r="K775">
        <v>221</v>
      </c>
      <c r="L775" t="s">
        <v>29</v>
      </c>
      <c r="M775" s="1">
        <v>44032</v>
      </c>
      <c r="N775" t="s">
        <v>30</v>
      </c>
      <c r="O775" t="s">
        <v>43</v>
      </c>
      <c r="P775" t="str">
        <f t="shared" si="268"/>
        <v>P0774</v>
      </c>
      <c r="Q775" t="str">
        <f t="shared" si="264"/>
        <v>Oncology</v>
      </c>
      <c r="R775">
        <f t="shared" si="265"/>
        <v>28</v>
      </c>
      <c r="S775" t="str">
        <f t="shared" ca="1" si="269"/>
        <v>Yes</v>
      </c>
      <c r="T775" t="str">
        <f t="shared" ca="1" si="270"/>
        <v>Severe</v>
      </c>
      <c r="U775" t="str">
        <f t="shared" ca="1" si="271"/>
        <v>ICU</v>
      </c>
      <c r="V775" t="str">
        <f t="shared" si="272"/>
        <v>BED0774</v>
      </c>
      <c r="W775" t="str">
        <f t="shared" ca="1" si="273"/>
        <v>Private</v>
      </c>
      <c r="X775" t="str">
        <f t="shared" si="274"/>
        <v>NUR024</v>
      </c>
      <c r="Y775" t="str">
        <f t="shared" ca="1" si="275"/>
        <v>Night</v>
      </c>
      <c r="Z775" t="str">
        <f t="shared" ca="1" si="276"/>
        <v>X-Ray</v>
      </c>
      <c r="AA775" t="str">
        <f t="shared" ca="1" si="277"/>
        <v>In Use</v>
      </c>
      <c r="AB775" t="str">
        <f t="shared" ca="1" si="278"/>
        <v>Partially Paid</v>
      </c>
      <c r="AC775" t="str">
        <f t="shared" ca="1" si="279"/>
        <v>Credit Card</v>
      </c>
      <c r="AD775" t="str">
        <f t="shared" ca="1" si="280"/>
        <v>No</v>
      </c>
      <c r="AE775" t="str">
        <f t="shared" ca="1" si="281"/>
        <v>No</v>
      </c>
      <c r="AF775" t="str">
        <f t="shared" ca="1" si="282"/>
        <v>Under Observation</v>
      </c>
      <c r="AG775" t="str">
        <f t="shared" ca="1" si="283"/>
        <v>West Coast</v>
      </c>
      <c r="AH775" t="str">
        <f t="shared" si="266"/>
        <v>June</v>
      </c>
      <c r="AI775">
        <f t="shared" si="267"/>
        <v>2020</v>
      </c>
      <c r="AJ775" t="str">
        <f t="shared" ca="1" si="284"/>
        <v>Occupied</v>
      </c>
      <c r="AK775">
        <f t="shared" ca="1" si="285"/>
        <v>2</v>
      </c>
    </row>
    <row r="776" spans="1:37" x14ac:dyDescent="0.3">
      <c r="A776" t="s">
        <v>5198</v>
      </c>
      <c r="B776">
        <v>59</v>
      </c>
      <c r="C776" t="s">
        <v>32</v>
      </c>
      <c r="D776" t="s">
        <v>52</v>
      </c>
      <c r="E776" t="s">
        <v>25</v>
      </c>
      <c r="F776" s="1">
        <v>43764</v>
      </c>
      <c r="G776" t="s">
        <v>1582</v>
      </c>
      <c r="H776" t="s">
        <v>1583</v>
      </c>
      <c r="I776" t="s">
        <v>36</v>
      </c>
      <c r="J776">
        <v>21125</v>
      </c>
      <c r="K776">
        <v>264</v>
      </c>
      <c r="L776" t="s">
        <v>42</v>
      </c>
      <c r="M776" s="1">
        <v>43767</v>
      </c>
      <c r="N776" t="s">
        <v>67</v>
      </c>
      <c r="O776" t="s">
        <v>23</v>
      </c>
      <c r="P776" t="str">
        <f t="shared" si="268"/>
        <v>P0775</v>
      </c>
      <c r="Q776" t="str">
        <f t="shared" si="264"/>
        <v>Nutrition</v>
      </c>
      <c r="R776">
        <f t="shared" si="265"/>
        <v>3</v>
      </c>
      <c r="S776" t="str">
        <f t="shared" ca="1" si="269"/>
        <v>No</v>
      </c>
      <c r="T776" t="str">
        <f t="shared" ca="1" si="270"/>
        <v>Mild</v>
      </c>
      <c r="U776" t="str">
        <f t="shared" ca="1" si="271"/>
        <v>General Ward</v>
      </c>
      <c r="V776" t="str">
        <f t="shared" si="272"/>
        <v>BED0775</v>
      </c>
      <c r="W776" t="str">
        <f t="shared" ca="1" si="273"/>
        <v>ICU</v>
      </c>
      <c r="X776" t="str">
        <f t="shared" si="274"/>
        <v>NUR025</v>
      </c>
      <c r="Y776" t="str">
        <f t="shared" ca="1" si="275"/>
        <v>Morning</v>
      </c>
      <c r="Z776" t="str">
        <f t="shared" ca="1" si="276"/>
        <v>X-Ray</v>
      </c>
      <c r="AA776" t="str">
        <f t="shared" ca="1" si="277"/>
        <v>Maintenance</v>
      </c>
      <c r="AB776" t="str">
        <f t="shared" ca="1" si="278"/>
        <v>Paid</v>
      </c>
      <c r="AC776" t="str">
        <f t="shared" ca="1" si="279"/>
        <v>Cash</v>
      </c>
      <c r="AD776" t="str">
        <f t="shared" ca="1" si="280"/>
        <v>No</v>
      </c>
      <c r="AE776" t="str">
        <f t="shared" ca="1" si="281"/>
        <v>No</v>
      </c>
      <c r="AF776" t="str">
        <f t="shared" ca="1" si="282"/>
        <v>Under Observation</v>
      </c>
      <c r="AG776" t="str">
        <f t="shared" ca="1" si="283"/>
        <v>Southwest</v>
      </c>
      <c r="AH776" t="str">
        <f t="shared" si="266"/>
        <v>October</v>
      </c>
      <c r="AI776">
        <f t="shared" si="267"/>
        <v>2019</v>
      </c>
      <c r="AJ776" t="str">
        <f t="shared" ca="1" si="284"/>
        <v>Occupied</v>
      </c>
      <c r="AK776">
        <f t="shared" ca="1" si="285"/>
        <v>1</v>
      </c>
    </row>
    <row r="777" spans="1:37" x14ac:dyDescent="0.3">
      <c r="A777" t="s">
        <v>5199</v>
      </c>
      <c r="B777">
        <v>51</v>
      </c>
      <c r="C777" t="s">
        <v>32</v>
      </c>
      <c r="D777" t="s">
        <v>38</v>
      </c>
      <c r="E777" t="s">
        <v>76</v>
      </c>
      <c r="F777" s="1">
        <v>45343</v>
      </c>
      <c r="G777" t="s">
        <v>1584</v>
      </c>
      <c r="H777" t="s">
        <v>1585</v>
      </c>
      <c r="I777" t="s">
        <v>51</v>
      </c>
      <c r="J777">
        <v>5165</v>
      </c>
      <c r="K777">
        <v>470</v>
      </c>
      <c r="L777" t="s">
        <v>21</v>
      </c>
      <c r="M777" s="1">
        <v>45370</v>
      </c>
      <c r="N777" t="s">
        <v>22</v>
      </c>
      <c r="O777" t="s">
        <v>43</v>
      </c>
      <c r="P777" t="str">
        <f t="shared" si="268"/>
        <v>P0776</v>
      </c>
      <c r="Q777" t="str">
        <f t="shared" si="264"/>
        <v>Orthopedics</v>
      </c>
      <c r="R777">
        <f t="shared" si="265"/>
        <v>27</v>
      </c>
      <c r="S777" t="str">
        <f t="shared" ca="1" si="269"/>
        <v>No</v>
      </c>
      <c r="T777" t="str">
        <f t="shared" ca="1" si="270"/>
        <v>Severe</v>
      </c>
      <c r="U777" t="str">
        <f t="shared" ca="1" si="271"/>
        <v>ICU</v>
      </c>
      <c r="V777" t="str">
        <f t="shared" si="272"/>
        <v>BED0776</v>
      </c>
      <c r="W777" t="str">
        <f t="shared" ca="1" si="273"/>
        <v>Semi-Private</v>
      </c>
      <c r="X777" t="str">
        <f t="shared" si="274"/>
        <v>NUR026</v>
      </c>
      <c r="Y777" t="str">
        <f t="shared" ca="1" si="275"/>
        <v>Morning</v>
      </c>
      <c r="Z777" t="str">
        <f t="shared" ca="1" si="276"/>
        <v>CT Scanner</v>
      </c>
      <c r="AA777" t="str">
        <f t="shared" ca="1" si="277"/>
        <v>Maintenance</v>
      </c>
      <c r="AB777" t="str">
        <f t="shared" ca="1" si="278"/>
        <v>Partially Paid</v>
      </c>
      <c r="AC777" t="str">
        <f t="shared" ca="1" si="279"/>
        <v>Insurance</v>
      </c>
      <c r="AD777" t="str">
        <f t="shared" ca="1" si="280"/>
        <v>Yes</v>
      </c>
      <c r="AE777" t="str">
        <f t="shared" ca="1" si="281"/>
        <v>No</v>
      </c>
      <c r="AF777" t="str">
        <f t="shared" ca="1" si="282"/>
        <v>Transferred</v>
      </c>
      <c r="AG777" t="str">
        <f t="shared" ca="1" si="283"/>
        <v>Southwest</v>
      </c>
      <c r="AH777" t="str">
        <f t="shared" si="266"/>
        <v>February</v>
      </c>
      <c r="AI777">
        <f t="shared" si="267"/>
        <v>2024</v>
      </c>
      <c r="AJ777" t="str">
        <f t="shared" ca="1" si="284"/>
        <v>Occupied</v>
      </c>
      <c r="AK777">
        <f t="shared" ca="1" si="285"/>
        <v>2</v>
      </c>
    </row>
    <row r="778" spans="1:37" x14ac:dyDescent="0.3">
      <c r="A778" t="s">
        <v>5200</v>
      </c>
      <c r="B778">
        <v>43</v>
      </c>
      <c r="C778" t="s">
        <v>15</v>
      </c>
      <c r="D778" t="s">
        <v>44</v>
      </c>
      <c r="E778" t="s">
        <v>64</v>
      </c>
      <c r="F778" s="1">
        <v>44933</v>
      </c>
      <c r="G778" t="s">
        <v>1586</v>
      </c>
      <c r="H778" t="s">
        <v>1587</v>
      </c>
      <c r="I778" t="s">
        <v>51</v>
      </c>
      <c r="J778">
        <v>2163</v>
      </c>
      <c r="K778">
        <v>256</v>
      </c>
      <c r="L778" t="s">
        <v>29</v>
      </c>
      <c r="M778" s="1">
        <v>44934</v>
      </c>
      <c r="N778" t="s">
        <v>30</v>
      </c>
      <c r="O778" t="s">
        <v>43</v>
      </c>
      <c r="P778" t="str">
        <f t="shared" si="268"/>
        <v>P0777</v>
      </c>
      <c r="Q778" t="str">
        <f t="shared" si="264"/>
        <v>Cardiology</v>
      </c>
      <c r="R778">
        <f t="shared" si="265"/>
        <v>1</v>
      </c>
      <c r="S778" t="str">
        <f t="shared" ca="1" si="269"/>
        <v>No</v>
      </c>
      <c r="T778" t="str">
        <f t="shared" ca="1" si="270"/>
        <v>Severe</v>
      </c>
      <c r="U778" t="str">
        <f t="shared" ca="1" si="271"/>
        <v>Private Ward</v>
      </c>
      <c r="V778" t="str">
        <f t="shared" si="272"/>
        <v>BED0777</v>
      </c>
      <c r="W778" t="str">
        <f t="shared" ca="1" si="273"/>
        <v>Private</v>
      </c>
      <c r="X778" t="str">
        <f t="shared" si="274"/>
        <v>NUR027</v>
      </c>
      <c r="Y778" t="str">
        <f t="shared" ca="1" si="275"/>
        <v>Evening</v>
      </c>
      <c r="Z778" t="str">
        <f t="shared" ca="1" si="276"/>
        <v>Ventilator</v>
      </c>
      <c r="AA778" t="str">
        <f t="shared" ca="1" si="277"/>
        <v>In Use</v>
      </c>
      <c r="AB778" t="str">
        <f t="shared" ca="1" si="278"/>
        <v>Paid</v>
      </c>
      <c r="AC778" t="str">
        <f t="shared" ca="1" si="279"/>
        <v>Bank Transfer</v>
      </c>
      <c r="AD778" t="str">
        <f t="shared" ca="1" si="280"/>
        <v>No</v>
      </c>
      <c r="AE778" t="str">
        <f t="shared" ca="1" si="281"/>
        <v>No</v>
      </c>
      <c r="AF778" t="str">
        <f t="shared" ca="1" si="282"/>
        <v>Transferred</v>
      </c>
      <c r="AG778" t="str">
        <f t="shared" ca="1" si="283"/>
        <v>Southwest</v>
      </c>
      <c r="AH778" t="str">
        <f t="shared" si="266"/>
        <v>January</v>
      </c>
      <c r="AI778">
        <f t="shared" si="267"/>
        <v>2023</v>
      </c>
      <c r="AJ778" t="str">
        <f t="shared" ca="1" si="284"/>
        <v>Occupied</v>
      </c>
      <c r="AK778">
        <f t="shared" ca="1" si="285"/>
        <v>2</v>
      </c>
    </row>
    <row r="779" spans="1:37" x14ac:dyDescent="0.3">
      <c r="A779" t="s">
        <v>5201</v>
      </c>
      <c r="B779">
        <v>79</v>
      </c>
      <c r="C779" t="s">
        <v>15</v>
      </c>
      <c r="D779" t="s">
        <v>83</v>
      </c>
      <c r="E779" t="s">
        <v>17</v>
      </c>
      <c r="F779" s="1">
        <v>45190</v>
      </c>
      <c r="G779" t="s">
        <v>1588</v>
      </c>
      <c r="H779" t="s">
        <v>1589</v>
      </c>
      <c r="I779" t="s">
        <v>20</v>
      </c>
      <c r="J779">
        <v>2675</v>
      </c>
      <c r="K779">
        <v>389</v>
      </c>
      <c r="L779" t="s">
        <v>29</v>
      </c>
      <c r="M779" s="1">
        <v>45200</v>
      </c>
      <c r="N779" t="s">
        <v>47</v>
      </c>
      <c r="O779" t="s">
        <v>23</v>
      </c>
      <c r="P779" t="str">
        <f t="shared" si="268"/>
        <v>P0778</v>
      </c>
      <c r="Q779" t="str">
        <f t="shared" si="264"/>
        <v>Oncology</v>
      </c>
      <c r="R779">
        <f t="shared" si="265"/>
        <v>10</v>
      </c>
      <c r="S779" t="str">
        <f t="shared" ca="1" si="269"/>
        <v>No</v>
      </c>
      <c r="T779" t="str">
        <f t="shared" ca="1" si="270"/>
        <v>Mild</v>
      </c>
      <c r="U779" t="str">
        <f t="shared" ca="1" si="271"/>
        <v>Private Ward</v>
      </c>
      <c r="V779" t="str">
        <f t="shared" si="272"/>
        <v>BED0778</v>
      </c>
      <c r="W779" t="str">
        <f t="shared" ca="1" si="273"/>
        <v>Private</v>
      </c>
      <c r="X779" t="str">
        <f t="shared" si="274"/>
        <v>NUR028</v>
      </c>
      <c r="Y779" t="str">
        <f t="shared" ca="1" si="275"/>
        <v>Night</v>
      </c>
      <c r="Z779" t="str">
        <f t="shared" ca="1" si="276"/>
        <v>X-Ray</v>
      </c>
      <c r="AA779" t="str">
        <f t="shared" ca="1" si="277"/>
        <v>In Use</v>
      </c>
      <c r="AB779" t="str">
        <f t="shared" ca="1" si="278"/>
        <v>Paid</v>
      </c>
      <c r="AC779" t="str">
        <f t="shared" ca="1" si="279"/>
        <v>Cash</v>
      </c>
      <c r="AD779" t="str">
        <f t="shared" ca="1" si="280"/>
        <v>No</v>
      </c>
      <c r="AE779" t="str">
        <f t="shared" ca="1" si="281"/>
        <v>No</v>
      </c>
      <c r="AF779" t="str">
        <f t="shared" ca="1" si="282"/>
        <v>Recovered</v>
      </c>
      <c r="AG779" t="str">
        <f t="shared" ca="1" si="283"/>
        <v>Southwest</v>
      </c>
      <c r="AH779" t="str">
        <f t="shared" si="266"/>
        <v>September</v>
      </c>
      <c r="AI779">
        <f t="shared" si="267"/>
        <v>2023</v>
      </c>
      <c r="AJ779" t="str">
        <f t="shared" ca="1" si="284"/>
        <v>Occupied</v>
      </c>
      <c r="AK779">
        <f t="shared" ca="1" si="285"/>
        <v>1</v>
      </c>
    </row>
    <row r="780" spans="1:37" x14ac:dyDescent="0.3">
      <c r="A780" t="s">
        <v>5202</v>
      </c>
      <c r="B780">
        <v>79</v>
      </c>
      <c r="C780" t="s">
        <v>32</v>
      </c>
      <c r="D780" t="s">
        <v>16</v>
      </c>
      <c r="E780" t="s">
        <v>76</v>
      </c>
      <c r="F780" s="1">
        <v>44902</v>
      </c>
      <c r="G780" t="s">
        <v>1590</v>
      </c>
      <c r="H780" t="s">
        <v>1591</v>
      </c>
      <c r="I780" t="s">
        <v>36</v>
      </c>
      <c r="J780">
        <v>44918</v>
      </c>
      <c r="K780">
        <v>217</v>
      </c>
      <c r="L780" t="s">
        <v>29</v>
      </c>
      <c r="M780" s="1">
        <v>44916</v>
      </c>
      <c r="N780" t="s">
        <v>67</v>
      </c>
      <c r="O780" t="s">
        <v>43</v>
      </c>
      <c r="P780" t="str">
        <f t="shared" si="268"/>
        <v>P0779</v>
      </c>
      <c r="Q780" t="str">
        <f t="shared" si="264"/>
        <v>Orthopedics</v>
      </c>
      <c r="R780">
        <f t="shared" si="265"/>
        <v>14</v>
      </c>
      <c r="S780" t="str">
        <f t="shared" ca="1" si="269"/>
        <v>No</v>
      </c>
      <c r="T780" t="str">
        <f t="shared" ca="1" si="270"/>
        <v>Moderate</v>
      </c>
      <c r="U780" t="str">
        <f t="shared" ca="1" si="271"/>
        <v>ICU</v>
      </c>
      <c r="V780" t="str">
        <f t="shared" si="272"/>
        <v>BED0779</v>
      </c>
      <c r="W780" t="str">
        <f t="shared" ca="1" si="273"/>
        <v>Private</v>
      </c>
      <c r="X780" t="str">
        <f t="shared" si="274"/>
        <v>NUR029</v>
      </c>
      <c r="Y780" t="str">
        <f t="shared" ca="1" si="275"/>
        <v>Morning</v>
      </c>
      <c r="Z780" t="str">
        <f t="shared" ca="1" si="276"/>
        <v>Ventilator</v>
      </c>
      <c r="AA780" t="str">
        <f t="shared" ca="1" si="277"/>
        <v>Available</v>
      </c>
      <c r="AB780" t="str">
        <f t="shared" ca="1" si="278"/>
        <v>Partially Paid</v>
      </c>
      <c r="AC780" t="str">
        <f t="shared" ca="1" si="279"/>
        <v>Debit Card</v>
      </c>
      <c r="AD780" t="str">
        <f t="shared" ca="1" si="280"/>
        <v>Yes</v>
      </c>
      <c r="AE780" t="str">
        <f t="shared" ca="1" si="281"/>
        <v>No</v>
      </c>
      <c r="AF780" t="str">
        <f t="shared" ca="1" si="282"/>
        <v>Under Observation</v>
      </c>
      <c r="AG780" t="str">
        <f t="shared" ca="1" si="283"/>
        <v>West Coast</v>
      </c>
      <c r="AH780" t="str">
        <f t="shared" si="266"/>
        <v>December</v>
      </c>
      <c r="AI780">
        <f t="shared" si="267"/>
        <v>2022</v>
      </c>
      <c r="AJ780" t="str">
        <f t="shared" ca="1" si="284"/>
        <v>Occupied</v>
      </c>
      <c r="AK780">
        <f t="shared" ca="1" si="285"/>
        <v>2</v>
      </c>
    </row>
    <row r="781" spans="1:37" x14ac:dyDescent="0.3">
      <c r="A781" t="s">
        <v>5203</v>
      </c>
      <c r="B781">
        <v>49</v>
      </c>
      <c r="C781" t="s">
        <v>15</v>
      </c>
      <c r="D781" t="s">
        <v>38</v>
      </c>
      <c r="E781" t="s">
        <v>25</v>
      </c>
      <c r="F781" s="1">
        <v>44908</v>
      </c>
      <c r="G781" t="s">
        <v>1592</v>
      </c>
      <c r="H781" t="s">
        <v>1593</v>
      </c>
      <c r="I781" t="s">
        <v>28</v>
      </c>
      <c r="J781">
        <v>6328</v>
      </c>
      <c r="K781">
        <v>371</v>
      </c>
      <c r="L781" t="s">
        <v>29</v>
      </c>
      <c r="M781" s="1">
        <v>44923</v>
      </c>
      <c r="N781" t="s">
        <v>37</v>
      </c>
      <c r="O781" t="s">
        <v>43</v>
      </c>
      <c r="P781" t="str">
        <f t="shared" si="268"/>
        <v>P0780</v>
      </c>
      <c r="Q781" t="str">
        <f t="shared" si="264"/>
        <v>Nutrition</v>
      </c>
      <c r="R781">
        <f t="shared" si="265"/>
        <v>15</v>
      </c>
      <c r="S781" t="str">
        <f t="shared" ca="1" si="269"/>
        <v>No</v>
      </c>
      <c r="T781" t="str">
        <f t="shared" ca="1" si="270"/>
        <v>Critical</v>
      </c>
      <c r="U781" t="str">
        <f t="shared" ca="1" si="271"/>
        <v>Private Ward</v>
      </c>
      <c r="V781" t="str">
        <f t="shared" si="272"/>
        <v>BED0780</v>
      </c>
      <c r="W781" t="str">
        <f t="shared" ca="1" si="273"/>
        <v>General</v>
      </c>
      <c r="X781" t="str">
        <f t="shared" si="274"/>
        <v>NUR030</v>
      </c>
      <c r="Y781" t="str">
        <f t="shared" ca="1" si="275"/>
        <v>Morning</v>
      </c>
      <c r="Z781" t="str">
        <f t="shared" ca="1" si="276"/>
        <v>ECG Machine</v>
      </c>
      <c r="AA781" t="str">
        <f t="shared" ca="1" si="277"/>
        <v>Maintenance</v>
      </c>
      <c r="AB781" t="str">
        <f t="shared" ca="1" si="278"/>
        <v>Partially Paid</v>
      </c>
      <c r="AC781" t="str">
        <f t="shared" ca="1" si="279"/>
        <v>Debit Card</v>
      </c>
      <c r="AD781" t="str">
        <f t="shared" ca="1" si="280"/>
        <v>No</v>
      </c>
      <c r="AE781" t="str">
        <f t="shared" ca="1" si="281"/>
        <v>No</v>
      </c>
      <c r="AF781" t="str">
        <f t="shared" ca="1" si="282"/>
        <v>Under Observation</v>
      </c>
      <c r="AG781" t="str">
        <f t="shared" ca="1" si="283"/>
        <v>Midwest</v>
      </c>
      <c r="AH781" t="str">
        <f t="shared" si="266"/>
        <v>December</v>
      </c>
      <c r="AI781">
        <f t="shared" si="267"/>
        <v>2022</v>
      </c>
      <c r="AJ781" t="str">
        <f t="shared" ca="1" si="284"/>
        <v>Occupied</v>
      </c>
      <c r="AK781">
        <f t="shared" ca="1" si="285"/>
        <v>1</v>
      </c>
    </row>
    <row r="782" spans="1:37" x14ac:dyDescent="0.3">
      <c r="A782" t="s">
        <v>5204</v>
      </c>
      <c r="B782">
        <v>68</v>
      </c>
      <c r="C782" t="s">
        <v>32</v>
      </c>
      <c r="D782" t="s">
        <v>98</v>
      </c>
      <c r="E782" t="s">
        <v>64</v>
      </c>
      <c r="F782" s="1">
        <v>44881</v>
      </c>
      <c r="G782" t="s">
        <v>1594</v>
      </c>
      <c r="H782" t="s">
        <v>1595</v>
      </c>
      <c r="I782" t="s">
        <v>20</v>
      </c>
      <c r="J782">
        <v>29526</v>
      </c>
      <c r="K782">
        <v>384</v>
      </c>
      <c r="L782" t="s">
        <v>42</v>
      </c>
      <c r="M782" s="1">
        <v>44886</v>
      </c>
      <c r="N782" t="s">
        <v>37</v>
      </c>
      <c r="O782" t="s">
        <v>31</v>
      </c>
      <c r="P782" t="str">
        <f t="shared" si="268"/>
        <v>P0781</v>
      </c>
      <c r="Q782" t="str">
        <f t="shared" si="264"/>
        <v>Cardiology</v>
      </c>
      <c r="R782">
        <f t="shared" si="265"/>
        <v>5</v>
      </c>
      <c r="S782" t="str">
        <f t="shared" ca="1" si="269"/>
        <v>No</v>
      </c>
      <c r="T782" t="str">
        <f t="shared" ca="1" si="270"/>
        <v>Critical</v>
      </c>
      <c r="U782" t="str">
        <f t="shared" ca="1" si="271"/>
        <v>General Ward</v>
      </c>
      <c r="V782" t="str">
        <f t="shared" si="272"/>
        <v>BED0781</v>
      </c>
      <c r="W782" t="str">
        <f t="shared" ca="1" si="273"/>
        <v>General</v>
      </c>
      <c r="X782" t="str">
        <f t="shared" si="274"/>
        <v>NUR031</v>
      </c>
      <c r="Y782" t="str">
        <f t="shared" ca="1" si="275"/>
        <v>Evening</v>
      </c>
      <c r="Z782" t="str">
        <f t="shared" ca="1" si="276"/>
        <v>X-Ray</v>
      </c>
      <c r="AA782" t="str">
        <f t="shared" ca="1" si="277"/>
        <v>In Use</v>
      </c>
      <c r="AB782" t="str">
        <f t="shared" ca="1" si="278"/>
        <v>Partially Paid</v>
      </c>
      <c r="AC782" t="str">
        <f t="shared" ca="1" si="279"/>
        <v>Bank Transfer</v>
      </c>
      <c r="AD782" t="str">
        <f t="shared" ca="1" si="280"/>
        <v>No</v>
      </c>
      <c r="AE782" t="str">
        <f t="shared" ca="1" si="281"/>
        <v>No</v>
      </c>
      <c r="AF782" t="str">
        <f t="shared" ca="1" si="282"/>
        <v>Under Observation</v>
      </c>
      <c r="AG782" t="str">
        <f t="shared" ca="1" si="283"/>
        <v>Midwest</v>
      </c>
      <c r="AH782" t="str">
        <f t="shared" si="266"/>
        <v>November</v>
      </c>
      <c r="AI782">
        <f t="shared" si="267"/>
        <v>2022</v>
      </c>
      <c r="AJ782" t="str">
        <f t="shared" ca="1" si="284"/>
        <v>Occupied</v>
      </c>
      <c r="AK782">
        <f t="shared" ca="1" si="285"/>
        <v>4</v>
      </c>
    </row>
    <row r="783" spans="1:37" x14ac:dyDescent="0.3">
      <c r="A783" t="s">
        <v>5205</v>
      </c>
      <c r="B783">
        <v>69</v>
      </c>
      <c r="C783" t="s">
        <v>32</v>
      </c>
      <c r="D783" t="s">
        <v>38</v>
      </c>
      <c r="E783" t="s">
        <v>48</v>
      </c>
      <c r="F783" s="1">
        <v>43635</v>
      </c>
      <c r="G783" t="s">
        <v>1596</v>
      </c>
      <c r="H783" t="s">
        <v>1597</v>
      </c>
      <c r="I783" t="s">
        <v>28</v>
      </c>
      <c r="J783">
        <v>38990</v>
      </c>
      <c r="K783">
        <v>165</v>
      </c>
      <c r="L783" t="s">
        <v>42</v>
      </c>
      <c r="M783" s="1">
        <v>43663</v>
      </c>
      <c r="N783" t="s">
        <v>47</v>
      </c>
      <c r="O783" t="s">
        <v>31</v>
      </c>
      <c r="P783" t="str">
        <f t="shared" si="268"/>
        <v>P0782</v>
      </c>
      <c r="Q783" t="str">
        <f t="shared" si="264"/>
        <v>Pulmonology</v>
      </c>
      <c r="R783">
        <f t="shared" si="265"/>
        <v>28</v>
      </c>
      <c r="S783" t="str">
        <f t="shared" ca="1" si="269"/>
        <v>No</v>
      </c>
      <c r="T783" t="str">
        <f t="shared" ca="1" si="270"/>
        <v>Severe</v>
      </c>
      <c r="U783" t="str">
        <f t="shared" ca="1" si="271"/>
        <v>ICU</v>
      </c>
      <c r="V783" t="str">
        <f t="shared" si="272"/>
        <v>BED0782</v>
      </c>
      <c r="W783" t="str">
        <f t="shared" ca="1" si="273"/>
        <v>Private</v>
      </c>
      <c r="X783" t="str">
        <f t="shared" si="274"/>
        <v>NUR032</v>
      </c>
      <c r="Y783" t="str">
        <f t="shared" ca="1" si="275"/>
        <v>Morning</v>
      </c>
      <c r="Z783" t="str">
        <f t="shared" ca="1" si="276"/>
        <v>Ventilator</v>
      </c>
      <c r="AA783" t="str">
        <f t="shared" ca="1" si="277"/>
        <v>In Use</v>
      </c>
      <c r="AB783" t="str">
        <f t="shared" ca="1" si="278"/>
        <v>Paid</v>
      </c>
      <c r="AC783" t="str">
        <f t="shared" ca="1" si="279"/>
        <v>Cash</v>
      </c>
      <c r="AD783" t="str">
        <f t="shared" ca="1" si="280"/>
        <v>Yes</v>
      </c>
      <c r="AE783" t="str">
        <f t="shared" ca="1" si="281"/>
        <v>No</v>
      </c>
      <c r="AF783" t="str">
        <f t="shared" ca="1" si="282"/>
        <v>Transferred</v>
      </c>
      <c r="AG783" t="str">
        <f t="shared" ca="1" si="283"/>
        <v>Southwest</v>
      </c>
      <c r="AH783" t="str">
        <f t="shared" si="266"/>
        <v>June</v>
      </c>
      <c r="AI783">
        <f t="shared" si="267"/>
        <v>2019</v>
      </c>
      <c r="AJ783" t="str">
        <f t="shared" ca="1" si="284"/>
        <v>Occupied</v>
      </c>
      <c r="AK783">
        <f t="shared" ca="1" si="285"/>
        <v>1</v>
      </c>
    </row>
    <row r="784" spans="1:37" x14ac:dyDescent="0.3">
      <c r="A784" t="s">
        <v>5206</v>
      </c>
      <c r="B784">
        <v>49</v>
      </c>
      <c r="C784" t="s">
        <v>32</v>
      </c>
      <c r="D784" t="s">
        <v>83</v>
      </c>
      <c r="E784" t="s">
        <v>25</v>
      </c>
      <c r="F784" s="1">
        <v>44955</v>
      </c>
      <c r="G784" t="s">
        <v>1598</v>
      </c>
      <c r="H784" t="s">
        <v>1599</v>
      </c>
      <c r="I784" t="s">
        <v>20</v>
      </c>
      <c r="J784">
        <v>33395</v>
      </c>
      <c r="K784">
        <v>490</v>
      </c>
      <c r="L784" t="s">
        <v>29</v>
      </c>
      <c r="M784" s="1">
        <v>44975</v>
      </c>
      <c r="N784" t="s">
        <v>30</v>
      </c>
      <c r="O784" t="s">
        <v>23</v>
      </c>
      <c r="P784" t="str">
        <f t="shared" si="268"/>
        <v>P0783</v>
      </c>
      <c r="Q784" t="str">
        <f t="shared" si="264"/>
        <v>Nutrition</v>
      </c>
      <c r="R784">
        <f t="shared" si="265"/>
        <v>20</v>
      </c>
      <c r="S784" t="str">
        <f t="shared" ca="1" si="269"/>
        <v>No</v>
      </c>
      <c r="T784" t="str">
        <f t="shared" ca="1" si="270"/>
        <v>Severe</v>
      </c>
      <c r="U784" t="str">
        <f t="shared" ca="1" si="271"/>
        <v>Private Ward</v>
      </c>
      <c r="V784" t="str">
        <f t="shared" si="272"/>
        <v>BED0783</v>
      </c>
      <c r="W784" t="str">
        <f t="shared" ca="1" si="273"/>
        <v>Semi-Private</v>
      </c>
      <c r="X784" t="str">
        <f t="shared" si="274"/>
        <v>NUR033</v>
      </c>
      <c r="Y784" t="str">
        <f t="shared" ca="1" si="275"/>
        <v>Night</v>
      </c>
      <c r="Z784" t="str">
        <f t="shared" ca="1" si="276"/>
        <v>Ventilator</v>
      </c>
      <c r="AA784" t="str">
        <f t="shared" ca="1" si="277"/>
        <v>In Use</v>
      </c>
      <c r="AB784" t="str">
        <f t="shared" ca="1" si="278"/>
        <v>Partially Paid</v>
      </c>
      <c r="AC784" t="str">
        <f t="shared" ca="1" si="279"/>
        <v>Debit Card</v>
      </c>
      <c r="AD784" t="str">
        <f t="shared" ca="1" si="280"/>
        <v>Yes</v>
      </c>
      <c r="AE784" t="str">
        <f t="shared" ca="1" si="281"/>
        <v>Yes</v>
      </c>
      <c r="AF784" t="str">
        <f t="shared" ca="1" si="282"/>
        <v>Transferred</v>
      </c>
      <c r="AG784" t="str">
        <f t="shared" ca="1" si="283"/>
        <v>Southwest</v>
      </c>
      <c r="AH784" t="str">
        <f t="shared" si="266"/>
        <v>January</v>
      </c>
      <c r="AI784">
        <f t="shared" si="267"/>
        <v>2023</v>
      </c>
      <c r="AJ784" t="str">
        <f t="shared" ca="1" si="284"/>
        <v>Occupied</v>
      </c>
      <c r="AK784">
        <f t="shared" ca="1" si="285"/>
        <v>1</v>
      </c>
    </row>
    <row r="785" spans="1:37" x14ac:dyDescent="0.3">
      <c r="A785" t="s">
        <v>5207</v>
      </c>
      <c r="B785">
        <v>27</v>
      </c>
      <c r="C785" t="s">
        <v>32</v>
      </c>
      <c r="D785" t="s">
        <v>98</v>
      </c>
      <c r="E785" t="s">
        <v>17</v>
      </c>
      <c r="F785" s="1">
        <v>45260</v>
      </c>
      <c r="G785" t="s">
        <v>1600</v>
      </c>
      <c r="H785" t="s">
        <v>1601</v>
      </c>
      <c r="I785" t="s">
        <v>57</v>
      </c>
      <c r="J785">
        <v>20259</v>
      </c>
      <c r="K785">
        <v>491</v>
      </c>
      <c r="L785" t="s">
        <v>42</v>
      </c>
      <c r="M785" s="1">
        <v>45272</v>
      </c>
      <c r="N785" t="s">
        <v>22</v>
      </c>
      <c r="O785" t="s">
        <v>43</v>
      </c>
      <c r="P785" t="str">
        <f t="shared" si="268"/>
        <v>P0784</v>
      </c>
      <c r="Q785" t="str">
        <f t="shared" si="264"/>
        <v>Oncology</v>
      </c>
      <c r="R785">
        <f t="shared" si="265"/>
        <v>12</v>
      </c>
      <c r="S785" t="str">
        <f t="shared" ca="1" si="269"/>
        <v>No</v>
      </c>
      <c r="T785" t="str">
        <f t="shared" ca="1" si="270"/>
        <v>Mild</v>
      </c>
      <c r="U785" t="str">
        <f t="shared" ca="1" si="271"/>
        <v>ICU</v>
      </c>
      <c r="V785" t="str">
        <f t="shared" si="272"/>
        <v>BED0784</v>
      </c>
      <c r="W785" t="str">
        <f t="shared" ca="1" si="273"/>
        <v>ICU</v>
      </c>
      <c r="X785" t="str">
        <f t="shared" si="274"/>
        <v>NUR034</v>
      </c>
      <c r="Y785" t="str">
        <f t="shared" ca="1" si="275"/>
        <v>Night</v>
      </c>
      <c r="Z785" t="str">
        <f t="shared" ca="1" si="276"/>
        <v>Ventilator</v>
      </c>
      <c r="AA785" t="str">
        <f t="shared" ca="1" si="277"/>
        <v>Available</v>
      </c>
      <c r="AB785" t="str">
        <f t="shared" ca="1" si="278"/>
        <v>Partially Paid</v>
      </c>
      <c r="AC785" t="str">
        <f t="shared" ca="1" si="279"/>
        <v>Cash</v>
      </c>
      <c r="AD785" t="str">
        <f t="shared" ca="1" si="280"/>
        <v>No</v>
      </c>
      <c r="AE785" t="str">
        <f t="shared" ca="1" si="281"/>
        <v>No</v>
      </c>
      <c r="AF785" t="str">
        <f t="shared" ca="1" si="282"/>
        <v>Under Observation</v>
      </c>
      <c r="AG785" t="str">
        <f t="shared" ca="1" si="283"/>
        <v>West Coast</v>
      </c>
      <c r="AH785" t="str">
        <f t="shared" si="266"/>
        <v>November</v>
      </c>
      <c r="AI785">
        <f t="shared" si="267"/>
        <v>2023</v>
      </c>
      <c r="AJ785" t="str">
        <f t="shared" ca="1" si="284"/>
        <v>Occupied</v>
      </c>
      <c r="AK785">
        <f t="shared" ca="1" si="285"/>
        <v>2</v>
      </c>
    </row>
    <row r="786" spans="1:37" x14ac:dyDescent="0.3">
      <c r="A786" t="s">
        <v>5208</v>
      </c>
      <c r="B786">
        <v>73</v>
      </c>
      <c r="C786" t="s">
        <v>15</v>
      </c>
      <c r="D786" t="s">
        <v>24</v>
      </c>
      <c r="E786" t="s">
        <v>25</v>
      </c>
      <c r="F786" s="1">
        <v>44281</v>
      </c>
      <c r="G786" t="s">
        <v>1602</v>
      </c>
      <c r="H786" t="s">
        <v>1603</v>
      </c>
      <c r="I786" t="s">
        <v>28</v>
      </c>
      <c r="J786">
        <v>43051</v>
      </c>
      <c r="K786">
        <v>340</v>
      </c>
      <c r="L786" t="s">
        <v>21</v>
      </c>
      <c r="M786" s="1">
        <v>44306</v>
      </c>
      <c r="N786" t="s">
        <v>47</v>
      </c>
      <c r="O786" t="s">
        <v>43</v>
      </c>
      <c r="P786" t="str">
        <f t="shared" si="268"/>
        <v>P0785</v>
      </c>
      <c r="Q786" t="str">
        <f t="shared" si="264"/>
        <v>Nutrition</v>
      </c>
      <c r="R786">
        <f t="shared" si="265"/>
        <v>25</v>
      </c>
      <c r="S786" t="str">
        <f t="shared" ca="1" si="269"/>
        <v>No</v>
      </c>
      <c r="T786" t="str">
        <f t="shared" ca="1" si="270"/>
        <v>Moderate</v>
      </c>
      <c r="U786" t="str">
        <f t="shared" ca="1" si="271"/>
        <v>General Ward</v>
      </c>
      <c r="V786" t="str">
        <f t="shared" si="272"/>
        <v>BED0785</v>
      </c>
      <c r="W786" t="str">
        <f t="shared" ca="1" si="273"/>
        <v>Private</v>
      </c>
      <c r="X786" t="str">
        <f t="shared" si="274"/>
        <v>NUR035</v>
      </c>
      <c r="Y786" t="str">
        <f t="shared" ca="1" si="275"/>
        <v>Evening</v>
      </c>
      <c r="Z786" t="str">
        <f t="shared" ca="1" si="276"/>
        <v>MRI Scanner</v>
      </c>
      <c r="AA786" t="str">
        <f t="shared" ca="1" si="277"/>
        <v>Maintenance</v>
      </c>
      <c r="AB786" t="str">
        <f t="shared" ca="1" si="278"/>
        <v>Paid</v>
      </c>
      <c r="AC786" t="str">
        <f t="shared" ca="1" si="279"/>
        <v>Bank Transfer</v>
      </c>
      <c r="AD786" t="str">
        <f t="shared" ca="1" si="280"/>
        <v>No</v>
      </c>
      <c r="AE786" t="str">
        <f t="shared" ca="1" si="281"/>
        <v>No</v>
      </c>
      <c r="AF786" t="str">
        <f t="shared" ca="1" si="282"/>
        <v>Recovered</v>
      </c>
      <c r="AG786" t="str">
        <f t="shared" ca="1" si="283"/>
        <v>West Coast</v>
      </c>
      <c r="AH786" t="str">
        <f t="shared" si="266"/>
        <v>March</v>
      </c>
      <c r="AI786">
        <f t="shared" si="267"/>
        <v>2021</v>
      </c>
      <c r="AJ786" t="str">
        <f t="shared" ca="1" si="284"/>
        <v>Occupied</v>
      </c>
      <c r="AK786">
        <f t="shared" ca="1" si="285"/>
        <v>2</v>
      </c>
    </row>
    <row r="787" spans="1:37" x14ac:dyDescent="0.3">
      <c r="A787" t="s">
        <v>5209</v>
      </c>
      <c r="B787">
        <v>42</v>
      </c>
      <c r="C787" t="s">
        <v>32</v>
      </c>
      <c r="D787" t="s">
        <v>44</v>
      </c>
      <c r="E787" t="s">
        <v>39</v>
      </c>
      <c r="F787" s="1">
        <v>44429</v>
      </c>
      <c r="G787" t="s">
        <v>1604</v>
      </c>
      <c r="H787" t="s">
        <v>1605</v>
      </c>
      <c r="I787" t="s">
        <v>57</v>
      </c>
      <c r="J787">
        <v>37284</v>
      </c>
      <c r="K787">
        <v>283</v>
      </c>
      <c r="L787" t="s">
        <v>42</v>
      </c>
      <c r="M787" s="1">
        <v>44442</v>
      </c>
      <c r="N787" t="s">
        <v>22</v>
      </c>
      <c r="O787" t="s">
        <v>43</v>
      </c>
      <c r="P787" t="str">
        <f t="shared" si="268"/>
        <v>P0786</v>
      </c>
      <c r="Q787" t="str">
        <f t="shared" si="264"/>
        <v>Endocrinology</v>
      </c>
      <c r="R787">
        <f t="shared" si="265"/>
        <v>13</v>
      </c>
      <c r="S787" t="str">
        <f t="shared" ca="1" si="269"/>
        <v>No</v>
      </c>
      <c r="T787" t="str">
        <f t="shared" ca="1" si="270"/>
        <v>Mild</v>
      </c>
      <c r="U787" t="str">
        <f t="shared" ca="1" si="271"/>
        <v>Private Ward</v>
      </c>
      <c r="V787" t="str">
        <f t="shared" si="272"/>
        <v>BED0786</v>
      </c>
      <c r="W787" t="str">
        <f t="shared" ca="1" si="273"/>
        <v>General</v>
      </c>
      <c r="X787" t="str">
        <f t="shared" si="274"/>
        <v>NUR036</v>
      </c>
      <c r="Y787" t="str">
        <f t="shared" ca="1" si="275"/>
        <v>Night</v>
      </c>
      <c r="Z787" t="str">
        <f t="shared" ca="1" si="276"/>
        <v>Ultrasound</v>
      </c>
      <c r="AA787" t="str">
        <f t="shared" ca="1" si="277"/>
        <v>Maintenance</v>
      </c>
      <c r="AB787" t="str">
        <f t="shared" ca="1" si="278"/>
        <v>Partially Paid</v>
      </c>
      <c r="AC787" t="str">
        <f t="shared" ca="1" si="279"/>
        <v>Bank Transfer</v>
      </c>
      <c r="AD787" t="str">
        <f t="shared" ca="1" si="280"/>
        <v>No</v>
      </c>
      <c r="AE787" t="str">
        <f t="shared" ca="1" si="281"/>
        <v>No</v>
      </c>
      <c r="AF787" t="str">
        <f t="shared" ca="1" si="282"/>
        <v>Recovered</v>
      </c>
      <c r="AG787" t="str">
        <f t="shared" ca="1" si="283"/>
        <v>Southeast</v>
      </c>
      <c r="AH787" t="str">
        <f t="shared" si="266"/>
        <v>August</v>
      </c>
      <c r="AI787">
        <f t="shared" si="267"/>
        <v>2021</v>
      </c>
      <c r="AJ787" t="str">
        <f t="shared" ca="1" si="284"/>
        <v>Occupied</v>
      </c>
      <c r="AK787">
        <f t="shared" ca="1" si="285"/>
        <v>4</v>
      </c>
    </row>
    <row r="788" spans="1:37" x14ac:dyDescent="0.3">
      <c r="A788" t="s">
        <v>744</v>
      </c>
      <c r="B788">
        <v>59</v>
      </c>
      <c r="C788" t="s">
        <v>32</v>
      </c>
      <c r="D788" t="s">
        <v>98</v>
      </c>
      <c r="E788" t="s">
        <v>17</v>
      </c>
      <c r="F788" s="1">
        <v>45294</v>
      </c>
      <c r="G788" t="s">
        <v>1606</v>
      </c>
      <c r="H788" t="s">
        <v>1607</v>
      </c>
      <c r="I788" t="s">
        <v>20</v>
      </c>
      <c r="J788">
        <v>42435</v>
      </c>
      <c r="K788">
        <v>494</v>
      </c>
      <c r="L788" t="s">
        <v>21</v>
      </c>
      <c r="M788" s="1">
        <v>45316</v>
      </c>
      <c r="N788" t="s">
        <v>67</v>
      </c>
      <c r="O788" t="s">
        <v>43</v>
      </c>
      <c r="P788" t="str">
        <f t="shared" si="268"/>
        <v>P0787</v>
      </c>
      <c r="Q788" t="str">
        <f t="shared" si="264"/>
        <v>Oncology</v>
      </c>
      <c r="R788">
        <f t="shared" si="265"/>
        <v>22</v>
      </c>
      <c r="S788" t="str">
        <f t="shared" ca="1" si="269"/>
        <v>No</v>
      </c>
      <c r="T788" t="str">
        <f t="shared" ca="1" si="270"/>
        <v>Moderate</v>
      </c>
      <c r="U788" t="str">
        <f t="shared" ca="1" si="271"/>
        <v>ICU</v>
      </c>
      <c r="V788" t="str">
        <f t="shared" si="272"/>
        <v>BED0787</v>
      </c>
      <c r="W788" t="str">
        <f t="shared" ca="1" si="273"/>
        <v>ICU</v>
      </c>
      <c r="X788" t="str">
        <f t="shared" si="274"/>
        <v>NUR037</v>
      </c>
      <c r="Y788" t="str">
        <f t="shared" ca="1" si="275"/>
        <v>Evening</v>
      </c>
      <c r="Z788" t="str">
        <f t="shared" ca="1" si="276"/>
        <v>Ventilator</v>
      </c>
      <c r="AA788" t="str">
        <f t="shared" ca="1" si="277"/>
        <v>In Use</v>
      </c>
      <c r="AB788" t="str">
        <f t="shared" ca="1" si="278"/>
        <v>Pending</v>
      </c>
      <c r="AC788" t="str">
        <f t="shared" ca="1" si="279"/>
        <v>Debit Card</v>
      </c>
      <c r="AD788" t="str">
        <f t="shared" ca="1" si="280"/>
        <v>No</v>
      </c>
      <c r="AE788" t="str">
        <f t="shared" ca="1" si="281"/>
        <v>No</v>
      </c>
      <c r="AF788" t="str">
        <f t="shared" ca="1" si="282"/>
        <v>Recovered</v>
      </c>
      <c r="AG788" t="str">
        <f t="shared" ca="1" si="283"/>
        <v>Midwest</v>
      </c>
      <c r="AH788" t="str">
        <f t="shared" si="266"/>
        <v>January</v>
      </c>
      <c r="AI788">
        <f t="shared" si="267"/>
        <v>2024</v>
      </c>
      <c r="AJ788" t="str">
        <f t="shared" ca="1" si="284"/>
        <v>Occupied</v>
      </c>
      <c r="AK788">
        <f t="shared" ca="1" si="285"/>
        <v>1</v>
      </c>
    </row>
    <row r="789" spans="1:37" x14ac:dyDescent="0.3">
      <c r="A789" t="s">
        <v>5210</v>
      </c>
      <c r="B789">
        <v>20</v>
      </c>
      <c r="C789" t="s">
        <v>32</v>
      </c>
      <c r="D789" t="s">
        <v>24</v>
      </c>
      <c r="E789" t="s">
        <v>64</v>
      </c>
      <c r="F789" s="1">
        <v>45374</v>
      </c>
      <c r="G789" t="s">
        <v>1608</v>
      </c>
      <c r="H789" t="s">
        <v>1609</v>
      </c>
      <c r="I789" t="s">
        <v>51</v>
      </c>
      <c r="J789">
        <v>38570</v>
      </c>
      <c r="K789">
        <v>487</v>
      </c>
      <c r="L789" t="s">
        <v>29</v>
      </c>
      <c r="M789" s="1">
        <v>45403</v>
      </c>
      <c r="N789" t="s">
        <v>47</v>
      </c>
      <c r="O789" t="s">
        <v>43</v>
      </c>
      <c r="P789" t="str">
        <f t="shared" si="268"/>
        <v>P0788</v>
      </c>
      <c r="Q789" t="str">
        <f t="shared" si="264"/>
        <v>Cardiology</v>
      </c>
      <c r="R789">
        <f t="shared" si="265"/>
        <v>29</v>
      </c>
      <c r="S789" t="str">
        <f t="shared" ca="1" si="269"/>
        <v>No</v>
      </c>
      <c r="T789" t="str">
        <f t="shared" ca="1" si="270"/>
        <v>Critical</v>
      </c>
      <c r="U789" t="str">
        <f t="shared" ca="1" si="271"/>
        <v>General Ward</v>
      </c>
      <c r="V789" t="str">
        <f t="shared" si="272"/>
        <v>BED0788</v>
      </c>
      <c r="W789" t="str">
        <f t="shared" ca="1" si="273"/>
        <v>Private</v>
      </c>
      <c r="X789" t="str">
        <f t="shared" si="274"/>
        <v>NUR038</v>
      </c>
      <c r="Y789" t="str">
        <f t="shared" ca="1" si="275"/>
        <v>Morning</v>
      </c>
      <c r="Z789" t="str">
        <f t="shared" ca="1" si="276"/>
        <v>CT Scanner</v>
      </c>
      <c r="AA789" t="str">
        <f t="shared" ca="1" si="277"/>
        <v>Maintenance</v>
      </c>
      <c r="AB789" t="str">
        <f t="shared" ca="1" si="278"/>
        <v>Pending</v>
      </c>
      <c r="AC789" t="str">
        <f t="shared" ca="1" si="279"/>
        <v>Credit Card</v>
      </c>
      <c r="AD789" t="str">
        <f t="shared" ca="1" si="280"/>
        <v>No</v>
      </c>
      <c r="AE789" t="str">
        <f t="shared" ca="1" si="281"/>
        <v>No</v>
      </c>
      <c r="AF789" t="str">
        <f t="shared" ca="1" si="282"/>
        <v>Recovered</v>
      </c>
      <c r="AG789" t="str">
        <f t="shared" ca="1" si="283"/>
        <v>Southwest</v>
      </c>
      <c r="AH789" t="str">
        <f t="shared" si="266"/>
        <v>March</v>
      </c>
      <c r="AI789">
        <f t="shared" si="267"/>
        <v>2024</v>
      </c>
      <c r="AJ789" t="str">
        <f t="shared" ca="1" si="284"/>
        <v>Occupied</v>
      </c>
      <c r="AK789">
        <f t="shared" ca="1" si="285"/>
        <v>2</v>
      </c>
    </row>
    <row r="790" spans="1:37" x14ac:dyDescent="0.3">
      <c r="A790" t="s">
        <v>5211</v>
      </c>
      <c r="B790">
        <v>61</v>
      </c>
      <c r="C790" t="s">
        <v>32</v>
      </c>
      <c r="D790" t="s">
        <v>24</v>
      </c>
      <c r="E790" t="s">
        <v>17</v>
      </c>
      <c r="F790" s="1">
        <v>44898</v>
      </c>
      <c r="G790" t="s">
        <v>1610</v>
      </c>
      <c r="H790" t="s">
        <v>1611</v>
      </c>
      <c r="I790" t="s">
        <v>28</v>
      </c>
      <c r="J790">
        <v>22109</v>
      </c>
      <c r="K790">
        <v>334</v>
      </c>
      <c r="L790" t="s">
        <v>29</v>
      </c>
      <c r="M790" s="1">
        <v>44905</v>
      </c>
      <c r="N790" t="s">
        <v>22</v>
      </c>
      <c r="O790" t="s">
        <v>31</v>
      </c>
      <c r="P790" t="str">
        <f t="shared" si="268"/>
        <v>P0789</v>
      </c>
      <c r="Q790" t="str">
        <f t="shared" si="264"/>
        <v>Oncology</v>
      </c>
      <c r="R790">
        <f t="shared" si="265"/>
        <v>7</v>
      </c>
      <c r="S790" t="str">
        <f t="shared" ca="1" si="269"/>
        <v>No</v>
      </c>
      <c r="T790" t="str">
        <f t="shared" ca="1" si="270"/>
        <v>Mild</v>
      </c>
      <c r="U790" t="str">
        <f t="shared" ca="1" si="271"/>
        <v>Semi-Private</v>
      </c>
      <c r="V790" t="str">
        <f t="shared" si="272"/>
        <v>BED0789</v>
      </c>
      <c r="W790" t="str">
        <f t="shared" ca="1" si="273"/>
        <v>Private</v>
      </c>
      <c r="X790" t="str">
        <f t="shared" si="274"/>
        <v>NUR039</v>
      </c>
      <c r="Y790" t="str">
        <f t="shared" ca="1" si="275"/>
        <v>Evening</v>
      </c>
      <c r="Z790" t="str">
        <f t="shared" ca="1" si="276"/>
        <v>CT Scanner</v>
      </c>
      <c r="AA790" t="str">
        <f t="shared" ca="1" si="277"/>
        <v>Available</v>
      </c>
      <c r="AB790" t="str">
        <f t="shared" ca="1" si="278"/>
        <v>Pending</v>
      </c>
      <c r="AC790" t="str">
        <f t="shared" ca="1" si="279"/>
        <v>Bank Transfer</v>
      </c>
      <c r="AD790" t="str">
        <f t="shared" ca="1" si="280"/>
        <v>No</v>
      </c>
      <c r="AE790" t="str">
        <f t="shared" ca="1" si="281"/>
        <v>No</v>
      </c>
      <c r="AF790" t="str">
        <f t="shared" ca="1" si="282"/>
        <v>Transferred</v>
      </c>
      <c r="AG790" t="str">
        <f t="shared" ca="1" si="283"/>
        <v>West Coast</v>
      </c>
      <c r="AH790" t="str">
        <f t="shared" si="266"/>
        <v>December</v>
      </c>
      <c r="AI790">
        <f t="shared" si="267"/>
        <v>2022</v>
      </c>
      <c r="AJ790" t="str">
        <f t="shared" ca="1" si="284"/>
        <v>Occupied</v>
      </c>
      <c r="AK790">
        <f t="shared" ca="1" si="285"/>
        <v>1</v>
      </c>
    </row>
    <row r="791" spans="1:37" x14ac:dyDescent="0.3">
      <c r="A791" t="s">
        <v>5212</v>
      </c>
      <c r="B791">
        <v>50</v>
      </c>
      <c r="C791" t="s">
        <v>15</v>
      </c>
      <c r="D791" t="s">
        <v>83</v>
      </c>
      <c r="E791" t="s">
        <v>48</v>
      </c>
      <c r="F791" s="1">
        <v>44464</v>
      </c>
      <c r="G791" t="s">
        <v>1612</v>
      </c>
      <c r="H791" t="s">
        <v>1613</v>
      </c>
      <c r="I791" t="s">
        <v>51</v>
      </c>
      <c r="J791">
        <v>40783</v>
      </c>
      <c r="K791">
        <v>366</v>
      </c>
      <c r="L791" t="s">
        <v>21</v>
      </c>
      <c r="M791" s="1">
        <v>44492</v>
      </c>
      <c r="N791" t="s">
        <v>47</v>
      </c>
      <c r="O791" t="s">
        <v>31</v>
      </c>
      <c r="P791" t="str">
        <f t="shared" si="268"/>
        <v>P0790</v>
      </c>
      <c r="Q791" t="str">
        <f t="shared" si="264"/>
        <v>Pulmonology</v>
      </c>
      <c r="R791">
        <f t="shared" si="265"/>
        <v>28</v>
      </c>
      <c r="S791" t="str">
        <f t="shared" ca="1" si="269"/>
        <v>No</v>
      </c>
      <c r="T791" t="str">
        <f t="shared" ca="1" si="270"/>
        <v>Moderate</v>
      </c>
      <c r="U791" t="str">
        <f t="shared" ca="1" si="271"/>
        <v>Emergency</v>
      </c>
      <c r="V791" t="str">
        <f t="shared" si="272"/>
        <v>BED0790</v>
      </c>
      <c r="W791" t="str">
        <f t="shared" ca="1" si="273"/>
        <v>General</v>
      </c>
      <c r="X791" t="str">
        <f t="shared" si="274"/>
        <v>NUR040</v>
      </c>
      <c r="Y791" t="str">
        <f t="shared" ca="1" si="275"/>
        <v>Night</v>
      </c>
      <c r="Z791" t="str">
        <f t="shared" ca="1" si="276"/>
        <v>Ventilator</v>
      </c>
      <c r="AA791" t="str">
        <f t="shared" ca="1" si="277"/>
        <v>Maintenance</v>
      </c>
      <c r="AB791" t="str">
        <f t="shared" ca="1" si="278"/>
        <v>Pending</v>
      </c>
      <c r="AC791" t="str">
        <f t="shared" ca="1" si="279"/>
        <v>Debit Card</v>
      </c>
      <c r="AD791" t="str">
        <f t="shared" ca="1" si="280"/>
        <v>Yes</v>
      </c>
      <c r="AE791" t="str">
        <f t="shared" ca="1" si="281"/>
        <v>No</v>
      </c>
      <c r="AF791" t="str">
        <f t="shared" ca="1" si="282"/>
        <v>Recovered</v>
      </c>
      <c r="AG791" t="str">
        <f t="shared" ca="1" si="283"/>
        <v>Midwest</v>
      </c>
      <c r="AH791" t="str">
        <f t="shared" si="266"/>
        <v>September</v>
      </c>
      <c r="AI791">
        <f t="shared" si="267"/>
        <v>2021</v>
      </c>
      <c r="AJ791" t="str">
        <f t="shared" ca="1" si="284"/>
        <v>Occupied</v>
      </c>
      <c r="AK791">
        <f t="shared" ca="1" si="285"/>
        <v>1</v>
      </c>
    </row>
    <row r="792" spans="1:37" x14ac:dyDescent="0.3">
      <c r="A792" t="s">
        <v>5213</v>
      </c>
      <c r="B792">
        <v>29</v>
      </c>
      <c r="C792" t="s">
        <v>32</v>
      </c>
      <c r="D792" t="s">
        <v>16</v>
      </c>
      <c r="E792" t="s">
        <v>48</v>
      </c>
      <c r="F792" s="1">
        <v>44066</v>
      </c>
      <c r="G792" t="s">
        <v>1614</v>
      </c>
      <c r="H792" t="s">
        <v>1615</v>
      </c>
      <c r="I792" t="s">
        <v>57</v>
      </c>
      <c r="J792">
        <v>28296</v>
      </c>
      <c r="K792">
        <v>490</v>
      </c>
      <c r="L792" t="s">
        <v>29</v>
      </c>
      <c r="M792" s="1">
        <v>44069</v>
      </c>
      <c r="N792" t="s">
        <v>30</v>
      </c>
      <c r="O792" t="s">
        <v>23</v>
      </c>
      <c r="P792" t="str">
        <f t="shared" si="268"/>
        <v>P0791</v>
      </c>
      <c r="Q792" t="str">
        <f t="shared" si="264"/>
        <v>Pulmonology</v>
      </c>
      <c r="R792">
        <f t="shared" si="265"/>
        <v>3</v>
      </c>
      <c r="S792" t="str">
        <f t="shared" ca="1" si="269"/>
        <v>No</v>
      </c>
      <c r="T792" t="str">
        <f t="shared" ca="1" si="270"/>
        <v>Mild</v>
      </c>
      <c r="U792" t="str">
        <f t="shared" ca="1" si="271"/>
        <v>ICU</v>
      </c>
      <c r="V792" t="str">
        <f t="shared" si="272"/>
        <v>BED0791</v>
      </c>
      <c r="W792" t="str">
        <f t="shared" ca="1" si="273"/>
        <v>General</v>
      </c>
      <c r="X792" t="str">
        <f t="shared" si="274"/>
        <v>NUR041</v>
      </c>
      <c r="Y792" t="str">
        <f t="shared" ca="1" si="275"/>
        <v>Night</v>
      </c>
      <c r="Z792" t="str">
        <f t="shared" ca="1" si="276"/>
        <v>CT Scanner</v>
      </c>
      <c r="AA792" t="str">
        <f t="shared" ca="1" si="277"/>
        <v>In Use</v>
      </c>
      <c r="AB792" t="str">
        <f t="shared" ca="1" si="278"/>
        <v>Paid</v>
      </c>
      <c r="AC792" t="str">
        <f t="shared" ca="1" si="279"/>
        <v>Credit Card</v>
      </c>
      <c r="AD792" t="str">
        <f t="shared" ca="1" si="280"/>
        <v>No</v>
      </c>
      <c r="AE792" t="str">
        <f t="shared" ca="1" si="281"/>
        <v>No</v>
      </c>
      <c r="AF792" t="str">
        <f t="shared" ca="1" si="282"/>
        <v>Recovered</v>
      </c>
      <c r="AG792" t="str">
        <f t="shared" ca="1" si="283"/>
        <v>Midwest</v>
      </c>
      <c r="AH792" t="str">
        <f t="shared" si="266"/>
        <v>August</v>
      </c>
      <c r="AI792">
        <f t="shared" si="267"/>
        <v>2020</v>
      </c>
      <c r="AJ792" t="str">
        <f t="shared" ca="1" si="284"/>
        <v>Occupied</v>
      </c>
      <c r="AK792">
        <f t="shared" ca="1" si="285"/>
        <v>4</v>
      </c>
    </row>
    <row r="793" spans="1:37" x14ac:dyDescent="0.3">
      <c r="A793" t="s">
        <v>5214</v>
      </c>
      <c r="B793">
        <v>44</v>
      </c>
      <c r="C793" t="s">
        <v>15</v>
      </c>
      <c r="D793" t="s">
        <v>83</v>
      </c>
      <c r="E793" t="s">
        <v>48</v>
      </c>
      <c r="F793" s="1">
        <v>44092</v>
      </c>
      <c r="G793" t="s">
        <v>1616</v>
      </c>
      <c r="H793" t="s">
        <v>1617</v>
      </c>
      <c r="I793" t="s">
        <v>57</v>
      </c>
      <c r="J793">
        <v>46951</v>
      </c>
      <c r="K793">
        <v>384</v>
      </c>
      <c r="L793" t="s">
        <v>42</v>
      </c>
      <c r="M793" s="1">
        <v>44120</v>
      </c>
      <c r="N793" t="s">
        <v>47</v>
      </c>
      <c r="O793" t="s">
        <v>31</v>
      </c>
      <c r="P793" t="str">
        <f t="shared" si="268"/>
        <v>P0792</v>
      </c>
      <c r="Q793" t="str">
        <f t="shared" si="264"/>
        <v>Pulmonology</v>
      </c>
      <c r="R793">
        <f t="shared" si="265"/>
        <v>28</v>
      </c>
      <c r="S793" t="str">
        <f t="shared" ca="1" si="269"/>
        <v>No</v>
      </c>
      <c r="T793" t="str">
        <f t="shared" ca="1" si="270"/>
        <v>Critical</v>
      </c>
      <c r="U793" t="str">
        <f t="shared" ca="1" si="271"/>
        <v>Semi-Private</v>
      </c>
      <c r="V793" t="str">
        <f t="shared" si="272"/>
        <v>BED0792</v>
      </c>
      <c r="W793" t="str">
        <f t="shared" ca="1" si="273"/>
        <v>ICU</v>
      </c>
      <c r="X793" t="str">
        <f t="shared" si="274"/>
        <v>NUR042</v>
      </c>
      <c r="Y793" t="str">
        <f t="shared" ca="1" si="275"/>
        <v>Night</v>
      </c>
      <c r="Z793" t="str">
        <f t="shared" ca="1" si="276"/>
        <v>ECG Machine</v>
      </c>
      <c r="AA793" t="str">
        <f t="shared" ca="1" si="277"/>
        <v>Available</v>
      </c>
      <c r="AB793" t="str">
        <f t="shared" ca="1" si="278"/>
        <v>Pending</v>
      </c>
      <c r="AC793" t="str">
        <f t="shared" ca="1" si="279"/>
        <v>Debit Card</v>
      </c>
      <c r="AD793" t="str">
        <f t="shared" ca="1" si="280"/>
        <v>No</v>
      </c>
      <c r="AE793" t="str">
        <f t="shared" ca="1" si="281"/>
        <v>No</v>
      </c>
      <c r="AF793" t="str">
        <f t="shared" ca="1" si="282"/>
        <v>Under Observation</v>
      </c>
      <c r="AG793" t="str">
        <f t="shared" ca="1" si="283"/>
        <v>Northeast</v>
      </c>
      <c r="AH793" t="str">
        <f t="shared" si="266"/>
        <v>September</v>
      </c>
      <c r="AI793">
        <f t="shared" si="267"/>
        <v>2020</v>
      </c>
      <c r="AJ793" t="str">
        <f t="shared" ca="1" si="284"/>
        <v>Vacant</v>
      </c>
      <c r="AK793">
        <f t="shared" ca="1" si="285"/>
        <v>1</v>
      </c>
    </row>
    <row r="794" spans="1:37" x14ac:dyDescent="0.3">
      <c r="A794" t="s">
        <v>187</v>
      </c>
      <c r="B794">
        <v>37</v>
      </c>
      <c r="C794" t="s">
        <v>32</v>
      </c>
      <c r="D794" t="s">
        <v>44</v>
      </c>
      <c r="E794" t="s">
        <v>39</v>
      </c>
      <c r="F794" s="1">
        <v>44774</v>
      </c>
      <c r="G794" t="s">
        <v>1618</v>
      </c>
      <c r="H794" t="s">
        <v>1619</v>
      </c>
      <c r="I794" t="s">
        <v>51</v>
      </c>
      <c r="J794">
        <v>41548</v>
      </c>
      <c r="K794">
        <v>157</v>
      </c>
      <c r="L794" t="s">
        <v>42</v>
      </c>
      <c r="M794" s="1">
        <v>44803</v>
      </c>
      <c r="N794" t="s">
        <v>67</v>
      </c>
      <c r="O794" t="s">
        <v>31</v>
      </c>
      <c r="P794" t="str">
        <f t="shared" si="268"/>
        <v>P0793</v>
      </c>
      <c r="Q794" t="str">
        <f t="shared" si="264"/>
        <v>Endocrinology</v>
      </c>
      <c r="R794">
        <f t="shared" si="265"/>
        <v>29</v>
      </c>
      <c r="S794" t="str">
        <f t="shared" ca="1" si="269"/>
        <v>No</v>
      </c>
      <c r="T794" t="str">
        <f t="shared" ca="1" si="270"/>
        <v>Moderate</v>
      </c>
      <c r="U794" t="str">
        <f t="shared" ca="1" si="271"/>
        <v>Semi-Private</v>
      </c>
      <c r="V794" t="str">
        <f t="shared" si="272"/>
        <v>BED0793</v>
      </c>
      <c r="W794" t="str">
        <f t="shared" ca="1" si="273"/>
        <v>ICU</v>
      </c>
      <c r="X794" t="str">
        <f t="shared" si="274"/>
        <v>NUR043</v>
      </c>
      <c r="Y794" t="str">
        <f t="shared" ca="1" si="275"/>
        <v>Evening</v>
      </c>
      <c r="Z794" t="str">
        <f t="shared" ca="1" si="276"/>
        <v>Ultrasound</v>
      </c>
      <c r="AA794" t="str">
        <f t="shared" ca="1" si="277"/>
        <v>Available</v>
      </c>
      <c r="AB794" t="str">
        <f t="shared" ca="1" si="278"/>
        <v>Pending</v>
      </c>
      <c r="AC794" t="str">
        <f t="shared" ca="1" si="279"/>
        <v>Insurance</v>
      </c>
      <c r="AD794" t="str">
        <f t="shared" ca="1" si="280"/>
        <v>No</v>
      </c>
      <c r="AE794" t="str">
        <f t="shared" ca="1" si="281"/>
        <v>No</v>
      </c>
      <c r="AF794" t="str">
        <f t="shared" ca="1" si="282"/>
        <v>Under Observation</v>
      </c>
      <c r="AG794" t="str">
        <f t="shared" ca="1" si="283"/>
        <v>Northeast</v>
      </c>
      <c r="AH794" t="str">
        <f t="shared" si="266"/>
        <v>August</v>
      </c>
      <c r="AI794">
        <f t="shared" si="267"/>
        <v>2022</v>
      </c>
      <c r="AJ794" t="str">
        <f t="shared" ca="1" si="284"/>
        <v>Vacant</v>
      </c>
      <c r="AK794">
        <f t="shared" ca="1" si="285"/>
        <v>4</v>
      </c>
    </row>
    <row r="795" spans="1:37" x14ac:dyDescent="0.3">
      <c r="A795" t="s">
        <v>5215</v>
      </c>
      <c r="B795">
        <v>79</v>
      </c>
      <c r="C795" t="s">
        <v>32</v>
      </c>
      <c r="D795" t="s">
        <v>52</v>
      </c>
      <c r="E795" t="s">
        <v>64</v>
      </c>
      <c r="F795" s="1">
        <v>43841</v>
      </c>
      <c r="G795" t="s">
        <v>1620</v>
      </c>
      <c r="H795" t="s">
        <v>1621</v>
      </c>
      <c r="I795" t="s">
        <v>57</v>
      </c>
      <c r="J795">
        <v>43278</v>
      </c>
      <c r="K795">
        <v>214</v>
      </c>
      <c r="L795" t="s">
        <v>21</v>
      </c>
      <c r="M795" s="1">
        <v>43855</v>
      </c>
      <c r="N795" t="s">
        <v>47</v>
      </c>
      <c r="O795" t="s">
        <v>31</v>
      </c>
      <c r="P795" t="str">
        <f t="shared" si="268"/>
        <v>P0794</v>
      </c>
      <c r="Q795" t="str">
        <f t="shared" si="264"/>
        <v>Cardiology</v>
      </c>
      <c r="R795">
        <f t="shared" si="265"/>
        <v>14</v>
      </c>
      <c r="S795" t="str">
        <f t="shared" ca="1" si="269"/>
        <v>No</v>
      </c>
      <c r="T795" t="str">
        <f t="shared" ca="1" si="270"/>
        <v>Critical</v>
      </c>
      <c r="U795" t="str">
        <f t="shared" ca="1" si="271"/>
        <v>ICU</v>
      </c>
      <c r="V795" t="str">
        <f t="shared" si="272"/>
        <v>BED0794</v>
      </c>
      <c r="W795" t="str">
        <f t="shared" ca="1" si="273"/>
        <v>Private</v>
      </c>
      <c r="X795" t="str">
        <f t="shared" si="274"/>
        <v>NUR044</v>
      </c>
      <c r="Y795" t="str">
        <f t="shared" ca="1" si="275"/>
        <v>Evening</v>
      </c>
      <c r="Z795" t="str">
        <f t="shared" ca="1" si="276"/>
        <v>Ultrasound</v>
      </c>
      <c r="AA795" t="str">
        <f t="shared" ca="1" si="277"/>
        <v>Available</v>
      </c>
      <c r="AB795" t="str">
        <f t="shared" ca="1" si="278"/>
        <v>Partially Paid</v>
      </c>
      <c r="AC795" t="str">
        <f t="shared" ca="1" si="279"/>
        <v>Debit Card</v>
      </c>
      <c r="AD795" t="str">
        <f t="shared" ca="1" si="280"/>
        <v>Yes</v>
      </c>
      <c r="AE795" t="str">
        <f t="shared" ca="1" si="281"/>
        <v>No</v>
      </c>
      <c r="AF795" t="str">
        <f t="shared" ca="1" si="282"/>
        <v>Under Observation</v>
      </c>
      <c r="AG795" t="str">
        <f t="shared" ca="1" si="283"/>
        <v>Midwest</v>
      </c>
      <c r="AH795" t="str">
        <f t="shared" si="266"/>
        <v>January</v>
      </c>
      <c r="AI795">
        <f t="shared" si="267"/>
        <v>2020</v>
      </c>
      <c r="AJ795" t="str">
        <f t="shared" ca="1" si="284"/>
        <v>Occupied</v>
      </c>
      <c r="AK795">
        <f t="shared" ca="1" si="285"/>
        <v>2</v>
      </c>
    </row>
    <row r="796" spans="1:37" x14ac:dyDescent="0.3">
      <c r="A796" t="s">
        <v>5216</v>
      </c>
      <c r="B796">
        <v>18</v>
      </c>
      <c r="C796" t="s">
        <v>15</v>
      </c>
      <c r="D796" t="s">
        <v>44</v>
      </c>
      <c r="E796" t="s">
        <v>64</v>
      </c>
      <c r="F796" s="1">
        <v>44120</v>
      </c>
      <c r="G796" t="s">
        <v>1622</v>
      </c>
      <c r="H796" t="s">
        <v>1623</v>
      </c>
      <c r="I796" t="s">
        <v>57</v>
      </c>
      <c r="J796">
        <v>41248</v>
      </c>
      <c r="K796">
        <v>125</v>
      </c>
      <c r="L796" t="s">
        <v>42</v>
      </c>
      <c r="M796" s="1">
        <v>44121</v>
      </c>
      <c r="N796" t="s">
        <v>67</v>
      </c>
      <c r="O796" t="s">
        <v>43</v>
      </c>
      <c r="P796" t="str">
        <f t="shared" si="268"/>
        <v>P0795</v>
      </c>
      <c r="Q796" t="str">
        <f t="shared" si="264"/>
        <v>Cardiology</v>
      </c>
      <c r="R796">
        <f t="shared" si="265"/>
        <v>1</v>
      </c>
      <c r="S796" t="str">
        <f t="shared" ca="1" si="269"/>
        <v>No</v>
      </c>
      <c r="T796" t="str">
        <f t="shared" ca="1" si="270"/>
        <v>Critical</v>
      </c>
      <c r="U796" t="str">
        <f t="shared" ca="1" si="271"/>
        <v>ICU</v>
      </c>
      <c r="V796" t="str">
        <f t="shared" si="272"/>
        <v>BED0795</v>
      </c>
      <c r="W796" t="str">
        <f t="shared" ca="1" si="273"/>
        <v>General</v>
      </c>
      <c r="X796" t="str">
        <f t="shared" si="274"/>
        <v>NUR045</v>
      </c>
      <c r="Y796" t="str">
        <f t="shared" ca="1" si="275"/>
        <v>Morning</v>
      </c>
      <c r="Z796" t="str">
        <f t="shared" ca="1" si="276"/>
        <v>Ventilator</v>
      </c>
      <c r="AA796" t="str">
        <f t="shared" ca="1" si="277"/>
        <v>Maintenance</v>
      </c>
      <c r="AB796" t="str">
        <f t="shared" ca="1" si="278"/>
        <v>Paid</v>
      </c>
      <c r="AC796" t="str">
        <f t="shared" ca="1" si="279"/>
        <v>Insurance</v>
      </c>
      <c r="AD796" t="str">
        <f t="shared" ca="1" si="280"/>
        <v>No</v>
      </c>
      <c r="AE796" t="str">
        <f t="shared" ca="1" si="281"/>
        <v>No</v>
      </c>
      <c r="AF796" t="str">
        <f t="shared" ca="1" si="282"/>
        <v>Recovered</v>
      </c>
      <c r="AG796" t="str">
        <f t="shared" ca="1" si="283"/>
        <v>Northeast</v>
      </c>
      <c r="AH796" t="str">
        <f t="shared" si="266"/>
        <v>October</v>
      </c>
      <c r="AI796">
        <f t="shared" si="267"/>
        <v>2020</v>
      </c>
      <c r="AJ796" t="str">
        <f t="shared" ca="1" si="284"/>
        <v>Occupied</v>
      </c>
      <c r="AK796">
        <f t="shared" ca="1" si="285"/>
        <v>1</v>
      </c>
    </row>
    <row r="797" spans="1:37" x14ac:dyDescent="0.3">
      <c r="A797" t="s">
        <v>5217</v>
      </c>
      <c r="B797">
        <v>25</v>
      </c>
      <c r="C797" t="s">
        <v>32</v>
      </c>
      <c r="D797" t="s">
        <v>24</v>
      </c>
      <c r="E797" t="s">
        <v>17</v>
      </c>
      <c r="F797" s="1">
        <v>45411</v>
      </c>
      <c r="G797" t="s">
        <v>1624</v>
      </c>
      <c r="H797" t="s">
        <v>1625</v>
      </c>
      <c r="I797" t="s">
        <v>51</v>
      </c>
      <c r="J797">
        <v>6162</v>
      </c>
      <c r="K797">
        <v>332</v>
      </c>
      <c r="L797" t="s">
        <v>29</v>
      </c>
      <c r="M797" s="1">
        <v>45431</v>
      </c>
      <c r="N797" t="s">
        <v>37</v>
      </c>
      <c r="O797" t="s">
        <v>31</v>
      </c>
      <c r="P797" t="str">
        <f t="shared" si="268"/>
        <v>P0796</v>
      </c>
      <c r="Q797" t="str">
        <f t="shared" si="264"/>
        <v>Oncology</v>
      </c>
      <c r="R797">
        <f t="shared" si="265"/>
        <v>20</v>
      </c>
      <c r="S797" t="str">
        <f t="shared" ca="1" si="269"/>
        <v>No</v>
      </c>
      <c r="T797" t="str">
        <f t="shared" ca="1" si="270"/>
        <v>Severe</v>
      </c>
      <c r="U797" t="str">
        <f t="shared" ca="1" si="271"/>
        <v>Emergency</v>
      </c>
      <c r="V797" t="str">
        <f t="shared" si="272"/>
        <v>BED0796</v>
      </c>
      <c r="W797" t="str">
        <f t="shared" ca="1" si="273"/>
        <v>ICU</v>
      </c>
      <c r="X797" t="str">
        <f t="shared" si="274"/>
        <v>NUR046</v>
      </c>
      <c r="Y797" t="str">
        <f t="shared" ca="1" si="275"/>
        <v>Night</v>
      </c>
      <c r="Z797" t="str">
        <f t="shared" ca="1" si="276"/>
        <v>Ventilator</v>
      </c>
      <c r="AA797" t="str">
        <f t="shared" ca="1" si="277"/>
        <v>Maintenance</v>
      </c>
      <c r="AB797" t="str">
        <f t="shared" ca="1" si="278"/>
        <v>Partially Paid</v>
      </c>
      <c r="AC797" t="str">
        <f t="shared" ca="1" si="279"/>
        <v>Credit Card</v>
      </c>
      <c r="AD797" t="str">
        <f t="shared" ca="1" si="280"/>
        <v>Yes</v>
      </c>
      <c r="AE797" t="str">
        <f t="shared" ca="1" si="281"/>
        <v>No</v>
      </c>
      <c r="AF797" t="str">
        <f t="shared" ca="1" si="282"/>
        <v>Recovered</v>
      </c>
      <c r="AG797" t="str">
        <f t="shared" ca="1" si="283"/>
        <v>Midwest</v>
      </c>
      <c r="AH797" t="str">
        <f t="shared" si="266"/>
        <v>April</v>
      </c>
      <c r="AI797">
        <f t="shared" si="267"/>
        <v>2024</v>
      </c>
      <c r="AJ797" t="str">
        <f t="shared" ca="1" si="284"/>
        <v>Vacant</v>
      </c>
      <c r="AK797">
        <f t="shared" ca="1" si="285"/>
        <v>1</v>
      </c>
    </row>
    <row r="798" spans="1:37" x14ac:dyDescent="0.3">
      <c r="A798" t="s">
        <v>5218</v>
      </c>
      <c r="B798">
        <v>64</v>
      </c>
      <c r="C798" t="s">
        <v>32</v>
      </c>
      <c r="D798" t="s">
        <v>38</v>
      </c>
      <c r="E798" t="s">
        <v>17</v>
      </c>
      <c r="F798" s="1">
        <v>44747</v>
      </c>
      <c r="G798" t="s">
        <v>1626</v>
      </c>
      <c r="H798" t="s">
        <v>1627</v>
      </c>
      <c r="I798" t="s">
        <v>20</v>
      </c>
      <c r="J798">
        <v>45208</v>
      </c>
      <c r="K798">
        <v>243</v>
      </c>
      <c r="L798" t="s">
        <v>21</v>
      </c>
      <c r="M798" s="1">
        <v>44748</v>
      </c>
      <c r="N798" t="s">
        <v>67</v>
      </c>
      <c r="O798" t="s">
        <v>43</v>
      </c>
      <c r="P798" t="str">
        <f t="shared" si="268"/>
        <v>P0797</v>
      </c>
      <c r="Q798" t="str">
        <f t="shared" si="264"/>
        <v>Oncology</v>
      </c>
      <c r="R798">
        <f t="shared" si="265"/>
        <v>1</v>
      </c>
      <c r="S798" t="str">
        <f t="shared" ca="1" si="269"/>
        <v>Yes</v>
      </c>
      <c r="T798" t="str">
        <f t="shared" ca="1" si="270"/>
        <v>Severe</v>
      </c>
      <c r="U798" t="str">
        <f t="shared" ca="1" si="271"/>
        <v>ICU</v>
      </c>
      <c r="V798" t="str">
        <f t="shared" si="272"/>
        <v>BED0797</v>
      </c>
      <c r="W798" t="str">
        <f t="shared" ca="1" si="273"/>
        <v>Semi-Private</v>
      </c>
      <c r="X798" t="str">
        <f t="shared" si="274"/>
        <v>NUR047</v>
      </c>
      <c r="Y798" t="str">
        <f t="shared" ca="1" si="275"/>
        <v>Morning</v>
      </c>
      <c r="Z798" t="str">
        <f t="shared" ca="1" si="276"/>
        <v>X-Ray</v>
      </c>
      <c r="AA798" t="str">
        <f t="shared" ca="1" si="277"/>
        <v>Available</v>
      </c>
      <c r="AB798" t="str">
        <f t="shared" ca="1" si="278"/>
        <v>Partially Paid</v>
      </c>
      <c r="AC798" t="str">
        <f t="shared" ca="1" si="279"/>
        <v>Credit Card</v>
      </c>
      <c r="AD798" t="str">
        <f t="shared" ca="1" si="280"/>
        <v>No</v>
      </c>
      <c r="AE798" t="str">
        <f t="shared" ca="1" si="281"/>
        <v>No</v>
      </c>
      <c r="AF798" t="str">
        <f t="shared" ca="1" si="282"/>
        <v>Under Observation</v>
      </c>
      <c r="AG798" t="str">
        <f t="shared" ca="1" si="283"/>
        <v>Southwest</v>
      </c>
      <c r="AH798" t="str">
        <f t="shared" si="266"/>
        <v>July</v>
      </c>
      <c r="AI798">
        <f t="shared" si="267"/>
        <v>2022</v>
      </c>
      <c r="AJ798" t="str">
        <f t="shared" ca="1" si="284"/>
        <v>Occupied</v>
      </c>
      <c r="AK798">
        <f t="shared" ca="1" si="285"/>
        <v>4</v>
      </c>
    </row>
    <row r="799" spans="1:37" x14ac:dyDescent="0.3">
      <c r="A799" t="s">
        <v>5219</v>
      </c>
      <c r="B799">
        <v>23</v>
      </c>
      <c r="C799" t="s">
        <v>15</v>
      </c>
      <c r="D799" t="s">
        <v>83</v>
      </c>
      <c r="E799" t="s">
        <v>39</v>
      </c>
      <c r="F799" s="1">
        <v>43704</v>
      </c>
      <c r="G799" t="s">
        <v>1628</v>
      </c>
      <c r="H799" t="s">
        <v>1629</v>
      </c>
      <c r="I799" t="s">
        <v>36</v>
      </c>
      <c r="J799">
        <v>36325</v>
      </c>
      <c r="K799">
        <v>377</v>
      </c>
      <c r="L799" t="s">
        <v>29</v>
      </c>
      <c r="M799" s="1">
        <v>43723</v>
      </c>
      <c r="N799" t="s">
        <v>22</v>
      </c>
      <c r="O799" t="s">
        <v>23</v>
      </c>
      <c r="P799" t="str">
        <f t="shared" si="268"/>
        <v>P0798</v>
      </c>
      <c r="Q799" t="str">
        <f t="shared" si="264"/>
        <v>Endocrinology</v>
      </c>
      <c r="R799">
        <f t="shared" si="265"/>
        <v>19</v>
      </c>
      <c r="S799" t="str">
        <f t="shared" ca="1" si="269"/>
        <v>No</v>
      </c>
      <c r="T799" t="str">
        <f t="shared" ca="1" si="270"/>
        <v>Severe</v>
      </c>
      <c r="U799" t="str">
        <f t="shared" ca="1" si="271"/>
        <v>ICU</v>
      </c>
      <c r="V799" t="str">
        <f t="shared" si="272"/>
        <v>BED0798</v>
      </c>
      <c r="W799" t="str">
        <f t="shared" ca="1" si="273"/>
        <v>Private</v>
      </c>
      <c r="X799" t="str">
        <f t="shared" si="274"/>
        <v>NUR048</v>
      </c>
      <c r="Y799" t="str">
        <f t="shared" ca="1" si="275"/>
        <v>Morning</v>
      </c>
      <c r="Z799" t="str">
        <f t="shared" ca="1" si="276"/>
        <v>Ventilator</v>
      </c>
      <c r="AA799" t="str">
        <f t="shared" ca="1" si="277"/>
        <v>Available</v>
      </c>
      <c r="AB799" t="str">
        <f t="shared" ca="1" si="278"/>
        <v>Pending</v>
      </c>
      <c r="AC799" t="str">
        <f t="shared" ca="1" si="279"/>
        <v>Credit Card</v>
      </c>
      <c r="AD799" t="str">
        <f t="shared" ca="1" si="280"/>
        <v>Yes</v>
      </c>
      <c r="AE799" t="str">
        <f t="shared" ca="1" si="281"/>
        <v>No</v>
      </c>
      <c r="AF799" t="str">
        <f t="shared" ca="1" si="282"/>
        <v>Transferred</v>
      </c>
      <c r="AG799" t="str">
        <f t="shared" ca="1" si="283"/>
        <v>West Coast</v>
      </c>
      <c r="AH799" t="str">
        <f t="shared" si="266"/>
        <v>August</v>
      </c>
      <c r="AI799">
        <f t="shared" si="267"/>
        <v>2019</v>
      </c>
      <c r="AJ799" t="str">
        <f t="shared" ca="1" si="284"/>
        <v>Occupied</v>
      </c>
      <c r="AK799">
        <f t="shared" ca="1" si="285"/>
        <v>1</v>
      </c>
    </row>
    <row r="800" spans="1:37" x14ac:dyDescent="0.3">
      <c r="A800" t="s">
        <v>5220</v>
      </c>
      <c r="B800">
        <v>57</v>
      </c>
      <c r="C800" t="s">
        <v>15</v>
      </c>
      <c r="D800" t="s">
        <v>33</v>
      </c>
      <c r="E800" t="s">
        <v>64</v>
      </c>
      <c r="F800" s="1">
        <v>45361</v>
      </c>
      <c r="G800" t="s">
        <v>1630</v>
      </c>
      <c r="H800" t="s">
        <v>1631</v>
      </c>
      <c r="I800" t="s">
        <v>28</v>
      </c>
      <c r="J800">
        <v>46085</v>
      </c>
      <c r="K800">
        <v>224</v>
      </c>
      <c r="L800" t="s">
        <v>21</v>
      </c>
      <c r="M800" s="1">
        <v>45373</v>
      </c>
      <c r="N800" t="s">
        <v>47</v>
      </c>
      <c r="O800" t="s">
        <v>43</v>
      </c>
      <c r="P800" t="str">
        <f t="shared" si="268"/>
        <v>P0799</v>
      </c>
      <c r="Q800" t="str">
        <f t="shared" si="264"/>
        <v>Cardiology</v>
      </c>
      <c r="R800">
        <f t="shared" si="265"/>
        <v>12</v>
      </c>
      <c r="S800" t="str">
        <f t="shared" ca="1" si="269"/>
        <v>No</v>
      </c>
      <c r="T800" t="str">
        <f t="shared" ca="1" si="270"/>
        <v>Critical</v>
      </c>
      <c r="U800" t="str">
        <f t="shared" ca="1" si="271"/>
        <v>Emergency</v>
      </c>
      <c r="V800" t="str">
        <f t="shared" si="272"/>
        <v>BED0799</v>
      </c>
      <c r="W800" t="str">
        <f t="shared" ca="1" si="273"/>
        <v>General</v>
      </c>
      <c r="X800" t="str">
        <f t="shared" si="274"/>
        <v>NUR049</v>
      </c>
      <c r="Y800" t="str">
        <f t="shared" ca="1" si="275"/>
        <v>Morning</v>
      </c>
      <c r="Z800" t="str">
        <f t="shared" ca="1" si="276"/>
        <v>Ventilator</v>
      </c>
      <c r="AA800" t="str">
        <f t="shared" ca="1" si="277"/>
        <v>Maintenance</v>
      </c>
      <c r="AB800" t="str">
        <f t="shared" ca="1" si="278"/>
        <v>Pending</v>
      </c>
      <c r="AC800" t="str">
        <f t="shared" ca="1" si="279"/>
        <v>Cash</v>
      </c>
      <c r="AD800" t="str">
        <f t="shared" ca="1" si="280"/>
        <v>No</v>
      </c>
      <c r="AE800" t="str">
        <f t="shared" ca="1" si="281"/>
        <v>Yes</v>
      </c>
      <c r="AF800" t="str">
        <f t="shared" ca="1" si="282"/>
        <v>Under Observation</v>
      </c>
      <c r="AG800" t="str">
        <f t="shared" ca="1" si="283"/>
        <v>Southeast</v>
      </c>
      <c r="AH800" t="str">
        <f t="shared" si="266"/>
        <v>March</v>
      </c>
      <c r="AI800">
        <f t="shared" si="267"/>
        <v>2024</v>
      </c>
      <c r="AJ800" t="str">
        <f t="shared" ca="1" si="284"/>
        <v>Occupied</v>
      </c>
      <c r="AK800">
        <f t="shared" ca="1" si="285"/>
        <v>4</v>
      </c>
    </row>
    <row r="801" spans="1:37" x14ac:dyDescent="0.3">
      <c r="A801" t="s">
        <v>5221</v>
      </c>
      <c r="B801">
        <v>49</v>
      </c>
      <c r="C801" t="s">
        <v>32</v>
      </c>
      <c r="D801" t="s">
        <v>52</v>
      </c>
      <c r="E801" t="s">
        <v>48</v>
      </c>
      <c r="F801" s="1">
        <v>44973</v>
      </c>
      <c r="G801" t="s">
        <v>1632</v>
      </c>
      <c r="H801" t="s">
        <v>1633</v>
      </c>
      <c r="I801" t="s">
        <v>36</v>
      </c>
      <c r="J801">
        <v>-1018</v>
      </c>
      <c r="K801">
        <v>204</v>
      </c>
      <c r="L801" t="s">
        <v>42</v>
      </c>
      <c r="M801" s="1">
        <v>44994</v>
      </c>
      <c r="N801" t="s">
        <v>47</v>
      </c>
      <c r="O801" t="s">
        <v>31</v>
      </c>
      <c r="P801" t="str">
        <f t="shared" si="268"/>
        <v>P0800</v>
      </c>
      <c r="Q801" t="str">
        <f t="shared" si="264"/>
        <v>Pulmonology</v>
      </c>
      <c r="R801">
        <f t="shared" si="265"/>
        <v>21</v>
      </c>
      <c r="S801" t="str">
        <f t="shared" ca="1" si="269"/>
        <v>No</v>
      </c>
      <c r="T801" t="str">
        <f t="shared" ca="1" si="270"/>
        <v>Mild</v>
      </c>
      <c r="U801" t="str">
        <f t="shared" ca="1" si="271"/>
        <v>General Ward</v>
      </c>
      <c r="V801" t="str">
        <f t="shared" si="272"/>
        <v>BED0800</v>
      </c>
      <c r="W801" t="str">
        <f t="shared" ca="1" si="273"/>
        <v>General</v>
      </c>
      <c r="X801" t="str">
        <f t="shared" si="274"/>
        <v>NUR050</v>
      </c>
      <c r="Y801" t="str">
        <f t="shared" ca="1" si="275"/>
        <v>Evening</v>
      </c>
      <c r="Z801" t="str">
        <f t="shared" ca="1" si="276"/>
        <v>Ventilator</v>
      </c>
      <c r="AA801" t="str">
        <f t="shared" ca="1" si="277"/>
        <v>In Use</v>
      </c>
      <c r="AB801" t="str">
        <f t="shared" ca="1" si="278"/>
        <v>Pending</v>
      </c>
      <c r="AC801" t="str">
        <f t="shared" ca="1" si="279"/>
        <v>Bank Transfer</v>
      </c>
      <c r="AD801" t="str">
        <f t="shared" ca="1" si="280"/>
        <v>Yes</v>
      </c>
      <c r="AE801" t="str">
        <f t="shared" ca="1" si="281"/>
        <v>No</v>
      </c>
      <c r="AF801" t="str">
        <f t="shared" ca="1" si="282"/>
        <v>Under Observation</v>
      </c>
      <c r="AG801" t="str">
        <f t="shared" ca="1" si="283"/>
        <v>Southwest</v>
      </c>
      <c r="AH801" t="str">
        <f t="shared" si="266"/>
        <v>February</v>
      </c>
      <c r="AI801">
        <f t="shared" si="267"/>
        <v>2023</v>
      </c>
      <c r="AJ801" t="str">
        <f t="shared" ca="1" si="284"/>
        <v>Occupied</v>
      </c>
      <c r="AK801">
        <f t="shared" ca="1" si="285"/>
        <v>2</v>
      </c>
    </row>
    <row r="802" spans="1:37" x14ac:dyDescent="0.3">
      <c r="A802" t="s">
        <v>5222</v>
      </c>
      <c r="B802">
        <v>49</v>
      </c>
      <c r="C802" t="s">
        <v>32</v>
      </c>
      <c r="D802" t="s">
        <v>98</v>
      </c>
      <c r="E802" t="s">
        <v>39</v>
      </c>
      <c r="F802" s="1">
        <v>45407</v>
      </c>
      <c r="G802" t="s">
        <v>1634</v>
      </c>
      <c r="H802" t="s">
        <v>1635</v>
      </c>
      <c r="I802" t="s">
        <v>36</v>
      </c>
      <c r="J802">
        <v>6657</v>
      </c>
      <c r="K802">
        <v>415</v>
      </c>
      <c r="L802" t="s">
        <v>42</v>
      </c>
      <c r="M802" s="1">
        <v>45426</v>
      </c>
      <c r="N802" t="s">
        <v>47</v>
      </c>
      <c r="O802" t="s">
        <v>43</v>
      </c>
      <c r="P802" t="str">
        <f t="shared" si="268"/>
        <v>P0801</v>
      </c>
      <c r="Q802" t="str">
        <f t="shared" si="264"/>
        <v>Endocrinology</v>
      </c>
      <c r="R802">
        <f t="shared" si="265"/>
        <v>19</v>
      </c>
      <c r="S802" t="str">
        <f t="shared" ca="1" si="269"/>
        <v>No</v>
      </c>
      <c r="T802" t="str">
        <f t="shared" ca="1" si="270"/>
        <v>Critical</v>
      </c>
      <c r="U802" t="str">
        <f t="shared" ca="1" si="271"/>
        <v>Semi-Private</v>
      </c>
      <c r="V802" t="str">
        <f t="shared" si="272"/>
        <v>BED0801</v>
      </c>
      <c r="W802" t="str">
        <f t="shared" ca="1" si="273"/>
        <v>ICU</v>
      </c>
      <c r="X802" t="str">
        <f t="shared" si="274"/>
        <v>NUR001</v>
      </c>
      <c r="Y802" t="str">
        <f t="shared" ca="1" si="275"/>
        <v>Morning</v>
      </c>
      <c r="Z802" t="str">
        <f t="shared" ca="1" si="276"/>
        <v>ECG Machine</v>
      </c>
      <c r="AA802" t="str">
        <f t="shared" ca="1" si="277"/>
        <v>Available</v>
      </c>
      <c r="AB802" t="str">
        <f t="shared" ca="1" si="278"/>
        <v>Partially Paid</v>
      </c>
      <c r="AC802" t="str">
        <f t="shared" ca="1" si="279"/>
        <v>Credit Card</v>
      </c>
      <c r="AD802" t="str">
        <f t="shared" ca="1" si="280"/>
        <v>Yes</v>
      </c>
      <c r="AE802" t="str">
        <f t="shared" ca="1" si="281"/>
        <v>No</v>
      </c>
      <c r="AF802" t="str">
        <f t="shared" ca="1" si="282"/>
        <v>Recovered</v>
      </c>
      <c r="AG802" t="str">
        <f t="shared" ca="1" si="283"/>
        <v>Southwest</v>
      </c>
      <c r="AH802" t="str">
        <f t="shared" si="266"/>
        <v>April</v>
      </c>
      <c r="AI802">
        <f t="shared" si="267"/>
        <v>2024</v>
      </c>
      <c r="AJ802" t="str">
        <f t="shared" ca="1" si="284"/>
        <v>Vacant</v>
      </c>
      <c r="AK802">
        <f t="shared" ca="1" si="285"/>
        <v>2</v>
      </c>
    </row>
    <row r="803" spans="1:37" x14ac:dyDescent="0.3">
      <c r="A803" t="s">
        <v>5223</v>
      </c>
      <c r="B803">
        <v>65</v>
      </c>
      <c r="C803" t="s">
        <v>32</v>
      </c>
      <c r="D803" t="s">
        <v>16</v>
      </c>
      <c r="E803" t="s">
        <v>48</v>
      </c>
      <c r="F803" s="1">
        <v>45194</v>
      </c>
      <c r="G803" t="s">
        <v>1636</v>
      </c>
      <c r="H803" t="s">
        <v>1637</v>
      </c>
      <c r="I803" t="s">
        <v>51</v>
      </c>
      <c r="J803">
        <v>39357</v>
      </c>
      <c r="K803">
        <v>409</v>
      </c>
      <c r="L803" t="s">
        <v>21</v>
      </c>
      <c r="M803" s="1">
        <v>45212</v>
      </c>
      <c r="N803" t="s">
        <v>67</v>
      </c>
      <c r="O803" t="s">
        <v>23</v>
      </c>
      <c r="P803" t="str">
        <f t="shared" si="268"/>
        <v>P0802</v>
      </c>
      <c r="Q803" t="str">
        <f t="shared" si="264"/>
        <v>Pulmonology</v>
      </c>
      <c r="R803">
        <f t="shared" si="265"/>
        <v>18</v>
      </c>
      <c r="S803" t="str">
        <f t="shared" ca="1" si="269"/>
        <v>No</v>
      </c>
      <c r="T803" t="str">
        <f t="shared" ca="1" si="270"/>
        <v>Severe</v>
      </c>
      <c r="U803" t="str">
        <f t="shared" ca="1" si="271"/>
        <v>Emergency</v>
      </c>
      <c r="V803" t="str">
        <f t="shared" si="272"/>
        <v>BED0802</v>
      </c>
      <c r="W803" t="str">
        <f t="shared" ca="1" si="273"/>
        <v>Semi-Private</v>
      </c>
      <c r="X803" t="str">
        <f t="shared" si="274"/>
        <v>NUR002</v>
      </c>
      <c r="Y803" t="str">
        <f t="shared" ca="1" si="275"/>
        <v>Morning</v>
      </c>
      <c r="Z803" t="str">
        <f t="shared" ca="1" si="276"/>
        <v>X-Ray</v>
      </c>
      <c r="AA803" t="str">
        <f t="shared" ca="1" si="277"/>
        <v>In Use</v>
      </c>
      <c r="AB803" t="str">
        <f t="shared" ca="1" si="278"/>
        <v>Pending</v>
      </c>
      <c r="AC803" t="str">
        <f t="shared" ca="1" si="279"/>
        <v>Cash</v>
      </c>
      <c r="AD803" t="str">
        <f t="shared" ca="1" si="280"/>
        <v>No</v>
      </c>
      <c r="AE803" t="str">
        <f t="shared" ca="1" si="281"/>
        <v>No</v>
      </c>
      <c r="AF803" t="str">
        <f t="shared" ca="1" si="282"/>
        <v>Recovered</v>
      </c>
      <c r="AG803" t="str">
        <f t="shared" ca="1" si="283"/>
        <v>Southwest</v>
      </c>
      <c r="AH803" t="str">
        <f t="shared" si="266"/>
        <v>September</v>
      </c>
      <c r="AI803">
        <f t="shared" si="267"/>
        <v>2023</v>
      </c>
      <c r="AJ803" t="str">
        <f t="shared" ca="1" si="284"/>
        <v>Vacant</v>
      </c>
      <c r="AK803">
        <f t="shared" ca="1" si="285"/>
        <v>4</v>
      </c>
    </row>
    <row r="804" spans="1:37" x14ac:dyDescent="0.3">
      <c r="A804" t="s">
        <v>5224</v>
      </c>
      <c r="B804">
        <v>59</v>
      </c>
      <c r="C804" t="s">
        <v>32</v>
      </c>
      <c r="D804" t="s">
        <v>52</v>
      </c>
      <c r="E804" t="s">
        <v>76</v>
      </c>
      <c r="F804" s="1">
        <v>44816</v>
      </c>
      <c r="G804" t="s">
        <v>1638</v>
      </c>
      <c r="H804" t="s">
        <v>1639</v>
      </c>
      <c r="I804" t="s">
        <v>57</v>
      </c>
      <c r="J804">
        <v>23155</v>
      </c>
      <c r="K804">
        <v>418</v>
      </c>
      <c r="L804" t="s">
        <v>29</v>
      </c>
      <c r="M804" s="1">
        <v>44825</v>
      </c>
      <c r="N804" t="s">
        <v>37</v>
      </c>
      <c r="O804" t="s">
        <v>23</v>
      </c>
      <c r="P804" t="str">
        <f t="shared" si="268"/>
        <v>P0803</v>
      </c>
      <c r="Q804" t="str">
        <f t="shared" si="264"/>
        <v>Orthopedics</v>
      </c>
      <c r="R804">
        <f t="shared" si="265"/>
        <v>9</v>
      </c>
      <c r="S804" t="str">
        <f t="shared" ca="1" si="269"/>
        <v>No</v>
      </c>
      <c r="T804" t="str">
        <f t="shared" ca="1" si="270"/>
        <v>Critical</v>
      </c>
      <c r="U804" t="str">
        <f t="shared" ca="1" si="271"/>
        <v>Private Ward</v>
      </c>
      <c r="V804" t="str">
        <f t="shared" si="272"/>
        <v>BED0803</v>
      </c>
      <c r="W804" t="str">
        <f t="shared" ca="1" si="273"/>
        <v>Private</v>
      </c>
      <c r="X804" t="str">
        <f t="shared" si="274"/>
        <v>NUR003</v>
      </c>
      <c r="Y804" t="str">
        <f t="shared" ca="1" si="275"/>
        <v>Evening</v>
      </c>
      <c r="Z804" t="str">
        <f t="shared" ca="1" si="276"/>
        <v>MRI Scanner</v>
      </c>
      <c r="AA804" t="str">
        <f t="shared" ca="1" si="277"/>
        <v>Available</v>
      </c>
      <c r="AB804" t="str">
        <f t="shared" ca="1" si="278"/>
        <v>Pending</v>
      </c>
      <c r="AC804" t="str">
        <f t="shared" ca="1" si="279"/>
        <v>Credit Card</v>
      </c>
      <c r="AD804" t="str">
        <f t="shared" ca="1" si="280"/>
        <v>Yes</v>
      </c>
      <c r="AE804" t="str">
        <f t="shared" ca="1" si="281"/>
        <v>Yes</v>
      </c>
      <c r="AF804" t="str">
        <f t="shared" ca="1" si="282"/>
        <v>Under Observation</v>
      </c>
      <c r="AG804" t="str">
        <f t="shared" ca="1" si="283"/>
        <v>Southwest</v>
      </c>
      <c r="AH804" t="str">
        <f t="shared" si="266"/>
        <v>September</v>
      </c>
      <c r="AI804">
        <f t="shared" si="267"/>
        <v>2022</v>
      </c>
      <c r="AJ804" t="str">
        <f t="shared" ca="1" si="284"/>
        <v>Occupied</v>
      </c>
      <c r="AK804">
        <f t="shared" ca="1" si="285"/>
        <v>2</v>
      </c>
    </row>
    <row r="805" spans="1:37" x14ac:dyDescent="0.3">
      <c r="A805" t="s">
        <v>5225</v>
      </c>
      <c r="B805">
        <v>82</v>
      </c>
      <c r="C805" t="s">
        <v>15</v>
      </c>
      <c r="D805" t="s">
        <v>38</v>
      </c>
      <c r="E805" t="s">
        <v>39</v>
      </c>
      <c r="F805" s="1">
        <v>43646</v>
      </c>
      <c r="G805" t="s">
        <v>1640</v>
      </c>
      <c r="H805" t="s">
        <v>1641</v>
      </c>
      <c r="I805" t="s">
        <v>51</v>
      </c>
      <c r="J805">
        <v>6654</v>
      </c>
      <c r="K805">
        <v>449</v>
      </c>
      <c r="L805" t="s">
        <v>29</v>
      </c>
      <c r="M805" s="1">
        <v>43668</v>
      </c>
      <c r="N805" t="s">
        <v>47</v>
      </c>
      <c r="O805" t="s">
        <v>23</v>
      </c>
      <c r="P805" t="str">
        <f t="shared" si="268"/>
        <v>P0804</v>
      </c>
      <c r="Q805" t="str">
        <f t="shared" si="264"/>
        <v>Endocrinology</v>
      </c>
      <c r="R805">
        <f t="shared" si="265"/>
        <v>22</v>
      </c>
      <c r="S805" t="str">
        <f t="shared" ca="1" si="269"/>
        <v>No</v>
      </c>
      <c r="T805" t="str">
        <f t="shared" ca="1" si="270"/>
        <v>Critical</v>
      </c>
      <c r="U805" t="str">
        <f t="shared" ca="1" si="271"/>
        <v>Private Ward</v>
      </c>
      <c r="V805" t="str">
        <f t="shared" si="272"/>
        <v>BED0804</v>
      </c>
      <c r="W805" t="str">
        <f t="shared" ca="1" si="273"/>
        <v>Private</v>
      </c>
      <c r="X805" t="str">
        <f t="shared" si="274"/>
        <v>NUR004</v>
      </c>
      <c r="Y805" t="str">
        <f t="shared" ca="1" si="275"/>
        <v>Evening</v>
      </c>
      <c r="Z805" t="str">
        <f t="shared" ca="1" si="276"/>
        <v>CT Scanner</v>
      </c>
      <c r="AA805" t="str">
        <f t="shared" ca="1" si="277"/>
        <v>Maintenance</v>
      </c>
      <c r="AB805" t="str">
        <f t="shared" ca="1" si="278"/>
        <v>Partially Paid</v>
      </c>
      <c r="AC805" t="str">
        <f t="shared" ca="1" si="279"/>
        <v>Cash</v>
      </c>
      <c r="AD805" t="str">
        <f t="shared" ca="1" si="280"/>
        <v>No</v>
      </c>
      <c r="AE805" t="str">
        <f t="shared" ca="1" si="281"/>
        <v>No</v>
      </c>
      <c r="AF805" t="str">
        <f t="shared" ca="1" si="282"/>
        <v>Recovered</v>
      </c>
      <c r="AG805" t="str">
        <f t="shared" ca="1" si="283"/>
        <v>Midwest</v>
      </c>
      <c r="AH805" t="str">
        <f t="shared" si="266"/>
        <v>June</v>
      </c>
      <c r="AI805">
        <f t="shared" si="267"/>
        <v>2019</v>
      </c>
      <c r="AJ805" t="str">
        <f t="shared" ca="1" si="284"/>
        <v>Vacant</v>
      </c>
      <c r="AK805">
        <f t="shared" ca="1" si="285"/>
        <v>1</v>
      </c>
    </row>
    <row r="806" spans="1:37" x14ac:dyDescent="0.3">
      <c r="A806" t="s">
        <v>5226</v>
      </c>
      <c r="B806">
        <v>31</v>
      </c>
      <c r="C806" t="s">
        <v>15</v>
      </c>
      <c r="D806" t="s">
        <v>16</v>
      </c>
      <c r="E806" t="s">
        <v>39</v>
      </c>
      <c r="F806" s="1">
        <v>44969</v>
      </c>
      <c r="G806" t="s">
        <v>1642</v>
      </c>
      <c r="H806" t="s">
        <v>1643</v>
      </c>
      <c r="I806" t="s">
        <v>57</v>
      </c>
      <c r="J806">
        <v>15328</v>
      </c>
      <c r="K806">
        <v>397</v>
      </c>
      <c r="L806" t="s">
        <v>21</v>
      </c>
      <c r="M806" s="1">
        <v>44984</v>
      </c>
      <c r="N806" t="s">
        <v>47</v>
      </c>
      <c r="O806" t="s">
        <v>31</v>
      </c>
      <c r="P806" t="str">
        <f t="shared" si="268"/>
        <v>P0805</v>
      </c>
      <c r="Q806" t="str">
        <f t="shared" si="264"/>
        <v>Endocrinology</v>
      </c>
      <c r="R806">
        <f t="shared" si="265"/>
        <v>15</v>
      </c>
      <c r="S806" t="str">
        <f t="shared" ca="1" si="269"/>
        <v>No</v>
      </c>
      <c r="T806" t="str">
        <f t="shared" ca="1" si="270"/>
        <v>Mild</v>
      </c>
      <c r="U806" t="str">
        <f t="shared" ca="1" si="271"/>
        <v>Private Ward</v>
      </c>
      <c r="V806" t="str">
        <f t="shared" si="272"/>
        <v>BED0805</v>
      </c>
      <c r="W806" t="str">
        <f t="shared" ca="1" si="273"/>
        <v>Semi-Private</v>
      </c>
      <c r="X806" t="str">
        <f t="shared" si="274"/>
        <v>NUR005</v>
      </c>
      <c r="Y806" t="str">
        <f t="shared" ca="1" si="275"/>
        <v>Night</v>
      </c>
      <c r="Z806" t="str">
        <f t="shared" ca="1" si="276"/>
        <v>CT Scanner</v>
      </c>
      <c r="AA806" t="str">
        <f t="shared" ca="1" si="277"/>
        <v>Available</v>
      </c>
      <c r="AB806" t="str">
        <f t="shared" ca="1" si="278"/>
        <v>Paid</v>
      </c>
      <c r="AC806" t="str">
        <f t="shared" ca="1" si="279"/>
        <v>Cash</v>
      </c>
      <c r="AD806" t="str">
        <f t="shared" ca="1" si="280"/>
        <v>Yes</v>
      </c>
      <c r="AE806" t="str">
        <f t="shared" ca="1" si="281"/>
        <v>No</v>
      </c>
      <c r="AF806" t="str">
        <f t="shared" ca="1" si="282"/>
        <v>Recovered</v>
      </c>
      <c r="AG806" t="str">
        <f t="shared" ca="1" si="283"/>
        <v>Southwest</v>
      </c>
      <c r="AH806" t="str">
        <f t="shared" si="266"/>
        <v>February</v>
      </c>
      <c r="AI806">
        <f t="shared" si="267"/>
        <v>2023</v>
      </c>
      <c r="AJ806" t="str">
        <f t="shared" ca="1" si="284"/>
        <v>Vacant</v>
      </c>
      <c r="AK806">
        <f t="shared" ca="1" si="285"/>
        <v>1</v>
      </c>
    </row>
    <row r="807" spans="1:37" x14ac:dyDescent="0.3">
      <c r="A807" t="s">
        <v>5227</v>
      </c>
      <c r="B807">
        <v>63</v>
      </c>
      <c r="C807" t="s">
        <v>32</v>
      </c>
      <c r="D807" t="s">
        <v>52</v>
      </c>
      <c r="E807" t="s">
        <v>25</v>
      </c>
      <c r="F807" s="1">
        <v>43853</v>
      </c>
      <c r="G807" t="s">
        <v>1644</v>
      </c>
      <c r="H807" t="s">
        <v>1645</v>
      </c>
      <c r="I807" t="s">
        <v>57</v>
      </c>
      <c r="J807">
        <v>31458</v>
      </c>
      <c r="K807">
        <v>316</v>
      </c>
      <c r="L807" t="s">
        <v>42</v>
      </c>
      <c r="M807" s="1">
        <v>43862</v>
      </c>
      <c r="N807" t="s">
        <v>37</v>
      </c>
      <c r="O807" t="s">
        <v>23</v>
      </c>
      <c r="P807" t="str">
        <f t="shared" si="268"/>
        <v>P0806</v>
      </c>
      <c r="Q807" t="str">
        <f t="shared" si="264"/>
        <v>Nutrition</v>
      </c>
      <c r="R807">
        <f t="shared" si="265"/>
        <v>9</v>
      </c>
      <c r="S807" t="str">
        <f t="shared" ca="1" si="269"/>
        <v>No</v>
      </c>
      <c r="T807" t="str">
        <f t="shared" ca="1" si="270"/>
        <v>Critical</v>
      </c>
      <c r="U807" t="str">
        <f t="shared" ca="1" si="271"/>
        <v>ICU</v>
      </c>
      <c r="V807" t="str">
        <f t="shared" si="272"/>
        <v>BED0806</v>
      </c>
      <c r="W807" t="str">
        <f t="shared" ca="1" si="273"/>
        <v>Private</v>
      </c>
      <c r="X807" t="str">
        <f t="shared" si="274"/>
        <v>NUR006</v>
      </c>
      <c r="Y807" t="str">
        <f t="shared" ca="1" si="275"/>
        <v>Night</v>
      </c>
      <c r="Z807" t="str">
        <f t="shared" ca="1" si="276"/>
        <v>ECG Machine</v>
      </c>
      <c r="AA807" t="str">
        <f t="shared" ca="1" si="277"/>
        <v>Maintenance</v>
      </c>
      <c r="AB807" t="str">
        <f t="shared" ca="1" si="278"/>
        <v>Partially Paid</v>
      </c>
      <c r="AC807" t="str">
        <f t="shared" ca="1" si="279"/>
        <v>Credit Card</v>
      </c>
      <c r="AD807" t="str">
        <f t="shared" ca="1" si="280"/>
        <v>No</v>
      </c>
      <c r="AE807" t="str">
        <f t="shared" ca="1" si="281"/>
        <v>No</v>
      </c>
      <c r="AF807" t="str">
        <f t="shared" ca="1" si="282"/>
        <v>Recovered</v>
      </c>
      <c r="AG807" t="str">
        <f t="shared" ca="1" si="283"/>
        <v>Southeast</v>
      </c>
      <c r="AH807" t="str">
        <f t="shared" si="266"/>
        <v>January</v>
      </c>
      <c r="AI807">
        <f t="shared" si="267"/>
        <v>2020</v>
      </c>
      <c r="AJ807" t="str">
        <f t="shared" ca="1" si="284"/>
        <v>Occupied</v>
      </c>
      <c r="AK807">
        <f t="shared" ca="1" si="285"/>
        <v>2</v>
      </c>
    </row>
    <row r="808" spans="1:37" x14ac:dyDescent="0.3">
      <c r="A808" t="s">
        <v>5228</v>
      </c>
      <c r="B808">
        <v>78</v>
      </c>
      <c r="C808" t="s">
        <v>15</v>
      </c>
      <c r="D808" t="s">
        <v>44</v>
      </c>
      <c r="E808" t="s">
        <v>48</v>
      </c>
      <c r="F808" s="1">
        <v>44890</v>
      </c>
      <c r="G808" t="s">
        <v>1646</v>
      </c>
      <c r="H808" t="s">
        <v>1647</v>
      </c>
      <c r="I808" t="s">
        <v>36</v>
      </c>
      <c r="J808">
        <v>21875</v>
      </c>
      <c r="K808">
        <v>137</v>
      </c>
      <c r="L808" t="s">
        <v>42</v>
      </c>
      <c r="M808" s="1">
        <v>44906</v>
      </c>
      <c r="N808" t="s">
        <v>47</v>
      </c>
      <c r="O808" t="s">
        <v>31</v>
      </c>
      <c r="P808" t="str">
        <f t="shared" si="268"/>
        <v>P0807</v>
      </c>
      <c r="Q808" t="str">
        <f t="shared" si="264"/>
        <v>Pulmonology</v>
      </c>
      <c r="R808">
        <f t="shared" si="265"/>
        <v>16</v>
      </c>
      <c r="S808" t="str">
        <f t="shared" ca="1" si="269"/>
        <v>No</v>
      </c>
      <c r="T808" t="str">
        <f t="shared" ca="1" si="270"/>
        <v>Moderate</v>
      </c>
      <c r="U808" t="str">
        <f t="shared" ca="1" si="271"/>
        <v>Private Ward</v>
      </c>
      <c r="V808" t="str">
        <f t="shared" si="272"/>
        <v>BED0807</v>
      </c>
      <c r="W808" t="str">
        <f t="shared" ca="1" si="273"/>
        <v>Private</v>
      </c>
      <c r="X808" t="str">
        <f t="shared" si="274"/>
        <v>NUR007</v>
      </c>
      <c r="Y808" t="str">
        <f t="shared" ca="1" si="275"/>
        <v>Night</v>
      </c>
      <c r="Z808" t="str">
        <f t="shared" ca="1" si="276"/>
        <v>ECG Machine</v>
      </c>
      <c r="AA808" t="str">
        <f t="shared" ca="1" si="277"/>
        <v>Available</v>
      </c>
      <c r="AB808" t="str">
        <f t="shared" ca="1" si="278"/>
        <v>Pending</v>
      </c>
      <c r="AC808" t="str">
        <f t="shared" ca="1" si="279"/>
        <v>Cash</v>
      </c>
      <c r="AD808" t="str">
        <f t="shared" ca="1" si="280"/>
        <v>Yes</v>
      </c>
      <c r="AE808" t="str">
        <f t="shared" ca="1" si="281"/>
        <v>No</v>
      </c>
      <c r="AF808" t="str">
        <f t="shared" ca="1" si="282"/>
        <v>Transferred</v>
      </c>
      <c r="AG808" t="str">
        <f t="shared" ca="1" si="283"/>
        <v>Midwest</v>
      </c>
      <c r="AH808" t="str">
        <f t="shared" si="266"/>
        <v>November</v>
      </c>
      <c r="AI808">
        <f t="shared" si="267"/>
        <v>2022</v>
      </c>
      <c r="AJ808" t="str">
        <f t="shared" ca="1" si="284"/>
        <v>Occupied</v>
      </c>
      <c r="AK808">
        <f t="shared" ca="1" si="285"/>
        <v>1</v>
      </c>
    </row>
    <row r="809" spans="1:37" x14ac:dyDescent="0.3">
      <c r="A809" t="s">
        <v>5229</v>
      </c>
      <c r="B809">
        <v>25</v>
      </c>
      <c r="C809" t="s">
        <v>32</v>
      </c>
      <c r="D809" t="s">
        <v>24</v>
      </c>
      <c r="E809" t="s">
        <v>39</v>
      </c>
      <c r="F809" s="1">
        <v>44237</v>
      </c>
      <c r="G809" t="s">
        <v>1648</v>
      </c>
      <c r="H809" t="s">
        <v>1649</v>
      </c>
      <c r="I809" t="s">
        <v>36</v>
      </c>
      <c r="J809">
        <v>49635</v>
      </c>
      <c r="K809">
        <v>138</v>
      </c>
      <c r="L809" t="s">
        <v>42</v>
      </c>
      <c r="M809" s="1">
        <v>44244</v>
      </c>
      <c r="N809" t="s">
        <v>67</v>
      </c>
      <c r="O809" t="s">
        <v>23</v>
      </c>
      <c r="P809" t="str">
        <f t="shared" si="268"/>
        <v>P0808</v>
      </c>
      <c r="Q809" t="str">
        <f t="shared" si="264"/>
        <v>Endocrinology</v>
      </c>
      <c r="R809">
        <f t="shared" si="265"/>
        <v>7</v>
      </c>
      <c r="S809" t="str">
        <f t="shared" ca="1" si="269"/>
        <v>No</v>
      </c>
      <c r="T809" t="str">
        <f t="shared" ca="1" si="270"/>
        <v>Mild</v>
      </c>
      <c r="U809" t="str">
        <f t="shared" ca="1" si="271"/>
        <v>Emergency</v>
      </c>
      <c r="V809" t="str">
        <f t="shared" si="272"/>
        <v>BED0808</v>
      </c>
      <c r="W809" t="str">
        <f t="shared" ca="1" si="273"/>
        <v>General</v>
      </c>
      <c r="X809" t="str">
        <f t="shared" si="274"/>
        <v>NUR008</v>
      </c>
      <c r="Y809" t="str">
        <f t="shared" ca="1" si="275"/>
        <v>Night</v>
      </c>
      <c r="Z809" t="str">
        <f t="shared" ca="1" si="276"/>
        <v>Ultrasound</v>
      </c>
      <c r="AA809" t="str">
        <f t="shared" ca="1" si="277"/>
        <v>Available</v>
      </c>
      <c r="AB809" t="str">
        <f t="shared" ca="1" si="278"/>
        <v>Paid</v>
      </c>
      <c r="AC809" t="str">
        <f t="shared" ca="1" si="279"/>
        <v>Debit Card</v>
      </c>
      <c r="AD809" t="str">
        <f t="shared" ca="1" si="280"/>
        <v>No</v>
      </c>
      <c r="AE809" t="str">
        <f t="shared" ca="1" si="281"/>
        <v>Yes</v>
      </c>
      <c r="AF809" t="str">
        <f t="shared" ca="1" si="282"/>
        <v>Transferred</v>
      </c>
      <c r="AG809" t="str">
        <f t="shared" ca="1" si="283"/>
        <v>West Coast</v>
      </c>
      <c r="AH809" t="str">
        <f t="shared" si="266"/>
        <v>February</v>
      </c>
      <c r="AI809">
        <f t="shared" si="267"/>
        <v>2021</v>
      </c>
      <c r="AJ809" t="str">
        <f t="shared" ca="1" si="284"/>
        <v>Vacant</v>
      </c>
      <c r="AK809">
        <f t="shared" ca="1" si="285"/>
        <v>1</v>
      </c>
    </row>
    <row r="810" spans="1:37" x14ac:dyDescent="0.3">
      <c r="A810" t="s">
        <v>5230</v>
      </c>
      <c r="B810">
        <v>66</v>
      </c>
      <c r="C810" t="s">
        <v>15</v>
      </c>
      <c r="D810" t="s">
        <v>52</v>
      </c>
      <c r="E810" t="s">
        <v>17</v>
      </c>
      <c r="F810" s="1">
        <v>44956</v>
      </c>
      <c r="G810" t="s">
        <v>1650</v>
      </c>
      <c r="H810" t="s">
        <v>1651</v>
      </c>
      <c r="I810" t="s">
        <v>28</v>
      </c>
      <c r="J810">
        <v>41414</v>
      </c>
      <c r="K810">
        <v>323</v>
      </c>
      <c r="L810" t="s">
        <v>29</v>
      </c>
      <c r="M810" s="1">
        <v>44984</v>
      </c>
      <c r="N810" t="s">
        <v>30</v>
      </c>
      <c r="O810" t="s">
        <v>31</v>
      </c>
      <c r="P810" t="str">
        <f t="shared" si="268"/>
        <v>P0809</v>
      </c>
      <c r="Q810" t="str">
        <f t="shared" si="264"/>
        <v>Oncology</v>
      </c>
      <c r="R810">
        <f t="shared" si="265"/>
        <v>28</v>
      </c>
      <c r="S810" t="str">
        <f t="shared" ca="1" si="269"/>
        <v>No</v>
      </c>
      <c r="T810" t="str">
        <f t="shared" ca="1" si="270"/>
        <v>Mild</v>
      </c>
      <c r="U810" t="str">
        <f t="shared" ca="1" si="271"/>
        <v>Emergency</v>
      </c>
      <c r="V810" t="str">
        <f t="shared" si="272"/>
        <v>BED0809</v>
      </c>
      <c r="W810" t="str">
        <f t="shared" ca="1" si="273"/>
        <v>Private</v>
      </c>
      <c r="X810" t="str">
        <f t="shared" si="274"/>
        <v>NUR009</v>
      </c>
      <c r="Y810" t="str">
        <f t="shared" ca="1" si="275"/>
        <v>Evening</v>
      </c>
      <c r="Z810" t="str">
        <f t="shared" ca="1" si="276"/>
        <v>MRI Scanner</v>
      </c>
      <c r="AA810" t="str">
        <f t="shared" ca="1" si="277"/>
        <v>Available</v>
      </c>
      <c r="AB810" t="str">
        <f t="shared" ca="1" si="278"/>
        <v>Paid</v>
      </c>
      <c r="AC810" t="str">
        <f t="shared" ca="1" si="279"/>
        <v>Cash</v>
      </c>
      <c r="AD810" t="str">
        <f t="shared" ca="1" si="280"/>
        <v>No</v>
      </c>
      <c r="AE810" t="str">
        <f t="shared" ca="1" si="281"/>
        <v>No</v>
      </c>
      <c r="AF810" t="str">
        <f t="shared" ca="1" si="282"/>
        <v>Recovered</v>
      </c>
      <c r="AG810" t="str">
        <f t="shared" ca="1" si="283"/>
        <v>Midwest</v>
      </c>
      <c r="AH810" t="str">
        <f t="shared" si="266"/>
        <v>January</v>
      </c>
      <c r="AI810">
        <f t="shared" si="267"/>
        <v>2023</v>
      </c>
      <c r="AJ810" t="str">
        <f t="shared" ca="1" si="284"/>
        <v>Occupied</v>
      </c>
      <c r="AK810">
        <f t="shared" ca="1" si="285"/>
        <v>1</v>
      </c>
    </row>
    <row r="811" spans="1:37" x14ac:dyDescent="0.3">
      <c r="A811" t="s">
        <v>5231</v>
      </c>
      <c r="B811">
        <v>58</v>
      </c>
      <c r="C811" t="s">
        <v>15</v>
      </c>
      <c r="D811" t="s">
        <v>38</v>
      </c>
      <c r="E811" t="s">
        <v>76</v>
      </c>
      <c r="F811" s="1">
        <v>43701</v>
      </c>
      <c r="G811" t="s">
        <v>1652</v>
      </c>
      <c r="H811" t="s">
        <v>1653</v>
      </c>
      <c r="I811" t="s">
        <v>36</v>
      </c>
      <c r="J811">
        <v>16353</v>
      </c>
      <c r="K811">
        <v>478</v>
      </c>
      <c r="L811" t="s">
        <v>21</v>
      </c>
      <c r="M811" s="1">
        <v>43725</v>
      </c>
      <c r="N811" t="s">
        <v>37</v>
      </c>
      <c r="O811" t="s">
        <v>23</v>
      </c>
      <c r="P811" t="str">
        <f t="shared" si="268"/>
        <v>P0810</v>
      </c>
      <c r="Q811" t="str">
        <f t="shared" si="264"/>
        <v>Orthopedics</v>
      </c>
      <c r="R811">
        <f t="shared" si="265"/>
        <v>24</v>
      </c>
      <c r="S811" t="str">
        <f t="shared" ca="1" si="269"/>
        <v>No</v>
      </c>
      <c r="T811" t="str">
        <f t="shared" ca="1" si="270"/>
        <v>Severe</v>
      </c>
      <c r="U811" t="str">
        <f t="shared" ca="1" si="271"/>
        <v>General Ward</v>
      </c>
      <c r="V811" t="str">
        <f t="shared" si="272"/>
        <v>BED0810</v>
      </c>
      <c r="W811" t="str">
        <f t="shared" ca="1" si="273"/>
        <v>General</v>
      </c>
      <c r="X811" t="str">
        <f t="shared" si="274"/>
        <v>NUR010</v>
      </c>
      <c r="Y811" t="str">
        <f t="shared" ca="1" si="275"/>
        <v>Morning</v>
      </c>
      <c r="Z811" t="str">
        <f t="shared" ca="1" si="276"/>
        <v>Ultrasound</v>
      </c>
      <c r="AA811" t="str">
        <f t="shared" ca="1" si="277"/>
        <v>Available</v>
      </c>
      <c r="AB811" t="str">
        <f t="shared" ca="1" si="278"/>
        <v>Pending</v>
      </c>
      <c r="AC811" t="str">
        <f t="shared" ca="1" si="279"/>
        <v>Cash</v>
      </c>
      <c r="AD811" t="str">
        <f t="shared" ca="1" si="280"/>
        <v>No</v>
      </c>
      <c r="AE811" t="str">
        <f t="shared" ca="1" si="281"/>
        <v>No</v>
      </c>
      <c r="AF811" t="str">
        <f t="shared" ca="1" si="282"/>
        <v>Transferred</v>
      </c>
      <c r="AG811" t="str">
        <f t="shared" ca="1" si="283"/>
        <v>Southeast</v>
      </c>
      <c r="AH811" t="str">
        <f t="shared" si="266"/>
        <v>August</v>
      </c>
      <c r="AI811">
        <f t="shared" si="267"/>
        <v>2019</v>
      </c>
      <c r="AJ811" t="str">
        <f t="shared" ca="1" si="284"/>
        <v>Occupied</v>
      </c>
      <c r="AK811">
        <f t="shared" ca="1" si="285"/>
        <v>4</v>
      </c>
    </row>
    <row r="812" spans="1:37" x14ac:dyDescent="0.3">
      <c r="A812" t="s">
        <v>5232</v>
      </c>
      <c r="B812">
        <v>28</v>
      </c>
      <c r="C812" t="s">
        <v>32</v>
      </c>
      <c r="D812" t="s">
        <v>24</v>
      </c>
      <c r="E812" t="s">
        <v>76</v>
      </c>
      <c r="F812" s="1">
        <v>45327</v>
      </c>
      <c r="G812" t="s">
        <v>1654</v>
      </c>
      <c r="H812" t="s">
        <v>1655</v>
      </c>
      <c r="I812" t="s">
        <v>51</v>
      </c>
      <c r="J812">
        <v>1806</v>
      </c>
      <c r="K812">
        <v>205</v>
      </c>
      <c r="L812" t="s">
        <v>21</v>
      </c>
      <c r="M812" s="1">
        <v>45328</v>
      </c>
      <c r="N812" t="s">
        <v>47</v>
      </c>
      <c r="O812" t="s">
        <v>23</v>
      </c>
      <c r="P812" t="str">
        <f t="shared" si="268"/>
        <v>P0811</v>
      </c>
      <c r="Q812" t="str">
        <f t="shared" si="264"/>
        <v>Orthopedics</v>
      </c>
      <c r="R812">
        <f t="shared" si="265"/>
        <v>1</v>
      </c>
      <c r="S812" t="str">
        <f t="shared" ca="1" si="269"/>
        <v>No</v>
      </c>
      <c r="T812" t="str">
        <f t="shared" ca="1" si="270"/>
        <v>Moderate</v>
      </c>
      <c r="U812" t="str">
        <f t="shared" ca="1" si="271"/>
        <v>Private Ward</v>
      </c>
      <c r="V812" t="str">
        <f t="shared" si="272"/>
        <v>BED0811</v>
      </c>
      <c r="W812" t="str">
        <f t="shared" ca="1" si="273"/>
        <v>Private</v>
      </c>
      <c r="X812" t="str">
        <f t="shared" si="274"/>
        <v>NUR011</v>
      </c>
      <c r="Y812" t="str">
        <f t="shared" ca="1" si="275"/>
        <v>Morning</v>
      </c>
      <c r="Z812" t="str">
        <f t="shared" ca="1" si="276"/>
        <v>Ventilator</v>
      </c>
      <c r="AA812" t="str">
        <f t="shared" ca="1" si="277"/>
        <v>In Use</v>
      </c>
      <c r="AB812" t="str">
        <f t="shared" ca="1" si="278"/>
        <v>Partially Paid</v>
      </c>
      <c r="AC812" t="str">
        <f t="shared" ca="1" si="279"/>
        <v>Debit Card</v>
      </c>
      <c r="AD812" t="str">
        <f t="shared" ca="1" si="280"/>
        <v>No</v>
      </c>
      <c r="AE812" t="str">
        <f t="shared" ca="1" si="281"/>
        <v>No</v>
      </c>
      <c r="AF812" t="str">
        <f t="shared" ca="1" si="282"/>
        <v>Recovered</v>
      </c>
      <c r="AG812" t="str">
        <f t="shared" ca="1" si="283"/>
        <v>Northeast</v>
      </c>
      <c r="AH812" t="str">
        <f t="shared" si="266"/>
        <v>February</v>
      </c>
      <c r="AI812">
        <f t="shared" si="267"/>
        <v>2024</v>
      </c>
      <c r="AJ812" t="str">
        <f t="shared" ca="1" si="284"/>
        <v>Occupied</v>
      </c>
      <c r="AK812">
        <f t="shared" ca="1" si="285"/>
        <v>2</v>
      </c>
    </row>
    <row r="813" spans="1:37" x14ac:dyDescent="0.3">
      <c r="A813" t="s">
        <v>5233</v>
      </c>
      <c r="B813">
        <v>18</v>
      </c>
      <c r="C813" t="s">
        <v>32</v>
      </c>
      <c r="D813" t="s">
        <v>38</v>
      </c>
      <c r="E813" t="s">
        <v>76</v>
      </c>
      <c r="F813" s="1">
        <v>44438</v>
      </c>
      <c r="G813" t="s">
        <v>1656</v>
      </c>
      <c r="H813" t="s">
        <v>1657</v>
      </c>
      <c r="I813" t="s">
        <v>20</v>
      </c>
      <c r="J813">
        <v>38363</v>
      </c>
      <c r="K813">
        <v>286</v>
      </c>
      <c r="L813" t="s">
        <v>29</v>
      </c>
      <c r="M813" s="1">
        <v>44464</v>
      </c>
      <c r="N813" t="s">
        <v>47</v>
      </c>
      <c r="O813" t="s">
        <v>31</v>
      </c>
      <c r="P813" t="str">
        <f t="shared" si="268"/>
        <v>P0812</v>
      </c>
      <c r="Q813" t="str">
        <f t="shared" si="264"/>
        <v>Orthopedics</v>
      </c>
      <c r="R813">
        <f t="shared" si="265"/>
        <v>26</v>
      </c>
      <c r="S813" t="str">
        <f t="shared" ca="1" si="269"/>
        <v>No</v>
      </c>
      <c r="T813" t="str">
        <f t="shared" ca="1" si="270"/>
        <v>Severe</v>
      </c>
      <c r="U813" t="str">
        <f t="shared" ca="1" si="271"/>
        <v>Semi-Private</v>
      </c>
      <c r="V813" t="str">
        <f t="shared" si="272"/>
        <v>BED0812</v>
      </c>
      <c r="W813" t="str">
        <f t="shared" ca="1" si="273"/>
        <v>ICU</v>
      </c>
      <c r="X813" t="str">
        <f t="shared" si="274"/>
        <v>NUR012</v>
      </c>
      <c r="Y813" t="str">
        <f t="shared" ca="1" si="275"/>
        <v>Night</v>
      </c>
      <c r="Z813" t="str">
        <f t="shared" ca="1" si="276"/>
        <v>CT Scanner</v>
      </c>
      <c r="AA813" t="str">
        <f t="shared" ca="1" si="277"/>
        <v>Available</v>
      </c>
      <c r="AB813" t="str">
        <f t="shared" ca="1" si="278"/>
        <v>Pending</v>
      </c>
      <c r="AC813" t="str">
        <f t="shared" ca="1" si="279"/>
        <v>Bank Transfer</v>
      </c>
      <c r="AD813" t="str">
        <f t="shared" ca="1" si="280"/>
        <v>No</v>
      </c>
      <c r="AE813" t="str">
        <f t="shared" ca="1" si="281"/>
        <v>No</v>
      </c>
      <c r="AF813" t="str">
        <f t="shared" ca="1" si="282"/>
        <v>Under Observation</v>
      </c>
      <c r="AG813" t="str">
        <f t="shared" ca="1" si="283"/>
        <v>West Coast</v>
      </c>
      <c r="AH813" t="str">
        <f t="shared" si="266"/>
        <v>August</v>
      </c>
      <c r="AI813">
        <f t="shared" si="267"/>
        <v>2021</v>
      </c>
      <c r="AJ813" t="str">
        <f t="shared" ca="1" si="284"/>
        <v>Occupied</v>
      </c>
      <c r="AK813">
        <f t="shared" ca="1" si="285"/>
        <v>4</v>
      </c>
    </row>
    <row r="814" spans="1:37" x14ac:dyDescent="0.3">
      <c r="A814" t="s">
        <v>5234</v>
      </c>
      <c r="B814">
        <v>46</v>
      </c>
      <c r="C814" t="s">
        <v>32</v>
      </c>
      <c r="D814" t="s">
        <v>83</v>
      </c>
      <c r="E814" t="s">
        <v>48</v>
      </c>
      <c r="F814" s="1">
        <v>44568</v>
      </c>
      <c r="G814" t="s">
        <v>1658</v>
      </c>
      <c r="H814" t="s">
        <v>1659</v>
      </c>
      <c r="I814" t="s">
        <v>57</v>
      </c>
      <c r="J814">
        <v>32747</v>
      </c>
      <c r="K814">
        <v>416</v>
      </c>
      <c r="L814" t="s">
        <v>21</v>
      </c>
      <c r="M814" s="1">
        <v>44586</v>
      </c>
      <c r="N814" t="s">
        <v>30</v>
      </c>
      <c r="O814" t="s">
        <v>23</v>
      </c>
      <c r="P814" t="str">
        <f t="shared" si="268"/>
        <v>P0813</v>
      </c>
      <c r="Q814" t="str">
        <f t="shared" si="264"/>
        <v>Pulmonology</v>
      </c>
      <c r="R814">
        <f t="shared" si="265"/>
        <v>18</v>
      </c>
      <c r="S814" t="str">
        <f t="shared" ca="1" si="269"/>
        <v>No</v>
      </c>
      <c r="T814" t="str">
        <f t="shared" ca="1" si="270"/>
        <v>Severe</v>
      </c>
      <c r="U814" t="str">
        <f t="shared" ca="1" si="271"/>
        <v>Private Ward</v>
      </c>
      <c r="V814" t="str">
        <f t="shared" si="272"/>
        <v>BED0813</v>
      </c>
      <c r="W814" t="str">
        <f t="shared" ca="1" si="273"/>
        <v>General</v>
      </c>
      <c r="X814" t="str">
        <f t="shared" si="274"/>
        <v>NUR013</v>
      </c>
      <c r="Y814" t="str">
        <f t="shared" ca="1" si="275"/>
        <v>Evening</v>
      </c>
      <c r="Z814" t="str">
        <f t="shared" ca="1" si="276"/>
        <v>MRI Scanner</v>
      </c>
      <c r="AA814" t="str">
        <f t="shared" ca="1" si="277"/>
        <v>In Use</v>
      </c>
      <c r="AB814" t="str">
        <f t="shared" ca="1" si="278"/>
        <v>Pending</v>
      </c>
      <c r="AC814" t="str">
        <f t="shared" ca="1" si="279"/>
        <v>Debit Card</v>
      </c>
      <c r="AD814" t="str">
        <f t="shared" ca="1" si="280"/>
        <v>No</v>
      </c>
      <c r="AE814" t="str">
        <f t="shared" ca="1" si="281"/>
        <v>No</v>
      </c>
      <c r="AF814" t="str">
        <f t="shared" ca="1" si="282"/>
        <v>Recovered</v>
      </c>
      <c r="AG814" t="str">
        <f t="shared" ca="1" si="283"/>
        <v>Southwest</v>
      </c>
      <c r="AH814" t="str">
        <f t="shared" si="266"/>
        <v>January</v>
      </c>
      <c r="AI814">
        <f t="shared" si="267"/>
        <v>2022</v>
      </c>
      <c r="AJ814" t="str">
        <f t="shared" ca="1" si="284"/>
        <v>Occupied</v>
      </c>
      <c r="AK814">
        <f t="shared" ca="1" si="285"/>
        <v>2</v>
      </c>
    </row>
    <row r="815" spans="1:37" x14ac:dyDescent="0.3">
      <c r="A815" t="s">
        <v>5235</v>
      </c>
      <c r="B815">
        <v>44</v>
      </c>
      <c r="C815" t="s">
        <v>15</v>
      </c>
      <c r="D815" t="s">
        <v>44</v>
      </c>
      <c r="E815" t="s">
        <v>76</v>
      </c>
      <c r="F815" s="1">
        <v>45177</v>
      </c>
      <c r="G815" t="s">
        <v>1660</v>
      </c>
      <c r="H815" t="s">
        <v>1661</v>
      </c>
      <c r="I815" t="s">
        <v>57</v>
      </c>
      <c r="J815">
        <v>36649</v>
      </c>
      <c r="K815">
        <v>114</v>
      </c>
      <c r="L815" t="s">
        <v>42</v>
      </c>
      <c r="M815" s="1">
        <v>45205</v>
      </c>
      <c r="N815" t="s">
        <v>37</v>
      </c>
      <c r="O815" t="s">
        <v>31</v>
      </c>
      <c r="P815" t="str">
        <f t="shared" si="268"/>
        <v>P0814</v>
      </c>
      <c r="Q815" t="str">
        <f t="shared" si="264"/>
        <v>Orthopedics</v>
      </c>
      <c r="R815">
        <f t="shared" si="265"/>
        <v>28</v>
      </c>
      <c r="S815" t="str">
        <f t="shared" ca="1" si="269"/>
        <v>No</v>
      </c>
      <c r="T815" t="str">
        <f t="shared" ca="1" si="270"/>
        <v>Moderate</v>
      </c>
      <c r="U815" t="str">
        <f t="shared" ca="1" si="271"/>
        <v>Private Ward</v>
      </c>
      <c r="V815" t="str">
        <f t="shared" si="272"/>
        <v>BED0814</v>
      </c>
      <c r="W815" t="str">
        <f t="shared" ca="1" si="273"/>
        <v>Private</v>
      </c>
      <c r="X815" t="str">
        <f t="shared" si="274"/>
        <v>NUR014</v>
      </c>
      <c r="Y815" t="str">
        <f t="shared" ca="1" si="275"/>
        <v>Morning</v>
      </c>
      <c r="Z815" t="str">
        <f t="shared" ca="1" si="276"/>
        <v>Ventilator</v>
      </c>
      <c r="AA815" t="str">
        <f t="shared" ca="1" si="277"/>
        <v>Available</v>
      </c>
      <c r="AB815" t="str">
        <f t="shared" ca="1" si="278"/>
        <v>Paid</v>
      </c>
      <c r="AC815" t="str">
        <f t="shared" ca="1" si="279"/>
        <v>Insurance</v>
      </c>
      <c r="AD815" t="str">
        <f t="shared" ca="1" si="280"/>
        <v>Yes</v>
      </c>
      <c r="AE815" t="str">
        <f t="shared" ca="1" si="281"/>
        <v>No</v>
      </c>
      <c r="AF815" t="str">
        <f t="shared" ca="1" si="282"/>
        <v>Recovered</v>
      </c>
      <c r="AG815" t="str">
        <f t="shared" ca="1" si="283"/>
        <v>Southeast</v>
      </c>
      <c r="AH815" t="str">
        <f t="shared" si="266"/>
        <v>September</v>
      </c>
      <c r="AI815">
        <f t="shared" si="267"/>
        <v>2023</v>
      </c>
      <c r="AJ815" t="str">
        <f t="shared" ca="1" si="284"/>
        <v>Occupied</v>
      </c>
      <c r="AK815">
        <f t="shared" ca="1" si="285"/>
        <v>1</v>
      </c>
    </row>
    <row r="816" spans="1:37" x14ac:dyDescent="0.3">
      <c r="A816" t="s">
        <v>5236</v>
      </c>
      <c r="B816">
        <v>52</v>
      </c>
      <c r="C816" t="s">
        <v>32</v>
      </c>
      <c r="D816" t="s">
        <v>83</v>
      </c>
      <c r="E816" t="s">
        <v>17</v>
      </c>
      <c r="F816" s="1">
        <v>44476</v>
      </c>
      <c r="G816" t="s">
        <v>1662</v>
      </c>
      <c r="H816" t="s">
        <v>1663</v>
      </c>
      <c r="I816" t="s">
        <v>51</v>
      </c>
      <c r="J816">
        <v>3288</v>
      </c>
      <c r="K816">
        <v>215</v>
      </c>
      <c r="L816" t="s">
        <v>42</v>
      </c>
      <c r="M816" s="1">
        <v>44479</v>
      </c>
      <c r="N816" t="s">
        <v>22</v>
      </c>
      <c r="O816" t="s">
        <v>43</v>
      </c>
      <c r="P816" t="str">
        <f t="shared" si="268"/>
        <v>P0815</v>
      </c>
      <c r="Q816" t="str">
        <f t="shared" si="264"/>
        <v>Oncology</v>
      </c>
      <c r="R816">
        <f t="shared" si="265"/>
        <v>3</v>
      </c>
      <c r="S816" t="str">
        <f t="shared" ca="1" si="269"/>
        <v>No</v>
      </c>
      <c r="T816" t="str">
        <f t="shared" ca="1" si="270"/>
        <v>Critical</v>
      </c>
      <c r="U816" t="str">
        <f t="shared" ca="1" si="271"/>
        <v>Emergency</v>
      </c>
      <c r="V816" t="str">
        <f t="shared" si="272"/>
        <v>BED0815</v>
      </c>
      <c r="W816" t="str">
        <f t="shared" ca="1" si="273"/>
        <v>General</v>
      </c>
      <c r="X816" t="str">
        <f t="shared" si="274"/>
        <v>NUR015</v>
      </c>
      <c r="Y816" t="str">
        <f t="shared" ca="1" si="275"/>
        <v>Evening</v>
      </c>
      <c r="Z816" t="str">
        <f t="shared" ca="1" si="276"/>
        <v>CT Scanner</v>
      </c>
      <c r="AA816" t="str">
        <f t="shared" ca="1" si="277"/>
        <v>Maintenance</v>
      </c>
      <c r="AB816" t="str">
        <f t="shared" ca="1" si="278"/>
        <v>Pending</v>
      </c>
      <c r="AC816" t="str">
        <f t="shared" ca="1" si="279"/>
        <v>Debit Card</v>
      </c>
      <c r="AD816" t="str">
        <f t="shared" ca="1" si="280"/>
        <v>Yes</v>
      </c>
      <c r="AE816" t="str">
        <f t="shared" ca="1" si="281"/>
        <v>No</v>
      </c>
      <c r="AF816" t="str">
        <f t="shared" ca="1" si="282"/>
        <v>Recovered</v>
      </c>
      <c r="AG816" t="str">
        <f t="shared" ca="1" si="283"/>
        <v>Southwest</v>
      </c>
      <c r="AH816" t="str">
        <f t="shared" si="266"/>
        <v>October</v>
      </c>
      <c r="AI816">
        <f t="shared" si="267"/>
        <v>2021</v>
      </c>
      <c r="AJ816" t="str">
        <f t="shared" ca="1" si="284"/>
        <v>Occupied</v>
      </c>
      <c r="AK816">
        <f t="shared" ca="1" si="285"/>
        <v>2</v>
      </c>
    </row>
    <row r="817" spans="1:37" x14ac:dyDescent="0.3">
      <c r="A817" t="s">
        <v>5237</v>
      </c>
      <c r="B817">
        <v>24</v>
      </c>
      <c r="C817" t="s">
        <v>32</v>
      </c>
      <c r="D817" t="s">
        <v>83</v>
      </c>
      <c r="E817" t="s">
        <v>17</v>
      </c>
      <c r="F817" s="1">
        <v>43890</v>
      </c>
      <c r="G817" t="s">
        <v>1664</v>
      </c>
      <c r="H817" t="s">
        <v>1665</v>
      </c>
      <c r="I817" t="s">
        <v>51</v>
      </c>
      <c r="J817">
        <v>32993</v>
      </c>
      <c r="K817">
        <v>151</v>
      </c>
      <c r="L817" t="s">
        <v>21</v>
      </c>
      <c r="M817" s="1">
        <v>43907</v>
      </c>
      <c r="N817" t="s">
        <v>67</v>
      </c>
      <c r="O817" t="s">
        <v>23</v>
      </c>
      <c r="P817" t="str">
        <f t="shared" si="268"/>
        <v>P0816</v>
      </c>
      <c r="Q817" t="str">
        <f t="shared" si="264"/>
        <v>Oncology</v>
      </c>
      <c r="R817">
        <f t="shared" si="265"/>
        <v>17</v>
      </c>
      <c r="S817" t="str">
        <f t="shared" ca="1" si="269"/>
        <v>No</v>
      </c>
      <c r="T817" t="str">
        <f t="shared" ca="1" si="270"/>
        <v>Critical</v>
      </c>
      <c r="U817" t="str">
        <f t="shared" ca="1" si="271"/>
        <v>ICU</v>
      </c>
      <c r="V817" t="str">
        <f t="shared" si="272"/>
        <v>BED0816</v>
      </c>
      <c r="W817" t="str">
        <f t="shared" ca="1" si="273"/>
        <v>ICU</v>
      </c>
      <c r="X817" t="str">
        <f t="shared" si="274"/>
        <v>NUR016</v>
      </c>
      <c r="Y817" t="str">
        <f t="shared" ca="1" si="275"/>
        <v>Morning</v>
      </c>
      <c r="Z817" t="str">
        <f t="shared" ca="1" si="276"/>
        <v>ECG Machine</v>
      </c>
      <c r="AA817" t="str">
        <f t="shared" ca="1" si="277"/>
        <v>In Use</v>
      </c>
      <c r="AB817" t="str">
        <f t="shared" ca="1" si="278"/>
        <v>Pending</v>
      </c>
      <c r="AC817" t="str">
        <f t="shared" ca="1" si="279"/>
        <v>Debit Card</v>
      </c>
      <c r="AD817" t="str">
        <f t="shared" ca="1" si="280"/>
        <v>No</v>
      </c>
      <c r="AE817" t="str">
        <f t="shared" ca="1" si="281"/>
        <v>No</v>
      </c>
      <c r="AF817" t="str">
        <f t="shared" ca="1" si="282"/>
        <v>Under Observation</v>
      </c>
      <c r="AG817" t="str">
        <f t="shared" ca="1" si="283"/>
        <v>Northeast</v>
      </c>
      <c r="AH817" t="str">
        <f t="shared" si="266"/>
        <v>February</v>
      </c>
      <c r="AI817">
        <f t="shared" si="267"/>
        <v>2020</v>
      </c>
      <c r="AJ817" t="str">
        <f t="shared" ca="1" si="284"/>
        <v>Occupied</v>
      </c>
      <c r="AK817">
        <f t="shared" ca="1" si="285"/>
        <v>4</v>
      </c>
    </row>
    <row r="818" spans="1:37" x14ac:dyDescent="0.3">
      <c r="A818" t="s">
        <v>5238</v>
      </c>
      <c r="B818">
        <v>53</v>
      </c>
      <c r="C818" t="s">
        <v>15</v>
      </c>
      <c r="D818" t="s">
        <v>24</v>
      </c>
      <c r="E818" t="s">
        <v>25</v>
      </c>
      <c r="F818" s="1">
        <v>43683</v>
      </c>
      <c r="G818" t="s">
        <v>1666</v>
      </c>
      <c r="H818" t="s">
        <v>1667</v>
      </c>
      <c r="I818" t="s">
        <v>51</v>
      </c>
      <c r="J818">
        <v>3338</v>
      </c>
      <c r="K818">
        <v>362</v>
      </c>
      <c r="L818" t="s">
        <v>29</v>
      </c>
      <c r="M818" s="1">
        <v>43711</v>
      </c>
      <c r="N818" t="s">
        <v>67</v>
      </c>
      <c r="O818" t="s">
        <v>23</v>
      </c>
      <c r="P818" t="str">
        <f t="shared" si="268"/>
        <v>P0817</v>
      </c>
      <c r="Q818" t="str">
        <f t="shared" si="264"/>
        <v>Nutrition</v>
      </c>
      <c r="R818">
        <f t="shared" si="265"/>
        <v>28</v>
      </c>
      <c r="S818" t="str">
        <f t="shared" ca="1" si="269"/>
        <v>No</v>
      </c>
      <c r="T818" t="str">
        <f t="shared" ca="1" si="270"/>
        <v>Severe</v>
      </c>
      <c r="U818" t="str">
        <f t="shared" ca="1" si="271"/>
        <v>Emergency</v>
      </c>
      <c r="V818" t="str">
        <f t="shared" si="272"/>
        <v>BED0817</v>
      </c>
      <c r="W818" t="str">
        <f t="shared" ca="1" si="273"/>
        <v>Private</v>
      </c>
      <c r="X818" t="str">
        <f t="shared" si="274"/>
        <v>NUR017</v>
      </c>
      <c r="Y818" t="str">
        <f t="shared" ca="1" si="275"/>
        <v>Night</v>
      </c>
      <c r="Z818" t="str">
        <f t="shared" ca="1" si="276"/>
        <v>Ultrasound</v>
      </c>
      <c r="AA818" t="str">
        <f t="shared" ca="1" si="277"/>
        <v>Maintenance</v>
      </c>
      <c r="AB818" t="str">
        <f t="shared" ca="1" si="278"/>
        <v>Partially Paid</v>
      </c>
      <c r="AC818" t="str">
        <f t="shared" ca="1" si="279"/>
        <v>Bank Transfer</v>
      </c>
      <c r="AD818" t="str">
        <f t="shared" ca="1" si="280"/>
        <v>No</v>
      </c>
      <c r="AE818" t="str">
        <f t="shared" ca="1" si="281"/>
        <v>Yes</v>
      </c>
      <c r="AF818" t="str">
        <f t="shared" ca="1" si="282"/>
        <v>Recovered</v>
      </c>
      <c r="AG818" t="str">
        <f t="shared" ca="1" si="283"/>
        <v>Southwest</v>
      </c>
      <c r="AH818" t="str">
        <f t="shared" si="266"/>
        <v>August</v>
      </c>
      <c r="AI818">
        <f t="shared" si="267"/>
        <v>2019</v>
      </c>
      <c r="AJ818" t="str">
        <f t="shared" ca="1" si="284"/>
        <v>Occupied</v>
      </c>
      <c r="AK818">
        <f t="shared" ca="1" si="285"/>
        <v>4</v>
      </c>
    </row>
    <row r="819" spans="1:37" x14ac:dyDescent="0.3">
      <c r="A819" t="s">
        <v>5239</v>
      </c>
      <c r="B819">
        <v>46</v>
      </c>
      <c r="C819" t="s">
        <v>32</v>
      </c>
      <c r="D819" t="s">
        <v>33</v>
      </c>
      <c r="E819" t="s">
        <v>25</v>
      </c>
      <c r="F819" s="1">
        <v>43683</v>
      </c>
      <c r="G819" t="s">
        <v>1445</v>
      </c>
      <c r="H819" t="s">
        <v>1668</v>
      </c>
      <c r="I819" t="s">
        <v>20</v>
      </c>
      <c r="J819">
        <v>21402</v>
      </c>
      <c r="K819">
        <v>292</v>
      </c>
      <c r="L819" t="s">
        <v>21</v>
      </c>
      <c r="M819" s="1">
        <v>43686</v>
      </c>
      <c r="N819" t="s">
        <v>47</v>
      </c>
      <c r="O819" t="s">
        <v>43</v>
      </c>
      <c r="P819" t="str">
        <f t="shared" si="268"/>
        <v>P0818</v>
      </c>
      <c r="Q819" t="str">
        <f t="shared" si="264"/>
        <v>Nutrition</v>
      </c>
      <c r="R819">
        <f t="shared" si="265"/>
        <v>3</v>
      </c>
      <c r="S819" t="str">
        <f t="shared" ca="1" si="269"/>
        <v>No</v>
      </c>
      <c r="T819" t="str">
        <f t="shared" ca="1" si="270"/>
        <v>Moderate</v>
      </c>
      <c r="U819" t="str">
        <f t="shared" ca="1" si="271"/>
        <v>General Ward</v>
      </c>
      <c r="V819" t="str">
        <f t="shared" si="272"/>
        <v>BED0818</v>
      </c>
      <c r="W819" t="str">
        <f t="shared" ca="1" si="273"/>
        <v>Semi-Private</v>
      </c>
      <c r="X819" t="str">
        <f t="shared" si="274"/>
        <v>NUR018</v>
      </c>
      <c r="Y819" t="str">
        <f t="shared" ca="1" si="275"/>
        <v>Night</v>
      </c>
      <c r="Z819" t="str">
        <f t="shared" ca="1" si="276"/>
        <v>MRI Scanner</v>
      </c>
      <c r="AA819" t="str">
        <f t="shared" ca="1" si="277"/>
        <v>In Use</v>
      </c>
      <c r="AB819" t="str">
        <f t="shared" ca="1" si="278"/>
        <v>Paid</v>
      </c>
      <c r="AC819" t="str">
        <f t="shared" ca="1" si="279"/>
        <v>Debit Card</v>
      </c>
      <c r="AD819" t="str">
        <f t="shared" ca="1" si="280"/>
        <v>No</v>
      </c>
      <c r="AE819" t="str">
        <f t="shared" ca="1" si="281"/>
        <v>No</v>
      </c>
      <c r="AF819" t="str">
        <f t="shared" ca="1" si="282"/>
        <v>Transferred</v>
      </c>
      <c r="AG819" t="str">
        <f t="shared" ca="1" si="283"/>
        <v>Northeast</v>
      </c>
      <c r="AH819" t="str">
        <f t="shared" si="266"/>
        <v>August</v>
      </c>
      <c r="AI819">
        <f t="shared" si="267"/>
        <v>2019</v>
      </c>
      <c r="AJ819" t="str">
        <f t="shared" ca="1" si="284"/>
        <v>Occupied</v>
      </c>
      <c r="AK819">
        <f t="shared" ca="1" si="285"/>
        <v>2</v>
      </c>
    </row>
    <row r="820" spans="1:37" x14ac:dyDescent="0.3">
      <c r="A820" t="s">
        <v>5240</v>
      </c>
      <c r="B820">
        <v>72</v>
      </c>
      <c r="C820" t="s">
        <v>32</v>
      </c>
      <c r="D820" t="s">
        <v>38</v>
      </c>
      <c r="E820" t="s">
        <v>48</v>
      </c>
      <c r="F820" s="1">
        <v>44536</v>
      </c>
      <c r="G820" t="s">
        <v>910</v>
      </c>
      <c r="H820" t="s">
        <v>1669</v>
      </c>
      <c r="I820" t="s">
        <v>20</v>
      </c>
      <c r="J820">
        <v>35828</v>
      </c>
      <c r="K820">
        <v>248</v>
      </c>
      <c r="L820" t="s">
        <v>29</v>
      </c>
      <c r="M820" s="1">
        <v>44542</v>
      </c>
      <c r="N820" t="s">
        <v>37</v>
      </c>
      <c r="O820" t="s">
        <v>31</v>
      </c>
      <c r="P820" t="str">
        <f t="shared" si="268"/>
        <v>P0819</v>
      </c>
      <c r="Q820" t="str">
        <f t="shared" si="264"/>
        <v>Pulmonology</v>
      </c>
      <c r="R820">
        <f t="shared" si="265"/>
        <v>6</v>
      </c>
      <c r="S820" t="str">
        <f t="shared" ca="1" si="269"/>
        <v>No</v>
      </c>
      <c r="T820" t="str">
        <f t="shared" ca="1" si="270"/>
        <v>Moderate</v>
      </c>
      <c r="U820" t="str">
        <f t="shared" ca="1" si="271"/>
        <v>Semi-Private</v>
      </c>
      <c r="V820" t="str">
        <f t="shared" si="272"/>
        <v>BED0819</v>
      </c>
      <c r="W820" t="str">
        <f t="shared" ca="1" si="273"/>
        <v>General</v>
      </c>
      <c r="X820" t="str">
        <f t="shared" si="274"/>
        <v>NUR019</v>
      </c>
      <c r="Y820" t="str">
        <f t="shared" ca="1" si="275"/>
        <v>Evening</v>
      </c>
      <c r="Z820" t="str">
        <f t="shared" ca="1" si="276"/>
        <v>Ventilator</v>
      </c>
      <c r="AA820" t="str">
        <f t="shared" ca="1" si="277"/>
        <v>Maintenance</v>
      </c>
      <c r="AB820" t="str">
        <f t="shared" ca="1" si="278"/>
        <v>Paid</v>
      </c>
      <c r="AC820" t="str">
        <f t="shared" ca="1" si="279"/>
        <v>Credit Card</v>
      </c>
      <c r="AD820" t="str">
        <f t="shared" ca="1" si="280"/>
        <v>No</v>
      </c>
      <c r="AE820" t="str">
        <f t="shared" ca="1" si="281"/>
        <v>No</v>
      </c>
      <c r="AF820" t="str">
        <f t="shared" ca="1" si="282"/>
        <v>Recovered</v>
      </c>
      <c r="AG820" t="str">
        <f t="shared" ca="1" si="283"/>
        <v>West Coast</v>
      </c>
      <c r="AH820" t="str">
        <f t="shared" si="266"/>
        <v>December</v>
      </c>
      <c r="AI820">
        <f t="shared" si="267"/>
        <v>2021</v>
      </c>
      <c r="AJ820" t="str">
        <f t="shared" ca="1" si="284"/>
        <v>Occupied</v>
      </c>
      <c r="AK820">
        <f t="shared" ca="1" si="285"/>
        <v>4</v>
      </c>
    </row>
    <row r="821" spans="1:37" x14ac:dyDescent="0.3">
      <c r="A821" t="s">
        <v>5241</v>
      </c>
      <c r="B821">
        <v>54</v>
      </c>
      <c r="C821" t="s">
        <v>32</v>
      </c>
      <c r="D821" t="s">
        <v>33</v>
      </c>
      <c r="E821" t="s">
        <v>48</v>
      </c>
      <c r="F821" s="1">
        <v>43970</v>
      </c>
      <c r="G821" t="s">
        <v>1670</v>
      </c>
      <c r="H821" t="s">
        <v>1671</v>
      </c>
      <c r="I821" t="s">
        <v>51</v>
      </c>
      <c r="J821">
        <v>14172</v>
      </c>
      <c r="K821">
        <v>297</v>
      </c>
      <c r="L821" t="s">
        <v>42</v>
      </c>
      <c r="M821" s="1">
        <v>43993</v>
      </c>
      <c r="N821" t="s">
        <v>22</v>
      </c>
      <c r="O821" t="s">
        <v>31</v>
      </c>
      <c r="P821" t="str">
        <f t="shared" si="268"/>
        <v>P0820</v>
      </c>
      <c r="Q821" t="str">
        <f t="shared" si="264"/>
        <v>Pulmonology</v>
      </c>
      <c r="R821">
        <f t="shared" si="265"/>
        <v>23</v>
      </c>
      <c r="S821" t="str">
        <f t="shared" ca="1" si="269"/>
        <v>No</v>
      </c>
      <c r="T821" t="str">
        <f t="shared" ca="1" si="270"/>
        <v>Severe</v>
      </c>
      <c r="U821" t="str">
        <f t="shared" ca="1" si="271"/>
        <v>Emergency</v>
      </c>
      <c r="V821" t="str">
        <f t="shared" si="272"/>
        <v>BED0820</v>
      </c>
      <c r="W821" t="str">
        <f t="shared" ca="1" si="273"/>
        <v>ICU</v>
      </c>
      <c r="X821" t="str">
        <f t="shared" si="274"/>
        <v>NUR020</v>
      </c>
      <c r="Y821" t="str">
        <f t="shared" ca="1" si="275"/>
        <v>Night</v>
      </c>
      <c r="Z821" t="str">
        <f t="shared" ca="1" si="276"/>
        <v>X-Ray</v>
      </c>
      <c r="AA821" t="str">
        <f t="shared" ca="1" si="277"/>
        <v>Maintenance</v>
      </c>
      <c r="AB821" t="str">
        <f t="shared" ca="1" si="278"/>
        <v>Partially Paid</v>
      </c>
      <c r="AC821" t="str">
        <f t="shared" ca="1" si="279"/>
        <v>Bank Transfer</v>
      </c>
      <c r="AD821" t="str">
        <f t="shared" ca="1" si="280"/>
        <v>Yes</v>
      </c>
      <c r="AE821" t="str">
        <f t="shared" ca="1" si="281"/>
        <v>No</v>
      </c>
      <c r="AF821" t="str">
        <f t="shared" ca="1" si="282"/>
        <v>Under Observation</v>
      </c>
      <c r="AG821" t="str">
        <f t="shared" ca="1" si="283"/>
        <v>Southeast</v>
      </c>
      <c r="AH821" t="str">
        <f t="shared" si="266"/>
        <v>May</v>
      </c>
      <c r="AI821">
        <f t="shared" si="267"/>
        <v>2020</v>
      </c>
      <c r="AJ821" t="str">
        <f t="shared" ca="1" si="284"/>
        <v>Occupied</v>
      </c>
      <c r="AK821">
        <f t="shared" ca="1" si="285"/>
        <v>1</v>
      </c>
    </row>
    <row r="822" spans="1:37" x14ac:dyDescent="0.3">
      <c r="A822" t="s">
        <v>5242</v>
      </c>
      <c r="B822">
        <v>73</v>
      </c>
      <c r="C822" t="s">
        <v>15</v>
      </c>
      <c r="D822" t="s">
        <v>44</v>
      </c>
      <c r="E822" t="s">
        <v>64</v>
      </c>
      <c r="F822" s="1">
        <v>43826</v>
      </c>
      <c r="G822" t="s">
        <v>1672</v>
      </c>
      <c r="H822" t="s">
        <v>1673</v>
      </c>
      <c r="I822" t="s">
        <v>28</v>
      </c>
      <c r="J822">
        <v>30283</v>
      </c>
      <c r="K822">
        <v>311</v>
      </c>
      <c r="L822" t="s">
        <v>29</v>
      </c>
      <c r="M822" s="1">
        <v>43828</v>
      </c>
      <c r="N822" t="s">
        <v>67</v>
      </c>
      <c r="O822" t="s">
        <v>43</v>
      </c>
      <c r="P822" t="str">
        <f t="shared" si="268"/>
        <v>P0821</v>
      </c>
      <c r="Q822" t="str">
        <f t="shared" si="264"/>
        <v>Cardiology</v>
      </c>
      <c r="R822">
        <f t="shared" si="265"/>
        <v>2</v>
      </c>
      <c r="S822" t="str">
        <f t="shared" ca="1" si="269"/>
        <v>No</v>
      </c>
      <c r="T822" t="str">
        <f t="shared" ca="1" si="270"/>
        <v>Critical</v>
      </c>
      <c r="U822" t="str">
        <f t="shared" ca="1" si="271"/>
        <v>ICU</v>
      </c>
      <c r="V822" t="str">
        <f t="shared" si="272"/>
        <v>BED0821</v>
      </c>
      <c r="W822" t="str">
        <f t="shared" ca="1" si="273"/>
        <v>General</v>
      </c>
      <c r="X822" t="str">
        <f t="shared" si="274"/>
        <v>NUR021</v>
      </c>
      <c r="Y822" t="str">
        <f t="shared" ca="1" si="275"/>
        <v>Night</v>
      </c>
      <c r="Z822" t="str">
        <f t="shared" ca="1" si="276"/>
        <v>MRI Scanner</v>
      </c>
      <c r="AA822" t="str">
        <f t="shared" ca="1" si="277"/>
        <v>In Use</v>
      </c>
      <c r="AB822" t="str">
        <f t="shared" ca="1" si="278"/>
        <v>Partially Paid</v>
      </c>
      <c r="AC822" t="str">
        <f t="shared" ca="1" si="279"/>
        <v>Credit Card</v>
      </c>
      <c r="AD822" t="str">
        <f t="shared" ca="1" si="280"/>
        <v>No</v>
      </c>
      <c r="AE822" t="str">
        <f t="shared" ca="1" si="281"/>
        <v>No</v>
      </c>
      <c r="AF822" t="str">
        <f t="shared" ca="1" si="282"/>
        <v>Recovered</v>
      </c>
      <c r="AG822" t="str">
        <f t="shared" ca="1" si="283"/>
        <v>West Coast</v>
      </c>
      <c r="AH822" t="str">
        <f t="shared" si="266"/>
        <v>December</v>
      </c>
      <c r="AI822">
        <f t="shared" si="267"/>
        <v>2019</v>
      </c>
      <c r="AJ822" t="str">
        <f t="shared" ca="1" si="284"/>
        <v>Occupied</v>
      </c>
      <c r="AK822">
        <f t="shared" ca="1" si="285"/>
        <v>2</v>
      </c>
    </row>
    <row r="823" spans="1:37" x14ac:dyDescent="0.3">
      <c r="A823" t="s">
        <v>5243</v>
      </c>
      <c r="B823">
        <v>69</v>
      </c>
      <c r="C823" t="s">
        <v>32</v>
      </c>
      <c r="D823" t="s">
        <v>52</v>
      </c>
      <c r="E823" t="s">
        <v>17</v>
      </c>
      <c r="F823" s="1">
        <v>44716</v>
      </c>
      <c r="G823" t="s">
        <v>1674</v>
      </c>
      <c r="H823" t="s">
        <v>1675</v>
      </c>
      <c r="I823" t="s">
        <v>57</v>
      </c>
      <c r="J823">
        <v>31419</v>
      </c>
      <c r="K823">
        <v>201</v>
      </c>
      <c r="L823" t="s">
        <v>21</v>
      </c>
      <c r="M823" s="1">
        <v>44725</v>
      </c>
      <c r="N823" t="s">
        <v>47</v>
      </c>
      <c r="O823" t="s">
        <v>23</v>
      </c>
      <c r="P823" t="str">
        <f t="shared" si="268"/>
        <v>P0822</v>
      </c>
      <c r="Q823" t="str">
        <f t="shared" si="264"/>
        <v>Oncology</v>
      </c>
      <c r="R823">
        <f t="shared" si="265"/>
        <v>9</v>
      </c>
      <c r="S823" t="str">
        <f t="shared" ca="1" si="269"/>
        <v>No</v>
      </c>
      <c r="T823" t="str">
        <f t="shared" ca="1" si="270"/>
        <v>Critical</v>
      </c>
      <c r="U823" t="str">
        <f t="shared" ca="1" si="271"/>
        <v>Emergency</v>
      </c>
      <c r="V823" t="str">
        <f t="shared" si="272"/>
        <v>BED0822</v>
      </c>
      <c r="W823" t="str">
        <f t="shared" ca="1" si="273"/>
        <v>ICU</v>
      </c>
      <c r="X823" t="str">
        <f t="shared" si="274"/>
        <v>NUR022</v>
      </c>
      <c r="Y823" t="str">
        <f t="shared" ca="1" si="275"/>
        <v>Morning</v>
      </c>
      <c r="Z823" t="str">
        <f t="shared" ca="1" si="276"/>
        <v>Ultrasound</v>
      </c>
      <c r="AA823" t="str">
        <f t="shared" ca="1" si="277"/>
        <v>Available</v>
      </c>
      <c r="AB823" t="str">
        <f t="shared" ca="1" si="278"/>
        <v>Pending</v>
      </c>
      <c r="AC823" t="str">
        <f t="shared" ca="1" si="279"/>
        <v>Bank Transfer</v>
      </c>
      <c r="AD823" t="str">
        <f t="shared" ca="1" si="280"/>
        <v>No</v>
      </c>
      <c r="AE823" t="str">
        <f t="shared" ca="1" si="281"/>
        <v>No</v>
      </c>
      <c r="AF823" t="str">
        <f t="shared" ca="1" si="282"/>
        <v>Recovered</v>
      </c>
      <c r="AG823" t="str">
        <f t="shared" ca="1" si="283"/>
        <v>Southeast</v>
      </c>
      <c r="AH823" t="str">
        <f t="shared" si="266"/>
        <v>June</v>
      </c>
      <c r="AI823">
        <f t="shared" si="267"/>
        <v>2022</v>
      </c>
      <c r="AJ823" t="str">
        <f t="shared" ca="1" si="284"/>
        <v>Occupied</v>
      </c>
      <c r="AK823">
        <f t="shared" ca="1" si="285"/>
        <v>2</v>
      </c>
    </row>
    <row r="824" spans="1:37" x14ac:dyDescent="0.3">
      <c r="A824" t="s">
        <v>5244</v>
      </c>
      <c r="B824">
        <v>32</v>
      </c>
      <c r="C824" t="s">
        <v>15</v>
      </c>
      <c r="D824" t="s">
        <v>38</v>
      </c>
      <c r="E824" t="s">
        <v>39</v>
      </c>
      <c r="F824" s="1">
        <v>44944</v>
      </c>
      <c r="G824" t="s">
        <v>1676</v>
      </c>
      <c r="H824" t="s">
        <v>1677</v>
      </c>
      <c r="I824" t="s">
        <v>36</v>
      </c>
      <c r="J824">
        <v>23735</v>
      </c>
      <c r="K824">
        <v>394</v>
      </c>
      <c r="L824" t="s">
        <v>29</v>
      </c>
      <c r="M824" s="1">
        <v>44960</v>
      </c>
      <c r="N824" t="s">
        <v>47</v>
      </c>
      <c r="O824" t="s">
        <v>23</v>
      </c>
      <c r="P824" t="str">
        <f t="shared" si="268"/>
        <v>P0823</v>
      </c>
      <c r="Q824" t="str">
        <f t="shared" si="264"/>
        <v>Endocrinology</v>
      </c>
      <c r="R824">
        <f t="shared" si="265"/>
        <v>16</v>
      </c>
      <c r="S824" t="str">
        <f t="shared" ca="1" si="269"/>
        <v>No</v>
      </c>
      <c r="T824" t="str">
        <f t="shared" ca="1" si="270"/>
        <v>Critical</v>
      </c>
      <c r="U824" t="str">
        <f t="shared" ca="1" si="271"/>
        <v>Emergency</v>
      </c>
      <c r="V824" t="str">
        <f t="shared" si="272"/>
        <v>BED0823</v>
      </c>
      <c r="W824" t="str">
        <f t="shared" ca="1" si="273"/>
        <v>Semi-Private</v>
      </c>
      <c r="X824" t="str">
        <f t="shared" si="274"/>
        <v>NUR023</v>
      </c>
      <c r="Y824" t="str">
        <f t="shared" ca="1" si="275"/>
        <v>Morning</v>
      </c>
      <c r="Z824" t="str">
        <f t="shared" ca="1" si="276"/>
        <v>X-Ray</v>
      </c>
      <c r="AA824" t="str">
        <f t="shared" ca="1" si="277"/>
        <v>In Use</v>
      </c>
      <c r="AB824" t="str">
        <f t="shared" ca="1" si="278"/>
        <v>Pending</v>
      </c>
      <c r="AC824" t="str">
        <f t="shared" ca="1" si="279"/>
        <v>Credit Card</v>
      </c>
      <c r="AD824" t="str">
        <f t="shared" ca="1" si="280"/>
        <v>No</v>
      </c>
      <c r="AE824" t="str">
        <f t="shared" ca="1" si="281"/>
        <v>No</v>
      </c>
      <c r="AF824" t="str">
        <f t="shared" ca="1" si="282"/>
        <v>Transferred</v>
      </c>
      <c r="AG824" t="str">
        <f t="shared" ca="1" si="283"/>
        <v>Southwest</v>
      </c>
      <c r="AH824" t="str">
        <f t="shared" si="266"/>
        <v>January</v>
      </c>
      <c r="AI824">
        <f t="shared" si="267"/>
        <v>2023</v>
      </c>
      <c r="AJ824" t="str">
        <f t="shared" ca="1" si="284"/>
        <v>Occupied</v>
      </c>
      <c r="AK824">
        <f t="shared" ca="1" si="285"/>
        <v>4</v>
      </c>
    </row>
    <row r="825" spans="1:37" x14ac:dyDescent="0.3">
      <c r="A825" t="s">
        <v>5245</v>
      </c>
      <c r="B825">
        <v>29</v>
      </c>
      <c r="C825" t="s">
        <v>15</v>
      </c>
      <c r="D825" t="s">
        <v>83</v>
      </c>
      <c r="E825" t="s">
        <v>39</v>
      </c>
      <c r="F825" s="1">
        <v>45132</v>
      </c>
      <c r="G825" t="s">
        <v>1678</v>
      </c>
      <c r="H825" t="s">
        <v>1679</v>
      </c>
      <c r="I825" t="s">
        <v>36</v>
      </c>
      <c r="J825">
        <v>45418</v>
      </c>
      <c r="K825">
        <v>167</v>
      </c>
      <c r="L825" t="s">
        <v>42</v>
      </c>
      <c r="M825" s="1">
        <v>45135</v>
      </c>
      <c r="N825" t="s">
        <v>67</v>
      </c>
      <c r="O825" t="s">
        <v>31</v>
      </c>
      <c r="P825" t="str">
        <f t="shared" si="268"/>
        <v>P0824</v>
      </c>
      <c r="Q825" t="str">
        <f t="shared" si="264"/>
        <v>Endocrinology</v>
      </c>
      <c r="R825">
        <f t="shared" si="265"/>
        <v>3</v>
      </c>
      <c r="S825" t="str">
        <f t="shared" ca="1" si="269"/>
        <v>No</v>
      </c>
      <c r="T825" t="str">
        <f t="shared" ca="1" si="270"/>
        <v>Mild</v>
      </c>
      <c r="U825" t="str">
        <f t="shared" ca="1" si="271"/>
        <v>General Ward</v>
      </c>
      <c r="V825" t="str">
        <f t="shared" si="272"/>
        <v>BED0824</v>
      </c>
      <c r="W825" t="str">
        <f t="shared" ca="1" si="273"/>
        <v>Semi-Private</v>
      </c>
      <c r="X825" t="str">
        <f t="shared" si="274"/>
        <v>NUR024</v>
      </c>
      <c r="Y825" t="str">
        <f t="shared" ca="1" si="275"/>
        <v>Night</v>
      </c>
      <c r="Z825" t="str">
        <f t="shared" ca="1" si="276"/>
        <v>ECG Machine</v>
      </c>
      <c r="AA825" t="str">
        <f t="shared" ca="1" si="277"/>
        <v>Maintenance</v>
      </c>
      <c r="AB825" t="str">
        <f t="shared" ca="1" si="278"/>
        <v>Partially Paid</v>
      </c>
      <c r="AC825" t="str">
        <f t="shared" ca="1" si="279"/>
        <v>Bank Transfer</v>
      </c>
      <c r="AD825" t="str">
        <f t="shared" ca="1" si="280"/>
        <v>No</v>
      </c>
      <c r="AE825" t="str">
        <f t="shared" ca="1" si="281"/>
        <v>No</v>
      </c>
      <c r="AF825" t="str">
        <f t="shared" ca="1" si="282"/>
        <v>Recovered</v>
      </c>
      <c r="AG825" t="str">
        <f t="shared" ca="1" si="283"/>
        <v>Southwest</v>
      </c>
      <c r="AH825" t="str">
        <f t="shared" si="266"/>
        <v>July</v>
      </c>
      <c r="AI825">
        <f t="shared" si="267"/>
        <v>2023</v>
      </c>
      <c r="AJ825" t="str">
        <f t="shared" ca="1" si="284"/>
        <v>Vacant</v>
      </c>
      <c r="AK825">
        <f t="shared" ca="1" si="285"/>
        <v>1</v>
      </c>
    </row>
    <row r="826" spans="1:37" x14ac:dyDescent="0.3">
      <c r="A826" t="s">
        <v>5246</v>
      </c>
      <c r="B826">
        <v>82</v>
      </c>
      <c r="C826" t="s">
        <v>32</v>
      </c>
      <c r="D826" t="s">
        <v>24</v>
      </c>
      <c r="E826" t="s">
        <v>76</v>
      </c>
      <c r="F826" s="1">
        <v>44029</v>
      </c>
      <c r="G826" t="s">
        <v>1680</v>
      </c>
      <c r="H826" t="s">
        <v>1681</v>
      </c>
      <c r="I826" t="s">
        <v>20</v>
      </c>
      <c r="J826">
        <v>12823</v>
      </c>
      <c r="K826">
        <v>356</v>
      </c>
      <c r="L826" t="s">
        <v>21</v>
      </c>
      <c r="M826" s="1">
        <v>44052</v>
      </c>
      <c r="N826" t="s">
        <v>67</v>
      </c>
      <c r="O826" t="s">
        <v>31</v>
      </c>
      <c r="P826" t="str">
        <f t="shared" si="268"/>
        <v>P0825</v>
      </c>
      <c r="Q826" t="str">
        <f t="shared" si="264"/>
        <v>Orthopedics</v>
      </c>
      <c r="R826">
        <f t="shared" si="265"/>
        <v>23</v>
      </c>
      <c r="S826" t="str">
        <f t="shared" ca="1" si="269"/>
        <v>No</v>
      </c>
      <c r="T826" t="str">
        <f t="shared" ca="1" si="270"/>
        <v>Critical</v>
      </c>
      <c r="U826" t="str">
        <f t="shared" ca="1" si="271"/>
        <v>Semi-Private</v>
      </c>
      <c r="V826" t="str">
        <f t="shared" si="272"/>
        <v>BED0825</v>
      </c>
      <c r="W826" t="str">
        <f t="shared" ca="1" si="273"/>
        <v>Private</v>
      </c>
      <c r="X826" t="str">
        <f t="shared" si="274"/>
        <v>NUR025</v>
      </c>
      <c r="Y826" t="str">
        <f t="shared" ca="1" si="275"/>
        <v>Night</v>
      </c>
      <c r="Z826" t="str">
        <f t="shared" ca="1" si="276"/>
        <v>Ultrasound</v>
      </c>
      <c r="AA826" t="str">
        <f t="shared" ca="1" si="277"/>
        <v>Available</v>
      </c>
      <c r="AB826" t="str">
        <f t="shared" ca="1" si="278"/>
        <v>Paid</v>
      </c>
      <c r="AC826" t="str">
        <f t="shared" ca="1" si="279"/>
        <v>Insurance</v>
      </c>
      <c r="AD826" t="str">
        <f t="shared" ca="1" si="280"/>
        <v>No</v>
      </c>
      <c r="AE826" t="str">
        <f t="shared" ca="1" si="281"/>
        <v>Yes</v>
      </c>
      <c r="AF826" t="str">
        <f t="shared" ca="1" si="282"/>
        <v>Transferred</v>
      </c>
      <c r="AG826" t="str">
        <f t="shared" ca="1" si="283"/>
        <v>Southwest</v>
      </c>
      <c r="AH826" t="str">
        <f t="shared" si="266"/>
        <v>July</v>
      </c>
      <c r="AI826">
        <f t="shared" si="267"/>
        <v>2020</v>
      </c>
      <c r="AJ826" t="str">
        <f t="shared" ca="1" si="284"/>
        <v>Occupied</v>
      </c>
      <c r="AK826">
        <f t="shared" ca="1" si="285"/>
        <v>2</v>
      </c>
    </row>
    <row r="827" spans="1:37" x14ac:dyDescent="0.3">
      <c r="A827" t="s">
        <v>5247</v>
      </c>
      <c r="B827">
        <v>19</v>
      </c>
      <c r="C827" t="s">
        <v>15</v>
      </c>
      <c r="D827" t="s">
        <v>98</v>
      </c>
      <c r="E827" t="s">
        <v>25</v>
      </c>
      <c r="F827" s="1">
        <v>44960</v>
      </c>
      <c r="G827" t="s">
        <v>1682</v>
      </c>
      <c r="H827" t="s">
        <v>1683</v>
      </c>
      <c r="I827" t="s">
        <v>36</v>
      </c>
      <c r="J827">
        <v>25856</v>
      </c>
      <c r="K827">
        <v>441</v>
      </c>
      <c r="L827" t="s">
        <v>29</v>
      </c>
      <c r="M827" s="1">
        <v>44980</v>
      </c>
      <c r="N827" t="s">
        <v>67</v>
      </c>
      <c r="O827" t="s">
        <v>43</v>
      </c>
      <c r="P827" t="str">
        <f t="shared" si="268"/>
        <v>P0826</v>
      </c>
      <c r="Q827" t="str">
        <f t="shared" si="264"/>
        <v>Nutrition</v>
      </c>
      <c r="R827">
        <f t="shared" si="265"/>
        <v>20</v>
      </c>
      <c r="S827" t="str">
        <f t="shared" ca="1" si="269"/>
        <v>No</v>
      </c>
      <c r="T827" t="str">
        <f t="shared" ca="1" si="270"/>
        <v>Mild</v>
      </c>
      <c r="U827" t="str">
        <f t="shared" ca="1" si="271"/>
        <v>ICU</v>
      </c>
      <c r="V827" t="str">
        <f t="shared" si="272"/>
        <v>BED0826</v>
      </c>
      <c r="W827" t="str">
        <f t="shared" ca="1" si="273"/>
        <v>ICU</v>
      </c>
      <c r="X827" t="str">
        <f t="shared" si="274"/>
        <v>NUR026</v>
      </c>
      <c r="Y827" t="str">
        <f t="shared" ca="1" si="275"/>
        <v>Night</v>
      </c>
      <c r="Z827" t="str">
        <f t="shared" ca="1" si="276"/>
        <v>Ventilator</v>
      </c>
      <c r="AA827" t="str">
        <f t="shared" ca="1" si="277"/>
        <v>In Use</v>
      </c>
      <c r="AB827" t="str">
        <f t="shared" ca="1" si="278"/>
        <v>Partially Paid</v>
      </c>
      <c r="AC827" t="str">
        <f t="shared" ca="1" si="279"/>
        <v>Debit Card</v>
      </c>
      <c r="AD827" t="str">
        <f t="shared" ca="1" si="280"/>
        <v>No</v>
      </c>
      <c r="AE827" t="str">
        <f t="shared" ca="1" si="281"/>
        <v>No</v>
      </c>
      <c r="AF827" t="str">
        <f t="shared" ca="1" si="282"/>
        <v>Transferred</v>
      </c>
      <c r="AG827" t="str">
        <f t="shared" ca="1" si="283"/>
        <v>Southwest</v>
      </c>
      <c r="AH827" t="str">
        <f t="shared" si="266"/>
        <v>February</v>
      </c>
      <c r="AI827">
        <f t="shared" si="267"/>
        <v>2023</v>
      </c>
      <c r="AJ827" t="str">
        <f t="shared" ca="1" si="284"/>
        <v>Vacant</v>
      </c>
      <c r="AK827">
        <f t="shared" ca="1" si="285"/>
        <v>4</v>
      </c>
    </row>
    <row r="828" spans="1:37" x14ac:dyDescent="0.3">
      <c r="A828" t="s">
        <v>5248</v>
      </c>
      <c r="B828">
        <v>63</v>
      </c>
      <c r="C828" t="s">
        <v>15</v>
      </c>
      <c r="D828" t="s">
        <v>33</v>
      </c>
      <c r="E828" t="s">
        <v>76</v>
      </c>
      <c r="F828" s="1">
        <v>44527</v>
      </c>
      <c r="G828" t="s">
        <v>1684</v>
      </c>
      <c r="H828" t="s">
        <v>1685</v>
      </c>
      <c r="I828" t="s">
        <v>51</v>
      </c>
      <c r="J828">
        <v>10444</v>
      </c>
      <c r="K828">
        <v>125</v>
      </c>
      <c r="L828" t="s">
        <v>42</v>
      </c>
      <c r="M828" s="1">
        <v>44538</v>
      </c>
      <c r="N828" t="s">
        <v>47</v>
      </c>
      <c r="O828" t="s">
        <v>23</v>
      </c>
      <c r="P828" t="str">
        <f t="shared" si="268"/>
        <v>P0827</v>
      </c>
      <c r="Q828" t="str">
        <f t="shared" si="264"/>
        <v>Orthopedics</v>
      </c>
      <c r="R828">
        <f t="shared" si="265"/>
        <v>11</v>
      </c>
      <c r="S828" t="str">
        <f t="shared" ca="1" si="269"/>
        <v>No</v>
      </c>
      <c r="T828" t="str">
        <f t="shared" ca="1" si="270"/>
        <v>Mild</v>
      </c>
      <c r="U828" t="str">
        <f t="shared" ca="1" si="271"/>
        <v>Semi-Private</v>
      </c>
      <c r="V828" t="str">
        <f t="shared" si="272"/>
        <v>BED0827</v>
      </c>
      <c r="W828" t="str">
        <f t="shared" ca="1" si="273"/>
        <v>General</v>
      </c>
      <c r="X828" t="str">
        <f t="shared" si="274"/>
        <v>NUR027</v>
      </c>
      <c r="Y828" t="str">
        <f t="shared" ca="1" si="275"/>
        <v>Morning</v>
      </c>
      <c r="Z828" t="str">
        <f t="shared" ca="1" si="276"/>
        <v>MRI Scanner</v>
      </c>
      <c r="AA828" t="str">
        <f t="shared" ca="1" si="277"/>
        <v>Available</v>
      </c>
      <c r="AB828" t="str">
        <f t="shared" ca="1" si="278"/>
        <v>Pending</v>
      </c>
      <c r="AC828" t="str">
        <f t="shared" ca="1" si="279"/>
        <v>Debit Card</v>
      </c>
      <c r="AD828" t="str">
        <f t="shared" ca="1" si="280"/>
        <v>No</v>
      </c>
      <c r="AE828" t="str">
        <f t="shared" ca="1" si="281"/>
        <v>No</v>
      </c>
      <c r="AF828" t="str">
        <f t="shared" ca="1" si="282"/>
        <v>Under Observation</v>
      </c>
      <c r="AG828" t="str">
        <f t="shared" ca="1" si="283"/>
        <v>Midwest</v>
      </c>
      <c r="AH828" t="str">
        <f t="shared" si="266"/>
        <v>November</v>
      </c>
      <c r="AI828">
        <f t="shared" si="267"/>
        <v>2021</v>
      </c>
      <c r="AJ828" t="str">
        <f t="shared" ca="1" si="284"/>
        <v>Occupied</v>
      </c>
      <c r="AK828">
        <f t="shared" ca="1" si="285"/>
        <v>2</v>
      </c>
    </row>
    <row r="829" spans="1:37" x14ac:dyDescent="0.3">
      <c r="A829" t="s">
        <v>5249</v>
      </c>
      <c r="B829">
        <v>38</v>
      </c>
      <c r="C829" t="s">
        <v>15</v>
      </c>
      <c r="D829" t="s">
        <v>33</v>
      </c>
      <c r="E829" t="s">
        <v>64</v>
      </c>
      <c r="F829" s="1">
        <v>44061</v>
      </c>
      <c r="G829" t="s">
        <v>1686</v>
      </c>
      <c r="H829" t="s">
        <v>1687</v>
      </c>
      <c r="I829" t="s">
        <v>20</v>
      </c>
      <c r="J829">
        <v>40606</v>
      </c>
      <c r="K829">
        <v>496</v>
      </c>
      <c r="L829" t="s">
        <v>29</v>
      </c>
      <c r="M829" s="1">
        <v>44067</v>
      </c>
      <c r="N829" t="s">
        <v>22</v>
      </c>
      <c r="O829" t="s">
        <v>31</v>
      </c>
      <c r="P829" t="str">
        <f t="shared" si="268"/>
        <v>P0828</v>
      </c>
      <c r="Q829" t="str">
        <f t="shared" si="264"/>
        <v>Cardiology</v>
      </c>
      <c r="R829">
        <f t="shared" si="265"/>
        <v>6</v>
      </c>
      <c r="S829" t="str">
        <f t="shared" ca="1" si="269"/>
        <v>No</v>
      </c>
      <c r="T829" t="str">
        <f t="shared" ca="1" si="270"/>
        <v>Moderate</v>
      </c>
      <c r="U829" t="str">
        <f t="shared" ca="1" si="271"/>
        <v>ICU</v>
      </c>
      <c r="V829" t="str">
        <f t="shared" si="272"/>
        <v>BED0828</v>
      </c>
      <c r="W829" t="str">
        <f t="shared" ca="1" si="273"/>
        <v>ICU</v>
      </c>
      <c r="X829" t="str">
        <f t="shared" si="274"/>
        <v>NUR028</v>
      </c>
      <c r="Y829" t="str">
        <f t="shared" ca="1" si="275"/>
        <v>Morning</v>
      </c>
      <c r="Z829" t="str">
        <f t="shared" ca="1" si="276"/>
        <v>ECG Machine</v>
      </c>
      <c r="AA829" t="str">
        <f t="shared" ca="1" si="277"/>
        <v>Available</v>
      </c>
      <c r="AB829" t="str">
        <f t="shared" ca="1" si="278"/>
        <v>Paid</v>
      </c>
      <c r="AC829" t="str">
        <f t="shared" ca="1" si="279"/>
        <v>Bank Transfer</v>
      </c>
      <c r="AD829" t="str">
        <f t="shared" ca="1" si="280"/>
        <v>No</v>
      </c>
      <c r="AE829" t="str">
        <f t="shared" ca="1" si="281"/>
        <v>No</v>
      </c>
      <c r="AF829" t="str">
        <f t="shared" ca="1" si="282"/>
        <v>Transferred</v>
      </c>
      <c r="AG829" t="str">
        <f t="shared" ca="1" si="283"/>
        <v>West Coast</v>
      </c>
      <c r="AH829" t="str">
        <f t="shared" si="266"/>
        <v>August</v>
      </c>
      <c r="AI829">
        <f t="shared" si="267"/>
        <v>2020</v>
      </c>
      <c r="AJ829" t="str">
        <f t="shared" ca="1" si="284"/>
        <v>Occupied</v>
      </c>
      <c r="AK829">
        <f t="shared" ca="1" si="285"/>
        <v>2</v>
      </c>
    </row>
    <row r="830" spans="1:37" x14ac:dyDescent="0.3">
      <c r="A830" t="s">
        <v>5250</v>
      </c>
      <c r="B830">
        <v>74</v>
      </c>
      <c r="C830" t="s">
        <v>15</v>
      </c>
      <c r="D830" t="s">
        <v>83</v>
      </c>
      <c r="E830" t="s">
        <v>39</v>
      </c>
      <c r="F830" s="1">
        <v>43652</v>
      </c>
      <c r="G830" t="s">
        <v>1688</v>
      </c>
      <c r="H830" t="s">
        <v>1689</v>
      </c>
      <c r="I830" t="s">
        <v>28</v>
      </c>
      <c r="J830">
        <v>32535</v>
      </c>
      <c r="K830">
        <v>359</v>
      </c>
      <c r="L830" t="s">
        <v>29</v>
      </c>
      <c r="M830" s="1">
        <v>43679</v>
      </c>
      <c r="N830" t="s">
        <v>67</v>
      </c>
      <c r="O830" t="s">
        <v>23</v>
      </c>
      <c r="P830" t="str">
        <f t="shared" si="268"/>
        <v>P0829</v>
      </c>
      <c r="Q830" t="str">
        <f t="shared" si="264"/>
        <v>Endocrinology</v>
      </c>
      <c r="R830">
        <f t="shared" si="265"/>
        <v>27</v>
      </c>
      <c r="S830" t="str">
        <f t="shared" ca="1" si="269"/>
        <v>Yes</v>
      </c>
      <c r="T830" t="str">
        <f t="shared" ca="1" si="270"/>
        <v>Severe</v>
      </c>
      <c r="U830" t="str">
        <f t="shared" ca="1" si="271"/>
        <v>Private Ward</v>
      </c>
      <c r="V830" t="str">
        <f t="shared" si="272"/>
        <v>BED0829</v>
      </c>
      <c r="W830" t="str">
        <f t="shared" ca="1" si="273"/>
        <v>General</v>
      </c>
      <c r="X830" t="str">
        <f t="shared" si="274"/>
        <v>NUR029</v>
      </c>
      <c r="Y830" t="str">
        <f t="shared" ca="1" si="275"/>
        <v>Evening</v>
      </c>
      <c r="Z830" t="str">
        <f t="shared" ca="1" si="276"/>
        <v>ECG Machine</v>
      </c>
      <c r="AA830" t="str">
        <f t="shared" ca="1" si="277"/>
        <v>In Use</v>
      </c>
      <c r="AB830" t="str">
        <f t="shared" ca="1" si="278"/>
        <v>Paid</v>
      </c>
      <c r="AC830" t="str">
        <f t="shared" ca="1" si="279"/>
        <v>Cash</v>
      </c>
      <c r="AD830" t="str">
        <f t="shared" ca="1" si="280"/>
        <v>No</v>
      </c>
      <c r="AE830" t="str">
        <f t="shared" ca="1" si="281"/>
        <v>No</v>
      </c>
      <c r="AF830" t="str">
        <f t="shared" ca="1" si="282"/>
        <v>Recovered</v>
      </c>
      <c r="AG830" t="str">
        <f t="shared" ca="1" si="283"/>
        <v>Southeast</v>
      </c>
      <c r="AH830" t="str">
        <f t="shared" si="266"/>
        <v>July</v>
      </c>
      <c r="AI830">
        <f t="shared" si="267"/>
        <v>2019</v>
      </c>
      <c r="AJ830" t="str">
        <f t="shared" ca="1" si="284"/>
        <v>Occupied</v>
      </c>
      <c r="AK830">
        <f t="shared" ca="1" si="285"/>
        <v>2</v>
      </c>
    </row>
    <row r="831" spans="1:37" x14ac:dyDescent="0.3">
      <c r="A831" t="s">
        <v>5251</v>
      </c>
      <c r="B831">
        <v>38</v>
      </c>
      <c r="C831" t="s">
        <v>15</v>
      </c>
      <c r="D831" t="s">
        <v>16</v>
      </c>
      <c r="E831" t="s">
        <v>48</v>
      </c>
      <c r="F831" s="1">
        <v>45339</v>
      </c>
      <c r="G831" t="s">
        <v>1690</v>
      </c>
      <c r="H831" t="s">
        <v>1691</v>
      </c>
      <c r="I831" t="s">
        <v>51</v>
      </c>
      <c r="J831">
        <v>34557</v>
      </c>
      <c r="K831">
        <v>174</v>
      </c>
      <c r="L831" t="s">
        <v>29</v>
      </c>
      <c r="M831" s="1">
        <v>45341</v>
      </c>
      <c r="N831" t="s">
        <v>67</v>
      </c>
      <c r="O831" t="s">
        <v>23</v>
      </c>
      <c r="P831" t="str">
        <f t="shared" si="268"/>
        <v>P0830</v>
      </c>
      <c r="Q831" t="str">
        <f t="shared" si="264"/>
        <v>Pulmonology</v>
      </c>
      <c r="R831">
        <f t="shared" si="265"/>
        <v>2</v>
      </c>
      <c r="S831" t="str">
        <f t="shared" ca="1" si="269"/>
        <v>No</v>
      </c>
      <c r="T831" t="str">
        <f t="shared" ca="1" si="270"/>
        <v>Severe</v>
      </c>
      <c r="U831" t="str">
        <f t="shared" ca="1" si="271"/>
        <v>Private Ward</v>
      </c>
      <c r="V831" t="str">
        <f t="shared" si="272"/>
        <v>BED0830</v>
      </c>
      <c r="W831" t="str">
        <f t="shared" ca="1" si="273"/>
        <v>Semi-Private</v>
      </c>
      <c r="X831" t="str">
        <f t="shared" si="274"/>
        <v>NUR030</v>
      </c>
      <c r="Y831" t="str">
        <f t="shared" ca="1" si="275"/>
        <v>Morning</v>
      </c>
      <c r="Z831" t="str">
        <f t="shared" ca="1" si="276"/>
        <v>CT Scanner</v>
      </c>
      <c r="AA831" t="str">
        <f t="shared" ca="1" si="277"/>
        <v>Available</v>
      </c>
      <c r="AB831" t="str">
        <f t="shared" ca="1" si="278"/>
        <v>Partially Paid</v>
      </c>
      <c r="AC831" t="str">
        <f t="shared" ca="1" si="279"/>
        <v>Credit Card</v>
      </c>
      <c r="AD831" t="str">
        <f t="shared" ca="1" si="280"/>
        <v>No</v>
      </c>
      <c r="AE831" t="str">
        <f t="shared" ca="1" si="281"/>
        <v>No</v>
      </c>
      <c r="AF831" t="str">
        <f t="shared" ca="1" si="282"/>
        <v>Recovered</v>
      </c>
      <c r="AG831" t="str">
        <f t="shared" ca="1" si="283"/>
        <v>Southwest</v>
      </c>
      <c r="AH831" t="str">
        <f t="shared" si="266"/>
        <v>February</v>
      </c>
      <c r="AI831">
        <f t="shared" si="267"/>
        <v>2024</v>
      </c>
      <c r="AJ831" t="str">
        <f t="shared" ca="1" si="284"/>
        <v>Vacant</v>
      </c>
      <c r="AK831">
        <f t="shared" ca="1" si="285"/>
        <v>4</v>
      </c>
    </row>
    <row r="832" spans="1:37" x14ac:dyDescent="0.3">
      <c r="A832" t="s">
        <v>5252</v>
      </c>
      <c r="B832">
        <v>53</v>
      </c>
      <c r="C832" t="s">
        <v>15</v>
      </c>
      <c r="D832" t="s">
        <v>52</v>
      </c>
      <c r="E832" t="s">
        <v>76</v>
      </c>
      <c r="F832" s="1">
        <v>44445</v>
      </c>
      <c r="G832" t="s">
        <v>1692</v>
      </c>
      <c r="H832" t="s">
        <v>1693</v>
      </c>
      <c r="I832" t="s">
        <v>36</v>
      </c>
      <c r="J832">
        <v>35117</v>
      </c>
      <c r="K832">
        <v>142</v>
      </c>
      <c r="L832" t="s">
        <v>29</v>
      </c>
      <c r="M832" s="1">
        <v>44474</v>
      </c>
      <c r="N832" t="s">
        <v>22</v>
      </c>
      <c r="O832" t="s">
        <v>23</v>
      </c>
      <c r="P832" t="str">
        <f t="shared" si="268"/>
        <v>P0831</v>
      </c>
      <c r="Q832" t="str">
        <f t="shared" si="264"/>
        <v>Orthopedics</v>
      </c>
      <c r="R832">
        <f t="shared" si="265"/>
        <v>29</v>
      </c>
      <c r="S832" t="str">
        <f t="shared" ca="1" si="269"/>
        <v>No</v>
      </c>
      <c r="T832" t="str">
        <f t="shared" ca="1" si="270"/>
        <v>Mild</v>
      </c>
      <c r="U832" t="str">
        <f t="shared" ca="1" si="271"/>
        <v>Semi-Private</v>
      </c>
      <c r="V832" t="str">
        <f t="shared" si="272"/>
        <v>BED0831</v>
      </c>
      <c r="W832" t="str">
        <f t="shared" ca="1" si="273"/>
        <v>General</v>
      </c>
      <c r="X832" t="str">
        <f t="shared" si="274"/>
        <v>NUR031</v>
      </c>
      <c r="Y832" t="str">
        <f t="shared" ca="1" si="275"/>
        <v>Morning</v>
      </c>
      <c r="Z832" t="str">
        <f t="shared" ca="1" si="276"/>
        <v>MRI Scanner</v>
      </c>
      <c r="AA832" t="str">
        <f t="shared" ca="1" si="277"/>
        <v>In Use</v>
      </c>
      <c r="AB832" t="str">
        <f t="shared" ca="1" si="278"/>
        <v>Pending</v>
      </c>
      <c r="AC832" t="str">
        <f t="shared" ca="1" si="279"/>
        <v>Insurance</v>
      </c>
      <c r="AD832" t="str">
        <f t="shared" ca="1" si="280"/>
        <v>No</v>
      </c>
      <c r="AE832" t="str">
        <f t="shared" ca="1" si="281"/>
        <v>No</v>
      </c>
      <c r="AF832" t="str">
        <f t="shared" ca="1" si="282"/>
        <v>Under Observation</v>
      </c>
      <c r="AG832" t="str">
        <f t="shared" ca="1" si="283"/>
        <v>Southeast</v>
      </c>
      <c r="AH832" t="str">
        <f t="shared" si="266"/>
        <v>September</v>
      </c>
      <c r="AI832">
        <f t="shared" si="267"/>
        <v>2021</v>
      </c>
      <c r="AJ832" t="str">
        <f t="shared" ca="1" si="284"/>
        <v>Vacant</v>
      </c>
      <c r="AK832">
        <f t="shared" ca="1" si="285"/>
        <v>1</v>
      </c>
    </row>
    <row r="833" spans="1:37" x14ac:dyDescent="0.3">
      <c r="A833" t="s">
        <v>5253</v>
      </c>
      <c r="B833">
        <v>36</v>
      </c>
      <c r="C833" t="s">
        <v>15</v>
      </c>
      <c r="D833" t="s">
        <v>44</v>
      </c>
      <c r="E833" t="s">
        <v>39</v>
      </c>
      <c r="F833" s="1">
        <v>44547</v>
      </c>
      <c r="G833" t="s">
        <v>1694</v>
      </c>
      <c r="H833" t="s">
        <v>1695</v>
      </c>
      <c r="I833" t="s">
        <v>20</v>
      </c>
      <c r="J833">
        <v>28270</v>
      </c>
      <c r="K833">
        <v>119</v>
      </c>
      <c r="L833" t="s">
        <v>42</v>
      </c>
      <c r="M833" s="1">
        <v>44568</v>
      </c>
      <c r="N833" t="s">
        <v>30</v>
      </c>
      <c r="O833" t="s">
        <v>31</v>
      </c>
      <c r="P833" t="str">
        <f t="shared" si="268"/>
        <v>P0832</v>
      </c>
      <c r="Q833" t="str">
        <f t="shared" si="264"/>
        <v>Endocrinology</v>
      </c>
      <c r="R833">
        <f t="shared" si="265"/>
        <v>21</v>
      </c>
      <c r="S833" t="str">
        <f t="shared" ca="1" si="269"/>
        <v>No</v>
      </c>
      <c r="T833" t="str">
        <f t="shared" ca="1" si="270"/>
        <v>Mild</v>
      </c>
      <c r="U833" t="str">
        <f t="shared" ca="1" si="271"/>
        <v>ICU</v>
      </c>
      <c r="V833" t="str">
        <f t="shared" si="272"/>
        <v>BED0832</v>
      </c>
      <c r="W833" t="str">
        <f t="shared" ca="1" si="273"/>
        <v>Private</v>
      </c>
      <c r="X833" t="str">
        <f t="shared" si="274"/>
        <v>NUR032</v>
      </c>
      <c r="Y833" t="str">
        <f t="shared" ca="1" si="275"/>
        <v>Evening</v>
      </c>
      <c r="Z833" t="str">
        <f t="shared" ca="1" si="276"/>
        <v>ECG Machine</v>
      </c>
      <c r="AA833" t="str">
        <f t="shared" ca="1" si="277"/>
        <v>Maintenance</v>
      </c>
      <c r="AB833" t="str">
        <f t="shared" ca="1" si="278"/>
        <v>Paid</v>
      </c>
      <c r="AC833" t="str">
        <f t="shared" ca="1" si="279"/>
        <v>Credit Card</v>
      </c>
      <c r="AD833" t="str">
        <f t="shared" ca="1" si="280"/>
        <v>No</v>
      </c>
      <c r="AE833" t="str">
        <f t="shared" ca="1" si="281"/>
        <v>No</v>
      </c>
      <c r="AF833" t="str">
        <f t="shared" ca="1" si="282"/>
        <v>Under Observation</v>
      </c>
      <c r="AG833" t="str">
        <f t="shared" ca="1" si="283"/>
        <v>Midwest</v>
      </c>
      <c r="AH833" t="str">
        <f t="shared" si="266"/>
        <v>December</v>
      </c>
      <c r="AI833">
        <f t="shared" si="267"/>
        <v>2021</v>
      </c>
      <c r="AJ833" t="str">
        <f t="shared" ca="1" si="284"/>
        <v>Occupied</v>
      </c>
      <c r="AK833">
        <f t="shared" ca="1" si="285"/>
        <v>1</v>
      </c>
    </row>
    <row r="834" spans="1:37" x14ac:dyDescent="0.3">
      <c r="A834" t="s">
        <v>5254</v>
      </c>
      <c r="B834">
        <v>67</v>
      </c>
      <c r="C834" t="s">
        <v>32</v>
      </c>
      <c r="D834" t="s">
        <v>24</v>
      </c>
      <c r="E834" t="s">
        <v>76</v>
      </c>
      <c r="F834" s="1">
        <v>44824</v>
      </c>
      <c r="G834" t="s">
        <v>1696</v>
      </c>
      <c r="H834" t="s">
        <v>1697</v>
      </c>
      <c r="I834" t="s">
        <v>20</v>
      </c>
      <c r="J834">
        <v>47735</v>
      </c>
      <c r="K834">
        <v>143</v>
      </c>
      <c r="L834" t="s">
        <v>29</v>
      </c>
      <c r="M834" s="1">
        <v>44841</v>
      </c>
      <c r="N834" t="s">
        <v>37</v>
      </c>
      <c r="O834" t="s">
        <v>43</v>
      </c>
      <c r="P834" t="str">
        <f t="shared" si="268"/>
        <v>P0833</v>
      </c>
      <c r="Q834" t="str">
        <f t="shared" ref="Q834:Q897" si="286">IF(E834="Cancer","Oncology",IF(E834="Obesity","Nutrition",IF(E834="Diabetes","Endocrinology",IF(E834="Asthma","Pulmonology",IF(E834="Arthritis","Orthopedics",IF(E834="Hypertension","Cardiology","General Medicine"))))))</f>
        <v>Orthopedics</v>
      </c>
      <c r="R834">
        <f t="shared" ref="R834:R897" si="287">M834-F834</f>
        <v>17</v>
      </c>
      <c r="S834" t="str">
        <f t="shared" ca="1" si="269"/>
        <v>No</v>
      </c>
      <c r="T834" t="str">
        <f t="shared" ca="1" si="270"/>
        <v>Severe</v>
      </c>
      <c r="U834" t="str">
        <f t="shared" ca="1" si="271"/>
        <v>ICU</v>
      </c>
      <c r="V834" t="str">
        <f t="shared" si="272"/>
        <v>BED0833</v>
      </c>
      <c r="W834" t="str">
        <f t="shared" ca="1" si="273"/>
        <v>ICU</v>
      </c>
      <c r="X834" t="str">
        <f t="shared" si="274"/>
        <v>NUR033</v>
      </c>
      <c r="Y834" t="str">
        <f t="shared" ca="1" si="275"/>
        <v>Evening</v>
      </c>
      <c r="Z834" t="str">
        <f t="shared" ca="1" si="276"/>
        <v>CT Scanner</v>
      </c>
      <c r="AA834" t="str">
        <f t="shared" ca="1" si="277"/>
        <v>Maintenance</v>
      </c>
      <c r="AB834" t="str">
        <f t="shared" ca="1" si="278"/>
        <v>Paid</v>
      </c>
      <c r="AC834" t="str">
        <f t="shared" ca="1" si="279"/>
        <v>Bank Transfer</v>
      </c>
      <c r="AD834" t="str">
        <f t="shared" ca="1" si="280"/>
        <v>No</v>
      </c>
      <c r="AE834" t="str">
        <f t="shared" ca="1" si="281"/>
        <v>Yes</v>
      </c>
      <c r="AF834" t="str">
        <f t="shared" ca="1" si="282"/>
        <v>Recovered</v>
      </c>
      <c r="AG834" t="str">
        <f t="shared" ca="1" si="283"/>
        <v>Midwest</v>
      </c>
      <c r="AH834" t="str">
        <f t="shared" ref="AH834:AH897" si="288">TEXT(F834,"MMMM")</f>
        <v>September</v>
      </c>
      <c r="AI834">
        <f t="shared" ref="AI834:AI897" si="289">YEAR(F834)</f>
        <v>2022</v>
      </c>
      <c r="AJ834" t="str">
        <f t="shared" ca="1" si="284"/>
        <v>Occupied</v>
      </c>
      <c r="AK834">
        <f t="shared" ca="1" si="285"/>
        <v>4</v>
      </c>
    </row>
    <row r="835" spans="1:37" x14ac:dyDescent="0.3">
      <c r="A835" t="s">
        <v>5255</v>
      </c>
      <c r="B835">
        <v>63</v>
      </c>
      <c r="C835" t="s">
        <v>15</v>
      </c>
      <c r="D835" t="s">
        <v>52</v>
      </c>
      <c r="E835" t="s">
        <v>48</v>
      </c>
      <c r="F835" s="1">
        <v>44543</v>
      </c>
      <c r="G835" t="s">
        <v>1698</v>
      </c>
      <c r="H835" t="s">
        <v>1699</v>
      </c>
      <c r="I835" t="s">
        <v>57</v>
      </c>
      <c r="J835">
        <v>19176</v>
      </c>
      <c r="K835">
        <v>452</v>
      </c>
      <c r="L835" t="s">
        <v>42</v>
      </c>
      <c r="M835" s="1">
        <v>44550</v>
      </c>
      <c r="N835" t="s">
        <v>47</v>
      </c>
      <c r="O835" t="s">
        <v>31</v>
      </c>
      <c r="P835" t="str">
        <f t="shared" ref="P835:P898" si="290">"P"&amp;TEXT(ROW()-1,"0000")</f>
        <v>P0834</v>
      </c>
      <c r="Q835" t="str">
        <f t="shared" si="286"/>
        <v>Pulmonology</v>
      </c>
      <c r="R835">
        <f t="shared" si="287"/>
        <v>7</v>
      </c>
      <c r="S835" t="str">
        <f t="shared" ref="S835:S898" ca="1" si="291">IF(RAND()&lt;0.1,"Yes","No")</f>
        <v>No</v>
      </c>
      <c r="T835" t="str">
        <f t="shared" ref="T835:T898" ca="1" si="292">CHOOSE(RANDBETWEEN(1,4),"Mild","Moderate","Severe","Critical")</f>
        <v>Mild</v>
      </c>
      <c r="U835" t="str">
        <f t="shared" ref="U835:U898" ca="1" si="293">CHOOSE(RANDBETWEEN(1,5),"General Ward","ICU","Emergency","Private Ward","Semi-Private")</f>
        <v>Emergency</v>
      </c>
      <c r="V835" t="str">
        <f t="shared" ref="V835:V898" si="294">"BED"&amp;TEXT(ROW()-1,"0000")</f>
        <v>BED0834</v>
      </c>
      <c r="W835" t="str">
        <f t="shared" ref="W835:W898" ca="1" si="295">CHOOSE(RANDBETWEEN(1,4),"General","Private","Semi-Private","ICU")</f>
        <v>Private</v>
      </c>
      <c r="X835" t="str">
        <f t="shared" ref="X835:X898" si="296">"NUR"&amp;TEXT(MOD(ROW()-2,50)+1,"000")</f>
        <v>NUR034</v>
      </c>
      <c r="Y835" t="str">
        <f t="shared" ref="Y835:Y898" ca="1" si="297">CHOOSE(RANDBETWEEN(1,3),"Morning","Evening","Night")</f>
        <v>Evening</v>
      </c>
      <c r="Z835" t="str">
        <f t="shared" ref="Z835:Z898" ca="1" si="298">CHOOSE(RANDBETWEEN(1,6),"MRI Scanner","CT Scanner","Ventilator","X-Ray","ECG Machine","Ultrasound")</f>
        <v>MRI Scanner</v>
      </c>
      <c r="AA835" t="str">
        <f t="shared" ref="AA835:AA898" ca="1" si="299">CHOOSE(RANDBETWEEN(1,3),"Available","In Use","Maintenance")</f>
        <v>Available</v>
      </c>
      <c r="AB835" t="str">
        <f t="shared" ref="AB835:AB898" ca="1" si="300">CHOOSE(RANDBETWEEN(1,3),"Paid","Pending","Partially Paid")</f>
        <v>Partially Paid</v>
      </c>
      <c r="AC835" t="str">
        <f t="shared" ref="AC835:AC898" ca="1" si="301">CHOOSE(RANDBETWEEN(1,5),"Cash","Credit Card","Debit Card","Insurance","Bank Transfer")</f>
        <v>Debit Card</v>
      </c>
      <c r="AD835" t="str">
        <f t="shared" ref="AD835:AD898" ca="1" si="302">IF(RAND()&lt;0.2,"Yes","No")</f>
        <v>No</v>
      </c>
      <c r="AE835" t="str">
        <f t="shared" ref="AE835:AE898" ca="1" si="303">IF(RAND()&lt;0.15,"Yes","No")</f>
        <v>No</v>
      </c>
      <c r="AF835" t="str">
        <f t="shared" ref="AF835:AF898" ca="1" si="304">CHOOSE(RANDBETWEEN(1,3),"Recovered","Transferred","Under Observation")</f>
        <v>Under Observation</v>
      </c>
      <c r="AG835" t="str">
        <f t="shared" ref="AG835:AG898" ca="1" si="305">CHOOSE(RANDBETWEEN(1,5),"Northeast","Southeast","Midwest","Southwest","West Coast")</f>
        <v>Southwest</v>
      </c>
      <c r="AH835" t="str">
        <f t="shared" si="288"/>
        <v>December</v>
      </c>
      <c r="AI835">
        <f t="shared" si="289"/>
        <v>2021</v>
      </c>
      <c r="AJ835" t="str">
        <f t="shared" ref="AJ835:AJ898" ca="1" si="306">IF(RANDBETWEEN(1,100)&lt;=80,"Occupied","Vacant")</f>
        <v>Occupied</v>
      </c>
      <c r="AK835">
        <f t="shared" ref="AK835:AK898" ca="1" si="307">CHOOSE(RANDBETWEEN(1,3),1,2,4)</f>
        <v>2</v>
      </c>
    </row>
    <row r="836" spans="1:37" x14ac:dyDescent="0.3">
      <c r="A836" t="s">
        <v>5256</v>
      </c>
      <c r="B836">
        <v>39</v>
      </c>
      <c r="C836" t="s">
        <v>15</v>
      </c>
      <c r="D836" t="s">
        <v>24</v>
      </c>
      <c r="E836" t="s">
        <v>76</v>
      </c>
      <c r="F836" s="1">
        <v>44481</v>
      </c>
      <c r="G836" t="s">
        <v>1700</v>
      </c>
      <c r="H836" t="s">
        <v>1701</v>
      </c>
      <c r="I836" t="s">
        <v>20</v>
      </c>
      <c r="J836">
        <v>8731</v>
      </c>
      <c r="K836">
        <v>219</v>
      </c>
      <c r="L836" t="s">
        <v>29</v>
      </c>
      <c r="M836" s="1">
        <v>44496</v>
      </c>
      <c r="N836" t="s">
        <v>30</v>
      </c>
      <c r="O836" t="s">
        <v>23</v>
      </c>
      <c r="P836" t="str">
        <f t="shared" si="290"/>
        <v>P0835</v>
      </c>
      <c r="Q836" t="str">
        <f t="shared" si="286"/>
        <v>Orthopedics</v>
      </c>
      <c r="R836">
        <f t="shared" si="287"/>
        <v>15</v>
      </c>
      <c r="S836" t="str">
        <f t="shared" ca="1" si="291"/>
        <v>No</v>
      </c>
      <c r="T836" t="str">
        <f t="shared" ca="1" si="292"/>
        <v>Severe</v>
      </c>
      <c r="U836" t="str">
        <f t="shared" ca="1" si="293"/>
        <v>Private Ward</v>
      </c>
      <c r="V836" t="str">
        <f t="shared" si="294"/>
        <v>BED0835</v>
      </c>
      <c r="W836" t="str">
        <f t="shared" ca="1" si="295"/>
        <v>Private</v>
      </c>
      <c r="X836" t="str">
        <f t="shared" si="296"/>
        <v>NUR035</v>
      </c>
      <c r="Y836" t="str">
        <f t="shared" ca="1" si="297"/>
        <v>Evening</v>
      </c>
      <c r="Z836" t="str">
        <f t="shared" ca="1" si="298"/>
        <v>Ventilator</v>
      </c>
      <c r="AA836" t="str">
        <f t="shared" ca="1" si="299"/>
        <v>Available</v>
      </c>
      <c r="AB836" t="str">
        <f t="shared" ca="1" si="300"/>
        <v>Paid</v>
      </c>
      <c r="AC836" t="str">
        <f t="shared" ca="1" si="301"/>
        <v>Bank Transfer</v>
      </c>
      <c r="AD836" t="str">
        <f t="shared" ca="1" si="302"/>
        <v>Yes</v>
      </c>
      <c r="AE836" t="str">
        <f t="shared" ca="1" si="303"/>
        <v>No</v>
      </c>
      <c r="AF836" t="str">
        <f t="shared" ca="1" si="304"/>
        <v>Under Observation</v>
      </c>
      <c r="AG836" t="str">
        <f t="shared" ca="1" si="305"/>
        <v>West Coast</v>
      </c>
      <c r="AH836" t="str">
        <f t="shared" si="288"/>
        <v>October</v>
      </c>
      <c r="AI836">
        <f t="shared" si="289"/>
        <v>2021</v>
      </c>
      <c r="AJ836" t="str">
        <f t="shared" ca="1" si="306"/>
        <v>Occupied</v>
      </c>
      <c r="AK836">
        <f t="shared" ca="1" si="307"/>
        <v>4</v>
      </c>
    </row>
    <row r="837" spans="1:37" x14ac:dyDescent="0.3">
      <c r="A837" t="s">
        <v>5257</v>
      </c>
      <c r="B837">
        <v>55</v>
      </c>
      <c r="C837" t="s">
        <v>15</v>
      </c>
      <c r="D837" t="s">
        <v>98</v>
      </c>
      <c r="E837" t="s">
        <v>48</v>
      </c>
      <c r="F837" s="1">
        <v>45146</v>
      </c>
      <c r="G837" t="s">
        <v>1702</v>
      </c>
      <c r="H837" t="s">
        <v>1703</v>
      </c>
      <c r="I837" t="s">
        <v>28</v>
      </c>
      <c r="J837">
        <v>19250</v>
      </c>
      <c r="K837">
        <v>107</v>
      </c>
      <c r="L837" t="s">
        <v>29</v>
      </c>
      <c r="M837" s="1">
        <v>45159</v>
      </c>
      <c r="N837" t="s">
        <v>37</v>
      </c>
      <c r="O837" t="s">
        <v>43</v>
      </c>
      <c r="P837" t="str">
        <f t="shared" si="290"/>
        <v>P0836</v>
      </c>
      <c r="Q837" t="str">
        <f t="shared" si="286"/>
        <v>Pulmonology</v>
      </c>
      <c r="R837">
        <f t="shared" si="287"/>
        <v>13</v>
      </c>
      <c r="S837" t="str">
        <f t="shared" ca="1" si="291"/>
        <v>Yes</v>
      </c>
      <c r="T837" t="str">
        <f t="shared" ca="1" si="292"/>
        <v>Moderate</v>
      </c>
      <c r="U837" t="str">
        <f t="shared" ca="1" si="293"/>
        <v>Semi-Private</v>
      </c>
      <c r="V837" t="str">
        <f t="shared" si="294"/>
        <v>BED0836</v>
      </c>
      <c r="W837" t="str">
        <f t="shared" ca="1" si="295"/>
        <v>General</v>
      </c>
      <c r="X837" t="str">
        <f t="shared" si="296"/>
        <v>NUR036</v>
      </c>
      <c r="Y837" t="str">
        <f t="shared" ca="1" si="297"/>
        <v>Morning</v>
      </c>
      <c r="Z837" t="str">
        <f t="shared" ca="1" si="298"/>
        <v>X-Ray</v>
      </c>
      <c r="AA837" t="str">
        <f t="shared" ca="1" si="299"/>
        <v>In Use</v>
      </c>
      <c r="AB837" t="str">
        <f t="shared" ca="1" si="300"/>
        <v>Partially Paid</v>
      </c>
      <c r="AC837" t="str">
        <f t="shared" ca="1" si="301"/>
        <v>Credit Card</v>
      </c>
      <c r="AD837" t="str">
        <f t="shared" ca="1" si="302"/>
        <v>No</v>
      </c>
      <c r="AE837" t="str">
        <f t="shared" ca="1" si="303"/>
        <v>No</v>
      </c>
      <c r="AF837" t="str">
        <f t="shared" ca="1" si="304"/>
        <v>Transferred</v>
      </c>
      <c r="AG837" t="str">
        <f t="shared" ca="1" si="305"/>
        <v>Southwest</v>
      </c>
      <c r="AH837" t="str">
        <f t="shared" si="288"/>
        <v>August</v>
      </c>
      <c r="AI837">
        <f t="shared" si="289"/>
        <v>2023</v>
      </c>
      <c r="AJ837" t="str">
        <f t="shared" ca="1" si="306"/>
        <v>Occupied</v>
      </c>
      <c r="AK837">
        <f t="shared" ca="1" si="307"/>
        <v>1</v>
      </c>
    </row>
    <row r="838" spans="1:37" x14ac:dyDescent="0.3">
      <c r="A838" t="s">
        <v>5258</v>
      </c>
      <c r="B838">
        <v>80</v>
      </c>
      <c r="C838" t="s">
        <v>15</v>
      </c>
      <c r="D838" t="s">
        <v>52</v>
      </c>
      <c r="E838" t="s">
        <v>25</v>
      </c>
      <c r="F838" s="1">
        <v>43784</v>
      </c>
      <c r="G838" t="s">
        <v>1704</v>
      </c>
      <c r="H838" t="s">
        <v>1705</v>
      </c>
      <c r="I838" t="s">
        <v>36</v>
      </c>
      <c r="J838">
        <v>22759</v>
      </c>
      <c r="K838">
        <v>170</v>
      </c>
      <c r="L838" t="s">
        <v>42</v>
      </c>
      <c r="M838" s="1">
        <v>43812</v>
      </c>
      <c r="N838" t="s">
        <v>37</v>
      </c>
      <c r="O838" t="s">
        <v>31</v>
      </c>
      <c r="P838" t="str">
        <f t="shared" si="290"/>
        <v>P0837</v>
      </c>
      <c r="Q838" t="str">
        <f t="shared" si="286"/>
        <v>Nutrition</v>
      </c>
      <c r="R838">
        <f t="shared" si="287"/>
        <v>28</v>
      </c>
      <c r="S838" t="str">
        <f t="shared" ca="1" si="291"/>
        <v>No</v>
      </c>
      <c r="T838" t="str">
        <f t="shared" ca="1" si="292"/>
        <v>Critical</v>
      </c>
      <c r="U838" t="str">
        <f t="shared" ca="1" si="293"/>
        <v>Semi-Private</v>
      </c>
      <c r="V838" t="str">
        <f t="shared" si="294"/>
        <v>BED0837</v>
      </c>
      <c r="W838" t="str">
        <f t="shared" ca="1" si="295"/>
        <v>ICU</v>
      </c>
      <c r="X838" t="str">
        <f t="shared" si="296"/>
        <v>NUR037</v>
      </c>
      <c r="Y838" t="str">
        <f t="shared" ca="1" si="297"/>
        <v>Night</v>
      </c>
      <c r="Z838" t="str">
        <f t="shared" ca="1" si="298"/>
        <v>Ventilator</v>
      </c>
      <c r="AA838" t="str">
        <f t="shared" ca="1" si="299"/>
        <v>Maintenance</v>
      </c>
      <c r="AB838" t="str">
        <f t="shared" ca="1" si="300"/>
        <v>Pending</v>
      </c>
      <c r="AC838" t="str">
        <f t="shared" ca="1" si="301"/>
        <v>Cash</v>
      </c>
      <c r="AD838" t="str">
        <f t="shared" ca="1" si="302"/>
        <v>Yes</v>
      </c>
      <c r="AE838" t="str">
        <f t="shared" ca="1" si="303"/>
        <v>No</v>
      </c>
      <c r="AF838" t="str">
        <f t="shared" ca="1" si="304"/>
        <v>Recovered</v>
      </c>
      <c r="AG838" t="str">
        <f t="shared" ca="1" si="305"/>
        <v>Midwest</v>
      </c>
      <c r="AH838" t="str">
        <f t="shared" si="288"/>
        <v>November</v>
      </c>
      <c r="AI838">
        <f t="shared" si="289"/>
        <v>2019</v>
      </c>
      <c r="AJ838" t="str">
        <f t="shared" ca="1" si="306"/>
        <v>Occupied</v>
      </c>
      <c r="AK838">
        <f t="shared" ca="1" si="307"/>
        <v>1</v>
      </c>
    </row>
    <row r="839" spans="1:37" x14ac:dyDescent="0.3">
      <c r="A839" t="s">
        <v>5259</v>
      </c>
      <c r="B839">
        <v>18</v>
      </c>
      <c r="C839" t="s">
        <v>32</v>
      </c>
      <c r="D839" t="s">
        <v>16</v>
      </c>
      <c r="E839" t="s">
        <v>48</v>
      </c>
      <c r="F839" s="1">
        <v>44547</v>
      </c>
      <c r="G839" t="s">
        <v>1706</v>
      </c>
      <c r="H839" t="s">
        <v>1707</v>
      </c>
      <c r="I839" t="s">
        <v>20</v>
      </c>
      <c r="J839">
        <v>20929</v>
      </c>
      <c r="K839">
        <v>135</v>
      </c>
      <c r="L839" t="s">
        <v>29</v>
      </c>
      <c r="M839" s="1">
        <v>44556</v>
      </c>
      <c r="N839" t="s">
        <v>37</v>
      </c>
      <c r="O839" t="s">
        <v>23</v>
      </c>
      <c r="P839" t="str">
        <f t="shared" si="290"/>
        <v>P0838</v>
      </c>
      <c r="Q839" t="str">
        <f t="shared" si="286"/>
        <v>Pulmonology</v>
      </c>
      <c r="R839">
        <f t="shared" si="287"/>
        <v>9</v>
      </c>
      <c r="S839" t="str">
        <f t="shared" ca="1" si="291"/>
        <v>No</v>
      </c>
      <c r="T839" t="str">
        <f t="shared" ca="1" si="292"/>
        <v>Moderate</v>
      </c>
      <c r="U839" t="str">
        <f t="shared" ca="1" si="293"/>
        <v>General Ward</v>
      </c>
      <c r="V839" t="str">
        <f t="shared" si="294"/>
        <v>BED0838</v>
      </c>
      <c r="W839" t="str">
        <f t="shared" ca="1" si="295"/>
        <v>ICU</v>
      </c>
      <c r="X839" t="str">
        <f t="shared" si="296"/>
        <v>NUR038</v>
      </c>
      <c r="Y839" t="str">
        <f t="shared" ca="1" si="297"/>
        <v>Morning</v>
      </c>
      <c r="Z839" t="str">
        <f t="shared" ca="1" si="298"/>
        <v>ECG Machine</v>
      </c>
      <c r="AA839" t="str">
        <f t="shared" ca="1" si="299"/>
        <v>Maintenance</v>
      </c>
      <c r="AB839" t="str">
        <f t="shared" ca="1" si="300"/>
        <v>Paid</v>
      </c>
      <c r="AC839" t="str">
        <f t="shared" ca="1" si="301"/>
        <v>Credit Card</v>
      </c>
      <c r="AD839" t="str">
        <f t="shared" ca="1" si="302"/>
        <v>No</v>
      </c>
      <c r="AE839" t="str">
        <f t="shared" ca="1" si="303"/>
        <v>No</v>
      </c>
      <c r="AF839" t="str">
        <f t="shared" ca="1" si="304"/>
        <v>Recovered</v>
      </c>
      <c r="AG839" t="str">
        <f t="shared" ca="1" si="305"/>
        <v>Midwest</v>
      </c>
      <c r="AH839" t="str">
        <f t="shared" si="288"/>
        <v>December</v>
      </c>
      <c r="AI839">
        <f t="shared" si="289"/>
        <v>2021</v>
      </c>
      <c r="AJ839" t="str">
        <f t="shared" ca="1" si="306"/>
        <v>Occupied</v>
      </c>
      <c r="AK839">
        <f t="shared" ca="1" si="307"/>
        <v>4</v>
      </c>
    </row>
    <row r="840" spans="1:37" x14ac:dyDescent="0.3">
      <c r="A840" t="s">
        <v>5260</v>
      </c>
      <c r="B840">
        <v>41</v>
      </c>
      <c r="C840" t="s">
        <v>15</v>
      </c>
      <c r="D840" t="s">
        <v>38</v>
      </c>
      <c r="E840" t="s">
        <v>17</v>
      </c>
      <c r="F840" s="1">
        <v>44873</v>
      </c>
      <c r="G840" t="s">
        <v>1708</v>
      </c>
      <c r="H840" t="s">
        <v>1709</v>
      </c>
      <c r="I840" t="s">
        <v>57</v>
      </c>
      <c r="J840">
        <v>3900</v>
      </c>
      <c r="K840">
        <v>234</v>
      </c>
      <c r="L840" t="s">
        <v>29</v>
      </c>
      <c r="M840" s="1">
        <v>44876</v>
      </c>
      <c r="N840" t="s">
        <v>47</v>
      </c>
      <c r="O840" t="s">
        <v>43</v>
      </c>
      <c r="P840" t="str">
        <f t="shared" si="290"/>
        <v>P0839</v>
      </c>
      <c r="Q840" t="str">
        <f t="shared" si="286"/>
        <v>Oncology</v>
      </c>
      <c r="R840">
        <f t="shared" si="287"/>
        <v>3</v>
      </c>
      <c r="S840" t="str">
        <f t="shared" ca="1" si="291"/>
        <v>No</v>
      </c>
      <c r="T840" t="str">
        <f t="shared" ca="1" si="292"/>
        <v>Moderate</v>
      </c>
      <c r="U840" t="str">
        <f t="shared" ca="1" si="293"/>
        <v>ICU</v>
      </c>
      <c r="V840" t="str">
        <f t="shared" si="294"/>
        <v>BED0839</v>
      </c>
      <c r="W840" t="str">
        <f t="shared" ca="1" si="295"/>
        <v>Semi-Private</v>
      </c>
      <c r="X840" t="str">
        <f t="shared" si="296"/>
        <v>NUR039</v>
      </c>
      <c r="Y840" t="str">
        <f t="shared" ca="1" si="297"/>
        <v>Morning</v>
      </c>
      <c r="Z840" t="str">
        <f t="shared" ca="1" si="298"/>
        <v>CT Scanner</v>
      </c>
      <c r="AA840" t="str">
        <f t="shared" ca="1" si="299"/>
        <v>In Use</v>
      </c>
      <c r="AB840" t="str">
        <f t="shared" ca="1" si="300"/>
        <v>Pending</v>
      </c>
      <c r="AC840" t="str">
        <f t="shared" ca="1" si="301"/>
        <v>Debit Card</v>
      </c>
      <c r="AD840" t="str">
        <f t="shared" ca="1" si="302"/>
        <v>Yes</v>
      </c>
      <c r="AE840" t="str">
        <f t="shared" ca="1" si="303"/>
        <v>No</v>
      </c>
      <c r="AF840" t="str">
        <f t="shared" ca="1" si="304"/>
        <v>Under Observation</v>
      </c>
      <c r="AG840" t="str">
        <f t="shared" ca="1" si="305"/>
        <v>Midwest</v>
      </c>
      <c r="AH840" t="str">
        <f t="shared" si="288"/>
        <v>November</v>
      </c>
      <c r="AI840">
        <f t="shared" si="289"/>
        <v>2022</v>
      </c>
      <c r="AJ840" t="str">
        <f t="shared" ca="1" si="306"/>
        <v>Vacant</v>
      </c>
      <c r="AK840">
        <f t="shared" ca="1" si="307"/>
        <v>4</v>
      </c>
    </row>
    <row r="841" spans="1:37" x14ac:dyDescent="0.3">
      <c r="A841" t="s">
        <v>5261</v>
      </c>
      <c r="B841">
        <v>81</v>
      </c>
      <c r="C841" t="s">
        <v>15</v>
      </c>
      <c r="D841" t="s">
        <v>24</v>
      </c>
      <c r="E841" t="s">
        <v>76</v>
      </c>
      <c r="F841" s="1">
        <v>43885</v>
      </c>
      <c r="G841" t="s">
        <v>1710</v>
      </c>
      <c r="H841" t="s">
        <v>1711</v>
      </c>
      <c r="I841" t="s">
        <v>20</v>
      </c>
      <c r="J841">
        <v>19698</v>
      </c>
      <c r="K841">
        <v>279</v>
      </c>
      <c r="L841" t="s">
        <v>42</v>
      </c>
      <c r="M841" s="1">
        <v>43906</v>
      </c>
      <c r="N841" t="s">
        <v>22</v>
      </c>
      <c r="O841" t="s">
        <v>43</v>
      </c>
      <c r="P841" t="str">
        <f t="shared" si="290"/>
        <v>P0840</v>
      </c>
      <c r="Q841" t="str">
        <f t="shared" si="286"/>
        <v>Orthopedics</v>
      </c>
      <c r="R841">
        <f t="shared" si="287"/>
        <v>21</v>
      </c>
      <c r="S841" t="str">
        <f t="shared" ca="1" si="291"/>
        <v>Yes</v>
      </c>
      <c r="T841" t="str">
        <f t="shared" ca="1" si="292"/>
        <v>Severe</v>
      </c>
      <c r="U841" t="str">
        <f t="shared" ca="1" si="293"/>
        <v>ICU</v>
      </c>
      <c r="V841" t="str">
        <f t="shared" si="294"/>
        <v>BED0840</v>
      </c>
      <c r="W841" t="str">
        <f t="shared" ca="1" si="295"/>
        <v>Semi-Private</v>
      </c>
      <c r="X841" t="str">
        <f t="shared" si="296"/>
        <v>NUR040</v>
      </c>
      <c r="Y841" t="str">
        <f t="shared" ca="1" si="297"/>
        <v>Evening</v>
      </c>
      <c r="Z841" t="str">
        <f t="shared" ca="1" si="298"/>
        <v>Ultrasound</v>
      </c>
      <c r="AA841" t="str">
        <f t="shared" ca="1" si="299"/>
        <v>In Use</v>
      </c>
      <c r="AB841" t="str">
        <f t="shared" ca="1" si="300"/>
        <v>Paid</v>
      </c>
      <c r="AC841" t="str">
        <f t="shared" ca="1" si="301"/>
        <v>Insurance</v>
      </c>
      <c r="AD841" t="str">
        <f t="shared" ca="1" si="302"/>
        <v>Yes</v>
      </c>
      <c r="AE841" t="str">
        <f t="shared" ca="1" si="303"/>
        <v>No</v>
      </c>
      <c r="AF841" t="str">
        <f t="shared" ca="1" si="304"/>
        <v>Under Observation</v>
      </c>
      <c r="AG841" t="str">
        <f t="shared" ca="1" si="305"/>
        <v>Northeast</v>
      </c>
      <c r="AH841" t="str">
        <f t="shared" si="288"/>
        <v>February</v>
      </c>
      <c r="AI841">
        <f t="shared" si="289"/>
        <v>2020</v>
      </c>
      <c r="AJ841" t="str">
        <f t="shared" ca="1" si="306"/>
        <v>Occupied</v>
      </c>
      <c r="AK841">
        <f t="shared" ca="1" si="307"/>
        <v>2</v>
      </c>
    </row>
    <row r="842" spans="1:37" x14ac:dyDescent="0.3">
      <c r="A842" t="s">
        <v>5262</v>
      </c>
      <c r="B842">
        <v>66</v>
      </c>
      <c r="C842" t="s">
        <v>32</v>
      </c>
      <c r="D842" t="s">
        <v>38</v>
      </c>
      <c r="E842" t="s">
        <v>48</v>
      </c>
      <c r="F842" s="1">
        <v>44709</v>
      </c>
      <c r="G842" t="s">
        <v>1712</v>
      </c>
      <c r="H842" t="s">
        <v>1713</v>
      </c>
      <c r="I842" t="s">
        <v>36</v>
      </c>
      <c r="J842">
        <v>34060</v>
      </c>
      <c r="K842">
        <v>111</v>
      </c>
      <c r="L842" t="s">
        <v>42</v>
      </c>
      <c r="M842" s="1">
        <v>44734</v>
      </c>
      <c r="N842" t="s">
        <v>67</v>
      </c>
      <c r="O842" t="s">
        <v>31</v>
      </c>
      <c r="P842" t="str">
        <f t="shared" si="290"/>
        <v>P0841</v>
      </c>
      <c r="Q842" t="str">
        <f t="shared" si="286"/>
        <v>Pulmonology</v>
      </c>
      <c r="R842">
        <f t="shared" si="287"/>
        <v>25</v>
      </c>
      <c r="S842" t="str">
        <f t="shared" ca="1" si="291"/>
        <v>No</v>
      </c>
      <c r="T842" t="str">
        <f t="shared" ca="1" si="292"/>
        <v>Critical</v>
      </c>
      <c r="U842" t="str">
        <f t="shared" ca="1" si="293"/>
        <v>General Ward</v>
      </c>
      <c r="V842" t="str">
        <f t="shared" si="294"/>
        <v>BED0841</v>
      </c>
      <c r="W842" t="str">
        <f t="shared" ca="1" si="295"/>
        <v>Semi-Private</v>
      </c>
      <c r="X842" t="str">
        <f t="shared" si="296"/>
        <v>NUR041</v>
      </c>
      <c r="Y842" t="str">
        <f t="shared" ca="1" si="297"/>
        <v>Morning</v>
      </c>
      <c r="Z842" t="str">
        <f t="shared" ca="1" si="298"/>
        <v>ECG Machine</v>
      </c>
      <c r="AA842" t="str">
        <f t="shared" ca="1" si="299"/>
        <v>Available</v>
      </c>
      <c r="AB842" t="str">
        <f t="shared" ca="1" si="300"/>
        <v>Paid</v>
      </c>
      <c r="AC842" t="str">
        <f t="shared" ca="1" si="301"/>
        <v>Credit Card</v>
      </c>
      <c r="AD842" t="str">
        <f t="shared" ca="1" si="302"/>
        <v>No</v>
      </c>
      <c r="AE842" t="str">
        <f t="shared" ca="1" si="303"/>
        <v>No</v>
      </c>
      <c r="AF842" t="str">
        <f t="shared" ca="1" si="304"/>
        <v>Under Observation</v>
      </c>
      <c r="AG842" t="str">
        <f t="shared" ca="1" si="305"/>
        <v>Northeast</v>
      </c>
      <c r="AH842" t="str">
        <f t="shared" si="288"/>
        <v>May</v>
      </c>
      <c r="AI842">
        <f t="shared" si="289"/>
        <v>2022</v>
      </c>
      <c r="AJ842" t="str">
        <f t="shared" ca="1" si="306"/>
        <v>Occupied</v>
      </c>
      <c r="AK842">
        <f t="shared" ca="1" si="307"/>
        <v>1</v>
      </c>
    </row>
    <row r="843" spans="1:37" x14ac:dyDescent="0.3">
      <c r="A843" t="s">
        <v>5263</v>
      </c>
      <c r="B843">
        <v>44</v>
      </c>
      <c r="C843" t="s">
        <v>15</v>
      </c>
      <c r="D843" t="s">
        <v>24</v>
      </c>
      <c r="E843" t="s">
        <v>64</v>
      </c>
      <c r="F843" s="1">
        <v>44807</v>
      </c>
      <c r="G843" t="s">
        <v>1714</v>
      </c>
      <c r="H843" t="s">
        <v>1715</v>
      </c>
      <c r="I843" t="s">
        <v>51</v>
      </c>
      <c r="J843">
        <v>40368</v>
      </c>
      <c r="K843">
        <v>317</v>
      </c>
      <c r="L843" t="s">
        <v>42</v>
      </c>
      <c r="M843" s="1">
        <v>44834</v>
      </c>
      <c r="N843" t="s">
        <v>37</v>
      </c>
      <c r="O843" t="s">
        <v>31</v>
      </c>
      <c r="P843" t="str">
        <f t="shared" si="290"/>
        <v>P0842</v>
      </c>
      <c r="Q843" t="str">
        <f t="shared" si="286"/>
        <v>Cardiology</v>
      </c>
      <c r="R843">
        <f t="shared" si="287"/>
        <v>27</v>
      </c>
      <c r="S843" t="str">
        <f t="shared" ca="1" si="291"/>
        <v>No</v>
      </c>
      <c r="T843" t="str">
        <f t="shared" ca="1" si="292"/>
        <v>Severe</v>
      </c>
      <c r="U843" t="str">
        <f t="shared" ca="1" si="293"/>
        <v>Emergency</v>
      </c>
      <c r="V843" t="str">
        <f t="shared" si="294"/>
        <v>BED0842</v>
      </c>
      <c r="W843" t="str">
        <f t="shared" ca="1" si="295"/>
        <v>Semi-Private</v>
      </c>
      <c r="X843" t="str">
        <f t="shared" si="296"/>
        <v>NUR042</v>
      </c>
      <c r="Y843" t="str">
        <f t="shared" ca="1" si="297"/>
        <v>Night</v>
      </c>
      <c r="Z843" t="str">
        <f t="shared" ca="1" si="298"/>
        <v>Ventilator</v>
      </c>
      <c r="AA843" t="str">
        <f t="shared" ca="1" si="299"/>
        <v>Maintenance</v>
      </c>
      <c r="AB843" t="str">
        <f t="shared" ca="1" si="300"/>
        <v>Paid</v>
      </c>
      <c r="AC843" t="str">
        <f t="shared" ca="1" si="301"/>
        <v>Insurance</v>
      </c>
      <c r="AD843" t="str">
        <f t="shared" ca="1" si="302"/>
        <v>No</v>
      </c>
      <c r="AE843" t="str">
        <f t="shared" ca="1" si="303"/>
        <v>No</v>
      </c>
      <c r="AF843" t="str">
        <f t="shared" ca="1" si="304"/>
        <v>Under Observation</v>
      </c>
      <c r="AG843" t="str">
        <f t="shared" ca="1" si="305"/>
        <v>Southeast</v>
      </c>
      <c r="AH843" t="str">
        <f t="shared" si="288"/>
        <v>September</v>
      </c>
      <c r="AI843">
        <f t="shared" si="289"/>
        <v>2022</v>
      </c>
      <c r="AJ843" t="str">
        <f t="shared" ca="1" si="306"/>
        <v>Occupied</v>
      </c>
      <c r="AK843">
        <f t="shared" ca="1" si="307"/>
        <v>2</v>
      </c>
    </row>
    <row r="844" spans="1:37" x14ac:dyDescent="0.3">
      <c r="A844" t="s">
        <v>5264</v>
      </c>
      <c r="B844">
        <v>81</v>
      </c>
      <c r="C844" t="s">
        <v>32</v>
      </c>
      <c r="D844" t="s">
        <v>52</v>
      </c>
      <c r="E844" t="s">
        <v>76</v>
      </c>
      <c r="F844" s="1">
        <v>43928</v>
      </c>
      <c r="G844" t="s">
        <v>1716</v>
      </c>
      <c r="H844" t="s">
        <v>1717</v>
      </c>
      <c r="I844" t="s">
        <v>57</v>
      </c>
      <c r="J844">
        <v>3638</v>
      </c>
      <c r="K844">
        <v>125</v>
      </c>
      <c r="L844" t="s">
        <v>29</v>
      </c>
      <c r="M844" s="1">
        <v>43951</v>
      </c>
      <c r="N844" t="s">
        <v>37</v>
      </c>
      <c r="O844" t="s">
        <v>43</v>
      </c>
      <c r="P844" t="str">
        <f t="shared" si="290"/>
        <v>P0843</v>
      </c>
      <c r="Q844" t="str">
        <f t="shared" si="286"/>
        <v>Orthopedics</v>
      </c>
      <c r="R844">
        <f t="shared" si="287"/>
        <v>23</v>
      </c>
      <c r="S844" t="str">
        <f t="shared" ca="1" si="291"/>
        <v>No</v>
      </c>
      <c r="T844" t="str">
        <f t="shared" ca="1" si="292"/>
        <v>Moderate</v>
      </c>
      <c r="U844" t="str">
        <f t="shared" ca="1" si="293"/>
        <v>ICU</v>
      </c>
      <c r="V844" t="str">
        <f t="shared" si="294"/>
        <v>BED0843</v>
      </c>
      <c r="W844" t="str">
        <f t="shared" ca="1" si="295"/>
        <v>ICU</v>
      </c>
      <c r="X844" t="str">
        <f t="shared" si="296"/>
        <v>NUR043</v>
      </c>
      <c r="Y844" t="str">
        <f t="shared" ca="1" si="297"/>
        <v>Night</v>
      </c>
      <c r="Z844" t="str">
        <f t="shared" ca="1" si="298"/>
        <v>CT Scanner</v>
      </c>
      <c r="AA844" t="str">
        <f t="shared" ca="1" si="299"/>
        <v>In Use</v>
      </c>
      <c r="AB844" t="str">
        <f t="shared" ca="1" si="300"/>
        <v>Paid</v>
      </c>
      <c r="AC844" t="str">
        <f t="shared" ca="1" si="301"/>
        <v>Debit Card</v>
      </c>
      <c r="AD844" t="str">
        <f t="shared" ca="1" si="302"/>
        <v>No</v>
      </c>
      <c r="AE844" t="str">
        <f t="shared" ca="1" si="303"/>
        <v>No</v>
      </c>
      <c r="AF844" t="str">
        <f t="shared" ca="1" si="304"/>
        <v>Under Observation</v>
      </c>
      <c r="AG844" t="str">
        <f t="shared" ca="1" si="305"/>
        <v>Northeast</v>
      </c>
      <c r="AH844" t="str">
        <f t="shared" si="288"/>
        <v>April</v>
      </c>
      <c r="AI844">
        <f t="shared" si="289"/>
        <v>2020</v>
      </c>
      <c r="AJ844" t="str">
        <f t="shared" ca="1" si="306"/>
        <v>Occupied</v>
      </c>
      <c r="AK844">
        <f t="shared" ca="1" si="307"/>
        <v>1</v>
      </c>
    </row>
    <row r="845" spans="1:37" x14ac:dyDescent="0.3">
      <c r="A845" t="s">
        <v>5265</v>
      </c>
      <c r="B845">
        <v>77</v>
      </c>
      <c r="C845" t="s">
        <v>15</v>
      </c>
      <c r="D845" t="s">
        <v>38</v>
      </c>
      <c r="E845" t="s">
        <v>76</v>
      </c>
      <c r="F845" s="1">
        <v>43702</v>
      </c>
      <c r="G845" t="s">
        <v>1718</v>
      </c>
      <c r="H845" t="s">
        <v>1719</v>
      </c>
      <c r="I845" t="s">
        <v>57</v>
      </c>
      <c r="J845">
        <v>46135</v>
      </c>
      <c r="K845">
        <v>107</v>
      </c>
      <c r="L845" t="s">
        <v>42</v>
      </c>
      <c r="M845" s="1">
        <v>43712</v>
      </c>
      <c r="N845" t="s">
        <v>37</v>
      </c>
      <c r="O845" t="s">
        <v>31</v>
      </c>
      <c r="P845" t="str">
        <f t="shared" si="290"/>
        <v>P0844</v>
      </c>
      <c r="Q845" t="str">
        <f t="shared" si="286"/>
        <v>Orthopedics</v>
      </c>
      <c r="R845">
        <f t="shared" si="287"/>
        <v>10</v>
      </c>
      <c r="S845" t="str">
        <f t="shared" ca="1" si="291"/>
        <v>No</v>
      </c>
      <c r="T845" t="str">
        <f t="shared" ca="1" si="292"/>
        <v>Moderate</v>
      </c>
      <c r="U845" t="str">
        <f t="shared" ca="1" si="293"/>
        <v>Private Ward</v>
      </c>
      <c r="V845" t="str">
        <f t="shared" si="294"/>
        <v>BED0844</v>
      </c>
      <c r="W845" t="str">
        <f t="shared" ca="1" si="295"/>
        <v>ICU</v>
      </c>
      <c r="X845" t="str">
        <f t="shared" si="296"/>
        <v>NUR044</v>
      </c>
      <c r="Y845" t="str">
        <f t="shared" ca="1" si="297"/>
        <v>Evening</v>
      </c>
      <c r="Z845" t="str">
        <f t="shared" ca="1" si="298"/>
        <v>MRI Scanner</v>
      </c>
      <c r="AA845" t="str">
        <f t="shared" ca="1" si="299"/>
        <v>Available</v>
      </c>
      <c r="AB845" t="str">
        <f t="shared" ca="1" si="300"/>
        <v>Paid</v>
      </c>
      <c r="AC845" t="str">
        <f t="shared" ca="1" si="301"/>
        <v>Debit Card</v>
      </c>
      <c r="AD845" t="str">
        <f t="shared" ca="1" si="302"/>
        <v>No</v>
      </c>
      <c r="AE845" t="str">
        <f t="shared" ca="1" si="303"/>
        <v>No</v>
      </c>
      <c r="AF845" t="str">
        <f t="shared" ca="1" si="304"/>
        <v>Recovered</v>
      </c>
      <c r="AG845" t="str">
        <f t="shared" ca="1" si="305"/>
        <v>Northeast</v>
      </c>
      <c r="AH845" t="str">
        <f t="shared" si="288"/>
        <v>August</v>
      </c>
      <c r="AI845">
        <f t="shared" si="289"/>
        <v>2019</v>
      </c>
      <c r="AJ845" t="str">
        <f t="shared" ca="1" si="306"/>
        <v>Occupied</v>
      </c>
      <c r="AK845">
        <f t="shared" ca="1" si="307"/>
        <v>4</v>
      </c>
    </row>
    <row r="846" spans="1:37" x14ac:dyDescent="0.3">
      <c r="A846" t="s">
        <v>5266</v>
      </c>
      <c r="B846">
        <v>62</v>
      </c>
      <c r="C846" t="s">
        <v>15</v>
      </c>
      <c r="D846" t="s">
        <v>16</v>
      </c>
      <c r="E846" t="s">
        <v>25</v>
      </c>
      <c r="F846" s="1">
        <v>44344</v>
      </c>
      <c r="G846" t="s">
        <v>1720</v>
      </c>
      <c r="H846" t="s">
        <v>1721</v>
      </c>
      <c r="I846" t="s">
        <v>28</v>
      </c>
      <c r="J846">
        <v>14549</v>
      </c>
      <c r="K846">
        <v>286</v>
      </c>
      <c r="L846" t="s">
        <v>21</v>
      </c>
      <c r="M846" s="1">
        <v>44356</v>
      </c>
      <c r="N846" t="s">
        <v>47</v>
      </c>
      <c r="O846" t="s">
        <v>43</v>
      </c>
      <c r="P846" t="str">
        <f t="shared" si="290"/>
        <v>P0845</v>
      </c>
      <c r="Q846" t="str">
        <f t="shared" si="286"/>
        <v>Nutrition</v>
      </c>
      <c r="R846">
        <f t="shared" si="287"/>
        <v>12</v>
      </c>
      <c r="S846" t="str">
        <f t="shared" ca="1" si="291"/>
        <v>No</v>
      </c>
      <c r="T846" t="str">
        <f t="shared" ca="1" si="292"/>
        <v>Critical</v>
      </c>
      <c r="U846" t="str">
        <f t="shared" ca="1" si="293"/>
        <v>Emergency</v>
      </c>
      <c r="V846" t="str">
        <f t="shared" si="294"/>
        <v>BED0845</v>
      </c>
      <c r="W846" t="str">
        <f t="shared" ca="1" si="295"/>
        <v>Private</v>
      </c>
      <c r="X846" t="str">
        <f t="shared" si="296"/>
        <v>NUR045</v>
      </c>
      <c r="Y846" t="str">
        <f t="shared" ca="1" si="297"/>
        <v>Evening</v>
      </c>
      <c r="Z846" t="str">
        <f t="shared" ca="1" si="298"/>
        <v>CT Scanner</v>
      </c>
      <c r="AA846" t="str">
        <f t="shared" ca="1" si="299"/>
        <v>Maintenance</v>
      </c>
      <c r="AB846" t="str">
        <f t="shared" ca="1" si="300"/>
        <v>Partially Paid</v>
      </c>
      <c r="AC846" t="str">
        <f t="shared" ca="1" si="301"/>
        <v>Bank Transfer</v>
      </c>
      <c r="AD846" t="str">
        <f t="shared" ca="1" si="302"/>
        <v>No</v>
      </c>
      <c r="AE846" t="str">
        <f t="shared" ca="1" si="303"/>
        <v>No</v>
      </c>
      <c r="AF846" t="str">
        <f t="shared" ca="1" si="304"/>
        <v>Transferred</v>
      </c>
      <c r="AG846" t="str">
        <f t="shared" ca="1" si="305"/>
        <v>Midwest</v>
      </c>
      <c r="AH846" t="str">
        <f t="shared" si="288"/>
        <v>May</v>
      </c>
      <c r="AI846">
        <f t="shared" si="289"/>
        <v>2021</v>
      </c>
      <c r="AJ846" t="str">
        <f t="shared" ca="1" si="306"/>
        <v>Occupied</v>
      </c>
      <c r="AK846">
        <f t="shared" ca="1" si="307"/>
        <v>1</v>
      </c>
    </row>
    <row r="847" spans="1:37" x14ac:dyDescent="0.3">
      <c r="A847" t="s">
        <v>5267</v>
      </c>
      <c r="B847">
        <v>78</v>
      </c>
      <c r="C847" t="s">
        <v>15</v>
      </c>
      <c r="D847" t="s">
        <v>38</v>
      </c>
      <c r="E847" t="s">
        <v>17</v>
      </c>
      <c r="F847" s="1">
        <v>45347</v>
      </c>
      <c r="G847" t="s">
        <v>1722</v>
      </c>
      <c r="H847" t="s">
        <v>1723</v>
      </c>
      <c r="I847" t="s">
        <v>36</v>
      </c>
      <c r="J847">
        <v>30550</v>
      </c>
      <c r="K847">
        <v>314</v>
      </c>
      <c r="L847" t="s">
        <v>29</v>
      </c>
      <c r="M847" s="1">
        <v>45359</v>
      </c>
      <c r="N847" t="s">
        <v>22</v>
      </c>
      <c r="O847" t="s">
        <v>31</v>
      </c>
      <c r="P847" t="str">
        <f t="shared" si="290"/>
        <v>P0846</v>
      </c>
      <c r="Q847" t="str">
        <f t="shared" si="286"/>
        <v>Oncology</v>
      </c>
      <c r="R847">
        <f t="shared" si="287"/>
        <v>12</v>
      </c>
      <c r="S847" t="str">
        <f t="shared" ca="1" si="291"/>
        <v>No</v>
      </c>
      <c r="T847" t="str">
        <f t="shared" ca="1" si="292"/>
        <v>Critical</v>
      </c>
      <c r="U847" t="str">
        <f t="shared" ca="1" si="293"/>
        <v>General Ward</v>
      </c>
      <c r="V847" t="str">
        <f t="shared" si="294"/>
        <v>BED0846</v>
      </c>
      <c r="W847" t="str">
        <f t="shared" ca="1" si="295"/>
        <v>General</v>
      </c>
      <c r="X847" t="str">
        <f t="shared" si="296"/>
        <v>NUR046</v>
      </c>
      <c r="Y847" t="str">
        <f t="shared" ca="1" si="297"/>
        <v>Evening</v>
      </c>
      <c r="Z847" t="str">
        <f t="shared" ca="1" si="298"/>
        <v>Ultrasound</v>
      </c>
      <c r="AA847" t="str">
        <f t="shared" ca="1" si="299"/>
        <v>Maintenance</v>
      </c>
      <c r="AB847" t="str">
        <f t="shared" ca="1" si="300"/>
        <v>Paid</v>
      </c>
      <c r="AC847" t="str">
        <f t="shared" ca="1" si="301"/>
        <v>Credit Card</v>
      </c>
      <c r="AD847" t="str">
        <f t="shared" ca="1" si="302"/>
        <v>Yes</v>
      </c>
      <c r="AE847" t="str">
        <f t="shared" ca="1" si="303"/>
        <v>Yes</v>
      </c>
      <c r="AF847" t="str">
        <f t="shared" ca="1" si="304"/>
        <v>Transferred</v>
      </c>
      <c r="AG847" t="str">
        <f t="shared" ca="1" si="305"/>
        <v>Southeast</v>
      </c>
      <c r="AH847" t="str">
        <f t="shared" si="288"/>
        <v>February</v>
      </c>
      <c r="AI847">
        <f t="shared" si="289"/>
        <v>2024</v>
      </c>
      <c r="AJ847" t="str">
        <f t="shared" ca="1" si="306"/>
        <v>Vacant</v>
      </c>
      <c r="AK847">
        <f t="shared" ca="1" si="307"/>
        <v>2</v>
      </c>
    </row>
    <row r="848" spans="1:37" x14ac:dyDescent="0.3">
      <c r="A848" t="s">
        <v>5268</v>
      </c>
      <c r="B848">
        <v>70</v>
      </c>
      <c r="C848" t="s">
        <v>15</v>
      </c>
      <c r="D848" t="s">
        <v>38</v>
      </c>
      <c r="E848" t="s">
        <v>39</v>
      </c>
      <c r="F848" s="1">
        <v>43716</v>
      </c>
      <c r="G848" t="s">
        <v>1724</v>
      </c>
      <c r="H848" t="s">
        <v>1725</v>
      </c>
      <c r="I848" t="s">
        <v>28</v>
      </c>
      <c r="J848">
        <v>13666</v>
      </c>
      <c r="K848">
        <v>331</v>
      </c>
      <c r="L848" t="s">
        <v>42</v>
      </c>
      <c r="M848" s="1">
        <v>43717</v>
      </c>
      <c r="N848" t="s">
        <v>67</v>
      </c>
      <c r="O848" t="s">
        <v>23</v>
      </c>
      <c r="P848" t="str">
        <f t="shared" si="290"/>
        <v>P0847</v>
      </c>
      <c r="Q848" t="str">
        <f t="shared" si="286"/>
        <v>Endocrinology</v>
      </c>
      <c r="R848">
        <f t="shared" si="287"/>
        <v>1</v>
      </c>
      <c r="S848" t="str">
        <f t="shared" ca="1" si="291"/>
        <v>No</v>
      </c>
      <c r="T848" t="str">
        <f t="shared" ca="1" si="292"/>
        <v>Critical</v>
      </c>
      <c r="U848" t="str">
        <f t="shared" ca="1" si="293"/>
        <v>ICU</v>
      </c>
      <c r="V848" t="str">
        <f t="shared" si="294"/>
        <v>BED0847</v>
      </c>
      <c r="W848" t="str">
        <f t="shared" ca="1" si="295"/>
        <v>ICU</v>
      </c>
      <c r="X848" t="str">
        <f t="shared" si="296"/>
        <v>NUR047</v>
      </c>
      <c r="Y848" t="str">
        <f t="shared" ca="1" si="297"/>
        <v>Evening</v>
      </c>
      <c r="Z848" t="str">
        <f t="shared" ca="1" si="298"/>
        <v>Ventilator</v>
      </c>
      <c r="AA848" t="str">
        <f t="shared" ca="1" si="299"/>
        <v>Available</v>
      </c>
      <c r="AB848" t="str">
        <f t="shared" ca="1" si="300"/>
        <v>Paid</v>
      </c>
      <c r="AC848" t="str">
        <f t="shared" ca="1" si="301"/>
        <v>Credit Card</v>
      </c>
      <c r="AD848" t="str">
        <f t="shared" ca="1" si="302"/>
        <v>No</v>
      </c>
      <c r="AE848" t="str">
        <f t="shared" ca="1" si="303"/>
        <v>No</v>
      </c>
      <c r="AF848" t="str">
        <f t="shared" ca="1" si="304"/>
        <v>Under Observation</v>
      </c>
      <c r="AG848" t="str">
        <f t="shared" ca="1" si="305"/>
        <v>Southeast</v>
      </c>
      <c r="AH848" t="str">
        <f t="shared" si="288"/>
        <v>September</v>
      </c>
      <c r="AI848">
        <f t="shared" si="289"/>
        <v>2019</v>
      </c>
      <c r="AJ848" t="str">
        <f t="shared" ca="1" si="306"/>
        <v>Occupied</v>
      </c>
      <c r="AK848">
        <f t="shared" ca="1" si="307"/>
        <v>2</v>
      </c>
    </row>
    <row r="849" spans="1:37" x14ac:dyDescent="0.3">
      <c r="A849" t="s">
        <v>5269</v>
      </c>
      <c r="B849">
        <v>33</v>
      </c>
      <c r="C849" t="s">
        <v>15</v>
      </c>
      <c r="D849" t="s">
        <v>16</v>
      </c>
      <c r="E849" t="s">
        <v>48</v>
      </c>
      <c r="F849" s="1">
        <v>45071</v>
      </c>
      <c r="G849" t="s">
        <v>1726</v>
      </c>
      <c r="H849" t="s">
        <v>1727</v>
      </c>
      <c r="I849" t="s">
        <v>36</v>
      </c>
      <c r="J849">
        <v>45199</v>
      </c>
      <c r="K849">
        <v>388</v>
      </c>
      <c r="L849" t="s">
        <v>42</v>
      </c>
      <c r="M849" s="1">
        <v>45075</v>
      </c>
      <c r="N849" t="s">
        <v>67</v>
      </c>
      <c r="O849" t="s">
        <v>43</v>
      </c>
      <c r="P849" t="str">
        <f t="shared" si="290"/>
        <v>P0848</v>
      </c>
      <c r="Q849" t="str">
        <f t="shared" si="286"/>
        <v>Pulmonology</v>
      </c>
      <c r="R849">
        <f t="shared" si="287"/>
        <v>4</v>
      </c>
      <c r="S849" t="str">
        <f t="shared" ca="1" si="291"/>
        <v>No</v>
      </c>
      <c r="T849" t="str">
        <f t="shared" ca="1" si="292"/>
        <v>Critical</v>
      </c>
      <c r="U849" t="str">
        <f t="shared" ca="1" si="293"/>
        <v>Emergency</v>
      </c>
      <c r="V849" t="str">
        <f t="shared" si="294"/>
        <v>BED0848</v>
      </c>
      <c r="W849" t="str">
        <f t="shared" ca="1" si="295"/>
        <v>General</v>
      </c>
      <c r="X849" t="str">
        <f t="shared" si="296"/>
        <v>NUR048</v>
      </c>
      <c r="Y849" t="str">
        <f t="shared" ca="1" si="297"/>
        <v>Night</v>
      </c>
      <c r="Z849" t="str">
        <f t="shared" ca="1" si="298"/>
        <v>ECG Machine</v>
      </c>
      <c r="AA849" t="str">
        <f t="shared" ca="1" si="299"/>
        <v>In Use</v>
      </c>
      <c r="AB849" t="str">
        <f t="shared" ca="1" si="300"/>
        <v>Pending</v>
      </c>
      <c r="AC849" t="str">
        <f t="shared" ca="1" si="301"/>
        <v>Insurance</v>
      </c>
      <c r="AD849" t="str">
        <f t="shared" ca="1" si="302"/>
        <v>No</v>
      </c>
      <c r="AE849" t="str">
        <f t="shared" ca="1" si="303"/>
        <v>No</v>
      </c>
      <c r="AF849" t="str">
        <f t="shared" ca="1" si="304"/>
        <v>Recovered</v>
      </c>
      <c r="AG849" t="str">
        <f t="shared" ca="1" si="305"/>
        <v>West Coast</v>
      </c>
      <c r="AH849" t="str">
        <f t="shared" si="288"/>
        <v>May</v>
      </c>
      <c r="AI849">
        <f t="shared" si="289"/>
        <v>2023</v>
      </c>
      <c r="AJ849" t="str">
        <f t="shared" ca="1" si="306"/>
        <v>Occupied</v>
      </c>
      <c r="AK849">
        <f t="shared" ca="1" si="307"/>
        <v>4</v>
      </c>
    </row>
    <row r="850" spans="1:37" x14ac:dyDescent="0.3">
      <c r="A850" t="s">
        <v>5270</v>
      </c>
      <c r="B850">
        <v>56</v>
      </c>
      <c r="C850" t="s">
        <v>32</v>
      </c>
      <c r="D850" t="s">
        <v>52</v>
      </c>
      <c r="E850" t="s">
        <v>76</v>
      </c>
      <c r="F850" s="1">
        <v>45118</v>
      </c>
      <c r="G850" t="s">
        <v>1728</v>
      </c>
      <c r="H850" t="s">
        <v>1729</v>
      </c>
      <c r="I850" t="s">
        <v>28</v>
      </c>
      <c r="J850">
        <v>20514</v>
      </c>
      <c r="K850">
        <v>214</v>
      </c>
      <c r="L850" t="s">
        <v>42</v>
      </c>
      <c r="M850" s="1">
        <v>45139</v>
      </c>
      <c r="N850" t="s">
        <v>30</v>
      </c>
      <c r="O850" t="s">
        <v>43</v>
      </c>
      <c r="P850" t="str">
        <f t="shared" si="290"/>
        <v>P0849</v>
      </c>
      <c r="Q850" t="str">
        <f t="shared" si="286"/>
        <v>Orthopedics</v>
      </c>
      <c r="R850">
        <f t="shared" si="287"/>
        <v>21</v>
      </c>
      <c r="S850" t="str">
        <f t="shared" ca="1" si="291"/>
        <v>No</v>
      </c>
      <c r="T850" t="str">
        <f t="shared" ca="1" si="292"/>
        <v>Critical</v>
      </c>
      <c r="U850" t="str">
        <f t="shared" ca="1" si="293"/>
        <v>General Ward</v>
      </c>
      <c r="V850" t="str">
        <f t="shared" si="294"/>
        <v>BED0849</v>
      </c>
      <c r="W850" t="str">
        <f t="shared" ca="1" si="295"/>
        <v>ICU</v>
      </c>
      <c r="X850" t="str">
        <f t="shared" si="296"/>
        <v>NUR049</v>
      </c>
      <c r="Y850" t="str">
        <f t="shared" ca="1" si="297"/>
        <v>Night</v>
      </c>
      <c r="Z850" t="str">
        <f t="shared" ca="1" si="298"/>
        <v>Ultrasound</v>
      </c>
      <c r="AA850" t="str">
        <f t="shared" ca="1" si="299"/>
        <v>Maintenance</v>
      </c>
      <c r="AB850" t="str">
        <f t="shared" ca="1" si="300"/>
        <v>Paid</v>
      </c>
      <c r="AC850" t="str">
        <f t="shared" ca="1" si="301"/>
        <v>Cash</v>
      </c>
      <c r="AD850" t="str">
        <f t="shared" ca="1" si="302"/>
        <v>No</v>
      </c>
      <c r="AE850" t="str">
        <f t="shared" ca="1" si="303"/>
        <v>No</v>
      </c>
      <c r="AF850" t="str">
        <f t="shared" ca="1" si="304"/>
        <v>Under Observation</v>
      </c>
      <c r="AG850" t="str">
        <f t="shared" ca="1" si="305"/>
        <v>West Coast</v>
      </c>
      <c r="AH850" t="str">
        <f t="shared" si="288"/>
        <v>July</v>
      </c>
      <c r="AI850">
        <f t="shared" si="289"/>
        <v>2023</v>
      </c>
      <c r="AJ850" t="str">
        <f t="shared" ca="1" si="306"/>
        <v>Occupied</v>
      </c>
      <c r="AK850">
        <f t="shared" ca="1" si="307"/>
        <v>2</v>
      </c>
    </row>
    <row r="851" spans="1:37" x14ac:dyDescent="0.3">
      <c r="A851" t="s">
        <v>5271</v>
      </c>
      <c r="B851">
        <v>38</v>
      </c>
      <c r="C851" t="s">
        <v>15</v>
      </c>
      <c r="D851" t="s">
        <v>24</v>
      </c>
      <c r="E851" t="s">
        <v>17</v>
      </c>
      <c r="F851" s="1">
        <v>45371</v>
      </c>
      <c r="G851" t="s">
        <v>1730</v>
      </c>
      <c r="H851" t="s">
        <v>1731</v>
      </c>
      <c r="I851" t="s">
        <v>20</v>
      </c>
      <c r="J851">
        <v>47701</v>
      </c>
      <c r="K851">
        <v>303</v>
      </c>
      <c r="L851" t="s">
        <v>29</v>
      </c>
      <c r="M851" s="1">
        <v>45387</v>
      </c>
      <c r="N851" t="s">
        <v>47</v>
      </c>
      <c r="O851" t="s">
        <v>23</v>
      </c>
      <c r="P851" t="str">
        <f t="shared" si="290"/>
        <v>P0850</v>
      </c>
      <c r="Q851" t="str">
        <f t="shared" si="286"/>
        <v>Oncology</v>
      </c>
      <c r="R851">
        <f t="shared" si="287"/>
        <v>16</v>
      </c>
      <c r="S851" t="str">
        <f t="shared" ca="1" si="291"/>
        <v>No</v>
      </c>
      <c r="T851" t="str">
        <f t="shared" ca="1" si="292"/>
        <v>Critical</v>
      </c>
      <c r="U851" t="str">
        <f t="shared" ca="1" si="293"/>
        <v>Emergency</v>
      </c>
      <c r="V851" t="str">
        <f t="shared" si="294"/>
        <v>BED0850</v>
      </c>
      <c r="W851" t="str">
        <f t="shared" ca="1" si="295"/>
        <v>General</v>
      </c>
      <c r="X851" t="str">
        <f t="shared" si="296"/>
        <v>NUR050</v>
      </c>
      <c r="Y851" t="str">
        <f t="shared" ca="1" si="297"/>
        <v>Evening</v>
      </c>
      <c r="Z851" t="str">
        <f t="shared" ca="1" si="298"/>
        <v>CT Scanner</v>
      </c>
      <c r="AA851" t="str">
        <f t="shared" ca="1" si="299"/>
        <v>In Use</v>
      </c>
      <c r="AB851" t="str">
        <f t="shared" ca="1" si="300"/>
        <v>Partially Paid</v>
      </c>
      <c r="AC851" t="str">
        <f t="shared" ca="1" si="301"/>
        <v>Insurance</v>
      </c>
      <c r="AD851" t="str">
        <f t="shared" ca="1" si="302"/>
        <v>Yes</v>
      </c>
      <c r="AE851" t="str">
        <f t="shared" ca="1" si="303"/>
        <v>No</v>
      </c>
      <c r="AF851" t="str">
        <f t="shared" ca="1" si="304"/>
        <v>Recovered</v>
      </c>
      <c r="AG851" t="str">
        <f t="shared" ca="1" si="305"/>
        <v>Northeast</v>
      </c>
      <c r="AH851" t="str">
        <f t="shared" si="288"/>
        <v>March</v>
      </c>
      <c r="AI851">
        <f t="shared" si="289"/>
        <v>2024</v>
      </c>
      <c r="AJ851" t="str">
        <f t="shared" ca="1" si="306"/>
        <v>Occupied</v>
      </c>
      <c r="AK851">
        <f t="shared" ca="1" si="307"/>
        <v>4</v>
      </c>
    </row>
    <row r="852" spans="1:37" x14ac:dyDescent="0.3">
      <c r="A852" t="s">
        <v>4396</v>
      </c>
      <c r="B852">
        <v>33</v>
      </c>
      <c r="C852" t="s">
        <v>15</v>
      </c>
      <c r="D852" t="s">
        <v>44</v>
      </c>
      <c r="E852" t="s">
        <v>64</v>
      </c>
      <c r="F852" s="1">
        <v>44505</v>
      </c>
      <c r="G852" t="s">
        <v>1732</v>
      </c>
      <c r="H852" t="s">
        <v>1733</v>
      </c>
      <c r="I852" t="s">
        <v>28</v>
      </c>
      <c r="J852">
        <v>2462</v>
      </c>
      <c r="K852">
        <v>329</v>
      </c>
      <c r="L852" t="s">
        <v>21</v>
      </c>
      <c r="M852" s="1">
        <v>44506</v>
      </c>
      <c r="N852" t="s">
        <v>22</v>
      </c>
      <c r="O852" t="s">
        <v>31</v>
      </c>
      <c r="P852" t="str">
        <f t="shared" si="290"/>
        <v>P0851</v>
      </c>
      <c r="Q852" t="str">
        <f t="shared" si="286"/>
        <v>Cardiology</v>
      </c>
      <c r="R852">
        <f t="shared" si="287"/>
        <v>1</v>
      </c>
      <c r="S852" t="str">
        <f t="shared" ca="1" si="291"/>
        <v>No</v>
      </c>
      <c r="T852" t="str">
        <f t="shared" ca="1" si="292"/>
        <v>Mild</v>
      </c>
      <c r="U852" t="str">
        <f t="shared" ca="1" si="293"/>
        <v>General Ward</v>
      </c>
      <c r="V852" t="str">
        <f t="shared" si="294"/>
        <v>BED0851</v>
      </c>
      <c r="W852" t="str">
        <f t="shared" ca="1" si="295"/>
        <v>ICU</v>
      </c>
      <c r="X852" t="str">
        <f t="shared" si="296"/>
        <v>NUR001</v>
      </c>
      <c r="Y852" t="str">
        <f t="shared" ca="1" si="297"/>
        <v>Night</v>
      </c>
      <c r="Z852" t="str">
        <f t="shared" ca="1" si="298"/>
        <v>ECG Machine</v>
      </c>
      <c r="AA852" t="str">
        <f t="shared" ca="1" si="299"/>
        <v>In Use</v>
      </c>
      <c r="AB852" t="str">
        <f t="shared" ca="1" si="300"/>
        <v>Pending</v>
      </c>
      <c r="AC852" t="str">
        <f t="shared" ca="1" si="301"/>
        <v>Cash</v>
      </c>
      <c r="AD852" t="str">
        <f t="shared" ca="1" si="302"/>
        <v>No</v>
      </c>
      <c r="AE852" t="str">
        <f t="shared" ca="1" si="303"/>
        <v>No</v>
      </c>
      <c r="AF852" t="str">
        <f t="shared" ca="1" si="304"/>
        <v>Under Observation</v>
      </c>
      <c r="AG852" t="str">
        <f t="shared" ca="1" si="305"/>
        <v>West Coast</v>
      </c>
      <c r="AH852" t="str">
        <f t="shared" si="288"/>
        <v>November</v>
      </c>
      <c r="AI852">
        <f t="shared" si="289"/>
        <v>2021</v>
      </c>
      <c r="AJ852" t="str">
        <f t="shared" ca="1" si="306"/>
        <v>Occupied</v>
      </c>
      <c r="AK852">
        <f t="shared" ca="1" si="307"/>
        <v>4</v>
      </c>
    </row>
    <row r="853" spans="1:37" x14ac:dyDescent="0.3">
      <c r="A853" t="s">
        <v>5272</v>
      </c>
      <c r="B853">
        <v>25</v>
      </c>
      <c r="C853" t="s">
        <v>15</v>
      </c>
      <c r="D853" t="s">
        <v>98</v>
      </c>
      <c r="E853" t="s">
        <v>64</v>
      </c>
      <c r="F853" s="1">
        <v>45165</v>
      </c>
      <c r="G853" t="s">
        <v>1734</v>
      </c>
      <c r="H853" t="s">
        <v>1735</v>
      </c>
      <c r="I853" t="s">
        <v>36</v>
      </c>
      <c r="J853">
        <v>31402</v>
      </c>
      <c r="K853">
        <v>265</v>
      </c>
      <c r="L853" t="s">
        <v>21</v>
      </c>
      <c r="M853" s="1">
        <v>45166</v>
      </c>
      <c r="N853" t="s">
        <v>67</v>
      </c>
      <c r="O853" t="s">
        <v>31</v>
      </c>
      <c r="P853" t="str">
        <f t="shared" si="290"/>
        <v>P0852</v>
      </c>
      <c r="Q853" t="str">
        <f t="shared" si="286"/>
        <v>Cardiology</v>
      </c>
      <c r="R853">
        <f t="shared" si="287"/>
        <v>1</v>
      </c>
      <c r="S853" t="str">
        <f t="shared" ca="1" si="291"/>
        <v>No</v>
      </c>
      <c r="T853" t="str">
        <f t="shared" ca="1" si="292"/>
        <v>Severe</v>
      </c>
      <c r="U853" t="str">
        <f t="shared" ca="1" si="293"/>
        <v>Emergency</v>
      </c>
      <c r="V853" t="str">
        <f t="shared" si="294"/>
        <v>BED0852</v>
      </c>
      <c r="W853" t="str">
        <f t="shared" ca="1" si="295"/>
        <v>Private</v>
      </c>
      <c r="X853" t="str">
        <f t="shared" si="296"/>
        <v>NUR002</v>
      </c>
      <c r="Y853" t="str">
        <f t="shared" ca="1" si="297"/>
        <v>Morning</v>
      </c>
      <c r="Z853" t="str">
        <f t="shared" ca="1" si="298"/>
        <v>Ultrasound</v>
      </c>
      <c r="AA853" t="str">
        <f t="shared" ca="1" si="299"/>
        <v>Maintenance</v>
      </c>
      <c r="AB853" t="str">
        <f t="shared" ca="1" si="300"/>
        <v>Paid</v>
      </c>
      <c r="AC853" t="str">
        <f t="shared" ca="1" si="301"/>
        <v>Debit Card</v>
      </c>
      <c r="AD853" t="str">
        <f t="shared" ca="1" si="302"/>
        <v>No</v>
      </c>
      <c r="AE853" t="str">
        <f t="shared" ca="1" si="303"/>
        <v>No</v>
      </c>
      <c r="AF853" t="str">
        <f t="shared" ca="1" si="304"/>
        <v>Transferred</v>
      </c>
      <c r="AG853" t="str">
        <f t="shared" ca="1" si="305"/>
        <v>West Coast</v>
      </c>
      <c r="AH853" t="str">
        <f t="shared" si="288"/>
        <v>August</v>
      </c>
      <c r="AI853">
        <f t="shared" si="289"/>
        <v>2023</v>
      </c>
      <c r="AJ853" t="str">
        <f t="shared" ca="1" si="306"/>
        <v>Occupied</v>
      </c>
      <c r="AK853">
        <f t="shared" ca="1" si="307"/>
        <v>4</v>
      </c>
    </row>
    <row r="854" spans="1:37" x14ac:dyDescent="0.3">
      <c r="A854" t="s">
        <v>5273</v>
      </c>
      <c r="B854">
        <v>66</v>
      </c>
      <c r="C854" t="s">
        <v>32</v>
      </c>
      <c r="D854" t="s">
        <v>16</v>
      </c>
      <c r="E854" t="s">
        <v>25</v>
      </c>
      <c r="F854" s="1">
        <v>44707</v>
      </c>
      <c r="G854" t="s">
        <v>1736</v>
      </c>
      <c r="H854" t="s">
        <v>1737</v>
      </c>
      <c r="I854" t="s">
        <v>51</v>
      </c>
      <c r="J854">
        <v>20750</v>
      </c>
      <c r="K854">
        <v>179</v>
      </c>
      <c r="L854" t="s">
        <v>42</v>
      </c>
      <c r="M854" s="1">
        <v>44711</v>
      </c>
      <c r="N854" t="s">
        <v>22</v>
      </c>
      <c r="O854" t="s">
        <v>31</v>
      </c>
      <c r="P854" t="str">
        <f t="shared" si="290"/>
        <v>P0853</v>
      </c>
      <c r="Q854" t="str">
        <f t="shared" si="286"/>
        <v>Nutrition</v>
      </c>
      <c r="R854">
        <f t="shared" si="287"/>
        <v>4</v>
      </c>
      <c r="S854" t="str">
        <f t="shared" ca="1" si="291"/>
        <v>No</v>
      </c>
      <c r="T854" t="str">
        <f t="shared" ca="1" si="292"/>
        <v>Severe</v>
      </c>
      <c r="U854" t="str">
        <f t="shared" ca="1" si="293"/>
        <v>ICU</v>
      </c>
      <c r="V854" t="str">
        <f t="shared" si="294"/>
        <v>BED0853</v>
      </c>
      <c r="W854" t="str">
        <f t="shared" ca="1" si="295"/>
        <v>Semi-Private</v>
      </c>
      <c r="X854" t="str">
        <f t="shared" si="296"/>
        <v>NUR003</v>
      </c>
      <c r="Y854" t="str">
        <f t="shared" ca="1" si="297"/>
        <v>Evening</v>
      </c>
      <c r="Z854" t="str">
        <f t="shared" ca="1" si="298"/>
        <v>MRI Scanner</v>
      </c>
      <c r="AA854" t="str">
        <f t="shared" ca="1" si="299"/>
        <v>Maintenance</v>
      </c>
      <c r="AB854" t="str">
        <f t="shared" ca="1" si="300"/>
        <v>Partially Paid</v>
      </c>
      <c r="AC854" t="str">
        <f t="shared" ca="1" si="301"/>
        <v>Insurance</v>
      </c>
      <c r="AD854" t="str">
        <f t="shared" ca="1" si="302"/>
        <v>No</v>
      </c>
      <c r="AE854" t="str">
        <f t="shared" ca="1" si="303"/>
        <v>No</v>
      </c>
      <c r="AF854" t="str">
        <f t="shared" ca="1" si="304"/>
        <v>Under Observation</v>
      </c>
      <c r="AG854" t="str">
        <f t="shared" ca="1" si="305"/>
        <v>Southwest</v>
      </c>
      <c r="AH854" t="str">
        <f t="shared" si="288"/>
        <v>May</v>
      </c>
      <c r="AI854">
        <f t="shared" si="289"/>
        <v>2022</v>
      </c>
      <c r="AJ854" t="str">
        <f t="shared" ca="1" si="306"/>
        <v>Occupied</v>
      </c>
      <c r="AK854">
        <f t="shared" ca="1" si="307"/>
        <v>4</v>
      </c>
    </row>
    <row r="855" spans="1:37" x14ac:dyDescent="0.3">
      <c r="A855" t="s">
        <v>5274</v>
      </c>
      <c r="B855">
        <v>47</v>
      </c>
      <c r="C855" t="s">
        <v>15</v>
      </c>
      <c r="D855" t="s">
        <v>83</v>
      </c>
      <c r="E855" t="s">
        <v>64</v>
      </c>
      <c r="F855" s="1">
        <v>44452</v>
      </c>
      <c r="G855" t="s">
        <v>1738</v>
      </c>
      <c r="H855" t="s">
        <v>1739</v>
      </c>
      <c r="I855" t="s">
        <v>20</v>
      </c>
      <c r="J855">
        <v>47297</v>
      </c>
      <c r="K855">
        <v>389</v>
      </c>
      <c r="L855" t="s">
        <v>29</v>
      </c>
      <c r="M855" s="1">
        <v>44455</v>
      </c>
      <c r="N855" t="s">
        <v>67</v>
      </c>
      <c r="O855" t="s">
        <v>23</v>
      </c>
      <c r="P855" t="str">
        <f t="shared" si="290"/>
        <v>P0854</v>
      </c>
      <c r="Q855" t="str">
        <f t="shared" si="286"/>
        <v>Cardiology</v>
      </c>
      <c r="R855">
        <f t="shared" si="287"/>
        <v>3</v>
      </c>
      <c r="S855" t="str">
        <f t="shared" ca="1" si="291"/>
        <v>No</v>
      </c>
      <c r="T855" t="str">
        <f t="shared" ca="1" si="292"/>
        <v>Mild</v>
      </c>
      <c r="U855" t="str">
        <f t="shared" ca="1" si="293"/>
        <v>Emergency</v>
      </c>
      <c r="V855" t="str">
        <f t="shared" si="294"/>
        <v>BED0854</v>
      </c>
      <c r="W855" t="str">
        <f t="shared" ca="1" si="295"/>
        <v>Semi-Private</v>
      </c>
      <c r="X855" t="str">
        <f t="shared" si="296"/>
        <v>NUR004</v>
      </c>
      <c r="Y855" t="str">
        <f t="shared" ca="1" si="297"/>
        <v>Evening</v>
      </c>
      <c r="Z855" t="str">
        <f t="shared" ca="1" si="298"/>
        <v>X-Ray</v>
      </c>
      <c r="AA855" t="str">
        <f t="shared" ca="1" si="299"/>
        <v>Maintenance</v>
      </c>
      <c r="AB855" t="str">
        <f t="shared" ca="1" si="300"/>
        <v>Partially Paid</v>
      </c>
      <c r="AC855" t="str">
        <f t="shared" ca="1" si="301"/>
        <v>Credit Card</v>
      </c>
      <c r="AD855" t="str">
        <f t="shared" ca="1" si="302"/>
        <v>No</v>
      </c>
      <c r="AE855" t="str">
        <f t="shared" ca="1" si="303"/>
        <v>No</v>
      </c>
      <c r="AF855" t="str">
        <f t="shared" ca="1" si="304"/>
        <v>Transferred</v>
      </c>
      <c r="AG855" t="str">
        <f t="shared" ca="1" si="305"/>
        <v>Southwest</v>
      </c>
      <c r="AH855" t="str">
        <f t="shared" si="288"/>
        <v>September</v>
      </c>
      <c r="AI855">
        <f t="shared" si="289"/>
        <v>2021</v>
      </c>
      <c r="AJ855" t="str">
        <f t="shared" ca="1" si="306"/>
        <v>Occupied</v>
      </c>
      <c r="AK855">
        <f t="shared" ca="1" si="307"/>
        <v>2</v>
      </c>
    </row>
    <row r="856" spans="1:37" x14ac:dyDescent="0.3">
      <c r="A856" t="s">
        <v>5275</v>
      </c>
      <c r="B856">
        <v>53</v>
      </c>
      <c r="C856" t="s">
        <v>32</v>
      </c>
      <c r="D856" t="s">
        <v>98</v>
      </c>
      <c r="E856" t="s">
        <v>25</v>
      </c>
      <c r="F856" s="1">
        <v>45361</v>
      </c>
      <c r="G856" t="s">
        <v>1740</v>
      </c>
      <c r="H856" t="s">
        <v>1741</v>
      </c>
      <c r="I856" t="s">
        <v>36</v>
      </c>
      <c r="J856">
        <v>26223</v>
      </c>
      <c r="K856">
        <v>122</v>
      </c>
      <c r="L856" t="s">
        <v>21</v>
      </c>
      <c r="M856" s="1">
        <v>45366</v>
      </c>
      <c r="N856" t="s">
        <v>47</v>
      </c>
      <c r="O856" t="s">
        <v>23</v>
      </c>
      <c r="P856" t="str">
        <f t="shared" si="290"/>
        <v>P0855</v>
      </c>
      <c r="Q856" t="str">
        <f t="shared" si="286"/>
        <v>Nutrition</v>
      </c>
      <c r="R856">
        <f t="shared" si="287"/>
        <v>5</v>
      </c>
      <c r="S856" t="str">
        <f t="shared" ca="1" si="291"/>
        <v>No</v>
      </c>
      <c r="T856" t="str">
        <f t="shared" ca="1" si="292"/>
        <v>Moderate</v>
      </c>
      <c r="U856" t="str">
        <f t="shared" ca="1" si="293"/>
        <v>Emergency</v>
      </c>
      <c r="V856" t="str">
        <f t="shared" si="294"/>
        <v>BED0855</v>
      </c>
      <c r="W856" t="str">
        <f t="shared" ca="1" si="295"/>
        <v>General</v>
      </c>
      <c r="X856" t="str">
        <f t="shared" si="296"/>
        <v>NUR005</v>
      </c>
      <c r="Y856" t="str">
        <f t="shared" ca="1" si="297"/>
        <v>Evening</v>
      </c>
      <c r="Z856" t="str">
        <f t="shared" ca="1" si="298"/>
        <v>MRI Scanner</v>
      </c>
      <c r="AA856" t="str">
        <f t="shared" ca="1" si="299"/>
        <v>Available</v>
      </c>
      <c r="AB856" t="str">
        <f t="shared" ca="1" si="300"/>
        <v>Paid</v>
      </c>
      <c r="AC856" t="str">
        <f t="shared" ca="1" si="301"/>
        <v>Cash</v>
      </c>
      <c r="AD856" t="str">
        <f t="shared" ca="1" si="302"/>
        <v>No</v>
      </c>
      <c r="AE856" t="str">
        <f t="shared" ca="1" si="303"/>
        <v>No</v>
      </c>
      <c r="AF856" t="str">
        <f t="shared" ca="1" si="304"/>
        <v>Under Observation</v>
      </c>
      <c r="AG856" t="str">
        <f t="shared" ca="1" si="305"/>
        <v>Southwest</v>
      </c>
      <c r="AH856" t="str">
        <f t="shared" si="288"/>
        <v>March</v>
      </c>
      <c r="AI856">
        <f t="shared" si="289"/>
        <v>2024</v>
      </c>
      <c r="AJ856" t="str">
        <f t="shared" ca="1" si="306"/>
        <v>Occupied</v>
      </c>
      <c r="AK856">
        <f t="shared" ca="1" si="307"/>
        <v>2</v>
      </c>
    </row>
    <row r="857" spans="1:37" x14ac:dyDescent="0.3">
      <c r="A857" t="s">
        <v>5276</v>
      </c>
      <c r="B857">
        <v>37</v>
      </c>
      <c r="C857" t="s">
        <v>15</v>
      </c>
      <c r="D857" t="s">
        <v>44</v>
      </c>
      <c r="E857" t="s">
        <v>48</v>
      </c>
      <c r="F857" s="1">
        <v>44830</v>
      </c>
      <c r="G857" t="s">
        <v>1742</v>
      </c>
      <c r="H857" t="s">
        <v>1743</v>
      </c>
      <c r="I857" t="s">
        <v>57</v>
      </c>
      <c r="J857">
        <v>35822</v>
      </c>
      <c r="K857">
        <v>230</v>
      </c>
      <c r="L857" t="s">
        <v>21</v>
      </c>
      <c r="M857" s="1">
        <v>44858</v>
      </c>
      <c r="N857" t="s">
        <v>22</v>
      </c>
      <c r="O857" t="s">
        <v>23</v>
      </c>
      <c r="P857" t="str">
        <f t="shared" si="290"/>
        <v>P0856</v>
      </c>
      <c r="Q857" t="str">
        <f t="shared" si="286"/>
        <v>Pulmonology</v>
      </c>
      <c r="R857">
        <f t="shared" si="287"/>
        <v>28</v>
      </c>
      <c r="S857" t="str">
        <f t="shared" ca="1" si="291"/>
        <v>No</v>
      </c>
      <c r="T857" t="str">
        <f t="shared" ca="1" si="292"/>
        <v>Moderate</v>
      </c>
      <c r="U857" t="str">
        <f t="shared" ca="1" si="293"/>
        <v>Emergency</v>
      </c>
      <c r="V857" t="str">
        <f t="shared" si="294"/>
        <v>BED0856</v>
      </c>
      <c r="W857" t="str">
        <f t="shared" ca="1" si="295"/>
        <v>General</v>
      </c>
      <c r="X857" t="str">
        <f t="shared" si="296"/>
        <v>NUR006</v>
      </c>
      <c r="Y857" t="str">
        <f t="shared" ca="1" si="297"/>
        <v>Evening</v>
      </c>
      <c r="Z857" t="str">
        <f t="shared" ca="1" si="298"/>
        <v>Ultrasound</v>
      </c>
      <c r="AA857" t="str">
        <f t="shared" ca="1" si="299"/>
        <v>Maintenance</v>
      </c>
      <c r="AB857" t="str">
        <f t="shared" ca="1" si="300"/>
        <v>Paid</v>
      </c>
      <c r="AC857" t="str">
        <f t="shared" ca="1" si="301"/>
        <v>Bank Transfer</v>
      </c>
      <c r="AD857" t="str">
        <f t="shared" ca="1" si="302"/>
        <v>No</v>
      </c>
      <c r="AE857" t="str">
        <f t="shared" ca="1" si="303"/>
        <v>No</v>
      </c>
      <c r="AF857" t="str">
        <f t="shared" ca="1" si="304"/>
        <v>Transferred</v>
      </c>
      <c r="AG857" t="str">
        <f t="shared" ca="1" si="305"/>
        <v>Northeast</v>
      </c>
      <c r="AH857" t="str">
        <f t="shared" si="288"/>
        <v>September</v>
      </c>
      <c r="AI857">
        <f t="shared" si="289"/>
        <v>2022</v>
      </c>
      <c r="AJ857" t="str">
        <f t="shared" ca="1" si="306"/>
        <v>Occupied</v>
      </c>
      <c r="AK857">
        <f t="shared" ca="1" si="307"/>
        <v>4</v>
      </c>
    </row>
    <row r="858" spans="1:37" x14ac:dyDescent="0.3">
      <c r="A858" t="s">
        <v>5277</v>
      </c>
      <c r="B858">
        <v>56</v>
      </c>
      <c r="C858" t="s">
        <v>15</v>
      </c>
      <c r="D858" t="s">
        <v>33</v>
      </c>
      <c r="E858" t="s">
        <v>76</v>
      </c>
      <c r="F858" s="1">
        <v>43825</v>
      </c>
      <c r="G858" t="s">
        <v>1744</v>
      </c>
      <c r="H858" t="s">
        <v>1745</v>
      </c>
      <c r="I858" t="s">
        <v>28</v>
      </c>
      <c r="J858">
        <v>21633</v>
      </c>
      <c r="K858">
        <v>111</v>
      </c>
      <c r="L858" t="s">
        <v>42</v>
      </c>
      <c r="M858" s="1">
        <v>43826</v>
      </c>
      <c r="N858" t="s">
        <v>22</v>
      </c>
      <c r="O858" t="s">
        <v>31</v>
      </c>
      <c r="P858" t="str">
        <f t="shared" si="290"/>
        <v>P0857</v>
      </c>
      <c r="Q858" t="str">
        <f t="shared" si="286"/>
        <v>Orthopedics</v>
      </c>
      <c r="R858">
        <f t="shared" si="287"/>
        <v>1</v>
      </c>
      <c r="S858" t="str">
        <f t="shared" ca="1" si="291"/>
        <v>Yes</v>
      </c>
      <c r="T858" t="str">
        <f t="shared" ca="1" si="292"/>
        <v>Critical</v>
      </c>
      <c r="U858" t="str">
        <f t="shared" ca="1" si="293"/>
        <v>Private Ward</v>
      </c>
      <c r="V858" t="str">
        <f t="shared" si="294"/>
        <v>BED0857</v>
      </c>
      <c r="W858" t="str">
        <f t="shared" ca="1" si="295"/>
        <v>Private</v>
      </c>
      <c r="X858" t="str">
        <f t="shared" si="296"/>
        <v>NUR007</v>
      </c>
      <c r="Y858" t="str">
        <f t="shared" ca="1" si="297"/>
        <v>Evening</v>
      </c>
      <c r="Z858" t="str">
        <f t="shared" ca="1" si="298"/>
        <v>MRI Scanner</v>
      </c>
      <c r="AA858" t="str">
        <f t="shared" ca="1" si="299"/>
        <v>In Use</v>
      </c>
      <c r="AB858" t="str">
        <f t="shared" ca="1" si="300"/>
        <v>Partially Paid</v>
      </c>
      <c r="AC858" t="str">
        <f t="shared" ca="1" si="301"/>
        <v>Credit Card</v>
      </c>
      <c r="AD858" t="str">
        <f t="shared" ca="1" si="302"/>
        <v>No</v>
      </c>
      <c r="AE858" t="str">
        <f t="shared" ca="1" si="303"/>
        <v>No</v>
      </c>
      <c r="AF858" t="str">
        <f t="shared" ca="1" si="304"/>
        <v>Transferred</v>
      </c>
      <c r="AG858" t="str">
        <f t="shared" ca="1" si="305"/>
        <v>Southeast</v>
      </c>
      <c r="AH858" t="str">
        <f t="shared" si="288"/>
        <v>December</v>
      </c>
      <c r="AI858">
        <f t="shared" si="289"/>
        <v>2019</v>
      </c>
      <c r="AJ858" t="str">
        <f t="shared" ca="1" si="306"/>
        <v>Occupied</v>
      </c>
      <c r="AK858">
        <f t="shared" ca="1" si="307"/>
        <v>2</v>
      </c>
    </row>
    <row r="859" spans="1:37" x14ac:dyDescent="0.3">
      <c r="A859" t="s">
        <v>5278</v>
      </c>
      <c r="B859">
        <v>51</v>
      </c>
      <c r="C859" t="s">
        <v>15</v>
      </c>
      <c r="D859" t="s">
        <v>33</v>
      </c>
      <c r="E859" t="s">
        <v>76</v>
      </c>
      <c r="F859" s="1">
        <v>44214</v>
      </c>
      <c r="G859" t="s">
        <v>1746</v>
      </c>
      <c r="H859" t="s">
        <v>1747</v>
      </c>
      <c r="I859" t="s">
        <v>20</v>
      </c>
      <c r="J859">
        <v>39449</v>
      </c>
      <c r="K859">
        <v>124</v>
      </c>
      <c r="L859" t="s">
        <v>42</v>
      </c>
      <c r="M859" s="1">
        <v>44238</v>
      </c>
      <c r="N859" t="s">
        <v>37</v>
      </c>
      <c r="O859" t="s">
        <v>31</v>
      </c>
      <c r="P859" t="str">
        <f t="shared" si="290"/>
        <v>P0858</v>
      </c>
      <c r="Q859" t="str">
        <f t="shared" si="286"/>
        <v>Orthopedics</v>
      </c>
      <c r="R859">
        <f t="shared" si="287"/>
        <v>24</v>
      </c>
      <c r="S859" t="str">
        <f t="shared" ca="1" si="291"/>
        <v>No</v>
      </c>
      <c r="T859" t="str">
        <f t="shared" ca="1" si="292"/>
        <v>Critical</v>
      </c>
      <c r="U859" t="str">
        <f t="shared" ca="1" si="293"/>
        <v>ICU</v>
      </c>
      <c r="V859" t="str">
        <f t="shared" si="294"/>
        <v>BED0858</v>
      </c>
      <c r="W859" t="str">
        <f t="shared" ca="1" si="295"/>
        <v>Private</v>
      </c>
      <c r="X859" t="str">
        <f t="shared" si="296"/>
        <v>NUR008</v>
      </c>
      <c r="Y859" t="str">
        <f t="shared" ca="1" si="297"/>
        <v>Morning</v>
      </c>
      <c r="Z859" t="str">
        <f t="shared" ca="1" si="298"/>
        <v>ECG Machine</v>
      </c>
      <c r="AA859" t="str">
        <f t="shared" ca="1" si="299"/>
        <v>In Use</v>
      </c>
      <c r="AB859" t="str">
        <f t="shared" ca="1" si="300"/>
        <v>Pending</v>
      </c>
      <c r="AC859" t="str">
        <f t="shared" ca="1" si="301"/>
        <v>Insurance</v>
      </c>
      <c r="AD859" t="str">
        <f t="shared" ca="1" si="302"/>
        <v>Yes</v>
      </c>
      <c r="AE859" t="str">
        <f t="shared" ca="1" si="303"/>
        <v>No</v>
      </c>
      <c r="AF859" t="str">
        <f t="shared" ca="1" si="304"/>
        <v>Recovered</v>
      </c>
      <c r="AG859" t="str">
        <f t="shared" ca="1" si="305"/>
        <v>West Coast</v>
      </c>
      <c r="AH859" t="str">
        <f t="shared" si="288"/>
        <v>January</v>
      </c>
      <c r="AI859">
        <f t="shared" si="289"/>
        <v>2021</v>
      </c>
      <c r="AJ859" t="str">
        <f t="shared" ca="1" si="306"/>
        <v>Vacant</v>
      </c>
      <c r="AK859">
        <f t="shared" ca="1" si="307"/>
        <v>1</v>
      </c>
    </row>
    <row r="860" spans="1:37" x14ac:dyDescent="0.3">
      <c r="A860" t="s">
        <v>5279</v>
      </c>
      <c r="B860">
        <v>40</v>
      </c>
      <c r="C860" t="s">
        <v>32</v>
      </c>
      <c r="D860" t="s">
        <v>98</v>
      </c>
      <c r="E860" t="s">
        <v>17</v>
      </c>
      <c r="F860" s="1">
        <v>44250</v>
      </c>
      <c r="G860" t="s">
        <v>1748</v>
      </c>
      <c r="H860" t="s">
        <v>1749</v>
      </c>
      <c r="I860" t="s">
        <v>28</v>
      </c>
      <c r="J860">
        <v>8868</v>
      </c>
      <c r="K860">
        <v>302</v>
      </c>
      <c r="L860" t="s">
        <v>29</v>
      </c>
      <c r="M860" s="1">
        <v>44275</v>
      </c>
      <c r="N860" t="s">
        <v>67</v>
      </c>
      <c r="O860" t="s">
        <v>31</v>
      </c>
      <c r="P860" t="str">
        <f t="shared" si="290"/>
        <v>P0859</v>
      </c>
      <c r="Q860" t="str">
        <f t="shared" si="286"/>
        <v>Oncology</v>
      </c>
      <c r="R860">
        <f t="shared" si="287"/>
        <v>25</v>
      </c>
      <c r="S860" t="str">
        <f t="shared" ca="1" si="291"/>
        <v>No</v>
      </c>
      <c r="T860" t="str">
        <f t="shared" ca="1" si="292"/>
        <v>Severe</v>
      </c>
      <c r="U860" t="str">
        <f t="shared" ca="1" si="293"/>
        <v>Emergency</v>
      </c>
      <c r="V860" t="str">
        <f t="shared" si="294"/>
        <v>BED0859</v>
      </c>
      <c r="W860" t="str">
        <f t="shared" ca="1" si="295"/>
        <v>General</v>
      </c>
      <c r="X860" t="str">
        <f t="shared" si="296"/>
        <v>NUR009</v>
      </c>
      <c r="Y860" t="str">
        <f t="shared" ca="1" si="297"/>
        <v>Evening</v>
      </c>
      <c r="Z860" t="str">
        <f t="shared" ca="1" si="298"/>
        <v>MRI Scanner</v>
      </c>
      <c r="AA860" t="str">
        <f t="shared" ca="1" si="299"/>
        <v>Maintenance</v>
      </c>
      <c r="AB860" t="str">
        <f t="shared" ca="1" si="300"/>
        <v>Partially Paid</v>
      </c>
      <c r="AC860" t="str">
        <f t="shared" ca="1" si="301"/>
        <v>Cash</v>
      </c>
      <c r="AD860" t="str">
        <f t="shared" ca="1" si="302"/>
        <v>No</v>
      </c>
      <c r="AE860" t="str">
        <f t="shared" ca="1" si="303"/>
        <v>Yes</v>
      </c>
      <c r="AF860" t="str">
        <f t="shared" ca="1" si="304"/>
        <v>Recovered</v>
      </c>
      <c r="AG860" t="str">
        <f t="shared" ca="1" si="305"/>
        <v>West Coast</v>
      </c>
      <c r="AH860" t="str">
        <f t="shared" si="288"/>
        <v>February</v>
      </c>
      <c r="AI860">
        <f t="shared" si="289"/>
        <v>2021</v>
      </c>
      <c r="AJ860" t="str">
        <f t="shared" ca="1" si="306"/>
        <v>Vacant</v>
      </c>
      <c r="AK860">
        <f t="shared" ca="1" si="307"/>
        <v>1</v>
      </c>
    </row>
    <row r="861" spans="1:37" x14ac:dyDescent="0.3">
      <c r="A861" t="s">
        <v>5280</v>
      </c>
      <c r="B861">
        <v>56</v>
      </c>
      <c r="C861" t="s">
        <v>32</v>
      </c>
      <c r="D861" t="s">
        <v>44</v>
      </c>
      <c r="E861" t="s">
        <v>76</v>
      </c>
      <c r="F861" s="1">
        <v>43905</v>
      </c>
      <c r="G861" t="s">
        <v>1750</v>
      </c>
      <c r="H861" t="s">
        <v>1751</v>
      </c>
      <c r="I861" t="s">
        <v>57</v>
      </c>
      <c r="J861">
        <v>5571</v>
      </c>
      <c r="K861">
        <v>192</v>
      </c>
      <c r="L861" t="s">
        <v>42</v>
      </c>
      <c r="M861" s="1">
        <v>43912</v>
      </c>
      <c r="N861" t="s">
        <v>22</v>
      </c>
      <c r="O861" t="s">
        <v>23</v>
      </c>
      <c r="P861" t="str">
        <f t="shared" si="290"/>
        <v>P0860</v>
      </c>
      <c r="Q861" t="str">
        <f t="shared" si="286"/>
        <v>Orthopedics</v>
      </c>
      <c r="R861">
        <f t="shared" si="287"/>
        <v>7</v>
      </c>
      <c r="S861" t="str">
        <f t="shared" ca="1" si="291"/>
        <v>Yes</v>
      </c>
      <c r="T861" t="str">
        <f t="shared" ca="1" si="292"/>
        <v>Critical</v>
      </c>
      <c r="U861" t="str">
        <f t="shared" ca="1" si="293"/>
        <v>Emergency</v>
      </c>
      <c r="V861" t="str">
        <f t="shared" si="294"/>
        <v>BED0860</v>
      </c>
      <c r="W861" t="str">
        <f t="shared" ca="1" si="295"/>
        <v>Semi-Private</v>
      </c>
      <c r="X861" t="str">
        <f t="shared" si="296"/>
        <v>NUR010</v>
      </c>
      <c r="Y861" t="str">
        <f t="shared" ca="1" si="297"/>
        <v>Night</v>
      </c>
      <c r="Z861" t="str">
        <f t="shared" ca="1" si="298"/>
        <v>ECG Machine</v>
      </c>
      <c r="AA861" t="str">
        <f t="shared" ca="1" si="299"/>
        <v>Maintenance</v>
      </c>
      <c r="AB861" t="str">
        <f t="shared" ca="1" si="300"/>
        <v>Partially Paid</v>
      </c>
      <c r="AC861" t="str">
        <f t="shared" ca="1" si="301"/>
        <v>Bank Transfer</v>
      </c>
      <c r="AD861" t="str">
        <f t="shared" ca="1" si="302"/>
        <v>No</v>
      </c>
      <c r="AE861" t="str">
        <f t="shared" ca="1" si="303"/>
        <v>No</v>
      </c>
      <c r="AF861" t="str">
        <f t="shared" ca="1" si="304"/>
        <v>Recovered</v>
      </c>
      <c r="AG861" t="str">
        <f t="shared" ca="1" si="305"/>
        <v>West Coast</v>
      </c>
      <c r="AH861" t="str">
        <f t="shared" si="288"/>
        <v>March</v>
      </c>
      <c r="AI861">
        <f t="shared" si="289"/>
        <v>2020</v>
      </c>
      <c r="AJ861" t="str">
        <f t="shared" ca="1" si="306"/>
        <v>Vacant</v>
      </c>
      <c r="AK861">
        <f t="shared" ca="1" si="307"/>
        <v>4</v>
      </c>
    </row>
    <row r="862" spans="1:37" x14ac:dyDescent="0.3">
      <c r="A862" t="s">
        <v>5281</v>
      </c>
      <c r="B862">
        <v>76</v>
      </c>
      <c r="C862" t="s">
        <v>15</v>
      </c>
      <c r="D862" t="s">
        <v>24</v>
      </c>
      <c r="E862" t="s">
        <v>48</v>
      </c>
      <c r="F862" s="1">
        <v>43730</v>
      </c>
      <c r="G862" t="s">
        <v>1752</v>
      </c>
      <c r="H862" t="s">
        <v>1753</v>
      </c>
      <c r="I862" t="s">
        <v>36</v>
      </c>
      <c r="J862">
        <v>13014</v>
      </c>
      <c r="K862">
        <v>108</v>
      </c>
      <c r="L862" t="s">
        <v>29</v>
      </c>
      <c r="M862" s="1">
        <v>43736</v>
      </c>
      <c r="N862" t="s">
        <v>37</v>
      </c>
      <c r="O862" t="s">
        <v>43</v>
      </c>
      <c r="P862" t="str">
        <f t="shared" si="290"/>
        <v>P0861</v>
      </c>
      <c r="Q862" t="str">
        <f t="shared" si="286"/>
        <v>Pulmonology</v>
      </c>
      <c r="R862">
        <f t="shared" si="287"/>
        <v>6</v>
      </c>
      <c r="S862" t="str">
        <f t="shared" ca="1" si="291"/>
        <v>No</v>
      </c>
      <c r="T862" t="str">
        <f t="shared" ca="1" si="292"/>
        <v>Moderate</v>
      </c>
      <c r="U862" t="str">
        <f t="shared" ca="1" si="293"/>
        <v>ICU</v>
      </c>
      <c r="V862" t="str">
        <f t="shared" si="294"/>
        <v>BED0861</v>
      </c>
      <c r="W862" t="str">
        <f t="shared" ca="1" si="295"/>
        <v>Private</v>
      </c>
      <c r="X862" t="str">
        <f t="shared" si="296"/>
        <v>NUR011</v>
      </c>
      <c r="Y862" t="str">
        <f t="shared" ca="1" si="297"/>
        <v>Morning</v>
      </c>
      <c r="Z862" t="str">
        <f t="shared" ca="1" si="298"/>
        <v>CT Scanner</v>
      </c>
      <c r="AA862" t="str">
        <f t="shared" ca="1" si="299"/>
        <v>Available</v>
      </c>
      <c r="AB862" t="str">
        <f t="shared" ca="1" si="300"/>
        <v>Pending</v>
      </c>
      <c r="AC862" t="str">
        <f t="shared" ca="1" si="301"/>
        <v>Cash</v>
      </c>
      <c r="AD862" t="str">
        <f t="shared" ca="1" si="302"/>
        <v>No</v>
      </c>
      <c r="AE862" t="str">
        <f t="shared" ca="1" si="303"/>
        <v>No</v>
      </c>
      <c r="AF862" t="str">
        <f t="shared" ca="1" si="304"/>
        <v>Recovered</v>
      </c>
      <c r="AG862" t="str">
        <f t="shared" ca="1" si="305"/>
        <v>Southwest</v>
      </c>
      <c r="AH862" t="str">
        <f t="shared" si="288"/>
        <v>September</v>
      </c>
      <c r="AI862">
        <f t="shared" si="289"/>
        <v>2019</v>
      </c>
      <c r="AJ862" t="str">
        <f t="shared" ca="1" si="306"/>
        <v>Occupied</v>
      </c>
      <c r="AK862">
        <f t="shared" ca="1" si="307"/>
        <v>2</v>
      </c>
    </row>
    <row r="863" spans="1:37" x14ac:dyDescent="0.3">
      <c r="A863" t="s">
        <v>5282</v>
      </c>
      <c r="B863">
        <v>81</v>
      </c>
      <c r="C863" t="s">
        <v>15</v>
      </c>
      <c r="D863" t="s">
        <v>44</v>
      </c>
      <c r="E863" t="s">
        <v>25</v>
      </c>
      <c r="F863" s="1">
        <v>45267</v>
      </c>
      <c r="G863" t="s">
        <v>1754</v>
      </c>
      <c r="H863" t="s">
        <v>1755</v>
      </c>
      <c r="I863" t="s">
        <v>36</v>
      </c>
      <c r="J863">
        <v>27829</v>
      </c>
      <c r="K863">
        <v>226</v>
      </c>
      <c r="L863" t="s">
        <v>29</v>
      </c>
      <c r="M863" s="1">
        <v>45273</v>
      </c>
      <c r="N863" t="s">
        <v>30</v>
      </c>
      <c r="O863" t="s">
        <v>43</v>
      </c>
      <c r="P863" t="str">
        <f t="shared" si="290"/>
        <v>P0862</v>
      </c>
      <c r="Q863" t="str">
        <f t="shared" si="286"/>
        <v>Nutrition</v>
      </c>
      <c r="R863">
        <f t="shared" si="287"/>
        <v>6</v>
      </c>
      <c r="S863" t="str">
        <f t="shared" ca="1" si="291"/>
        <v>Yes</v>
      </c>
      <c r="T863" t="str">
        <f t="shared" ca="1" si="292"/>
        <v>Severe</v>
      </c>
      <c r="U863" t="str">
        <f t="shared" ca="1" si="293"/>
        <v>Private Ward</v>
      </c>
      <c r="V863" t="str">
        <f t="shared" si="294"/>
        <v>BED0862</v>
      </c>
      <c r="W863" t="str">
        <f t="shared" ca="1" si="295"/>
        <v>Semi-Private</v>
      </c>
      <c r="X863" t="str">
        <f t="shared" si="296"/>
        <v>NUR012</v>
      </c>
      <c r="Y863" t="str">
        <f t="shared" ca="1" si="297"/>
        <v>Evening</v>
      </c>
      <c r="Z863" t="str">
        <f t="shared" ca="1" si="298"/>
        <v>ECG Machine</v>
      </c>
      <c r="AA863" t="str">
        <f t="shared" ca="1" si="299"/>
        <v>Maintenance</v>
      </c>
      <c r="AB863" t="str">
        <f t="shared" ca="1" si="300"/>
        <v>Pending</v>
      </c>
      <c r="AC863" t="str">
        <f t="shared" ca="1" si="301"/>
        <v>Bank Transfer</v>
      </c>
      <c r="AD863" t="str">
        <f t="shared" ca="1" si="302"/>
        <v>No</v>
      </c>
      <c r="AE863" t="str">
        <f t="shared" ca="1" si="303"/>
        <v>No</v>
      </c>
      <c r="AF863" t="str">
        <f t="shared" ca="1" si="304"/>
        <v>Recovered</v>
      </c>
      <c r="AG863" t="str">
        <f t="shared" ca="1" si="305"/>
        <v>Southwest</v>
      </c>
      <c r="AH863" t="str">
        <f t="shared" si="288"/>
        <v>December</v>
      </c>
      <c r="AI863">
        <f t="shared" si="289"/>
        <v>2023</v>
      </c>
      <c r="AJ863" t="str">
        <f t="shared" ca="1" si="306"/>
        <v>Occupied</v>
      </c>
      <c r="AK863">
        <f t="shared" ca="1" si="307"/>
        <v>4</v>
      </c>
    </row>
    <row r="864" spans="1:37" x14ac:dyDescent="0.3">
      <c r="A864" t="s">
        <v>5283</v>
      </c>
      <c r="B864">
        <v>84</v>
      </c>
      <c r="C864" t="s">
        <v>32</v>
      </c>
      <c r="D864" t="s">
        <v>98</v>
      </c>
      <c r="E864" t="s">
        <v>76</v>
      </c>
      <c r="F864" s="1">
        <v>44013</v>
      </c>
      <c r="G864" t="s">
        <v>1756</v>
      </c>
      <c r="H864" t="s">
        <v>1757</v>
      </c>
      <c r="I864" t="s">
        <v>36</v>
      </c>
      <c r="J864">
        <v>36931</v>
      </c>
      <c r="K864">
        <v>337</v>
      </c>
      <c r="L864" t="s">
        <v>42</v>
      </c>
      <c r="M864" s="1">
        <v>44021</v>
      </c>
      <c r="N864" t="s">
        <v>22</v>
      </c>
      <c r="O864" t="s">
        <v>23</v>
      </c>
      <c r="P864" t="str">
        <f t="shared" si="290"/>
        <v>P0863</v>
      </c>
      <c r="Q864" t="str">
        <f t="shared" si="286"/>
        <v>Orthopedics</v>
      </c>
      <c r="R864">
        <f t="shared" si="287"/>
        <v>8</v>
      </c>
      <c r="S864" t="str">
        <f t="shared" ca="1" si="291"/>
        <v>No</v>
      </c>
      <c r="T864" t="str">
        <f t="shared" ca="1" si="292"/>
        <v>Severe</v>
      </c>
      <c r="U864" t="str">
        <f t="shared" ca="1" si="293"/>
        <v>General Ward</v>
      </c>
      <c r="V864" t="str">
        <f t="shared" si="294"/>
        <v>BED0863</v>
      </c>
      <c r="W864" t="str">
        <f t="shared" ca="1" si="295"/>
        <v>Private</v>
      </c>
      <c r="X864" t="str">
        <f t="shared" si="296"/>
        <v>NUR013</v>
      </c>
      <c r="Y864" t="str">
        <f t="shared" ca="1" si="297"/>
        <v>Evening</v>
      </c>
      <c r="Z864" t="str">
        <f t="shared" ca="1" si="298"/>
        <v>MRI Scanner</v>
      </c>
      <c r="AA864" t="str">
        <f t="shared" ca="1" si="299"/>
        <v>Maintenance</v>
      </c>
      <c r="AB864" t="str">
        <f t="shared" ca="1" si="300"/>
        <v>Pending</v>
      </c>
      <c r="AC864" t="str">
        <f t="shared" ca="1" si="301"/>
        <v>Credit Card</v>
      </c>
      <c r="AD864" t="str">
        <f t="shared" ca="1" si="302"/>
        <v>No</v>
      </c>
      <c r="AE864" t="str">
        <f t="shared" ca="1" si="303"/>
        <v>No</v>
      </c>
      <c r="AF864" t="str">
        <f t="shared" ca="1" si="304"/>
        <v>Under Observation</v>
      </c>
      <c r="AG864" t="str">
        <f t="shared" ca="1" si="305"/>
        <v>Midwest</v>
      </c>
      <c r="AH864" t="str">
        <f t="shared" si="288"/>
        <v>July</v>
      </c>
      <c r="AI864">
        <f t="shared" si="289"/>
        <v>2020</v>
      </c>
      <c r="AJ864" t="str">
        <f t="shared" ca="1" si="306"/>
        <v>Occupied</v>
      </c>
      <c r="AK864">
        <f t="shared" ca="1" si="307"/>
        <v>4</v>
      </c>
    </row>
    <row r="865" spans="1:37" x14ac:dyDescent="0.3">
      <c r="A865" t="s">
        <v>5284</v>
      </c>
      <c r="B865">
        <v>54</v>
      </c>
      <c r="C865" t="s">
        <v>15</v>
      </c>
      <c r="D865" t="s">
        <v>38</v>
      </c>
      <c r="E865" t="s">
        <v>25</v>
      </c>
      <c r="F865" s="1">
        <v>43963</v>
      </c>
      <c r="G865" t="s">
        <v>1758</v>
      </c>
      <c r="H865" t="s">
        <v>1759</v>
      </c>
      <c r="I865" t="s">
        <v>28</v>
      </c>
      <c r="J865">
        <v>41308</v>
      </c>
      <c r="K865">
        <v>141</v>
      </c>
      <c r="L865" t="s">
        <v>42</v>
      </c>
      <c r="M865" s="1">
        <v>43968</v>
      </c>
      <c r="N865" t="s">
        <v>47</v>
      </c>
      <c r="O865" t="s">
        <v>23</v>
      </c>
      <c r="P865" t="str">
        <f t="shared" si="290"/>
        <v>P0864</v>
      </c>
      <c r="Q865" t="str">
        <f t="shared" si="286"/>
        <v>Nutrition</v>
      </c>
      <c r="R865">
        <f t="shared" si="287"/>
        <v>5</v>
      </c>
      <c r="S865" t="str">
        <f t="shared" ca="1" si="291"/>
        <v>No</v>
      </c>
      <c r="T865" t="str">
        <f t="shared" ca="1" si="292"/>
        <v>Critical</v>
      </c>
      <c r="U865" t="str">
        <f t="shared" ca="1" si="293"/>
        <v>General Ward</v>
      </c>
      <c r="V865" t="str">
        <f t="shared" si="294"/>
        <v>BED0864</v>
      </c>
      <c r="W865" t="str">
        <f t="shared" ca="1" si="295"/>
        <v>ICU</v>
      </c>
      <c r="X865" t="str">
        <f t="shared" si="296"/>
        <v>NUR014</v>
      </c>
      <c r="Y865" t="str">
        <f t="shared" ca="1" si="297"/>
        <v>Night</v>
      </c>
      <c r="Z865" t="str">
        <f t="shared" ca="1" si="298"/>
        <v>ECG Machine</v>
      </c>
      <c r="AA865" t="str">
        <f t="shared" ca="1" si="299"/>
        <v>In Use</v>
      </c>
      <c r="AB865" t="str">
        <f t="shared" ca="1" si="300"/>
        <v>Pending</v>
      </c>
      <c r="AC865" t="str">
        <f t="shared" ca="1" si="301"/>
        <v>Bank Transfer</v>
      </c>
      <c r="AD865" t="str">
        <f t="shared" ca="1" si="302"/>
        <v>No</v>
      </c>
      <c r="AE865" t="str">
        <f t="shared" ca="1" si="303"/>
        <v>No</v>
      </c>
      <c r="AF865" t="str">
        <f t="shared" ca="1" si="304"/>
        <v>Under Observation</v>
      </c>
      <c r="AG865" t="str">
        <f t="shared" ca="1" si="305"/>
        <v>Northeast</v>
      </c>
      <c r="AH865" t="str">
        <f t="shared" si="288"/>
        <v>May</v>
      </c>
      <c r="AI865">
        <f t="shared" si="289"/>
        <v>2020</v>
      </c>
      <c r="AJ865" t="str">
        <f t="shared" ca="1" si="306"/>
        <v>Occupied</v>
      </c>
      <c r="AK865">
        <f t="shared" ca="1" si="307"/>
        <v>1</v>
      </c>
    </row>
    <row r="866" spans="1:37" x14ac:dyDescent="0.3">
      <c r="A866" t="s">
        <v>5285</v>
      </c>
      <c r="B866">
        <v>40</v>
      </c>
      <c r="C866" t="s">
        <v>15</v>
      </c>
      <c r="D866" t="s">
        <v>83</v>
      </c>
      <c r="E866" t="s">
        <v>48</v>
      </c>
      <c r="F866" s="1">
        <v>44802</v>
      </c>
      <c r="G866" t="s">
        <v>1760</v>
      </c>
      <c r="H866" t="s">
        <v>1761</v>
      </c>
      <c r="I866" t="s">
        <v>28</v>
      </c>
      <c r="J866">
        <v>36632</v>
      </c>
      <c r="K866">
        <v>476</v>
      </c>
      <c r="L866" t="s">
        <v>21</v>
      </c>
      <c r="M866" s="1">
        <v>44814</v>
      </c>
      <c r="N866" t="s">
        <v>47</v>
      </c>
      <c r="O866" t="s">
        <v>31</v>
      </c>
      <c r="P866" t="str">
        <f t="shared" si="290"/>
        <v>P0865</v>
      </c>
      <c r="Q866" t="str">
        <f t="shared" si="286"/>
        <v>Pulmonology</v>
      </c>
      <c r="R866">
        <f t="shared" si="287"/>
        <v>12</v>
      </c>
      <c r="S866" t="str">
        <f t="shared" ca="1" si="291"/>
        <v>No</v>
      </c>
      <c r="T866" t="str">
        <f t="shared" ca="1" si="292"/>
        <v>Critical</v>
      </c>
      <c r="U866" t="str">
        <f t="shared" ca="1" si="293"/>
        <v>Semi-Private</v>
      </c>
      <c r="V866" t="str">
        <f t="shared" si="294"/>
        <v>BED0865</v>
      </c>
      <c r="W866" t="str">
        <f t="shared" ca="1" si="295"/>
        <v>Semi-Private</v>
      </c>
      <c r="X866" t="str">
        <f t="shared" si="296"/>
        <v>NUR015</v>
      </c>
      <c r="Y866" t="str">
        <f t="shared" ca="1" si="297"/>
        <v>Evening</v>
      </c>
      <c r="Z866" t="str">
        <f t="shared" ca="1" si="298"/>
        <v>Ultrasound</v>
      </c>
      <c r="AA866" t="str">
        <f t="shared" ca="1" si="299"/>
        <v>Available</v>
      </c>
      <c r="AB866" t="str">
        <f t="shared" ca="1" si="300"/>
        <v>Paid</v>
      </c>
      <c r="AC866" t="str">
        <f t="shared" ca="1" si="301"/>
        <v>Cash</v>
      </c>
      <c r="AD866" t="str">
        <f t="shared" ca="1" si="302"/>
        <v>Yes</v>
      </c>
      <c r="AE866" t="str">
        <f t="shared" ca="1" si="303"/>
        <v>No</v>
      </c>
      <c r="AF866" t="str">
        <f t="shared" ca="1" si="304"/>
        <v>Recovered</v>
      </c>
      <c r="AG866" t="str">
        <f t="shared" ca="1" si="305"/>
        <v>Northeast</v>
      </c>
      <c r="AH866" t="str">
        <f t="shared" si="288"/>
        <v>August</v>
      </c>
      <c r="AI866">
        <f t="shared" si="289"/>
        <v>2022</v>
      </c>
      <c r="AJ866" t="str">
        <f t="shared" ca="1" si="306"/>
        <v>Occupied</v>
      </c>
      <c r="AK866">
        <f t="shared" ca="1" si="307"/>
        <v>2</v>
      </c>
    </row>
    <row r="867" spans="1:37" x14ac:dyDescent="0.3">
      <c r="A867" t="s">
        <v>5286</v>
      </c>
      <c r="B867">
        <v>79</v>
      </c>
      <c r="C867" t="s">
        <v>15</v>
      </c>
      <c r="D867" t="s">
        <v>98</v>
      </c>
      <c r="E867" t="s">
        <v>17</v>
      </c>
      <c r="F867" s="1">
        <v>43770</v>
      </c>
      <c r="G867" t="s">
        <v>1762</v>
      </c>
      <c r="H867" t="s">
        <v>1763</v>
      </c>
      <c r="I867" t="s">
        <v>20</v>
      </c>
      <c r="J867">
        <v>17658</v>
      </c>
      <c r="K867">
        <v>461</v>
      </c>
      <c r="L867" t="s">
        <v>29</v>
      </c>
      <c r="M867" s="1">
        <v>43788</v>
      </c>
      <c r="N867" t="s">
        <v>47</v>
      </c>
      <c r="O867" t="s">
        <v>31</v>
      </c>
      <c r="P867" t="str">
        <f t="shared" si="290"/>
        <v>P0866</v>
      </c>
      <c r="Q867" t="str">
        <f t="shared" si="286"/>
        <v>Oncology</v>
      </c>
      <c r="R867">
        <f t="shared" si="287"/>
        <v>18</v>
      </c>
      <c r="S867" t="str">
        <f t="shared" ca="1" si="291"/>
        <v>No</v>
      </c>
      <c r="T867" t="str">
        <f t="shared" ca="1" si="292"/>
        <v>Severe</v>
      </c>
      <c r="U867" t="str">
        <f t="shared" ca="1" si="293"/>
        <v>Semi-Private</v>
      </c>
      <c r="V867" t="str">
        <f t="shared" si="294"/>
        <v>BED0866</v>
      </c>
      <c r="W867" t="str">
        <f t="shared" ca="1" si="295"/>
        <v>Semi-Private</v>
      </c>
      <c r="X867" t="str">
        <f t="shared" si="296"/>
        <v>NUR016</v>
      </c>
      <c r="Y867" t="str">
        <f t="shared" ca="1" si="297"/>
        <v>Night</v>
      </c>
      <c r="Z867" t="str">
        <f t="shared" ca="1" si="298"/>
        <v>Ultrasound</v>
      </c>
      <c r="AA867" t="str">
        <f t="shared" ca="1" si="299"/>
        <v>In Use</v>
      </c>
      <c r="AB867" t="str">
        <f t="shared" ca="1" si="300"/>
        <v>Partially Paid</v>
      </c>
      <c r="AC867" t="str">
        <f t="shared" ca="1" si="301"/>
        <v>Bank Transfer</v>
      </c>
      <c r="AD867" t="str">
        <f t="shared" ca="1" si="302"/>
        <v>No</v>
      </c>
      <c r="AE867" t="str">
        <f t="shared" ca="1" si="303"/>
        <v>No</v>
      </c>
      <c r="AF867" t="str">
        <f t="shared" ca="1" si="304"/>
        <v>Transferred</v>
      </c>
      <c r="AG867" t="str">
        <f t="shared" ca="1" si="305"/>
        <v>Southwest</v>
      </c>
      <c r="AH867" t="str">
        <f t="shared" si="288"/>
        <v>November</v>
      </c>
      <c r="AI867">
        <f t="shared" si="289"/>
        <v>2019</v>
      </c>
      <c r="AJ867" t="str">
        <f t="shared" ca="1" si="306"/>
        <v>Occupied</v>
      </c>
      <c r="AK867">
        <f t="shared" ca="1" si="307"/>
        <v>1</v>
      </c>
    </row>
    <row r="868" spans="1:37" x14ac:dyDescent="0.3">
      <c r="A868" t="s">
        <v>5287</v>
      </c>
      <c r="B868">
        <v>52</v>
      </c>
      <c r="C868" t="s">
        <v>15</v>
      </c>
      <c r="D868" t="s">
        <v>52</v>
      </c>
      <c r="E868" t="s">
        <v>17</v>
      </c>
      <c r="F868" s="1">
        <v>43693</v>
      </c>
      <c r="G868" t="s">
        <v>1764</v>
      </c>
      <c r="H868" t="s">
        <v>1765</v>
      </c>
      <c r="I868" t="s">
        <v>20</v>
      </c>
      <c r="J868">
        <v>10035</v>
      </c>
      <c r="K868">
        <v>362</v>
      </c>
      <c r="L868" t="s">
        <v>29</v>
      </c>
      <c r="M868" s="1">
        <v>43723</v>
      </c>
      <c r="N868" t="s">
        <v>22</v>
      </c>
      <c r="O868" t="s">
        <v>43</v>
      </c>
      <c r="P868" t="str">
        <f t="shared" si="290"/>
        <v>P0867</v>
      </c>
      <c r="Q868" t="str">
        <f t="shared" si="286"/>
        <v>Oncology</v>
      </c>
      <c r="R868">
        <f t="shared" si="287"/>
        <v>30</v>
      </c>
      <c r="S868" t="str">
        <f t="shared" ca="1" si="291"/>
        <v>No</v>
      </c>
      <c r="T868" t="str">
        <f t="shared" ca="1" si="292"/>
        <v>Moderate</v>
      </c>
      <c r="U868" t="str">
        <f t="shared" ca="1" si="293"/>
        <v>Emergency</v>
      </c>
      <c r="V868" t="str">
        <f t="shared" si="294"/>
        <v>BED0867</v>
      </c>
      <c r="W868" t="str">
        <f t="shared" ca="1" si="295"/>
        <v>ICU</v>
      </c>
      <c r="X868" t="str">
        <f t="shared" si="296"/>
        <v>NUR017</v>
      </c>
      <c r="Y868" t="str">
        <f t="shared" ca="1" si="297"/>
        <v>Evening</v>
      </c>
      <c r="Z868" t="str">
        <f t="shared" ca="1" si="298"/>
        <v>MRI Scanner</v>
      </c>
      <c r="AA868" t="str">
        <f t="shared" ca="1" si="299"/>
        <v>Available</v>
      </c>
      <c r="AB868" t="str">
        <f t="shared" ca="1" si="300"/>
        <v>Partially Paid</v>
      </c>
      <c r="AC868" t="str">
        <f t="shared" ca="1" si="301"/>
        <v>Debit Card</v>
      </c>
      <c r="AD868" t="str">
        <f t="shared" ca="1" si="302"/>
        <v>Yes</v>
      </c>
      <c r="AE868" t="str">
        <f t="shared" ca="1" si="303"/>
        <v>No</v>
      </c>
      <c r="AF868" t="str">
        <f t="shared" ca="1" si="304"/>
        <v>Transferred</v>
      </c>
      <c r="AG868" t="str">
        <f t="shared" ca="1" si="305"/>
        <v>Southeast</v>
      </c>
      <c r="AH868" t="str">
        <f t="shared" si="288"/>
        <v>August</v>
      </c>
      <c r="AI868">
        <f t="shared" si="289"/>
        <v>2019</v>
      </c>
      <c r="AJ868" t="str">
        <f t="shared" ca="1" si="306"/>
        <v>Vacant</v>
      </c>
      <c r="AK868">
        <f t="shared" ca="1" si="307"/>
        <v>1</v>
      </c>
    </row>
    <row r="869" spans="1:37" x14ac:dyDescent="0.3">
      <c r="A869" t="s">
        <v>5288</v>
      </c>
      <c r="B869">
        <v>42</v>
      </c>
      <c r="C869" t="s">
        <v>15</v>
      </c>
      <c r="D869" t="s">
        <v>83</v>
      </c>
      <c r="E869" t="s">
        <v>39</v>
      </c>
      <c r="F869" s="1">
        <v>44255</v>
      </c>
      <c r="G869" t="s">
        <v>1766</v>
      </c>
      <c r="H869" t="s">
        <v>1767</v>
      </c>
      <c r="I869" t="s">
        <v>57</v>
      </c>
      <c r="J869">
        <v>7383</v>
      </c>
      <c r="K869">
        <v>395</v>
      </c>
      <c r="L869" t="s">
        <v>29</v>
      </c>
      <c r="M869" s="1">
        <v>44269</v>
      </c>
      <c r="N869" t="s">
        <v>22</v>
      </c>
      <c r="O869" t="s">
        <v>23</v>
      </c>
      <c r="P869" t="str">
        <f t="shared" si="290"/>
        <v>P0868</v>
      </c>
      <c r="Q869" t="str">
        <f t="shared" si="286"/>
        <v>Endocrinology</v>
      </c>
      <c r="R869">
        <f t="shared" si="287"/>
        <v>14</v>
      </c>
      <c r="S869" t="str">
        <f t="shared" ca="1" si="291"/>
        <v>No</v>
      </c>
      <c r="T869" t="str">
        <f t="shared" ca="1" si="292"/>
        <v>Critical</v>
      </c>
      <c r="U869" t="str">
        <f t="shared" ca="1" si="293"/>
        <v>Private Ward</v>
      </c>
      <c r="V869" t="str">
        <f t="shared" si="294"/>
        <v>BED0868</v>
      </c>
      <c r="W869" t="str">
        <f t="shared" ca="1" si="295"/>
        <v>Private</v>
      </c>
      <c r="X869" t="str">
        <f t="shared" si="296"/>
        <v>NUR018</v>
      </c>
      <c r="Y869" t="str">
        <f t="shared" ca="1" si="297"/>
        <v>Evening</v>
      </c>
      <c r="Z869" t="str">
        <f t="shared" ca="1" si="298"/>
        <v>Ultrasound</v>
      </c>
      <c r="AA869" t="str">
        <f t="shared" ca="1" si="299"/>
        <v>In Use</v>
      </c>
      <c r="AB869" t="str">
        <f t="shared" ca="1" si="300"/>
        <v>Pending</v>
      </c>
      <c r="AC869" t="str">
        <f t="shared" ca="1" si="301"/>
        <v>Insurance</v>
      </c>
      <c r="AD869" t="str">
        <f t="shared" ca="1" si="302"/>
        <v>No</v>
      </c>
      <c r="AE869" t="str">
        <f t="shared" ca="1" si="303"/>
        <v>No</v>
      </c>
      <c r="AF869" t="str">
        <f t="shared" ca="1" si="304"/>
        <v>Recovered</v>
      </c>
      <c r="AG869" t="str">
        <f t="shared" ca="1" si="305"/>
        <v>Southwest</v>
      </c>
      <c r="AH869" t="str">
        <f t="shared" si="288"/>
        <v>February</v>
      </c>
      <c r="AI869">
        <f t="shared" si="289"/>
        <v>2021</v>
      </c>
      <c r="AJ869" t="str">
        <f t="shared" ca="1" si="306"/>
        <v>Vacant</v>
      </c>
      <c r="AK869">
        <f t="shared" ca="1" si="307"/>
        <v>4</v>
      </c>
    </row>
    <row r="870" spans="1:37" x14ac:dyDescent="0.3">
      <c r="A870" t="s">
        <v>5289</v>
      </c>
      <c r="B870">
        <v>41</v>
      </c>
      <c r="C870" t="s">
        <v>15</v>
      </c>
      <c r="D870" t="s">
        <v>24</v>
      </c>
      <c r="E870" t="s">
        <v>48</v>
      </c>
      <c r="F870" s="1">
        <v>44081</v>
      </c>
      <c r="G870" t="s">
        <v>1768</v>
      </c>
      <c r="H870" t="s">
        <v>1769</v>
      </c>
      <c r="I870" t="s">
        <v>20</v>
      </c>
      <c r="J870">
        <v>28974</v>
      </c>
      <c r="K870">
        <v>377</v>
      </c>
      <c r="L870" t="s">
        <v>42</v>
      </c>
      <c r="M870" s="1">
        <v>44104</v>
      </c>
      <c r="N870" t="s">
        <v>22</v>
      </c>
      <c r="O870" t="s">
        <v>23</v>
      </c>
      <c r="P870" t="str">
        <f t="shared" si="290"/>
        <v>P0869</v>
      </c>
      <c r="Q870" t="str">
        <f t="shared" si="286"/>
        <v>Pulmonology</v>
      </c>
      <c r="R870">
        <f t="shared" si="287"/>
        <v>23</v>
      </c>
      <c r="S870" t="str">
        <f t="shared" ca="1" si="291"/>
        <v>No</v>
      </c>
      <c r="T870" t="str">
        <f t="shared" ca="1" si="292"/>
        <v>Critical</v>
      </c>
      <c r="U870" t="str">
        <f t="shared" ca="1" si="293"/>
        <v>Semi-Private</v>
      </c>
      <c r="V870" t="str">
        <f t="shared" si="294"/>
        <v>BED0869</v>
      </c>
      <c r="W870" t="str">
        <f t="shared" ca="1" si="295"/>
        <v>ICU</v>
      </c>
      <c r="X870" t="str">
        <f t="shared" si="296"/>
        <v>NUR019</v>
      </c>
      <c r="Y870" t="str">
        <f t="shared" ca="1" si="297"/>
        <v>Morning</v>
      </c>
      <c r="Z870" t="str">
        <f t="shared" ca="1" si="298"/>
        <v>ECG Machine</v>
      </c>
      <c r="AA870" t="str">
        <f t="shared" ca="1" si="299"/>
        <v>Available</v>
      </c>
      <c r="AB870" t="str">
        <f t="shared" ca="1" si="300"/>
        <v>Pending</v>
      </c>
      <c r="AC870" t="str">
        <f t="shared" ca="1" si="301"/>
        <v>Insurance</v>
      </c>
      <c r="AD870" t="str">
        <f t="shared" ca="1" si="302"/>
        <v>No</v>
      </c>
      <c r="AE870" t="str">
        <f t="shared" ca="1" si="303"/>
        <v>Yes</v>
      </c>
      <c r="AF870" t="str">
        <f t="shared" ca="1" si="304"/>
        <v>Recovered</v>
      </c>
      <c r="AG870" t="str">
        <f t="shared" ca="1" si="305"/>
        <v>Midwest</v>
      </c>
      <c r="AH870" t="str">
        <f t="shared" si="288"/>
        <v>September</v>
      </c>
      <c r="AI870">
        <f t="shared" si="289"/>
        <v>2020</v>
      </c>
      <c r="AJ870" t="str">
        <f t="shared" ca="1" si="306"/>
        <v>Occupied</v>
      </c>
      <c r="AK870">
        <f t="shared" ca="1" si="307"/>
        <v>2</v>
      </c>
    </row>
    <row r="871" spans="1:37" x14ac:dyDescent="0.3">
      <c r="A871" t="s">
        <v>5290</v>
      </c>
      <c r="B871">
        <v>26</v>
      </c>
      <c r="C871" t="s">
        <v>15</v>
      </c>
      <c r="D871" t="s">
        <v>24</v>
      </c>
      <c r="E871" t="s">
        <v>76</v>
      </c>
      <c r="F871" s="1">
        <v>45338</v>
      </c>
      <c r="G871" t="s">
        <v>1770</v>
      </c>
      <c r="H871" t="s">
        <v>1771</v>
      </c>
      <c r="I871" t="s">
        <v>20</v>
      </c>
      <c r="J871">
        <v>4697</v>
      </c>
      <c r="K871">
        <v>143</v>
      </c>
      <c r="L871" t="s">
        <v>42</v>
      </c>
      <c r="M871" s="1">
        <v>45350</v>
      </c>
      <c r="N871" t="s">
        <v>37</v>
      </c>
      <c r="O871" t="s">
        <v>43</v>
      </c>
      <c r="P871" t="str">
        <f t="shared" si="290"/>
        <v>P0870</v>
      </c>
      <c r="Q871" t="str">
        <f t="shared" si="286"/>
        <v>Orthopedics</v>
      </c>
      <c r="R871">
        <f t="shared" si="287"/>
        <v>12</v>
      </c>
      <c r="S871" t="str">
        <f t="shared" ca="1" si="291"/>
        <v>No</v>
      </c>
      <c r="T871" t="str">
        <f t="shared" ca="1" si="292"/>
        <v>Critical</v>
      </c>
      <c r="U871" t="str">
        <f t="shared" ca="1" si="293"/>
        <v>Emergency</v>
      </c>
      <c r="V871" t="str">
        <f t="shared" si="294"/>
        <v>BED0870</v>
      </c>
      <c r="W871" t="str">
        <f t="shared" ca="1" si="295"/>
        <v>Semi-Private</v>
      </c>
      <c r="X871" t="str">
        <f t="shared" si="296"/>
        <v>NUR020</v>
      </c>
      <c r="Y871" t="str">
        <f t="shared" ca="1" si="297"/>
        <v>Evening</v>
      </c>
      <c r="Z871" t="str">
        <f t="shared" ca="1" si="298"/>
        <v>Ultrasound</v>
      </c>
      <c r="AA871" t="str">
        <f t="shared" ca="1" si="299"/>
        <v>Maintenance</v>
      </c>
      <c r="AB871" t="str">
        <f t="shared" ca="1" si="300"/>
        <v>Pending</v>
      </c>
      <c r="AC871" t="str">
        <f t="shared" ca="1" si="301"/>
        <v>Cash</v>
      </c>
      <c r="AD871" t="str">
        <f t="shared" ca="1" si="302"/>
        <v>No</v>
      </c>
      <c r="AE871" t="str">
        <f t="shared" ca="1" si="303"/>
        <v>No</v>
      </c>
      <c r="AF871" t="str">
        <f t="shared" ca="1" si="304"/>
        <v>Under Observation</v>
      </c>
      <c r="AG871" t="str">
        <f t="shared" ca="1" si="305"/>
        <v>Southwest</v>
      </c>
      <c r="AH871" t="str">
        <f t="shared" si="288"/>
        <v>February</v>
      </c>
      <c r="AI871">
        <f t="shared" si="289"/>
        <v>2024</v>
      </c>
      <c r="AJ871" t="str">
        <f t="shared" ca="1" si="306"/>
        <v>Occupied</v>
      </c>
      <c r="AK871">
        <f t="shared" ca="1" si="307"/>
        <v>1</v>
      </c>
    </row>
    <row r="872" spans="1:37" x14ac:dyDescent="0.3">
      <c r="A872" t="s">
        <v>5291</v>
      </c>
      <c r="B872">
        <v>76</v>
      </c>
      <c r="C872" t="s">
        <v>32</v>
      </c>
      <c r="D872" t="s">
        <v>83</v>
      </c>
      <c r="E872" t="s">
        <v>17</v>
      </c>
      <c r="F872" s="1">
        <v>44212</v>
      </c>
      <c r="G872" t="s">
        <v>1772</v>
      </c>
      <c r="H872" t="s">
        <v>1773</v>
      </c>
      <c r="I872" t="s">
        <v>57</v>
      </c>
      <c r="J872">
        <v>41150</v>
      </c>
      <c r="K872">
        <v>244</v>
      </c>
      <c r="L872" t="s">
        <v>42</v>
      </c>
      <c r="M872" s="1">
        <v>44223</v>
      </c>
      <c r="N872" t="s">
        <v>67</v>
      </c>
      <c r="O872" t="s">
        <v>43</v>
      </c>
      <c r="P872" t="str">
        <f t="shared" si="290"/>
        <v>P0871</v>
      </c>
      <c r="Q872" t="str">
        <f t="shared" si="286"/>
        <v>Oncology</v>
      </c>
      <c r="R872">
        <f t="shared" si="287"/>
        <v>11</v>
      </c>
      <c r="S872" t="str">
        <f t="shared" ca="1" si="291"/>
        <v>No</v>
      </c>
      <c r="T872" t="str">
        <f t="shared" ca="1" si="292"/>
        <v>Severe</v>
      </c>
      <c r="U872" t="str">
        <f t="shared" ca="1" si="293"/>
        <v>ICU</v>
      </c>
      <c r="V872" t="str">
        <f t="shared" si="294"/>
        <v>BED0871</v>
      </c>
      <c r="W872" t="str">
        <f t="shared" ca="1" si="295"/>
        <v>General</v>
      </c>
      <c r="X872" t="str">
        <f t="shared" si="296"/>
        <v>NUR021</v>
      </c>
      <c r="Y872" t="str">
        <f t="shared" ca="1" si="297"/>
        <v>Evening</v>
      </c>
      <c r="Z872" t="str">
        <f t="shared" ca="1" si="298"/>
        <v>ECG Machine</v>
      </c>
      <c r="AA872" t="str">
        <f t="shared" ca="1" si="299"/>
        <v>In Use</v>
      </c>
      <c r="AB872" t="str">
        <f t="shared" ca="1" si="300"/>
        <v>Paid</v>
      </c>
      <c r="AC872" t="str">
        <f t="shared" ca="1" si="301"/>
        <v>Cash</v>
      </c>
      <c r="AD872" t="str">
        <f t="shared" ca="1" si="302"/>
        <v>No</v>
      </c>
      <c r="AE872" t="str">
        <f t="shared" ca="1" si="303"/>
        <v>Yes</v>
      </c>
      <c r="AF872" t="str">
        <f t="shared" ca="1" si="304"/>
        <v>Under Observation</v>
      </c>
      <c r="AG872" t="str">
        <f t="shared" ca="1" si="305"/>
        <v>West Coast</v>
      </c>
      <c r="AH872" t="str">
        <f t="shared" si="288"/>
        <v>January</v>
      </c>
      <c r="AI872">
        <f t="shared" si="289"/>
        <v>2021</v>
      </c>
      <c r="AJ872" t="str">
        <f t="shared" ca="1" si="306"/>
        <v>Occupied</v>
      </c>
      <c r="AK872">
        <f t="shared" ca="1" si="307"/>
        <v>1</v>
      </c>
    </row>
    <row r="873" spans="1:37" x14ac:dyDescent="0.3">
      <c r="A873" t="s">
        <v>5292</v>
      </c>
      <c r="B873">
        <v>29</v>
      </c>
      <c r="C873" t="s">
        <v>32</v>
      </c>
      <c r="D873" t="s">
        <v>24</v>
      </c>
      <c r="E873" t="s">
        <v>76</v>
      </c>
      <c r="F873" s="1">
        <v>44957</v>
      </c>
      <c r="G873" t="s">
        <v>1774</v>
      </c>
      <c r="H873" t="s">
        <v>1775</v>
      </c>
      <c r="I873" t="s">
        <v>57</v>
      </c>
      <c r="J873">
        <v>30324</v>
      </c>
      <c r="K873">
        <v>156</v>
      </c>
      <c r="L873" t="s">
        <v>29</v>
      </c>
      <c r="M873" s="1">
        <v>44971</v>
      </c>
      <c r="N873" t="s">
        <v>47</v>
      </c>
      <c r="O873" t="s">
        <v>23</v>
      </c>
      <c r="P873" t="str">
        <f t="shared" si="290"/>
        <v>P0872</v>
      </c>
      <c r="Q873" t="str">
        <f t="shared" si="286"/>
        <v>Orthopedics</v>
      </c>
      <c r="R873">
        <f t="shared" si="287"/>
        <v>14</v>
      </c>
      <c r="S873" t="str">
        <f t="shared" ca="1" si="291"/>
        <v>No</v>
      </c>
      <c r="T873" t="str">
        <f t="shared" ca="1" si="292"/>
        <v>Critical</v>
      </c>
      <c r="U873" t="str">
        <f t="shared" ca="1" si="293"/>
        <v>Semi-Private</v>
      </c>
      <c r="V873" t="str">
        <f t="shared" si="294"/>
        <v>BED0872</v>
      </c>
      <c r="W873" t="str">
        <f t="shared" ca="1" si="295"/>
        <v>Private</v>
      </c>
      <c r="X873" t="str">
        <f t="shared" si="296"/>
        <v>NUR022</v>
      </c>
      <c r="Y873" t="str">
        <f t="shared" ca="1" si="297"/>
        <v>Morning</v>
      </c>
      <c r="Z873" t="str">
        <f t="shared" ca="1" si="298"/>
        <v>Ultrasound</v>
      </c>
      <c r="AA873" t="str">
        <f t="shared" ca="1" si="299"/>
        <v>Maintenance</v>
      </c>
      <c r="AB873" t="str">
        <f t="shared" ca="1" si="300"/>
        <v>Pending</v>
      </c>
      <c r="AC873" t="str">
        <f t="shared" ca="1" si="301"/>
        <v>Bank Transfer</v>
      </c>
      <c r="AD873" t="str">
        <f t="shared" ca="1" si="302"/>
        <v>No</v>
      </c>
      <c r="AE873" t="str">
        <f t="shared" ca="1" si="303"/>
        <v>No</v>
      </c>
      <c r="AF873" t="str">
        <f t="shared" ca="1" si="304"/>
        <v>Recovered</v>
      </c>
      <c r="AG873" t="str">
        <f t="shared" ca="1" si="305"/>
        <v>Southwest</v>
      </c>
      <c r="AH873" t="str">
        <f t="shared" si="288"/>
        <v>January</v>
      </c>
      <c r="AI873">
        <f t="shared" si="289"/>
        <v>2023</v>
      </c>
      <c r="AJ873" t="str">
        <f t="shared" ca="1" si="306"/>
        <v>Occupied</v>
      </c>
      <c r="AK873">
        <f t="shared" ca="1" si="307"/>
        <v>1</v>
      </c>
    </row>
    <row r="874" spans="1:37" x14ac:dyDescent="0.3">
      <c r="A874" t="s">
        <v>5293</v>
      </c>
      <c r="B874">
        <v>19</v>
      </c>
      <c r="C874" t="s">
        <v>15</v>
      </c>
      <c r="D874" t="s">
        <v>16</v>
      </c>
      <c r="E874" t="s">
        <v>64</v>
      </c>
      <c r="F874" s="1">
        <v>44771</v>
      </c>
      <c r="G874" t="s">
        <v>1776</v>
      </c>
      <c r="H874" t="s">
        <v>1777</v>
      </c>
      <c r="I874" t="s">
        <v>28</v>
      </c>
      <c r="J874">
        <v>33646</v>
      </c>
      <c r="K874">
        <v>457</v>
      </c>
      <c r="L874" t="s">
        <v>29</v>
      </c>
      <c r="M874" s="1">
        <v>44794</v>
      </c>
      <c r="N874" t="s">
        <v>47</v>
      </c>
      <c r="O874" t="s">
        <v>23</v>
      </c>
      <c r="P874" t="str">
        <f t="shared" si="290"/>
        <v>P0873</v>
      </c>
      <c r="Q874" t="str">
        <f t="shared" si="286"/>
        <v>Cardiology</v>
      </c>
      <c r="R874">
        <f t="shared" si="287"/>
        <v>23</v>
      </c>
      <c r="S874" t="str">
        <f t="shared" ca="1" si="291"/>
        <v>No</v>
      </c>
      <c r="T874" t="str">
        <f t="shared" ca="1" si="292"/>
        <v>Critical</v>
      </c>
      <c r="U874" t="str">
        <f t="shared" ca="1" si="293"/>
        <v>Emergency</v>
      </c>
      <c r="V874" t="str">
        <f t="shared" si="294"/>
        <v>BED0873</v>
      </c>
      <c r="W874" t="str">
        <f t="shared" ca="1" si="295"/>
        <v>ICU</v>
      </c>
      <c r="X874" t="str">
        <f t="shared" si="296"/>
        <v>NUR023</v>
      </c>
      <c r="Y874" t="str">
        <f t="shared" ca="1" si="297"/>
        <v>Morning</v>
      </c>
      <c r="Z874" t="str">
        <f t="shared" ca="1" si="298"/>
        <v>ECG Machine</v>
      </c>
      <c r="AA874" t="str">
        <f t="shared" ca="1" si="299"/>
        <v>Maintenance</v>
      </c>
      <c r="AB874" t="str">
        <f t="shared" ca="1" si="300"/>
        <v>Partially Paid</v>
      </c>
      <c r="AC874" t="str">
        <f t="shared" ca="1" si="301"/>
        <v>Debit Card</v>
      </c>
      <c r="AD874" t="str">
        <f t="shared" ca="1" si="302"/>
        <v>Yes</v>
      </c>
      <c r="AE874" t="str">
        <f t="shared" ca="1" si="303"/>
        <v>Yes</v>
      </c>
      <c r="AF874" t="str">
        <f t="shared" ca="1" si="304"/>
        <v>Transferred</v>
      </c>
      <c r="AG874" t="str">
        <f t="shared" ca="1" si="305"/>
        <v>Southeast</v>
      </c>
      <c r="AH874" t="str">
        <f t="shared" si="288"/>
        <v>July</v>
      </c>
      <c r="AI874">
        <f t="shared" si="289"/>
        <v>2022</v>
      </c>
      <c r="AJ874" t="str">
        <f t="shared" ca="1" si="306"/>
        <v>Occupied</v>
      </c>
      <c r="AK874">
        <f t="shared" ca="1" si="307"/>
        <v>2</v>
      </c>
    </row>
    <row r="875" spans="1:37" x14ac:dyDescent="0.3">
      <c r="A875" t="s">
        <v>5294</v>
      </c>
      <c r="B875">
        <v>30</v>
      </c>
      <c r="C875" t="s">
        <v>32</v>
      </c>
      <c r="D875" t="s">
        <v>98</v>
      </c>
      <c r="E875" t="s">
        <v>39</v>
      </c>
      <c r="F875" s="1">
        <v>44678</v>
      </c>
      <c r="G875" t="s">
        <v>1778</v>
      </c>
      <c r="H875" t="s">
        <v>1779</v>
      </c>
      <c r="I875" t="s">
        <v>57</v>
      </c>
      <c r="J875">
        <v>46718</v>
      </c>
      <c r="K875">
        <v>147</v>
      </c>
      <c r="L875" t="s">
        <v>21</v>
      </c>
      <c r="M875" s="1">
        <v>44682</v>
      </c>
      <c r="N875" t="s">
        <v>47</v>
      </c>
      <c r="O875" t="s">
        <v>31</v>
      </c>
      <c r="P875" t="str">
        <f t="shared" si="290"/>
        <v>P0874</v>
      </c>
      <c r="Q875" t="str">
        <f t="shared" si="286"/>
        <v>Endocrinology</v>
      </c>
      <c r="R875">
        <f t="shared" si="287"/>
        <v>4</v>
      </c>
      <c r="S875" t="str">
        <f t="shared" ca="1" si="291"/>
        <v>No</v>
      </c>
      <c r="T875" t="str">
        <f t="shared" ca="1" si="292"/>
        <v>Severe</v>
      </c>
      <c r="U875" t="str">
        <f t="shared" ca="1" si="293"/>
        <v>Private Ward</v>
      </c>
      <c r="V875" t="str">
        <f t="shared" si="294"/>
        <v>BED0874</v>
      </c>
      <c r="W875" t="str">
        <f t="shared" ca="1" si="295"/>
        <v>General</v>
      </c>
      <c r="X875" t="str">
        <f t="shared" si="296"/>
        <v>NUR024</v>
      </c>
      <c r="Y875" t="str">
        <f t="shared" ca="1" si="297"/>
        <v>Night</v>
      </c>
      <c r="Z875" t="str">
        <f t="shared" ca="1" si="298"/>
        <v>X-Ray</v>
      </c>
      <c r="AA875" t="str">
        <f t="shared" ca="1" si="299"/>
        <v>Available</v>
      </c>
      <c r="AB875" t="str">
        <f t="shared" ca="1" si="300"/>
        <v>Paid</v>
      </c>
      <c r="AC875" t="str">
        <f t="shared" ca="1" si="301"/>
        <v>Cash</v>
      </c>
      <c r="AD875" t="str">
        <f t="shared" ca="1" si="302"/>
        <v>Yes</v>
      </c>
      <c r="AE875" t="str">
        <f t="shared" ca="1" si="303"/>
        <v>No</v>
      </c>
      <c r="AF875" t="str">
        <f t="shared" ca="1" si="304"/>
        <v>Under Observation</v>
      </c>
      <c r="AG875" t="str">
        <f t="shared" ca="1" si="305"/>
        <v>West Coast</v>
      </c>
      <c r="AH875" t="str">
        <f t="shared" si="288"/>
        <v>April</v>
      </c>
      <c r="AI875">
        <f t="shared" si="289"/>
        <v>2022</v>
      </c>
      <c r="AJ875" t="str">
        <f t="shared" ca="1" si="306"/>
        <v>Vacant</v>
      </c>
      <c r="AK875">
        <f t="shared" ca="1" si="307"/>
        <v>4</v>
      </c>
    </row>
    <row r="876" spans="1:37" x14ac:dyDescent="0.3">
      <c r="A876" t="s">
        <v>5295</v>
      </c>
      <c r="B876">
        <v>37</v>
      </c>
      <c r="C876" t="s">
        <v>32</v>
      </c>
      <c r="D876" t="s">
        <v>98</v>
      </c>
      <c r="E876" t="s">
        <v>48</v>
      </c>
      <c r="F876" s="1">
        <v>43988</v>
      </c>
      <c r="G876" t="s">
        <v>1780</v>
      </c>
      <c r="H876" t="s">
        <v>1781</v>
      </c>
      <c r="I876" t="s">
        <v>36</v>
      </c>
      <c r="J876">
        <v>49997</v>
      </c>
      <c r="K876">
        <v>427</v>
      </c>
      <c r="L876" t="s">
        <v>42</v>
      </c>
      <c r="M876" s="1">
        <v>44004</v>
      </c>
      <c r="N876" t="s">
        <v>37</v>
      </c>
      <c r="O876" t="s">
        <v>23</v>
      </c>
      <c r="P876" t="str">
        <f t="shared" si="290"/>
        <v>P0875</v>
      </c>
      <c r="Q876" t="str">
        <f t="shared" si="286"/>
        <v>Pulmonology</v>
      </c>
      <c r="R876">
        <f t="shared" si="287"/>
        <v>16</v>
      </c>
      <c r="S876" t="str">
        <f t="shared" ca="1" si="291"/>
        <v>No</v>
      </c>
      <c r="T876" t="str">
        <f t="shared" ca="1" si="292"/>
        <v>Mild</v>
      </c>
      <c r="U876" t="str">
        <f t="shared" ca="1" si="293"/>
        <v>Emergency</v>
      </c>
      <c r="V876" t="str">
        <f t="shared" si="294"/>
        <v>BED0875</v>
      </c>
      <c r="W876" t="str">
        <f t="shared" ca="1" si="295"/>
        <v>Private</v>
      </c>
      <c r="X876" t="str">
        <f t="shared" si="296"/>
        <v>NUR025</v>
      </c>
      <c r="Y876" t="str">
        <f t="shared" ca="1" si="297"/>
        <v>Evening</v>
      </c>
      <c r="Z876" t="str">
        <f t="shared" ca="1" si="298"/>
        <v>ECG Machine</v>
      </c>
      <c r="AA876" t="str">
        <f t="shared" ca="1" si="299"/>
        <v>In Use</v>
      </c>
      <c r="AB876" t="str">
        <f t="shared" ca="1" si="300"/>
        <v>Paid</v>
      </c>
      <c r="AC876" t="str">
        <f t="shared" ca="1" si="301"/>
        <v>Insurance</v>
      </c>
      <c r="AD876" t="str">
        <f t="shared" ca="1" si="302"/>
        <v>Yes</v>
      </c>
      <c r="AE876" t="str">
        <f t="shared" ca="1" si="303"/>
        <v>No</v>
      </c>
      <c r="AF876" t="str">
        <f t="shared" ca="1" si="304"/>
        <v>Recovered</v>
      </c>
      <c r="AG876" t="str">
        <f t="shared" ca="1" si="305"/>
        <v>Midwest</v>
      </c>
      <c r="AH876" t="str">
        <f t="shared" si="288"/>
        <v>June</v>
      </c>
      <c r="AI876">
        <f t="shared" si="289"/>
        <v>2020</v>
      </c>
      <c r="AJ876" t="str">
        <f t="shared" ca="1" si="306"/>
        <v>Occupied</v>
      </c>
      <c r="AK876">
        <f t="shared" ca="1" si="307"/>
        <v>1</v>
      </c>
    </row>
    <row r="877" spans="1:37" x14ac:dyDescent="0.3">
      <c r="A877" t="s">
        <v>5296</v>
      </c>
      <c r="B877">
        <v>82</v>
      </c>
      <c r="C877" t="s">
        <v>32</v>
      </c>
      <c r="D877" t="s">
        <v>52</v>
      </c>
      <c r="E877" t="s">
        <v>48</v>
      </c>
      <c r="F877" s="1">
        <v>43771</v>
      </c>
      <c r="G877" t="s">
        <v>1782</v>
      </c>
      <c r="H877" t="s">
        <v>1783</v>
      </c>
      <c r="I877" t="s">
        <v>20</v>
      </c>
      <c r="J877">
        <v>38397</v>
      </c>
      <c r="K877">
        <v>316</v>
      </c>
      <c r="L877" t="s">
        <v>42</v>
      </c>
      <c r="M877" s="1">
        <v>43797</v>
      </c>
      <c r="N877" t="s">
        <v>47</v>
      </c>
      <c r="O877" t="s">
        <v>43</v>
      </c>
      <c r="P877" t="str">
        <f t="shared" si="290"/>
        <v>P0876</v>
      </c>
      <c r="Q877" t="str">
        <f t="shared" si="286"/>
        <v>Pulmonology</v>
      </c>
      <c r="R877">
        <f t="shared" si="287"/>
        <v>26</v>
      </c>
      <c r="S877" t="str">
        <f t="shared" ca="1" si="291"/>
        <v>No</v>
      </c>
      <c r="T877" t="str">
        <f t="shared" ca="1" si="292"/>
        <v>Mild</v>
      </c>
      <c r="U877" t="str">
        <f t="shared" ca="1" si="293"/>
        <v>Private Ward</v>
      </c>
      <c r="V877" t="str">
        <f t="shared" si="294"/>
        <v>BED0876</v>
      </c>
      <c r="W877" t="str">
        <f t="shared" ca="1" si="295"/>
        <v>General</v>
      </c>
      <c r="X877" t="str">
        <f t="shared" si="296"/>
        <v>NUR026</v>
      </c>
      <c r="Y877" t="str">
        <f t="shared" ca="1" si="297"/>
        <v>Night</v>
      </c>
      <c r="Z877" t="str">
        <f t="shared" ca="1" si="298"/>
        <v>ECG Machine</v>
      </c>
      <c r="AA877" t="str">
        <f t="shared" ca="1" si="299"/>
        <v>Available</v>
      </c>
      <c r="AB877" t="str">
        <f t="shared" ca="1" si="300"/>
        <v>Paid</v>
      </c>
      <c r="AC877" t="str">
        <f t="shared" ca="1" si="301"/>
        <v>Bank Transfer</v>
      </c>
      <c r="AD877" t="str">
        <f t="shared" ca="1" si="302"/>
        <v>No</v>
      </c>
      <c r="AE877" t="str">
        <f t="shared" ca="1" si="303"/>
        <v>No</v>
      </c>
      <c r="AF877" t="str">
        <f t="shared" ca="1" si="304"/>
        <v>Transferred</v>
      </c>
      <c r="AG877" t="str">
        <f t="shared" ca="1" si="305"/>
        <v>West Coast</v>
      </c>
      <c r="AH877" t="str">
        <f t="shared" si="288"/>
        <v>November</v>
      </c>
      <c r="AI877">
        <f t="shared" si="289"/>
        <v>2019</v>
      </c>
      <c r="AJ877" t="str">
        <f t="shared" ca="1" si="306"/>
        <v>Occupied</v>
      </c>
      <c r="AK877">
        <f t="shared" ca="1" si="307"/>
        <v>1</v>
      </c>
    </row>
    <row r="878" spans="1:37" x14ac:dyDescent="0.3">
      <c r="A878" t="s">
        <v>5297</v>
      </c>
      <c r="B878">
        <v>84</v>
      </c>
      <c r="C878" t="s">
        <v>32</v>
      </c>
      <c r="D878" t="s">
        <v>83</v>
      </c>
      <c r="E878" t="s">
        <v>25</v>
      </c>
      <c r="F878" s="1">
        <v>44816</v>
      </c>
      <c r="G878" t="s">
        <v>1784</v>
      </c>
      <c r="H878" t="s">
        <v>1785</v>
      </c>
      <c r="I878" t="s">
        <v>51</v>
      </c>
      <c r="J878">
        <v>10136</v>
      </c>
      <c r="K878">
        <v>469</v>
      </c>
      <c r="L878" t="s">
        <v>21</v>
      </c>
      <c r="M878" s="1">
        <v>44826</v>
      </c>
      <c r="N878" t="s">
        <v>22</v>
      </c>
      <c r="O878" t="s">
        <v>31</v>
      </c>
      <c r="P878" t="str">
        <f t="shared" si="290"/>
        <v>P0877</v>
      </c>
      <c r="Q878" t="str">
        <f t="shared" si="286"/>
        <v>Nutrition</v>
      </c>
      <c r="R878">
        <f t="shared" si="287"/>
        <v>10</v>
      </c>
      <c r="S878" t="str">
        <f t="shared" ca="1" si="291"/>
        <v>No</v>
      </c>
      <c r="T878" t="str">
        <f t="shared" ca="1" si="292"/>
        <v>Critical</v>
      </c>
      <c r="U878" t="str">
        <f t="shared" ca="1" si="293"/>
        <v>Semi-Private</v>
      </c>
      <c r="V878" t="str">
        <f t="shared" si="294"/>
        <v>BED0877</v>
      </c>
      <c r="W878" t="str">
        <f t="shared" ca="1" si="295"/>
        <v>Private</v>
      </c>
      <c r="X878" t="str">
        <f t="shared" si="296"/>
        <v>NUR027</v>
      </c>
      <c r="Y878" t="str">
        <f t="shared" ca="1" si="297"/>
        <v>Evening</v>
      </c>
      <c r="Z878" t="str">
        <f t="shared" ca="1" si="298"/>
        <v>Ultrasound</v>
      </c>
      <c r="AA878" t="str">
        <f t="shared" ca="1" si="299"/>
        <v>In Use</v>
      </c>
      <c r="AB878" t="str">
        <f t="shared" ca="1" si="300"/>
        <v>Partially Paid</v>
      </c>
      <c r="AC878" t="str">
        <f t="shared" ca="1" si="301"/>
        <v>Debit Card</v>
      </c>
      <c r="AD878" t="str">
        <f t="shared" ca="1" si="302"/>
        <v>No</v>
      </c>
      <c r="AE878" t="str">
        <f t="shared" ca="1" si="303"/>
        <v>No</v>
      </c>
      <c r="AF878" t="str">
        <f t="shared" ca="1" si="304"/>
        <v>Transferred</v>
      </c>
      <c r="AG878" t="str">
        <f t="shared" ca="1" si="305"/>
        <v>Midwest</v>
      </c>
      <c r="AH878" t="str">
        <f t="shared" si="288"/>
        <v>September</v>
      </c>
      <c r="AI878">
        <f t="shared" si="289"/>
        <v>2022</v>
      </c>
      <c r="AJ878" t="str">
        <f t="shared" ca="1" si="306"/>
        <v>Vacant</v>
      </c>
      <c r="AK878">
        <f t="shared" ca="1" si="307"/>
        <v>2</v>
      </c>
    </row>
    <row r="879" spans="1:37" x14ac:dyDescent="0.3">
      <c r="A879" t="s">
        <v>5298</v>
      </c>
      <c r="B879">
        <v>52</v>
      </c>
      <c r="C879" t="s">
        <v>32</v>
      </c>
      <c r="D879" t="s">
        <v>24</v>
      </c>
      <c r="E879" t="s">
        <v>76</v>
      </c>
      <c r="F879" s="1">
        <v>44206</v>
      </c>
      <c r="G879" t="s">
        <v>1786</v>
      </c>
      <c r="H879" t="s">
        <v>1070</v>
      </c>
      <c r="I879" t="s">
        <v>36</v>
      </c>
      <c r="J879">
        <v>25686</v>
      </c>
      <c r="K879">
        <v>260</v>
      </c>
      <c r="L879" t="s">
        <v>29</v>
      </c>
      <c r="M879" s="1">
        <v>44221</v>
      </c>
      <c r="N879" t="s">
        <v>22</v>
      </c>
      <c r="O879" t="s">
        <v>43</v>
      </c>
      <c r="P879" t="str">
        <f t="shared" si="290"/>
        <v>P0878</v>
      </c>
      <c r="Q879" t="str">
        <f t="shared" si="286"/>
        <v>Orthopedics</v>
      </c>
      <c r="R879">
        <f t="shared" si="287"/>
        <v>15</v>
      </c>
      <c r="S879" t="str">
        <f t="shared" ca="1" si="291"/>
        <v>No</v>
      </c>
      <c r="T879" t="str">
        <f t="shared" ca="1" si="292"/>
        <v>Critical</v>
      </c>
      <c r="U879" t="str">
        <f t="shared" ca="1" si="293"/>
        <v>Private Ward</v>
      </c>
      <c r="V879" t="str">
        <f t="shared" si="294"/>
        <v>BED0878</v>
      </c>
      <c r="W879" t="str">
        <f t="shared" ca="1" si="295"/>
        <v>Semi-Private</v>
      </c>
      <c r="X879" t="str">
        <f t="shared" si="296"/>
        <v>NUR028</v>
      </c>
      <c r="Y879" t="str">
        <f t="shared" ca="1" si="297"/>
        <v>Night</v>
      </c>
      <c r="Z879" t="str">
        <f t="shared" ca="1" si="298"/>
        <v>Ventilator</v>
      </c>
      <c r="AA879" t="str">
        <f t="shared" ca="1" si="299"/>
        <v>In Use</v>
      </c>
      <c r="AB879" t="str">
        <f t="shared" ca="1" si="300"/>
        <v>Partially Paid</v>
      </c>
      <c r="AC879" t="str">
        <f t="shared" ca="1" si="301"/>
        <v>Insurance</v>
      </c>
      <c r="AD879" t="str">
        <f t="shared" ca="1" si="302"/>
        <v>Yes</v>
      </c>
      <c r="AE879" t="str">
        <f t="shared" ca="1" si="303"/>
        <v>No</v>
      </c>
      <c r="AF879" t="str">
        <f t="shared" ca="1" si="304"/>
        <v>Transferred</v>
      </c>
      <c r="AG879" t="str">
        <f t="shared" ca="1" si="305"/>
        <v>West Coast</v>
      </c>
      <c r="AH879" t="str">
        <f t="shared" si="288"/>
        <v>January</v>
      </c>
      <c r="AI879">
        <f t="shared" si="289"/>
        <v>2021</v>
      </c>
      <c r="AJ879" t="str">
        <f t="shared" ca="1" si="306"/>
        <v>Occupied</v>
      </c>
      <c r="AK879">
        <f t="shared" ca="1" si="307"/>
        <v>2</v>
      </c>
    </row>
    <row r="880" spans="1:37" x14ac:dyDescent="0.3">
      <c r="A880" t="s">
        <v>5299</v>
      </c>
      <c r="B880">
        <v>75</v>
      </c>
      <c r="C880" t="s">
        <v>32</v>
      </c>
      <c r="D880" t="s">
        <v>16</v>
      </c>
      <c r="E880" t="s">
        <v>64</v>
      </c>
      <c r="F880" s="1">
        <v>43774</v>
      </c>
      <c r="G880" t="s">
        <v>1787</v>
      </c>
      <c r="H880" t="s">
        <v>1788</v>
      </c>
      <c r="I880" t="s">
        <v>20</v>
      </c>
      <c r="J880">
        <v>6008</v>
      </c>
      <c r="K880">
        <v>426</v>
      </c>
      <c r="L880" t="s">
        <v>29</v>
      </c>
      <c r="M880" s="1">
        <v>43777</v>
      </c>
      <c r="N880" t="s">
        <v>37</v>
      </c>
      <c r="O880" t="s">
        <v>31</v>
      </c>
      <c r="P880" t="str">
        <f t="shared" si="290"/>
        <v>P0879</v>
      </c>
      <c r="Q880" t="str">
        <f t="shared" si="286"/>
        <v>Cardiology</v>
      </c>
      <c r="R880">
        <f t="shared" si="287"/>
        <v>3</v>
      </c>
      <c r="S880" t="str">
        <f t="shared" ca="1" si="291"/>
        <v>No</v>
      </c>
      <c r="T880" t="str">
        <f t="shared" ca="1" si="292"/>
        <v>Mild</v>
      </c>
      <c r="U880" t="str">
        <f t="shared" ca="1" si="293"/>
        <v>Emergency</v>
      </c>
      <c r="V880" t="str">
        <f t="shared" si="294"/>
        <v>BED0879</v>
      </c>
      <c r="W880" t="str">
        <f t="shared" ca="1" si="295"/>
        <v>Private</v>
      </c>
      <c r="X880" t="str">
        <f t="shared" si="296"/>
        <v>NUR029</v>
      </c>
      <c r="Y880" t="str">
        <f t="shared" ca="1" si="297"/>
        <v>Morning</v>
      </c>
      <c r="Z880" t="str">
        <f t="shared" ca="1" si="298"/>
        <v>X-Ray</v>
      </c>
      <c r="AA880" t="str">
        <f t="shared" ca="1" si="299"/>
        <v>Available</v>
      </c>
      <c r="AB880" t="str">
        <f t="shared" ca="1" si="300"/>
        <v>Pending</v>
      </c>
      <c r="AC880" t="str">
        <f t="shared" ca="1" si="301"/>
        <v>Debit Card</v>
      </c>
      <c r="AD880" t="str">
        <f t="shared" ca="1" si="302"/>
        <v>No</v>
      </c>
      <c r="AE880" t="str">
        <f t="shared" ca="1" si="303"/>
        <v>No</v>
      </c>
      <c r="AF880" t="str">
        <f t="shared" ca="1" si="304"/>
        <v>Under Observation</v>
      </c>
      <c r="AG880" t="str">
        <f t="shared" ca="1" si="305"/>
        <v>West Coast</v>
      </c>
      <c r="AH880" t="str">
        <f t="shared" si="288"/>
        <v>November</v>
      </c>
      <c r="AI880">
        <f t="shared" si="289"/>
        <v>2019</v>
      </c>
      <c r="AJ880" t="str">
        <f t="shared" ca="1" si="306"/>
        <v>Occupied</v>
      </c>
      <c r="AK880">
        <f t="shared" ca="1" si="307"/>
        <v>1</v>
      </c>
    </row>
    <row r="881" spans="1:37" x14ac:dyDescent="0.3">
      <c r="A881" t="s">
        <v>5300</v>
      </c>
      <c r="B881">
        <v>30</v>
      </c>
      <c r="C881" t="s">
        <v>15</v>
      </c>
      <c r="D881" t="s">
        <v>24</v>
      </c>
      <c r="E881" t="s">
        <v>17</v>
      </c>
      <c r="F881" s="1">
        <v>44244</v>
      </c>
      <c r="G881" t="s">
        <v>1789</v>
      </c>
      <c r="H881" t="s">
        <v>1790</v>
      </c>
      <c r="I881" t="s">
        <v>20</v>
      </c>
      <c r="J881">
        <v>7609</v>
      </c>
      <c r="K881">
        <v>404</v>
      </c>
      <c r="L881" t="s">
        <v>21</v>
      </c>
      <c r="M881" s="1">
        <v>44262</v>
      </c>
      <c r="N881" t="s">
        <v>30</v>
      </c>
      <c r="O881" t="s">
        <v>43</v>
      </c>
      <c r="P881" t="str">
        <f t="shared" si="290"/>
        <v>P0880</v>
      </c>
      <c r="Q881" t="str">
        <f t="shared" si="286"/>
        <v>Oncology</v>
      </c>
      <c r="R881">
        <f t="shared" si="287"/>
        <v>18</v>
      </c>
      <c r="S881" t="str">
        <f t="shared" ca="1" si="291"/>
        <v>No</v>
      </c>
      <c r="T881" t="str">
        <f t="shared" ca="1" si="292"/>
        <v>Severe</v>
      </c>
      <c r="U881" t="str">
        <f t="shared" ca="1" si="293"/>
        <v>Emergency</v>
      </c>
      <c r="V881" t="str">
        <f t="shared" si="294"/>
        <v>BED0880</v>
      </c>
      <c r="W881" t="str">
        <f t="shared" ca="1" si="295"/>
        <v>Semi-Private</v>
      </c>
      <c r="X881" t="str">
        <f t="shared" si="296"/>
        <v>NUR030</v>
      </c>
      <c r="Y881" t="str">
        <f t="shared" ca="1" si="297"/>
        <v>Evening</v>
      </c>
      <c r="Z881" t="str">
        <f t="shared" ca="1" si="298"/>
        <v>X-Ray</v>
      </c>
      <c r="AA881" t="str">
        <f t="shared" ca="1" si="299"/>
        <v>In Use</v>
      </c>
      <c r="AB881" t="str">
        <f t="shared" ca="1" si="300"/>
        <v>Pending</v>
      </c>
      <c r="AC881" t="str">
        <f t="shared" ca="1" si="301"/>
        <v>Credit Card</v>
      </c>
      <c r="AD881" t="str">
        <f t="shared" ca="1" si="302"/>
        <v>Yes</v>
      </c>
      <c r="AE881" t="str">
        <f t="shared" ca="1" si="303"/>
        <v>No</v>
      </c>
      <c r="AF881" t="str">
        <f t="shared" ca="1" si="304"/>
        <v>Recovered</v>
      </c>
      <c r="AG881" t="str">
        <f t="shared" ca="1" si="305"/>
        <v>Southeast</v>
      </c>
      <c r="AH881" t="str">
        <f t="shared" si="288"/>
        <v>February</v>
      </c>
      <c r="AI881">
        <f t="shared" si="289"/>
        <v>2021</v>
      </c>
      <c r="AJ881" t="str">
        <f t="shared" ca="1" si="306"/>
        <v>Vacant</v>
      </c>
      <c r="AK881">
        <f t="shared" ca="1" si="307"/>
        <v>2</v>
      </c>
    </row>
    <row r="882" spans="1:37" x14ac:dyDescent="0.3">
      <c r="A882" t="s">
        <v>5301</v>
      </c>
      <c r="B882">
        <v>76</v>
      </c>
      <c r="C882" t="s">
        <v>15</v>
      </c>
      <c r="D882" t="s">
        <v>33</v>
      </c>
      <c r="E882" t="s">
        <v>39</v>
      </c>
      <c r="F882" s="1">
        <v>45081</v>
      </c>
      <c r="G882" t="s">
        <v>1791</v>
      </c>
      <c r="H882" t="s">
        <v>1792</v>
      </c>
      <c r="I882" t="s">
        <v>28</v>
      </c>
      <c r="J882">
        <v>46287</v>
      </c>
      <c r="K882">
        <v>451</v>
      </c>
      <c r="L882" t="s">
        <v>29</v>
      </c>
      <c r="M882" s="1">
        <v>45104</v>
      </c>
      <c r="N882" t="s">
        <v>22</v>
      </c>
      <c r="O882" t="s">
        <v>31</v>
      </c>
      <c r="P882" t="str">
        <f t="shared" si="290"/>
        <v>P0881</v>
      </c>
      <c r="Q882" t="str">
        <f t="shared" si="286"/>
        <v>Endocrinology</v>
      </c>
      <c r="R882">
        <f t="shared" si="287"/>
        <v>23</v>
      </c>
      <c r="S882" t="str">
        <f t="shared" ca="1" si="291"/>
        <v>No</v>
      </c>
      <c r="T882" t="str">
        <f t="shared" ca="1" si="292"/>
        <v>Severe</v>
      </c>
      <c r="U882" t="str">
        <f t="shared" ca="1" si="293"/>
        <v>Emergency</v>
      </c>
      <c r="V882" t="str">
        <f t="shared" si="294"/>
        <v>BED0881</v>
      </c>
      <c r="W882" t="str">
        <f t="shared" ca="1" si="295"/>
        <v>General</v>
      </c>
      <c r="X882" t="str">
        <f t="shared" si="296"/>
        <v>NUR031</v>
      </c>
      <c r="Y882" t="str">
        <f t="shared" ca="1" si="297"/>
        <v>Night</v>
      </c>
      <c r="Z882" t="str">
        <f t="shared" ca="1" si="298"/>
        <v>Ventilator</v>
      </c>
      <c r="AA882" t="str">
        <f t="shared" ca="1" si="299"/>
        <v>In Use</v>
      </c>
      <c r="AB882" t="str">
        <f t="shared" ca="1" si="300"/>
        <v>Partially Paid</v>
      </c>
      <c r="AC882" t="str">
        <f t="shared" ca="1" si="301"/>
        <v>Cash</v>
      </c>
      <c r="AD882" t="str">
        <f t="shared" ca="1" si="302"/>
        <v>No</v>
      </c>
      <c r="AE882" t="str">
        <f t="shared" ca="1" si="303"/>
        <v>No</v>
      </c>
      <c r="AF882" t="str">
        <f t="shared" ca="1" si="304"/>
        <v>Under Observation</v>
      </c>
      <c r="AG882" t="str">
        <f t="shared" ca="1" si="305"/>
        <v>Northeast</v>
      </c>
      <c r="AH882" t="str">
        <f t="shared" si="288"/>
        <v>June</v>
      </c>
      <c r="AI882">
        <f t="shared" si="289"/>
        <v>2023</v>
      </c>
      <c r="AJ882" t="str">
        <f t="shared" ca="1" si="306"/>
        <v>Vacant</v>
      </c>
      <c r="AK882">
        <f t="shared" ca="1" si="307"/>
        <v>1</v>
      </c>
    </row>
    <row r="883" spans="1:37" x14ac:dyDescent="0.3">
      <c r="A883" t="s">
        <v>5302</v>
      </c>
      <c r="B883">
        <v>56</v>
      </c>
      <c r="C883" t="s">
        <v>15</v>
      </c>
      <c r="D883" t="s">
        <v>16</v>
      </c>
      <c r="E883" t="s">
        <v>39</v>
      </c>
      <c r="F883" s="1">
        <v>45176</v>
      </c>
      <c r="G883" t="s">
        <v>1793</v>
      </c>
      <c r="H883" t="s">
        <v>1794</v>
      </c>
      <c r="I883" t="s">
        <v>28</v>
      </c>
      <c r="J883">
        <v>19205</v>
      </c>
      <c r="K883">
        <v>131</v>
      </c>
      <c r="L883" t="s">
        <v>29</v>
      </c>
      <c r="M883" s="1">
        <v>45205</v>
      </c>
      <c r="N883" t="s">
        <v>67</v>
      </c>
      <c r="O883" t="s">
        <v>31</v>
      </c>
      <c r="P883" t="str">
        <f t="shared" si="290"/>
        <v>P0882</v>
      </c>
      <c r="Q883" t="str">
        <f t="shared" si="286"/>
        <v>Endocrinology</v>
      </c>
      <c r="R883">
        <f t="shared" si="287"/>
        <v>29</v>
      </c>
      <c r="S883" t="str">
        <f t="shared" ca="1" si="291"/>
        <v>No</v>
      </c>
      <c r="T883" t="str">
        <f t="shared" ca="1" si="292"/>
        <v>Moderate</v>
      </c>
      <c r="U883" t="str">
        <f t="shared" ca="1" si="293"/>
        <v>Emergency</v>
      </c>
      <c r="V883" t="str">
        <f t="shared" si="294"/>
        <v>BED0882</v>
      </c>
      <c r="W883" t="str">
        <f t="shared" ca="1" si="295"/>
        <v>ICU</v>
      </c>
      <c r="X883" t="str">
        <f t="shared" si="296"/>
        <v>NUR032</v>
      </c>
      <c r="Y883" t="str">
        <f t="shared" ca="1" si="297"/>
        <v>Night</v>
      </c>
      <c r="Z883" t="str">
        <f t="shared" ca="1" si="298"/>
        <v>ECG Machine</v>
      </c>
      <c r="AA883" t="str">
        <f t="shared" ca="1" si="299"/>
        <v>Available</v>
      </c>
      <c r="AB883" t="str">
        <f t="shared" ca="1" si="300"/>
        <v>Pending</v>
      </c>
      <c r="AC883" t="str">
        <f t="shared" ca="1" si="301"/>
        <v>Insurance</v>
      </c>
      <c r="AD883" t="str">
        <f t="shared" ca="1" si="302"/>
        <v>Yes</v>
      </c>
      <c r="AE883" t="str">
        <f t="shared" ca="1" si="303"/>
        <v>No</v>
      </c>
      <c r="AF883" t="str">
        <f t="shared" ca="1" si="304"/>
        <v>Recovered</v>
      </c>
      <c r="AG883" t="str">
        <f t="shared" ca="1" si="305"/>
        <v>Northeast</v>
      </c>
      <c r="AH883" t="str">
        <f t="shared" si="288"/>
        <v>September</v>
      </c>
      <c r="AI883">
        <f t="shared" si="289"/>
        <v>2023</v>
      </c>
      <c r="AJ883" t="str">
        <f t="shared" ca="1" si="306"/>
        <v>Occupied</v>
      </c>
      <c r="AK883">
        <f t="shared" ca="1" si="307"/>
        <v>4</v>
      </c>
    </row>
    <row r="884" spans="1:37" x14ac:dyDescent="0.3">
      <c r="A884" t="s">
        <v>5303</v>
      </c>
      <c r="B884">
        <v>65</v>
      </c>
      <c r="C884" t="s">
        <v>32</v>
      </c>
      <c r="D884" t="s">
        <v>98</v>
      </c>
      <c r="E884" t="s">
        <v>64</v>
      </c>
      <c r="F884" s="1">
        <v>44833</v>
      </c>
      <c r="G884" t="s">
        <v>1795</v>
      </c>
      <c r="H884" t="s">
        <v>1796</v>
      </c>
      <c r="I884" t="s">
        <v>51</v>
      </c>
      <c r="J884">
        <v>45019</v>
      </c>
      <c r="K884">
        <v>237</v>
      </c>
      <c r="L884" t="s">
        <v>29</v>
      </c>
      <c r="M884" s="1">
        <v>44843</v>
      </c>
      <c r="N884" t="s">
        <v>22</v>
      </c>
      <c r="O884" t="s">
        <v>43</v>
      </c>
      <c r="P884" t="str">
        <f t="shared" si="290"/>
        <v>P0883</v>
      </c>
      <c r="Q884" t="str">
        <f t="shared" si="286"/>
        <v>Cardiology</v>
      </c>
      <c r="R884">
        <f t="shared" si="287"/>
        <v>10</v>
      </c>
      <c r="S884" t="str">
        <f t="shared" ca="1" si="291"/>
        <v>Yes</v>
      </c>
      <c r="T884" t="str">
        <f t="shared" ca="1" si="292"/>
        <v>Moderate</v>
      </c>
      <c r="U884" t="str">
        <f t="shared" ca="1" si="293"/>
        <v>ICU</v>
      </c>
      <c r="V884" t="str">
        <f t="shared" si="294"/>
        <v>BED0883</v>
      </c>
      <c r="W884" t="str">
        <f t="shared" ca="1" si="295"/>
        <v>Private</v>
      </c>
      <c r="X884" t="str">
        <f t="shared" si="296"/>
        <v>NUR033</v>
      </c>
      <c r="Y884" t="str">
        <f t="shared" ca="1" si="297"/>
        <v>Night</v>
      </c>
      <c r="Z884" t="str">
        <f t="shared" ca="1" si="298"/>
        <v>CT Scanner</v>
      </c>
      <c r="AA884" t="str">
        <f t="shared" ca="1" si="299"/>
        <v>Available</v>
      </c>
      <c r="AB884" t="str">
        <f t="shared" ca="1" si="300"/>
        <v>Pending</v>
      </c>
      <c r="AC884" t="str">
        <f t="shared" ca="1" si="301"/>
        <v>Bank Transfer</v>
      </c>
      <c r="AD884" t="str">
        <f t="shared" ca="1" si="302"/>
        <v>No</v>
      </c>
      <c r="AE884" t="str">
        <f t="shared" ca="1" si="303"/>
        <v>No</v>
      </c>
      <c r="AF884" t="str">
        <f t="shared" ca="1" si="304"/>
        <v>Transferred</v>
      </c>
      <c r="AG884" t="str">
        <f t="shared" ca="1" si="305"/>
        <v>Southeast</v>
      </c>
      <c r="AH884" t="str">
        <f t="shared" si="288"/>
        <v>September</v>
      </c>
      <c r="AI884">
        <f t="shared" si="289"/>
        <v>2022</v>
      </c>
      <c r="AJ884" t="str">
        <f t="shared" ca="1" si="306"/>
        <v>Vacant</v>
      </c>
      <c r="AK884">
        <f t="shared" ca="1" si="307"/>
        <v>1</v>
      </c>
    </row>
    <row r="885" spans="1:37" x14ac:dyDescent="0.3">
      <c r="A885" t="s">
        <v>5304</v>
      </c>
      <c r="B885">
        <v>83</v>
      </c>
      <c r="C885" t="s">
        <v>32</v>
      </c>
      <c r="D885" t="s">
        <v>24</v>
      </c>
      <c r="E885" t="s">
        <v>25</v>
      </c>
      <c r="F885" s="1">
        <v>44595</v>
      </c>
      <c r="G885" t="s">
        <v>1797</v>
      </c>
      <c r="H885" t="s">
        <v>1798</v>
      </c>
      <c r="I885" t="s">
        <v>20</v>
      </c>
      <c r="J885">
        <v>44581</v>
      </c>
      <c r="K885">
        <v>374</v>
      </c>
      <c r="L885" t="s">
        <v>21</v>
      </c>
      <c r="M885" s="1">
        <v>44600</v>
      </c>
      <c r="N885" t="s">
        <v>47</v>
      </c>
      <c r="O885" t="s">
        <v>43</v>
      </c>
      <c r="P885" t="str">
        <f t="shared" si="290"/>
        <v>P0884</v>
      </c>
      <c r="Q885" t="str">
        <f t="shared" si="286"/>
        <v>Nutrition</v>
      </c>
      <c r="R885">
        <f t="shared" si="287"/>
        <v>5</v>
      </c>
      <c r="S885" t="str">
        <f t="shared" ca="1" si="291"/>
        <v>No</v>
      </c>
      <c r="T885" t="str">
        <f t="shared" ca="1" si="292"/>
        <v>Mild</v>
      </c>
      <c r="U885" t="str">
        <f t="shared" ca="1" si="293"/>
        <v>ICU</v>
      </c>
      <c r="V885" t="str">
        <f t="shared" si="294"/>
        <v>BED0884</v>
      </c>
      <c r="W885" t="str">
        <f t="shared" ca="1" si="295"/>
        <v>ICU</v>
      </c>
      <c r="X885" t="str">
        <f t="shared" si="296"/>
        <v>NUR034</v>
      </c>
      <c r="Y885" t="str">
        <f t="shared" ca="1" si="297"/>
        <v>Night</v>
      </c>
      <c r="Z885" t="str">
        <f t="shared" ca="1" si="298"/>
        <v>CT Scanner</v>
      </c>
      <c r="AA885" t="str">
        <f t="shared" ca="1" si="299"/>
        <v>In Use</v>
      </c>
      <c r="AB885" t="str">
        <f t="shared" ca="1" si="300"/>
        <v>Pending</v>
      </c>
      <c r="AC885" t="str">
        <f t="shared" ca="1" si="301"/>
        <v>Bank Transfer</v>
      </c>
      <c r="AD885" t="str">
        <f t="shared" ca="1" si="302"/>
        <v>No</v>
      </c>
      <c r="AE885" t="str">
        <f t="shared" ca="1" si="303"/>
        <v>No</v>
      </c>
      <c r="AF885" t="str">
        <f t="shared" ca="1" si="304"/>
        <v>Recovered</v>
      </c>
      <c r="AG885" t="str">
        <f t="shared" ca="1" si="305"/>
        <v>Southeast</v>
      </c>
      <c r="AH885" t="str">
        <f t="shared" si="288"/>
        <v>February</v>
      </c>
      <c r="AI885">
        <f t="shared" si="289"/>
        <v>2022</v>
      </c>
      <c r="AJ885" t="str">
        <f t="shared" ca="1" si="306"/>
        <v>Occupied</v>
      </c>
      <c r="AK885">
        <f t="shared" ca="1" si="307"/>
        <v>2</v>
      </c>
    </row>
    <row r="886" spans="1:37" x14ac:dyDescent="0.3">
      <c r="A886" t="s">
        <v>5305</v>
      </c>
      <c r="B886">
        <v>43</v>
      </c>
      <c r="C886" t="s">
        <v>32</v>
      </c>
      <c r="D886" t="s">
        <v>83</v>
      </c>
      <c r="E886" t="s">
        <v>64</v>
      </c>
      <c r="F886" s="1">
        <v>45336</v>
      </c>
      <c r="G886" t="s">
        <v>1799</v>
      </c>
      <c r="H886" t="s">
        <v>1800</v>
      </c>
      <c r="I886" t="s">
        <v>28</v>
      </c>
      <c r="J886">
        <v>8727</v>
      </c>
      <c r="K886">
        <v>164</v>
      </c>
      <c r="L886" t="s">
        <v>42</v>
      </c>
      <c r="M886" s="1">
        <v>45353</v>
      </c>
      <c r="N886" t="s">
        <v>47</v>
      </c>
      <c r="O886" t="s">
        <v>31</v>
      </c>
      <c r="P886" t="str">
        <f t="shared" si="290"/>
        <v>P0885</v>
      </c>
      <c r="Q886" t="str">
        <f t="shared" si="286"/>
        <v>Cardiology</v>
      </c>
      <c r="R886">
        <f t="shared" si="287"/>
        <v>17</v>
      </c>
      <c r="S886" t="str">
        <f t="shared" ca="1" si="291"/>
        <v>No</v>
      </c>
      <c r="T886" t="str">
        <f t="shared" ca="1" si="292"/>
        <v>Moderate</v>
      </c>
      <c r="U886" t="str">
        <f t="shared" ca="1" si="293"/>
        <v>Semi-Private</v>
      </c>
      <c r="V886" t="str">
        <f t="shared" si="294"/>
        <v>BED0885</v>
      </c>
      <c r="W886" t="str">
        <f t="shared" ca="1" si="295"/>
        <v>Semi-Private</v>
      </c>
      <c r="X886" t="str">
        <f t="shared" si="296"/>
        <v>NUR035</v>
      </c>
      <c r="Y886" t="str">
        <f t="shared" ca="1" si="297"/>
        <v>Night</v>
      </c>
      <c r="Z886" t="str">
        <f t="shared" ca="1" si="298"/>
        <v>Ultrasound</v>
      </c>
      <c r="AA886" t="str">
        <f t="shared" ca="1" si="299"/>
        <v>Maintenance</v>
      </c>
      <c r="AB886" t="str">
        <f t="shared" ca="1" si="300"/>
        <v>Partially Paid</v>
      </c>
      <c r="AC886" t="str">
        <f t="shared" ca="1" si="301"/>
        <v>Insurance</v>
      </c>
      <c r="AD886" t="str">
        <f t="shared" ca="1" si="302"/>
        <v>No</v>
      </c>
      <c r="AE886" t="str">
        <f t="shared" ca="1" si="303"/>
        <v>No</v>
      </c>
      <c r="AF886" t="str">
        <f t="shared" ca="1" si="304"/>
        <v>Transferred</v>
      </c>
      <c r="AG886" t="str">
        <f t="shared" ca="1" si="305"/>
        <v>Southwest</v>
      </c>
      <c r="AH886" t="str">
        <f t="shared" si="288"/>
        <v>February</v>
      </c>
      <c r="AI886">
        <f t="shared" si="289"/>
        <v>2024</v>
      </c>
      <c r="AJ886" t="str">
        <f t="shared" ca="1" si="306"/>
        <v>Occupied</v>
      </c>
      <c r="AK886">
        <f t="shared" ca="1" si="307"/>
        <v>1</v>
      </c>
    </row>
    <row r="887" spans="1:37" x14ac:dyDescent="0.3">
      <c r="A887" t="s">
        <v>5306</v>
      </c>
      <c r="B887">
        <v>84</v>
      </c>
      <c r="C887" t="s">
        <v>15</v>
      </c>
      <c r="D887" t="s">
        <v>24</v>
      </c>
      <c r="E887" t="s">
        <v>64</v>
      </c>
      <c r="F887" s="1">
        <v>44084</v>
      </c>
      <c r="G887" t="s">
        <v>1801</v>
      </c>
      <c r="H887" t="s">
        <v>1802</v>
      </c>
      <c r="I887" t="s">
        <v>57</v>
      </c>
      <c r="J887">
        <v>41967</v>
      </c>
      <c r="K887">
        <v>293</v>
      </c>
      <c r="L887" t="s">
        <v>21</v>
      </c>
      <c r="M887" s="1">
        <v>44095</v>
      </c>
      <c r="N887" t="s">
        <v>30</v>
      </c>
      <c r="O887" t="s">
        <v>31</v>
      </c>
      <c r="P887" t="str">
        <f t="shared" si="290"/>
        <v>P0886</v>
      </c>
      <c r="Q887" t="str">
        <f t="shared" si="286"/>
        <v>Cardiology</v>
      </c>
      <c r="R887">
        <f t="shared" si="287"/>
        <v>11</v>
      </c>
      <c r="S887" t="str">
        <f t="shared" ca="1" si="291"/>
        <v>No</v>
      </c>
      <c r="T887" t="str">
        <f t="shared" ca="1" si="292"/>
        <v>Moderate</v>
      </c>
      <c r="U887" t="str">
        <f t="shared" ca="1" si="293"/>
        <v>Emergency</v>
      </c>
      <c r="V887" t="str">
        <f t="shared" si="294"/>
        <v>BED0886</v>
      </c>
      <c r="W887" t="str">
        <f t="shared" ca="1" si="295"/>
        <v>Private</v>
      </c>
      <c r="X887" t="str">
        <f t="shared" si="296"/>
        <v>NUR036</v>
      </c>
      <c r="Y887" t="str">
        <f t="shared" ca="1" si="297"/>
        <v>Evening</v>
      </c>
      <c r="Z887" t="str">
        <f t="shared" ca="1" si="298"/>
        <v>ECG Machine</v>
      </c>
      <c r="AA887" t="str">
        <f t="shared" ca="1" si="299"/>
        <v>Maintenance</v>
      </c>
      <c r="AB887" t="str">
        <f t="shared" ca="1" si="300"/>
        <v>Pending</v>
      </c>
      <c r="AC887" t="str">
        <f t="shared" ca="1" si="301"/>
        <v>Debit Card</v>
      </c>
      <c r="AD887" t="str">
        <f t="shared" ca="1" si="302"/>
        <v>No</v>
      </c>
      <c r="AE887" t="str">
        <f t="shared" ca="1" si="303"/>
        <v>No</v>
      </c>
      <c r="AF887" t="str">
        <f t="shared" ca="1" si="304"/>
        <v>Transferred</v>
      </c>
      <c r="AG887" t="str">
        <f t="shared" ca="1" si="305"/>
        <v>Northeast</v>
      </c>
      <c r="AH887" t="str">
        <f t="shared" si="288"/>
        <v>September</v>
      </c>
      <c r="AI887">
        <f t="shared" si="289"/>
        <v>2020</v>
      </c>
      <c r="AJ887" t="str">
        <f t="shared" ca="1" si="306"/>
        <v>Occupied</v>
      </c>
      <c r="AK887">
        <f t="shared" ca="1" si="307"/>
        <v>2</v>
      </c>
    </row>
    <row r="888" spans="1:37" x14ac:dyDescent="0.3">
      <c r="A888" t="s">
        <v>5307</v>
      </c>
      <c r="B888">
        <v>84</v>
      </c>
      <c r="C888" t="s">
        <v>32</v>
      </c>
      <c r="D888" t="s">
        <v>83</v>
      </c>
      <c r="E888" t="s">
        <v>64</v>
      </c>
      <c r="F888" s="1">
        <v>44950</v>
      </c>
      <c r="G888" t="s">
        <v>1803</v>
      </c>
      <c r="H888" t="s">
        <v>1804</v>
      </c>
      <c r="I888" t="s">
        <v>20</v>
      </c>
      <c r="J888">
        <v>44255</v>
      </c>
      <c r="K888">
        <v>102</v>
      </c>
      <c r="L888" t="s">
        <v>21</v>
      </c>
      <c r="M888" s="1">
        <v>44953</v>
      </c>
      <c r="N888" t="s">
        <v>67</v>
      </c>
      <c r="O888" t="s">
        <v>31</v>
      </c>
      <c r="P888" t="str">
        <f t="shared" si="290"/>
        <v>P0887</v>
      </c>
      <c r="Q888" t="str">
        <f t="shared" si="286"/>
        <v>Cardiology</v>
      </c>
      <c r="R888">
        <f t="shared" si="287"/>
        <v>3</v>
      </c>
      <c r="S888" t="str">
        <f t="shared" ca="1" si="291"/>
        <v>No</v>
      </c>
      <c r="T888" t="str">
        <f t="shared" ca="1" si="292"/>
        <v>Mild</v>
      </c>
      <c r="U888" t="str">
        <f t="shared" ca="1" si="293"/>
        <v>Emergency</v>
      </c>
      <c r="V888" t="str">
        <f t="shared" si="294"/>
        <v>BED0887</v>
      </c>
      <c r="W888" t="str">
        <f t="shared" ca="1" si="295"/>
        <v>ICU</v>
      </c>
      <c r="X888" t="str">
        <f t="shared" si="296"/>
        <v>NUR037</v>
      </c>
      <c r="Y888" t="str">
        <f t="shared" ca="1" si="297"/>
        <v>Evening</v>
      </c>
      <c r="Z888" t="str">
        <f t="shared" ca="1" si="298"/>
        <v>CT Scanner</v>
      </c>
      <c r="AA888" t="str">
        <f t="shared" ca="1" si="299"/>
        <v>Maintenance</v>
      </c>
      <c r="AB888" t="str">
        <f t="shared" ca="1" si="300"/>
        <v>Paid</v>
      </c>
      <c r="AC888" t="str">
        <f t="shared" ca="1" si="301"/>
        <v>Credit Card</v>
      </c>
      <c r="AD888" t="str">
        <f t="shared" ca="1" si="302"/>
        <v>No</v>
      </c>
      <c r="AE888" t="str">
        <f t="shared" ca="1" si="303"/>
        <v>No</v>
      </c>
      <c r="AF888" t="str">
        <f t="shared" ca="1" si="304"/>
        <v>Transferred</v>
      </c>
      <c r="AG888" t="str">
        <f t="shared" ca="1" si="305"/>
        <v>Southwest</v>
      </c>
      <c r="AH888" t="str">
        <f t="shared" si="288"/>
        <v>January</v>
      </c>
      <c r="AI888">
        <f t="shared" si="289"/>
        <v>2023</v>
      </c>
      <c r="AJ888" t="str">
        <f t="shared" ca="1" si="306"/>
        <v>Occupied</v>
      </c>
      <c r="AK888">
        <f t="shared" ca="1" si="307"/>
        <v>2</v>
      </c>
    </row>
    <row r="889" spans="1:37" x14ac:dyDescent="0.3">
      <c r="A889" t="s">
        <v>5308</v>
      </c>
      <c r="B889">
        <v>77</v>
      </c>
      <c r="C889" t="s">
        <v>15</v>
      </c>
      <c r="D889" t="s">
        <v>98</v>
      </c>
      <c r="E889" t="s">
        <v>25</v>
      </c>
      <c r="F889" s="1">
        <v>44470</v>
      </c>
      <c r="G889" t="s">
        <v>1805</v>
      </c>
      <c r="H889" t="s">
        <v>1806</v>
      </c>
      <c r="I889" t="s">
        <v>51</v>
      </c>
      <c r="J889">
        <v>43644</v>
      </c>
      <c r="K889">
        <v>298</v>
      </c>
      <c r="L889" t="s">
        <v>29</v>
      </c>
      <c r="M889" s="1">
        <v>44492</v>
      </c>
      <c r="N889" t="s">
        <v>22</v>
      </c>
      <c r="O889" t="s">
        <v>43</v>
      </c>
      <c r="P889" t="str">
        <f t="shared" si="290"/>
        <v>P0888</v>
      </c>
      <c r="Q889" t="str">
        <f t="shared" si="286"/>
        <v>Nutrition</v>
      </c>
      <c r="R889">
        <f t="shared" si="287"/>
        <v>22</v>
      </c>
      <c r="S889" t="str">
        <f t="shared" ca="1" si="291"/>
        <v>No</v>
      </c>
      <c r="T889" t="str">
        <f t="shared" ca="1" si="292"/>
        <v>Mild</v>
      </c>
      <c r="U889" t="str">
        <f t="shared" ca="1" si="293"/>
        <v>Emergency</v>
      </c>
      <c r="V889" t="str">
        <f t="shared" si="294"/>
        <v>BED0888</v>
      </c>
      <c r="W889" t="str">
        <f t="shared" ca="1" si="295"/>
        <v>Semi-Private</v>
      </c>
      <c r="X889" t="str">
        <f t="shared" si="296"/>
        <v>NUR038</v>
      </c>
      <c r="Y889" t="str">
        <f t="shared" ca="1" si="297"/>
        <v>Morning</v>
      </c>
      <c r="Z889" t="str">
        <f t="shared" ca="1" si="298"/>
        <v>X-Ray</v>
      </c>
      <c r="AA889" t="str">
        <f t="shared" ca="1" si="299"/>
        <v>In Use</v>
      </c>
      <c r="AB889" t="str">
        <f t="shared" ca="1" si="300"/>
        <v>Paid</v>
      </c>
      <c r="AC889" t="str">
        <f t="shared" ca="1" si="301"/>
        <v>Debit Card</v>
      </c>
      <c r="AD889" t="str">
        <f t="shared" ca="1" si="302"/>
        <v>Yes</v>
      </c>
      <c r="AE889" t="str">
        <f t="shared" ca="1" si="303"/>
        <v>No</v>
      </c>
      <c r="AF889" t="str">
        <f t="shared" ca="1" si="304"/>
        <v>Transferred</v>
      </c>
      <c r="AG889" t="str">
        <f t="shared" ca="1" si="305"/>
        <v>Midwest</v>
      </c>
      <c r="AH889" t="str">
        <f t="shared" si="288"/>
        <v>October</v>
      </c>
      <c r="AI889">
        <f t="shared" si="289"/>
        <v>2021</v>
      </c>
      <c r="AJ889" t="str">
        <f t="shared" ca="1" si="306"/>
        <v>Occupied</v>
      </c>
      <c r="AK889">
        <f t="shared" ca="1" si="307"/>
        <v>4</v>
      </c>
    </row>
    <row r="890" spans="1:37" x14ac:dyDescent="0.3">
      <c r="A890" t="s">
        <v>5309</v>
      </c>
      <c r="B890">
        <v>60</v>
      </c>
      <c r="C890" t="s">
        <v>15</v>
      </c>
      <c r="D890" t="s">
        <v>38</v>
      </c>
      <c r="E890" t="s">
        <v>76</v>
      </c>
      <c r="F890" s="1">
        <v>44352</v>
      </c>
      <c r="G890" t="s">
        <v>1807</v>
      </c>
      <c r="H890" t="s">
        <v>1808</v>
      </c>
      <c r="I890" t="s">
        <v>20</v>
      </c>
      <c r="J890">
        <v>45304</v>
      </c>
      <c r="K890">
        <v>424</v>
      </c>
      <c r="L890" t="s">
        <v>42</v>
      </c>
      <c r="M890" s="1">
        <v>44358</v>
      </c>
      <c r="N890" t="s">
        <v>47</v>
      </c>
      <c r="O890" t="s">
        <v>31</v>
      </c>
      <c r="P890" t="str">
        <f t="shared" si="290"/>
        <v>P0889</v>
      </c>
      <c r="Q890" t="str">
        <f t="shared" si="286"/>
        <v>Orthopedics</v>
      </c>
      <c r="R890">
        <f t="shared" si="287"/>
        <v>6</v>
      </c>
      <c r="S890" t="str">
        <f t="shared" ca="1" si="291"/>
        <v>No</v>
      </c>
      <c r="T890" t="str">
        <f t="shared" ca="1" si="292"/>
        <v>Mild</v>
      </c>
      <c r="U890" t="str">
        <f t="shared" ca="1" si="293"/>
        <v>ICU</v>
      </c>
      <c r="V890" t="str">
        <f t="shared" si="294"/>
        <v>BED0889</v>
      </c>
      <c r="W890" t="str">
        <f t="shared" ca="1" si="295"/>
        <v>Semi-Private</v>
      </c>
      <c r="X890" t="str">
        <f t="shared" si="296"/>
        <v>NUR039</v>
      </c>
      <c r="Y890" t="str">
        <f t="shared" ca="1" si="297"/>
        <v>Night</v>
      </c>
      <c r="Z890" t="str">
        <f t="shared" ca="1" si="298"/>
        <v>X-Ray</v>
      </c>
      <c r="AA890" t="str">
        <f t="shared" ca="1" si="299"/>
        <v>Available</v>
      </c>
      <c r="AB890" t="str">
        <f t="shared" ca="1" si="300"/>
        <v>Partially Paid</v>
      </c>
      <c r="AC890" t="str">
        <f t="shared" ca="1" si="301"/>
        <v>Cash</v>
      </c>
      <c r="AD890" t="str">
        <f t="shared" ca="1" si="302"/>
        <v>No</v>
      </c>
      <c r="AE890" t="str">
        <f t="shared" ca="1" si="303"/>
        <v>Yes</v>
      </c>
      <c r="AF890" t="str">
        <f t="shared" ca="1" si="304"/>
        <v>Recovered</v>
      </c>
      <c r="AG890" t="str">
        <f t="shared" ca="1" si="305"/>
        <v>West Coast</v>
      </c>
      <c r="AH890" t="str">
        <f t="shared" si="288"/>
        <v>June</v>
      </c>
      <c r="AI890">
        <f t="shared" si="289"/>
        <v>2021</v>
      </c>
      <c r="AJ890" t="str">
        <f t="shared" ca="1" si="306"/>
        <v>Vacant</v>
      </c>
      <c r="AK890">
        <f t="shared" ca="1" si="307"/>
        <v>4</v>
      </c>
    </row>
    <row r="891" spans="1:37" x14ac:dyDescent="0.3">
      <c r="A891" t="s">
        <v>5310</v>
      </c>
      <c r="B891">
        <v>48</v>
      </c>
      <c r="C891" t="s">
        <v>15</v>
      </c>
      <c r="D891" t="s">
        <v>38</v>
      </c>
      <c r="E891" t="s">
        <v>76</v>
      </c>
      <c r="F891" s="1">
        <v>45147</v>
      </c>
      <c r="G891" t="s">
        <v>1809</v>
      </c>
      <c r="H891" t="s">
        <v>1810</v>
      </c>
      <c r="I891" t="s">
        <v>51</v>
      </c>
      <c r="J891">
        <v>18892</v>
      </c>
      <c r="K891">
        <v>274</v>
      </c>
      <c r="L891" t="s">
        <v>21</v>
      </c>
      <c r="M891" s="1">
        <v>45164</v>
      </c>
      <c r="N891" t="s">
        <v>22</v>
      </c>
      <c r="O891" t="s">
        <v>31</v>
      </c>
      <c r="P891" t="str">
        <f t="shared" si="290"/>
        <v>P0890</v>
      </c>
      <c r="Q891" t="str">
        <f t="shared" si="286"/>
        <v>Orthopedics</v>
      </c>
      <c r="R891">
        <f t="shared" si="287"/>
        <v>17</v>
      </c>
      <c r="S891" t="str">
        <f t="shared" ca="1" si="291"/>
        <v>No</v>
      </c>
      <c r="T891" t="str">
        <f t="shared" ca="1" si="292"/>
        <v>Critical</v>
      </c>
      <c r="U891" t="str">
        <f t="shared" ca="1" si="293"/>
        <v>Semi-Private</v>
      </c>
      <c r="V891" t="str">
        <f t="shared" si="294"/>
        <v>BED0890</v>
      </c>
      <c r="W891" t="str">
        <f t="shared" ca="1" si="295"/>
        <v>ICU</v>
      </c>
      <c r="X891" t="str">
        <f t="shared" si="296"/>
        <v>NUR040</v>
      </c>
      <c r="Y891" t="str">
        <f t="shared" ca="1" si="297"/>
        <v>Morning</v>
      </c>
      <c r="Z891" t="str">
        <f t="shared" ca="1" si="298"/>
        <v>ECG Machine</v>
      </c>
      <c r="AA891" t="str">
        <f t="shared" ca="1" si="299"/>
        <v>Maintenance</v>
      </c>
      <c r="AB891" t="str">
        <f t="shared" ca="1" si="300"/>
        <v>Pending</v>
      </c>
      <c r="AC891" t="str">
        <f t="shared" ca="1" si="301"/>
        <v>Cash</v>
      </c>
      <c r="AD891" t="str">
        <f t="shared" ca="1" si="302"/>
        <v>Yes</v>
      </c>
      <c r="AE891" t="str">
        <f t="shared" ca="1" si="303"/>
        <v>Yes</v>
      </c>
      <c r="AF891" t="str">
        <f t="shared" ca="1" si="304"/>
        <v>Under Observation</v>
      </c>
      <c r="AG891" t="str">
        <f t="shared" ca="1" si="305"/>
        <v>Southeast</v>
      </c>
      <c r="AH891" t="str">
        <f t="shared" si="288"/>
        <v>August</v>
      </c>
      <c r="AI891">
        <f t="shared" si="289"/>
        <v>2023</v>
      </c>
      <c r="AJ891" t="str">
        <f t="shared" ca="1" si="306"/>
        <v>Occupied</v>
      </c>
      <c r="AK891">
        <f t="shared" ca="1" si="307"/>
        <v>2</v>
      </c>
    </row>
    <row r="892" spans="1:37" x14ac:dyDescent="0.3">
      <c r="A892" t="s">
        <v>5311</v>
      </c>
      <c r="B892">
        <v>80</v>
      </c>
      <c r="C892" t="s">
        <v>32</v>
      </c>
      <c r="D892" t="s">
        <v>16</v>
      </c>
      <c r="E892" t="s">
        <v>48</v>
      </c>
      <c r="F892" s="1">
        <v>44187</v>
      </c>
      <c r="G892" t="s">
        <v>1811</v>
      </c>
      <c r="H892" t="s">
        <v>1812</v>
      </c>
      <c r="I892" t="s">
        <v>36</v>
      </c>
      <c r="J892">
        <v>18382</v>
      </c>
      <c r="K892">
        <v>261</v>
      </c>
      <c r="L892" t="s">
        <v>21</v>
      </c>
      <c r="M892" s="1">
        <v>44212</v>
      </c>
      <c r="N892" t="s">
        <v>30</v>
      </c>
      <c r="O892" t="s">
        <v>23</v>
      </c>
      <c r="P892" t="str">
        <f t="shared" si="290"/>
        <v>P0891</v>
      </c>
      <c r="Q892" t="str">
        <f t="shared" si="286"/>
        <v>Pulmonology</v>
      </c>
      <c r="R892">
        <f t="shared" si="287"/>
        <v>25</v>
      </c>
      <c r="S892" t="str">
        <f t="shared" ca="1" si="291"/>
        <v>No</v>
      </c>
      <c r="T892" t="str">
        <f t="shared" ca="1" si="292"/>
        <v>Mild</v>
      </c>
      <c r="U892" t="str">
        <f t="shared" ca="1" si="293"/>
        <v>General Ward</v>
      </c>
      <c r="V892" t="str">
        <f t="shared" si="294"/>
        <v>BED0891</v>
      </c>
      <c r="W892" t="str">
        <f t="shared" ca="1" si="295"/>
        <v>Private</v>
      </c>
      <c r="X892" t="str">
        <f t="shared" si="296"/>
        <v>NUR041</v>
      </c>
      <c r="Y892" t="str">
        <f t="shared" ca="1" si="297"/>
        <v>Night</v>
      </c>
      <c r="Z892" t="str">
        <f t="shared" ca="1" si="298"/>
        <v>MRI Scanner</v>
      </c>
      <c r="AA892" t="str">
        <f t="shared" ca="1" si="299"/>
        <v>Available</v>
      </c>
      <c r="AB892" t="str">
        <f t="shared" ca="1" si="300"/>
        <v>Partially Paid</v>
      </c>
      <c r="AC892" t="str">
        <f t="shared" ca="1" si="301"/>
        <v>Cash</v>
      </c>
      <c r="AD892" t="str">
        <f t="shared" ca="1" si="302"/>
        <v>No</v>
      </c>
      <c r="AE892" t="str">
        <f t="shared" ca="1" si="303"/>
        <v>No</v>
      </c>
      <c r="AF892" t="str">
        <f t="shared" ca="1" si="304"/>
        <v>Under Observation</v>
      </c>
      <c r="AG892" t="str">
        <f t="shared" ca="1" si="305"/>
        <v>Southeast</v>
      </c>
      <c r="AH892" t="str">
        <f t="shared" si="288"/>
        <v>December</v>
      </c>
      <c r="AI892">
        <f t="shared" si="289"/>
        <v>2020</v>
      </c>
      <c r="AJ892" t="str">
        <f t="shared" ca="1" si="306"/>
        <v>Occupied</v>
      </c>
      <c r="AK892">
        <f t="shared" ca="1" si="307"/>
        <v>1</v>
      </c>
    </row>
    <row r="893" spans="1:37" x14ac:dyDescent="0.3">
      <c r="A893" t="s">
        <v>3722</v>
      </c>
      <c r="B893">
        <v>46</v>
      </c>
      <c r="C893" t="s">
        <v>15</v>
      </c>
      <c r="D893" t="s">
        <v>24</v>
      </c>
      <c r="E893" t="s">
        <v>64</v>
      </c>
      <c r="F893" s="1">
        <v>44733</v>
      </c>
      <c r="G893" t="s">
        <v>1813</v>
      </c>
      <c r="H893" t="s">
        <v>1814</v>
      </c>
      <c r="I893" t="s">
        <v>57</v>
      </c>
      <c r="J893">
        <v>42316</v>
      </c>
      <c r="K893">
        <v>360</v>
      </c>
      <c r="L893" t="s">
        <v>42</v>
      </c>
      <c r="M893" s="1">
        <v>44752</v>
      </c>
      <c r="N893" t="s">
        <v>22</v>
      </c>
      <c r="O893" t="s">
        <v>31</v>
      </c>
      <c r="P893" t="str">
        <f t="shared" si="290"/>
        <v>P0892</v>
      </c>
      <c r="Q893" t="str">
        <f t="shared" si="286"/>
        <v>Cardiology</v>
      </c>
      <c r="R893">
        <f t="shared" si="287"/>
        <v>19</v>
      </c>
      <c r="S893" t="str">
        <f t="shared" ca="1" si="291"/>
        <v>No</v>
      </c>
      <c r="T893" t="str">
        <f t="shared" ca="1" si="292"/>
        <v>Severe</v>
      </c>
      <c r="U893" t="str">
        <f t="shared" ca="1" si="293"/>
        <v>Private Ward</v>
      </c>
      <c r="V893" t="str">
        <f t="shared" si="294"/>
        <v>BED0892</v>
      </c>
      <c r="W893" t="str">
        <f t="shared" ca="1" si="295"/>
        <v>Private</v>
      </c>
      <c r="X893" t="str">
        <f t="shared" si="296"/>
        <v>NUR042</v>
      </c>
      <c r="Y893" t="str">
        <f t="shared" ca="1" si="297"/>
        <v>Evening</v>
      </c>
      <c r="Z893" t="str">
        <f t="shared" ca="1" si="298"/>
        <v>Ultrasound</v>
      </c>
      <c r="AA893" t="str">
        <f t="shared" ca="1" si="299"/>
        <v>In Use</v>
      </c>
      <c r="AB893" t="str">
        <f t="shared" ca="1" si="300"/>
        <v>Paid</v>
      </c>
      <c r="AC893" t="str">
        <f t="shared" ca="1" si="301"/>
        <v>Insurance</v>
      </c>
      <c r="AD893" t="str">
        <f t="shared" ca="1" si="302"/>
        <v>Yes</v>
      </c>
      <c r="AE893" t="str">
        <f t="shared" ca="1" si="303"/>
        <v>Yes</v>
      </c>
      <c r="AF893" t="str">
        <f t="shared" ca="1" si="304"/>
        <v>Recovered</v>
      </c>
      <c r="AG893" t="str">
        <f t="shared" ca="1" si="305"/>
        <v>Southeast</v>
      </c>
      <c r="AH893" t="str">
        <f t="shared" si="288"/>
        <v>June</v>
      </c>
      <c r="AI893">
        <f t="shared" si="289"/>
        <v>2022</v>
      </c>
      <c r="AJ893" t="str">
        <f t="shared" ca="1" si="306"/>
        <v>Occupied</v>
      </c>
      <c r="AK893">
        <f t="shared" ca="1" si="307"/>
        <v>4</v>
      </c>
    </row>
    <row r="894" spans="1:37" x14ac:dyDescent="0.3">
      <c r="A894" t="s">
        <v>5312</v>
      </c>
      <c r="B894">
        <v>38</v>
      </c>
      <c r="C894" t="s">
        <v>15</v>
      </c>
      <c r="D894" t="s">
        <v>16</v>
      </c>
      <c r="E894" t="s">
        <v>76</v>
      </c>
      <c r="F894" s="1">
        <v>44321</v>
      </c>
      <c r="G894" t="s">
        <v>1815</v>
      </c>
      <c r="H894" t="s">
        <v>1816</v>
      </c>
      <c r="I894" t="s">
        <v>28</v>
      </c>
      <c r="J894">
        <v>15073</v>
      </c>
      <c r="K894">
        <v>321</v>
      </c>
      <c r="L894" t="s">
        <v>42</v>
      </c>
      <c r="M894" s="1">
        <v>44331</v>
      </c>
      <c r="N894" t="s">
        <v>47</v>
      </c>
      <c r="O894" t="s">
        <v>43</v>
      </c>
      <c r="P894" t="str">
        <f t="shared" si="290"/>
        <v>P0893</v>
      </c>
      <c r="Q894" t="str">
        <f t="shared" si="286"/>
        <v>Orthopedics</v>
      </c>
      <c r="R894">
        <f t="shared" si="287"/>
        <v>10</v>
      </c>
      <c r="S894" t="str">
        <f t="shared" ca="1" si="291"/>
        <v>No</v>
      </c>
      <c r="T894" t="str">
        <f t="shared" ca="1" si="292"/>
        <v>Critical</v>
      </c>
      <c r="U894" t="str">
        <f t="shared" ca="1" si="293"/>
        <v>ICU</v>
      </c>
      <c r="V894" t="str">
        <f t="shared" si="294"/>
        <v>BED0893</v>
      </c>
      <c r="W894" t="str">
        <f t="shared" ca="1" si="295"/>
        <v>Semi-Private</v>
      </c>
      <c r="X894" t="str">
        <f t="shared" si="296"/>
        <v>NUR043</v>
      </c>
      <c r="Y894" t="str">
        <f t="shared" ca="1" si="297"/>
        <v>Evening</v>
      </c>
      <c r="Z894" t="str">
        <f t="shared" ca="1" si="298"/>
        <v>X-Ray</v>
      </c>
      <c r="AA894" t="str">
        <f t="shared" ca="1" si="299"/>
        <v>In Use</v>
      </c>
      <c r="AB894" t="str">
        <f t="shared" ca="1" si="300"/>
        <v>Partially Paid</v>
      </c>
      <c r="AC894" t="str">
        <f t="shared" ca="1" si="301"/>
        <v>Debit Card</v>
      </c>
      <c r="AD894" t="str">
        <f t="shared" ca="1" si="302"/>
        <v>No</v>
      </c>
      <c r="AE894" t="str">
        <f t="shared" ca="1" si="303"/>
        <v>No</v>
      </c>
      <c r="AF894" t="str">
        <f t="shared" ca="1" si="304"/>
        <v>Transferred</v>
      </c>
      <c r="AG894" t="str">
        <f t="shared" ca="1" si="305"/>
        <v>Northeast</v>
      </c>
      <c r="AH894" t="str">
        <f t="shared" si="288"/>
        <v>May</v>
      </c>
      <c r="AI894">
        <f t="shared" si="289"/>
        <v>2021</v>
      </c>
      <c r="AJ894" t="str">
        <f t="shared" ca="1" si="306"/>
        <v>Occupied</v>
      </c>
      <c r="AK894">
        <f t="shared" ca="1" si="307"/>
        <v>2</v>
      </c>
    </row>
    <row r="895" spans="1:37" x14ac:dyDescent="0.3">
      <c r="A895" t="s">
        <v>5313</v>
      </c>
      <c r="B895">
        <v>72</v>
      </c>
      <c r="C895" t="s">
        <v>32</v>
      </c>
      <c r="D895" t="s">
        <v>33</v>
      </c>
      <c r="E895" t="s">
        <v>48</v>
      </c>
      <c r="F895" s="1">
        <v>45402</v>
      </c>
      <c r="G895" t="s">
        <v>1817</v>
      </c>
      <c r="H895" t="s">
        <v>1818</v>
      </c>
      <c r="I895" t="s">
        <v>57</v>
      </c>
      <c r="J895">
        <v>7381</v>
      </c>
      <c r="K895">
        <v>124</v>
      </c>
      <c r="L895" t="s">
        <v>42</v>
      </c>
      <c r="M895" s="1">
        <v>45422</v>
      </c>
      <c r="N895" t="s">
        <v>37</v>
      </c>
      <c r="O895" t="s">
        <v>23</v>
      </c>
      <c r="P895" t="str">
        <f t="shared" si="290"/>
        <v>P0894</v>
      </c>
      <c r="Q895" t="str">
        <f t="shared" si="286"/>
        <v>Pulmonology</v>
      </c>
      <c r="R895">
        <f t="shared" si="287"/>
        <v>20</v>
      </c>
      <c r="S895" t="str">
        <f t="shared" ca="1" si="291"/>
        <v>No</v>
      </c>
      <c r="T895" t="str">
        <f t="shared" ca="1" si="292"/>
        <v>Moderate</v>
      </c>
      <c r="U895" t="str">
        <f t="shared" ca="1" si="293"/>
        <v>Emergency</v>
      </c>
      <c r="V895" t="str">
        <f t="shared" si="294"/>
        <v>BED0894</v>
      </c>
      <c r="W895" t="str">
        <f t="shared" ca="1" si="295"/>
        <v>General</v>
      </c>
      <c r="X895" t="str">
        <f t="shared" si="296"/>
        <v>NUR044</v>
      </c>
      <c r="Y895" t="str">
        <f t="shared" ca="1" si="297"/>
        <v>Evening</v>
      </c>
      <c r="Z895" t="str">
        <f t="shared" ca="1" si="298"/>
        <v>ECG Machine</v>
      </c>
      <c r="AA895" t="str">
        <f t="shared" ca="1" si="299"/>
        <v>In Use</v>
      </c>
      <c r="AB895" t="str">
        <f t="shared" ca="1" si="300"/>
        <v>Paid</v>
      </c>
      <c r="AC895" t="str">
        <f t="shared" ca="1" si="301"/>
        <v>Cash</v>
      </c>
      <c r="AD895" t="str">
        <f t="shared" ca="1" si="302"/>
        <v>No</v>
      </c>
      <c r="AE895" t="str">
        <f t="shared" ca="1" si="303"/>
        <v>Yes</v>
      </c>
      <c r="AF895" t="str">
        <f t="shared" ca="1" si="304"/>
        <v>Recovered</v>
      </c>
      <c r="AG895" t="str">
        <f t="shared" ca="1" si="305"/>
        <v>Southeast</v>
      </c>
      <c r="AH895" t="str">
        <f t="shared" si="288"/>
        <v>April</v>
      </c>
      <c r="AI895">
        <f t="shared" si="289"/>
        <v>2024</v>
      </c>
      <c r="AJ895" t="str">
        <f t="shared" ca="1" si="306"/>
        <v>Occupied</v>
      </c>
      <c r="AK895">
        <f t="shared" ca="1" si="307"/>
        <v>2</v>
      </c>
    </row>
    <row r="896" spans="1:37" x14ac:dyDescent="0.3">
      <c r="A896" t="s">
        <v>5314</v>
      </c>
      <c r="B896">
        <v>70</v>
      </c>
      <c r="C896" t="s">
        <v>32</v>
      </c>
      <c r="D896" t="s">
        <v>24</v>
      </c>
      <c r="E896" t="s">
        <v>48</v>
      </c>
      <c r="F896" s="1">
        <v>44725</v>
      </c>
      <c r="G896" t="s">
        <v>1819</v>
      </c>
      <c r="H896" t="s">
        <v>1820</v>
      </c>
      <c r="I896" t="s">
        <v>51</v>
      </c>
      <c r="J896">
        <v>5936</v>
      </c>
      <c r="K896">
        <v>117</v>
      </c>
      <c r="L896" t="s">
        <v>42</v>
      </c>
      <c r="M896" s="1">
        <v>44747</v>
      </c>
      <c r="N896" t="s">
        <v>67</v>
      </c>
      <c r="O896" t="s">
        <v>43</v>
      </c>
      <c r="P896" t="str">
        <f t="shared" si="290"/>
        <v>P0895</v>
      </c>
      <c r="Q896" t="str">
        <f t="shared" si="286"/>
        <v>Pulmonology</v>
      </c>
      <c r="R896">
        <f t="shared" si="287"/>
        <v>22</v>
      </c>
      <c r="S896" t="str">
        <f t="shared" ca="1" si="291"/>
        <v>No</v>
      </c>
      <c r="T896" t="str">
        <f t="shared" ca="1" si="292"/>
        <v>Severe</v>
      </c>
      <c r="U896" t="str">
        <f t="shared" ca="1" si="293"/>
        <v>Emergency</v>
      </c>
      <c r="V896" t="str">
        <f t="shared" si="294"/>
        <v>BED0895</v>
      </c>
      <c r="W896" t="str">
        <f t="shared" ca="1" si="295"/>
        <v>ICU</v>
      </c>
      <c r="X896" t="str">
        <f t="shared" si="296"/>
        <v>NUR045</v>
      </c>
      <c r="Y896" t="str">
        <f t="shared" ca="1" si="297"/>
        <v>Night</v>
      </c>
      <c r="Z896" t="str">
        <f t="shared" ca="1" si="298"/>
        <v>Ultrasound</v>
      </c>
      <c r="AA896" t="str">
        <f t="shared" ca="1" si="299"/>
        <v>Available</v>
      </c>
      <c r="AB896" t="str">
        <f t="shared" ca="1" si="300"/>
        <v>Paid</v>
      </c>
      <c r="AC896" t="str">
        <f t="shared" ca="1" si="301"/>
        <v>Bank Transfer</v>
      </c>
      <c r="AD896" t="str">
        <f t="shared" ca="1" si="302"/>
        <v>No</v>
      </c>
      <c r="AE896" t="str">
        <f t="shared" ca="1" si="303"/>
        <v>Yes</v>
      </c>
      <c r="AF896" t="str">
        <f t="shared" ca="1" si="304"/>
        <v>Recovered</v>
      </c>
      <c r="AG896" t="str">
        <f t="shared" ca="1" si="305"/>
        <v>Southeast</v>
      </c>
      <c r="AH896" t="str">
        <f t="shared" si="288"/>
        <v>June</v>
      </c>
      <c r="AI896">
        <f t="shared" si="289"/>
        <v>2022</v>
      </c>
      <c r="AJ896" t="str">
        <f t="shared" ca="1" si="306"/>
        <v>Occupied</v>
      </c>
      <c r="AK896">
        <f t="shared" ca="1" si="307"/>
        <v>4</v>
      </c>
    </row>
    <row r="897" spans="1:37" x14ac:dyDescent="0.3">
      <c r="A897" t="s">
        <v>5315</v>
      </c>
      <c r="B897">
        <v>46</v>
      </c>
      <c r="C897" t="s">
        <v>32</v>
      </c>
      <c r="D897" t="s">
        <v>38</v>
      </c>
      <c r="E897" t="s">
        <v>64</v>
      </c>
      <c r="F897" s="1">
        <v>45170</v>
      </c>
      <c r="G897" t="s">
        <v>1821</v>
      </c>
      <c r="H897" t="s">
        <v>1822</v>
      </c>
      <c r="I897" t="s">
        <v>57</v>
      </c>
      <c r="J897">
        <v>7704</v>
      </c>
      <c r="K897">
        <v>331</v>
      </c>
      <c r="L897" t="s">
        <v>29</v>
      </c>
      <c r="M897" s="1">
        <v>45187</v>
      </c>
      <c r="N897" t="s">
        <v>47</v>
      </c>
      <c r="O897" t="s">
        <v>43</v>
      </c>
      <c r="P897" t="str">
        <f t="shared" si="290"/>
        <v>P0896</v>
      </c>
      <c r="Q897" t="str">
        <f t="shared" si="286"/>
        <v>Cardiology</v>
      </c>
      <c r="R897">
        <f t="shared" si="287"/>
        <v>17</v>
      </c>
      <c r="S897" t="str">
        <f t="shared" ca="1" si="291"/>
        <v>No</v>
      </c>
      <c r="T897" t="str">
        <f t="shared" ca="1" si="292"/>
        <v>Moderate</v>
      </c>
      <c r="U897" t="str">
        <f t="shared" ca="1" si="293"/>
        <v>General Ward</v>
      </c>
      <c r="V897" t="str">
        <f t="shared" si="294"/>
        <v>BED0896</v>
      </c>
      <c r="W897" t="str">
        <f t="shared" ca="1" si="295"/>
        <v>Semi-Private</v>
      </c>
      <c r="X897" t="str">
        <f t="shared" si="296"/>
        <v>NUR046</v>
      </c>
      <c r="Y897" t="str">
        <f t="shared" ca="1" si="297"/>
        <v>Morning</v>
      </c>
      <c r="Z897" t="str">
        <f t="shared" ca="1" si="298"/>
        <v>Ventilator</v>
      </c>
      <c r="AA897" t="str">
        <f t="shared" ca="1" si="299"/>
        <v>In Use</v>
      </c>
      <c r="AB897" t="str">
        <f t="shared" ca="1" si="300"/>
        <v>Paid</v>
      </c>
      <c r="AC897" t="str">
        <f t="shared" ca="1" si="301"/>
        <v>Insurance</v>
      </c>
      <c r="AD897" t="str">
        <f t="shared" ca="1" si="302"/>
        <v>No</v>
      </c>
      <c r="AE897" t="str">
        <f t="shared" ca="1" si="303"/>
        <v>Yes</v>
      </c>
      <c r="AF897" t="str">
        <f t="shared" ca="1" si="304"/>
        <v>Under Observation</v>
      </c>
      <c r="AG897" t="str">
        <f t="shared" ca="1" si="305"/>
        <v>Midwest</v>
      </c>
      <c r="AH897" t="str">
        <f t="shared" si="288"/>
        <v>September</v>
      </c>
      <c r="AI897">
        <f t="shared" si="289"/>
        <v>2023</v>
      </c>
      <c r="AJ897" t="str">
        <f t="shared" ca="1" si="306"/>
        <v>Occupied</v>
      </c>
      <c r="AK897">
        <f t="shared" ca="1" si="307"/>
        <v>4</v>
      </c>
    </row>
    <row r="898" spans="1:37" x14ac:dyDescent="0.3">
      <c r="A898" t="s">
        <v>5316</v>
      </c>
      <c r="B898">
        <v>82</v>
      </c>
      <c r="C898" t="s">
        <v>15</v>
      </c>
      <c r="D898" t="s">
        <v>44</v>
      </c>
      <c r="E898" t="s">
        <v>17</v>
      </c>
      <c r="F898" s="1">
        <v>43904</v>
      </c>
      <c r="G898" t="s">
        <v>1823</v>
      </c>
      <c r="H898" t="s">
        <v>1824</v>
      </c>
      <c r="I898" t="s">
        <v>20</v>
      </c>
      <c r="J898">
        <v>12100</v>
      </c>
      <c r="K898">
        <v>440</v>
      </c>
      <c r="L898" t="s">
        <v>21</v>
      </c>
      <c r="M898" s="1">
        <v>43922</v>
      </c>
      <c r="N898" t="s">
        <v>47</v>
      </c>
      <c r="O898" t="s">
        <v>23</v>
      </c>
      <c r="P898" t="str">
        <f t="shared" si="290"/>
        <v>P0897</v>
      </c>
      <c r="Q898" t="str">
        <f t="shared" ref="Q898:Q961" si="308">IF(E898="Cancer","Oncology",IF(E898="Obesity","Nutrition",IF(E898="Diabetes","Endocrinology",IF(E898="Asthma","Pulmonology",IF(E898="Arthritis","Orthopedics",IF(E898="Hypertension","Cardiology","General Medicine"))))))</f>
        <v>Oncology</v>
      </c>
      <c r="R898">
        <f t="shared" ref="R898:R961" si="309">M898-F898</f>
        <v>18</v>
      </c>
      <c r="S898" t="str">
        <f t="shared" ca="1" si="291"/>
        <v>No</v>
      </c>
      <c r="T898" t="str">
        <f t="shared" ca="1" si="292"/>
        <v>Critical</v>
      </c>
      <c r="U898" t="str">
        <f t="shared" ca="1" si="293"/>
        <v>ICU</v>
      </c>
      <c r="V898" t="str">
        <f t="shared" si="294"/>
        <v>BED0897</v>
      </c>
      <c r="W898" t="str">
        <f t="shared" ca="1" si="295"/>
        <v>Semi-Private</v>
      </c>
      <c r="X898" t="str">
        <f t="shared" si="296"/>
        <v>NUR047</v>
      </c>
      <c r="Y898" t="str">
        <f t="shared" ca="1" si="297"/>
        <v>Evening</v>
      </c>
      <c r="Z898" t="str">
        <f t="shared" ca="1" si="298"/>
        <v>MRI Scanner</v>
      </c>
      <c r="AA898" t="str">
        <f t="shared" ca="1" si="299"/>
        <v>Available</v>
      </c>
      <c r="AB898" t="str">
        <f t="shared" ca="1" si="300"/>
        <v>Partially Paid</v>
      </c>
      <c r="AC898" t="str">
        <f t="shared" ca="1" si="301"/>
        <v>Debit Card</v>
      </c>
      <c r="AD898" t="str">
        <f t="shared" ca="1" si="302"/>
        <v>Yes</v>
      </c>
      <c r="AE898" t="str">
        <f t="shared" ca="1" si="303"/>
        <v>No</v>
      </c>
      <c r="AF898" t="str">
        <f t="shared" ca="1" si="304"/>
        <v>Transferred</v>
      </c>
      <c r="AG898" t="str">
        <f t="shared" ca="1" si="305"/>
        <v>West Coast</v>
      </c>
      <c r="AH898" t="str">
        <f t="shared" ref="AH898:AH961" si="310">TEXT(F898,"MMMM")</f>
        <v>March</v>
      </c>
      <c r="AI898">
        <f t="shared" ref="AI898:AI961" si="311">YEAR(F898)</f>
        <v>2020</v>
      </c>
      <c r="AJ898" t="str">
        <f t="shared" ca="1" si="306"/>
        <v>Occupied</v>
      </c>
      <c r="AK898">
        <f t="shared" ca="1" si="307"/>
        <v>4</v>
      </c>
    </row>
    <row r="899" spans="1:37" x14ac:dyDescent="0.3">
      <c r="A899" t="s">
        <v>5317</v>
      </c>
      <c r="B899">
        <v>44</v>
      </c>
      <c r="C899" t="s">
        <v>32</v>
      </c>
      <c r="D899" t="s">
        <v>24</v>
      </c>
      <c r="E899" t="s">
        <v>64</v>
      </c>
      <c r="F899" s="1">
        <v>44717</v>
      </c>
      <c r="G899" t="s">
        <v>1825</v>
      </c>
      <c r="H899" t="s">
        <v>1826</v>
      </c>
      <c r="I899" t="s">
        <v>20</v>
      </c>
      <c r="J899">
        <v>17203</v>
      </c>
      <c r="K899">
        <v>308</v>
      </c>
      <c r="L899" t="s">
        <v>42</v>
      </c>
      <c r="M899" s="1">
        <v>44741</v>
      </c>
      <c r="N899" t="s">
        <v>30</v>
      </c>
      <c r="O899" t="s">
        <v>31</v>
      </c>
      <c r="P899" t="str">
        <f t="shared" ref="P899:P962" si="312">"P"&amp;TEXT(ROW()-1,"0000")</f>
        <v>P0898</v>
      </c>
      <c r="Q899" t="str">
        <f t="shared" si="308"/>
        <v>Cardiology</v>
      </c>
      <c r="R899">
        <f t="shared" si="309"/>
        <v>24</v>
      </c>
      <c r="S899" t="str">
        <f t="shared" ref="S899:S962" ca="1" si="313">IF(RAND()&lt;0.1,"Yes","No")</f>
        <v>No</v>
      </c>
      <c r="T899" t="str">
        <f t="shared" ref="T899:T962" ca="1" si="314">CHOOSE(RANDBETWEEN(1,4),"Mild","Moderate","Severe","Critical")</f>
        <v>Moderate</v>
      </c>
      <c r="U899" t="str">
        <f t="shared" ref="U899:U962" ca="1" si="315">CHOOSE(RANDBETWEEN(1,5),"General Ward","ICU","Emergency","Private Ward","Semi-Private")</f>
        <v>Emergency</v>
      </c>
      <c r="V899" t="str">
        <f t="shared" ref="V899:V962" si="316">"BED"&amp;TEXT(ROW()-1,"0000")</f>
        <v>BED0898</v>
      </c>
      <c r="W899" t="str">
        <f t="shared" ref="W899:W962" ca="1" si="317">CHOOSE(RANDBETWEEN(1,4),"General","Private","Semi-Private","ICU")</f>
        <v>Private</v>
      </c>
      <c r="X899" t="str">
        <f t="shared" ref="X899:X962" si="318">"NUR"&amp;TEXT(MOD(ROW()-2,50)+1,"000")</f>
        <v>NUR048</v>
      </c>
      <c r="Y899" t="str">
        <f t="shared" ref="Y899:Y962" ca="1" si="319">CHOOSE(RANDBETWEEN(1,3),"Morning","Evening","Night")</f>
        <v>Morning</v>
      </c>
      <c r="Z899" t="str">
        <f t="shared" ref="Z899:Z962" ca="1" si="320">CHOOSE(RANDBETWEEN(1,6),"MRI Scanner","CT Scanner","Ventilator","X-Ray","ECG Machine","Ultrasound")</f>
        <v>X-Ray</v>
      </c>
      <c r="AA899" t="str">
        <f t="shared" ref="AA899:AA962" ca="1" si="321">CHOOSE(RANDBETWEEN(1,3),"Available","In Use","Maintenance")</f>
        <v>Available</v>
      </c>
      <c r="AB899" t="str">
        <f t="shared" ref="AB899:AB962" ca="1" si="322">CHOOSE(RANDBETWEEN(1,3),"Paid","Pending","Partially Paid")</f>
        <v>Paid</v>
      </c>
      <c r="AC899" t="str">
        <f t="shared" ref="AC899:AC962" ca="1" si="323">CHOOSE(RANDBETWEEN(1,5),"Cash","Credit Card","Debit Card","Insurance","Bank Transfer")</f>
        <v>Debit Card</v>
      </c>
      <c r="AD899" t="str">
        <f t="shared" ref="AD899:AD962" ca="1" si="324">IF(RAND()&lt;0.2,"Yes","No")</f>
        <v>No</v>
      </c>
      <c r="AE899" t="str">
        <f t="shared" ref="AE899:AE962" ca="1" si="325">IF(RAND()&lt;0.15,"Yes","No")</f>
        <v>No</v>
      </c>
      <c r="AF899" t="str">
        <f t="shared" ref="AF899:AF962" ca="1" si="326">CHOOSE(RANDBETWEEN(1,3),"Recovered","Transferred","Under Observation")</f>
        <v>Transferred</v>
      </c>
      <c r="AG899" t="str">
        <f t="shared" ref="AG899:AG962" ca="1" si="327">CHOOSE(RANDBETWEEN(1,5),"Northeast","Southeast","Midwest","Southwest","West Coast")</f>
        <v>Midwest</v>
      </c>
      <c r="AH899" t="str">
        <f t="shared" si="310"/>
        <v>June</v>
      </c>
      <c r="AI899">
        <f t="shared" si="311"/>
        <v>2022</v>
      </c>
      <c r="AJ899" t="str">
        <f t="shared" ref="AJ899:AJ962" ca="1" si="328">IF(RANDBETWEEN(1,100)&lt;=80,"Occupied","Vacant")</f>
        <v>Occupied</v>
      </c>
      <c r="AK899">
        <f t="shared" ref="AK899:AK962" ca="1" si="329">CHOOSE(RANDBETWEEN(1,3),1,2,4)</f>
        <v>4</v>
      </c>
    </row>
    <row r="900" spans="1:37" x14ac:dyDescent="0.3">
      <c r="A900" t="s">
        <v>5318</v>
      </c>
      <c r="B900">
        <v>34</v>
      </c>
      <c r="C900" t="s">
        <v>32</v>
      </c>
      <c r="D900" t="s">
        <v>38</v>
      </c>
      <c r="E900" t="s">
        <v>48</v>
      </c>
      <c r="F900" s="1">
        <v>43818</v>
      </c>
      <c r="G900" t="s">
        <v>1827</v>
      </c>
      <c r="H900" t="s">
        <v>1828</v>
      </c>
      <c r="I900" t="s">
        <v>51</v>
      </c>
      <c r="J900">
        <v>25276</v>
      </c>
      <c r="K900">
        <v>475</v>
      </c>
      <c r="L900" t="s">
        <v>21</v>
      </c>
      <c r="M900" s="1">
        <v>43846</v>
      </c>
      <c r="N900" t="s">
        <v>30</v>
      </c>
      <c r="O900" t="s">
        <v>31</v>
      </c>
      <c r="P900" t="str">
        <f t="shared" si="312"/>
        <v>P0899</v>
      </c>
      <c r="Q900" t="str">
        <f t="shared" si="308"/>
        <v>Pulmonology</v>
      </c>
      <c r="R900">
        <f t="shared" si="309"/>
        <v>28</v>
      </c>
      <c r="S900" t="str">
        <f t="shared" ca="1" si="313"/>
        <v>No</v>
      </c>
      <c r="T900" t="str">
        <f t="shared" ca="1" si="314"/>
        <v>Mild</v>
      </c>
      <c r="U900" t="str">
        <f t="shared" ca="1" si="315"/>
        <v>Private Ward</v>
      </c>
      <c r="V900" t="str">
        <f t="shared" si="316"/>
        <v>BED0899</v>
      </c>
      <c r="W900" t="str">
        <f t="shared" ca="1" si="317"/>
        <v>ICU</v>
      </c>
      <c r="X900" t="str">
        <f t="shared" si="318"/>
        <v>NUR049</v>
      </c>
      <c r="Y900" t="str">
        <f t="shared" ca="1" si="319"/>
        <v>Evening</v>
      </c>
      <c r="Z900" t="str">
        <f t="shared" ca="1" si="320"/>
        <v>Ultrasound</v>
      </c>
      <c r="AA900" t="str">
        <f t="shared" ca="1" si="321"/>
        <v>Maintenance</v>
      </c>
      <c r="AB900" t="str">
        <f t="shared" ca="1" si="322"/>
        <v>Pending</v>
      </c>
      <c r="AC900" t="str">
        <f t="shared" ca="1" si="323"/>
        <v>Bank Transfer</v>
      </c>
      <c r="AD900" t="str">
        <f t="shared" ca="1" si="324"/>
        <v>Yes</v>
      </c>
      <c r="AE900" t="str">
        <f t="shared" ca="1" si="325"/>
        <v>No</v>
      </c>
      <c r="AF900" t="str">
        <f t="shared" ca="1" si="326"/>
        <v>Transferred</v>
      </c>
      <c r="AG900" t="str">
        <f t="shared" ca="1" si="327"/>
        <v>Northeast</v>
      </c>
      <c r="AH900" t="str">
        <f t="shared" si="310"/>
        <v>December</v>
      </c>
      <c r="AI900">
        <f t="shared" si="311"/>
        <v>2019</v>
      </c>
      <c r="AJ900" t="str">
        <f t="shared" ca="1" si="328"/>
        <v>Occupied</v>
      </c>
      <c r="AK900">
        <f t="shared" ca="1" si="329"/>
        <v>4</v>
      </c>
    </row>
    <row r="901" spans="1:37" x14ac:dyDescent="0.3">
      <c r="A901" t="s">
        <v>5319</v>
      </c>
      <c r="B901">
        <v>49</v>
      </c>
      <c r="C901" t="s">
        <v>15</v>
      </c>
      <c r="D901" t="s">
        <v>33</v>
      </c>
      <c r="E901" t="s">
        <v>64</v>
      </c>
      <c r="F901" s="1">
        <v>44171</v>
      </c>
      <c r="G901" t="s">
        <v>1829</v>
      </c>
      <c r="H901" t="s">
        <v>1830</v>
      </c>
      <c r="I901" t="s">
        <v>36</v>
      </c>
      <c r="J901">
        <v>17002</v>
      </c>
      <c r="K901">
        <v>194</v>
      </c>
      <c r="L901" t="s">
        <v>29</v>
      </c>
      <c r="M901" s="1">
        <v>44174</v>
      </c>
      <c r="N901" t="s">
        <v>30</v>
      </c>
      <c r="O901" t="s">
        <v>23</v>
      </c>
      <c r="P901" t="str">
        <f t="shared" si="312"/>
        <v>P0900</v>
      </c>
      <c r="Q901" t="str">
        <f t="shared" si="308"/>
        <v>Cardiology</v>
      </c>
      <c r="R901">
        <f t="shared" si="309"/>
        <v>3</v>
      </c>
      <c r="S901" t="str">
        <f t="shared" ca="1" si="313"/>
        <v>No</v>
      </c>
      <c r="T901" t="str">
        <f t="shared" ca="1" si="314"/>
        <v>Severe</v>
      </c>
      <c r="U901" t="str">
        <f t="shared" ca="1" si="315"/>
        <v>Semi-Private</v>
      </c>
      <c r="V901" t="str">
        <f t="shared" si="316"/>
        <v>BED0900</v>
      </c>
      <c r="W901" t="str">
        <f t="shared" ca="1" si="317"/>
        <v>Private</v>
      </c>
      <c r="X901" t="str">
        <f t="shared" si="318"/>
        <v>NUR050</v>
      </c>
      <c r="Y901" t="str">
        <f t="shared" ca="1" si="319"/>
        <v>Morning</v>
      </c>
      <c r="Z901" t="str">
        <f t="shared" ca="1" si="320"/>
        <v>Ultrasound</v>
      </c>
      <c r="AA901" t="str">
        <f t="shared" ca="1" si="321"/>
        <v>Available</v>
      </c>
      <c r="AB901" t="str">
        <f t="shared" ca="1" si="322"/>
        <v>Partially Paid</v>
      </c>
      <c r="AC901" t="str">
        <f t="shared" ca="1" si="323"/>
        <v>Debit Card</v>
      </c>
      <c r="AD901" t="str">
        <f t="shared" ca="1" si="324"/>
        <v>No</v>
      </c>
      <c r="AE901" t="str">
        <f t="shared" ca="1" si="325"/>
        <v>No</v>
      </c>
      <c r="AF901" t="str">
        <f t="shared" ca="1" si="326"/>
        <v>Transferred</v>
      </c>
      <c r="AG901" t="str">
        <f t="shared" ca="1" si="327"/>
        <v>West Coast</v>
      </c>
      <c r="AH901" t="str">
        <f t="shared" si="310"/>
        <v>December</v>
      </c>
      <c r="AI901">
        <f t="shared" si="311"/>
        <v>2020</v>
      </c>
      <c r="AJ901" t="str">
        <f t="shared" ca="1" si="328"/>
        <v>Occupied</v>
      </c>
      <c r="AK901">
        <f t="shared" ca="1" si="329"/>
        <v>4</v>
      </c>
    </row>
    <row r="902" spans="1:37" x14ac:dyDescent="0.3">
      <c r="A902" t="s">
        <v>1574</v>
      </c>
      <c r="B902">
        <v>44</v>
      </c>
      <c r="C902" t="s">
        <v>32</v>
      </c>
      <c r="D902" t="s">
        <v>83</v>
      </c>
      <c r="E902" t="s">
        <v>17</v>
      </c>
      <c r="F902" s="1">
        <v>43598</v>
      </c>
      <c r="G902" t="s">
        <v>1831</v>
      </c>
      <c r="H902" t="s">
        <v>1832</v>
      </c>
      <c r="I902" t="s">
        <v>28</v>
      </c>
      <c r="J902">
        <v>4795</v>
      </c>
      <c r="K902">
        <v>382</v>
      </c>
      <c r="L902" t="s">
        <v>29</v>
      </c>
      <c r="M902" s="1">
        <v>43626</v>
      </c>
      <c r="N902" t="s">
        <v>22</v>
      </c>
      <c r="O902" t="s">
        <v>31</v>
      </c>
      <c r="P902" t="str">
        <f t="shared" si="312"/>
        <v>P0901</v>
      </c>
      <c r="Q902" t="str">
        <f t="shared" si="308"/>
        <v>Oncology</v>
      </c>
      <c r="R902">
        <f t="shared" si="309"/>
        <v>28</v>
      </c>
      <c r="S902" t="str">
        <f t="shared" ca="1" si="313"/>
        <v>No</v>
      </c>
      <c r="T902" t="str">
        <f t="shared" ca="1" si="314"/>
        <v>Mild</v>
      </c>
      <c r="U902" t="str">
        <f t="shared" ca="1" si="315"/>
        <v>Private Ward</v>
      </c>
      <c r="V902" t="str">
        <f t="shared" si="316"/>
        <v>BED0901</v>
      </c>
      <c r="W902" t="str">
        <f t="shared" ca="1" si="317"/>
        <v>ICU</v>
      </c>
      <c r="X902" t="str">
        <f t="shared" si="318"/>
        <v>NUR001</v>
      </c>
      <c r="Y902" t="str">
        <f t="shared" ca="1" si="319"/>
        <v>Evening</v>
      </c>
      <c r="Z902" t="str">
        <f t="shared" ca="1" si="320"/>
        <v>CT Scanner</v>
      </c>
      <c r="AA902" t="str">
        <f t="shared" ca="1" si="321"/>
        <v>Available</v>
      </c>
      <c r="AB902" t="str">
        <f t="shared" ca="1" si="322"/>
        <v>Partially Paid</v>
      </c>
      <c r="AC902" t="str">
        <f t="shared" ca="1" si="323"/>
        <v>Cash</v>
      </c>
      <c r="AD902" t="str">
        <f t="shared" ca="1" si="324"/>
        <v>No</v>
      </c>
      <c r="AE902" t="str">
        <f t="shared" ca="1" si="325"/>
        <v>No</v>
      </c>
      <c r="AF902" t="str">
        <f t="shared" ca="1" si="326"/>
        <v>Transferred</v>
      </c>
      <c r="AG902" t="str">
        <f t="shared" ca="1" si="327"/>
        <v>Northeast</v>
      </c>
      <c r="AH902" t="str">
        <f t="shared" si="310"/>
        <v>May</v>
      </c>
      <c r="AI902">
        <f t="shared" si="311"/>
        <v>2019</v>
      </c>
      <c r="AJ902" t="str">
        <f t="shared" ca="1" si="328"/>
        <v>Vacant</v>
      </c>
      <c r="AK902">
        <f t="shared" ca="1" si="329"/>
        <v>1</v>
      </c>
    </row>
    <row r="903" spans="1:37" x14ac:dyDescent="0.3">
      <c r="A903" t="s">
        <v>5320</v>
      </c>
      <c r="B903">
        <v>37</v>
      </c>
      <c r="C903" t="s">
        <v>15</v>
      </c>
      <c r="D903" t="s">
        <v>33</v>
      </c>
      <c r="E903" t="s">
        <v>64</v>
      </c>
      <c r="F903" s="1">
        <v>44943</v>
      </c>
      <c r="G903" t="s">
        <v>1833</v>
      </c>
      <c r="H903" t="s">
        <v>1834</v>
      </c>
      <c r="I903" t="s">
        <v>57</v>
      </c>
      <c r="J903">
        <v>7241</v>
      </c>
      <c r="K903">
        <v>316</v>
      </c>
      <c r="L903" t="s">
        <v>42</v>
      </c>
      <c r="M903" s="1">
        <v>44962</v>
      </c>
      <c r="N903" t="s">
        <v>47</v>
      </c>
      <c r="O903" t="s">
        <v>23</v>
      </c>
      <c r="P903" t="str">
        <f t="shared" si="312"/>
        <v>P0902</v>
      </c>
      <c r="Q903" t="str">
        <f t="shared" si="308"/>
        <v>Cardiology</v>
      </c>
      <c r="R903">
        <f t="shared" si="309"/>
        <v>19</v>
      </c>
      <c r="S903" t="str">
        <f t="shared" ca="1" si="313"/>
        <v>No</v>
      </c>
      <c r="T903" t="str">
        <f t="shared" ca="1" si="314"/>
        <v>Moderate</v>
      </c>
      <c r="U903" t="str">
        <f t="shared" ca="1" si="315"/>
        <v>Emergency</v>
      </c>
      <c r="V903" t="str">
        <f t="shared" si="316"/>
        <v>BED0902</v>
      </c>
      <c r="W903" t="str">
        <f t="shared" ca="1" si="317"/>
        <v>Private</v>
      </c>
      <c r="X903" t="str">
        <f t="shared" si="318"/>
        <v>NUR002</v>
      </c>
      <c r="Y903" t="str">
        <f t="shared" ca="1" si="319"/>
        <v>Evening</v>
      </c>
      <c r="Z903" t="str">
        <f t="shared" ca="1" si="320"/>
        <v>Ventilator</v>
      </c>
      <c r="AA903" t="str">
        <f t="shared" ca="1" si="321"/>
        <v>In Use</v>
      </c>
      <c r="AB903" t="str">
        <f t="shared" ca="1" si="322"/>
        <v>Paid</v>
      </c>
      <c r="AC903" t="str">
        <f t="shared" ca="1" si="323"/>
        <v>Debit Card</v>
      </c>
      <c r="AD903" t="str">
        <f t="shared" ca="1" si="324"/>
        <v>No</v>
      </c>
      <c r="AE903" t="str">
        <f t="shared" ca="1" si="325"/>
        <v>No</v>
      </c>
      <c r="AF903" t="str">
        <f t="shared" ca="1" si="326"/>
        <v>Recovered</v>
      </c>
      <c r="AG903" t="str">
        <f t="shared" ca="1" si="327"/>
        <v>West Coast</v>
      </c>
      <c r="AH903" t="str">
        <f t="shared" si="310"/>
        <v>January</v>
      </c>
      <c r="AI903">
        <f t="shared" si="311"/>
        <v>2023</v>
      </c>
      <c r="AJ903" t="str">
        <f t="shared" ca="1" si="328"/>
        <v>Occupied</v>
      </c>
      <c r="AK903">
        <f t="shared" ca="1" si="329"/>
        <v>2</v>
      </c>
    </row>
    <row r="904" spans="1:37" x14ac:dyDescent="0.3">
      <c r="A904" t="s">
        <v>5321</v>
      </c>
      <c r="B904">
        <v>37</v>
      </c>
      <c r="C904" t="s">
        <v>15</v>
      </c>
      <c r="D904" t="s">
        <v>52</v>
      </c>
      <c r="E904" t="s">
        <v>76</v>
      </c>
      <c r="F904" s="1">
        <v>44770</v>
      </c>
      <c r="G904" t="s">
        <v>1835</v>
      </c>
      <c r="H904" t="s">
        <v>1836</v>
      </c>
      <c r="I904" t="s">
        <v>36</v>
      </c>
      <c r="J904">
        <v>45219</v>
      </c>
      <c r="K904">
        <v>346</v>
      </c>
      <c r="L904" t="s">
        <v>42</v>
      </c>
      <c r="M904" s="1">
        <v>44789</v>
      </c>
      <c r="N904" t="s">
        <v>37</v>
      </c>
      <c r="O904" t="s">
        <v>43</v>
      </c>
      <c r="P904" t="str">
        <f t="shared" si="312"/>
        <v>P0903</v>
      </c>
      <c r="Q904" t="str">
        <f t="shared" si="308"/>
        <v>Orthopedics</v>
      </c>
      <c r="R904">
        <f t="shared" si="309"/>
        <v>19</v>
      </c>
      <c r="S904" t="str">
        <f t="shared" ca="1" si="313"/>
        <v>No</v>
      </c>
      <c r="T904" t="str">
        <f t="shared" ca="1" si="314"/>
        <v>Mild</v>
      </c>
      <c r="U904" t="str">
        <f t="shared" ca="1" si="315"/>
        <v>Private Ward</v>
      </c>
      <c r="V904" t="str">
        <f t="shared" si="316"/>
        <v>BED0903</v>
      </c>
      <c r="W904" t="str">
        <f t="shared" ca="1" si="317"/>
        <v>General</v>
      </c>
      <c r="X904" t="str">
        <f t="shared" si="318"/>
        <v>NUR003</v>
      </c>
      <c r="Y904" t="str">
        <f t="shared" ca="1" si="319"/>
        <v>Night</v>
      </c>
      <c r="Z904" t="str">
        <f t="shared" ca="1" si="320"/>
        <v>CT Scanner</v>
      </c>
      <c r="AA904" t="str">
        <f t="shared" ca="1" si="321"/>
        <v>In Use</v>
      </c>
      <c r="AB904" t="str">
        <f t="shared" ca="1" si="322"/>
        <v>Pending</v>
      </c>
      <c r="AC904" t="str">
        <f t="shared" ca="1" si="323"/>
        <v>Debit Card</v>
      </c>
      <c r="AD904" t="str">
        <f t="shared" ca="1" si="324"/>
        <v>No</v>
      </c>
      <c r="AE904" t="str">
        <f t="shared" ca="1" si="325"/>
        <v>No</v>
      </c>
      <c r="AF904" t="str">
        <f t="shared" ca="1" si="326"/>
        <v>Transferred</v>
      </c>
      <c r="AG904" t="str">
        <f t="shared" ca="1" si="327"/>
        <v>Midwest</v>
      </c>
      <c r="AH904" t="str">
        <f t="shared" si="310"/>
        <v>July</v>
      </c>
      <c r="AI904">
        <f t="shared" si="311"/>
        <v>2022</v>
      </c>
      <c r="AJ904" t="str">
        <f t="shared" ca="1" si="328"/>
        <v>Occupied</v>
      </c>
      <c r="AK904">
        <f t="shared" ca="1" si="329"/>
        <v>4</v>
      </c>
    </row>
    <row r="905" spans="1:37" x14ac:dyDescent="0.3">
      <c r="A905" t="s">
        <v>5322</v>
      </c>
      <c r="B905">
        <v>58</v>
      </c>
      <c r="C905" t="s">
        <v>32</v>
      </c>
      <c r="D905" t="s">
        <v>38</v>
      </c>
      <c r="E905" t="s">
        <v>39</v>
      </c>
      <c r="F905" s="1">
        <v>44849</v>
      </c>
      <c r="G905" t="s">
        <v>1837</v>
      </c>
      <c r="H905" t="s">
        <v>1838</v>
      </c>
      <c r="I905" t="s">
        <v>57</v>
      </c>
      <c r="J905">
        <v>32052</v>
      </c>
      <c r="K905">
        <v>109</v>
      </c>
      <c r="L905" t="s">
        <v>21</v>
      </c>
      <c r="M905" s="1">
        <v>44870</v>
      </c>
      <c r="N905" t="s">
        <v>30</v>
      </c>
      <c r="O905" t="s">
        <v>43</v>
      </c>
      <c r="P905" t="str">
        <f t="shared" si="312"/>
        <v>P0904</v>
      </c>
      <c r="Q905" t="str">
        <f t="shared" si="308"/>
        <v>Endocrinology</v>
      </c>
      <c r="R905">
        <f t="shared" si="309"/>
        <v>21</v>
      </c>
      <c r="S905" t="str">
        <f t="shared" ca="1" si="313"/>
        <v>No</v>
      </c>
      <c r="T905" t="str">
        <f t="shared" ca="1" si="314"/>
        <v>Mild</v>
      </c>
      <c r="U905" t="str">
        <f t="shared" ca="1" si="315"/>
        <v>Private Ward</v>
      </c>
      <c r="V905" t="str">
        <f t="shared" si="316"/>
        <v>BED0904</v>
      </c>
      <c r="W905" t="str">
        <f t="shared" ca="1" si="317"/>
        <v>General</v>
      </c>
      <c r="X905" t="str">
        <f t="shared" si="318"/>
        <v>NUR004</v>
      </c>
      <c r="Y905" t="str">
        <f t="shared" ca="1" si="319"/>
        <v>Morning</v>
      </c>
      <c r="Z905" t="str">
        <f t="shared" ca="1" si="320"/>
        <v>X-Ray</v>
      </c>
      <c r="AA905" t="str">
        <f t="shared" ca="1" si="321"/>
        <v>Available</v>
      </c>
      <c r="AB905" t="str">
        <f t="shared" ca="1" si="322"/>
        <v>Pending</v>
      </c>
      <c r="AC905" t="str">
        <f t="shared" ca="1" si="323"/>
        <v>Debit Card</v>
      </c>
      <c r="AD905" t="str">
        <f t="shared" ca="1" si="324"/>
        <v>Yes</v>
      </c>
      <c r="AE905" t="str">
        <f t="shared" ca="1" si="325"/>
        <v>No</v>
      </c>
      <c r="AF905" t="str">
        <f t="shared" ca="1" si="326"/>
        <v>Under Observation</v>
      </c>
      <c r="AG905" t="str">
        <f t="shared" ca="1" si="327"/>
        <v>Southwest</v>
      </c>
      <c r="AH905" t="str">
        <f t="shared" si="310"/>
        <v>October</v>
      </c>
      <c r="AI905">
        <f t="shared" si="311"/>
        <v>2022</v>
      </c>
      <c r="AJ905" t="str">
        <f t="shared" ca="1" si="328"/>
        <v>Occupied</v>
      </c>
      <c r="AK905">
        <f t="shared" ca="1" si="329"/>
        <v>1</v>
      </c>
    </row>
    <row r="906" spans="1:37" x14ac:dyDescent="0.3">
      <c r="A906" t="s">
        <v>5323</v>
      </c>
      <c r="B906">
        <v>20</v>
      </c>
      <c r="C906" t="s">
        <v>32</v>
      </c>
      <c r="D906" t="s">
        <v>24</v>
      </c>
      <c r="E906" t="s">
        <v>25</v>
      </c>
      <c r="F906" s="1">
        <v>43976</v>
      </c>
      <c r="G906" t="s">
        <v>1839</v>
      </c>
      <c r="H906" t="s">
        <v>1840</v>
      </c>
      <c r="I906" t="s">
        <v>28</v>
      </c>
      <c r="J906">
        <v>30719</v>
      </c>
      <c r="K906">
        <v>226</v>
      </c>
      <c r="L906" t="s">
        <v>42</v>
      </c>
      <c r="M906" s="1">
        <v>43988</v>
      </c>
      <c r="N906" t="s">
        <v>30</v>
      </c>
      <c r="O906" t="s">
        <v>23</v>
      </c>
      <c r="P906" t="str">
        <f t="shared" si="312"/>
        <v>P0905</v>
      </c>
      <c r="Q906" t="str">
        <f t="shared" si="308"/>
        <v>Nutrition</v>
      </c>
      <c r="R906">
        <f t="shared" si="309"/>
        <v>12</v>
      </c>
      <c r="S906" t="str">
        <f t="shared" ca="1" si="313"/>
        <v>No</v>
      </c>
      <c r="T906" t="str">
        <f t="shared" ca="1" si="314"/>
        <v>Critical</v>
      </c>
      <c r="U906" t="str">
        <f t="shared" ca="1" si="315"/>
        <v>Emergency</v>
      </c>
      <c r="V906" t="str">
        <f t="shared" si="316"/>
        <v>BED0905</v>
      </c>
      <c r="W906" t="str">
        <f t="shared" ca="1" si="317"/>
        <v>Semi-Private</v>
      </c>
      <c r="X906" t="str">
        <f t="shared" si="318"/>
        <v>NUR005</v>
      </c>
      <c r="Y906" t="str">
        <f t="shared" ca="1" si="319"/>
        <v>Morning</v>
      </c>
      <c r="Z906" t="str">
        <f t="shared" ca="1" si="320"/>
        <v>X-Ray</v>
      </c>
      <c r="AA906" t="str">
        <f t="shared" ca="1" si="321"/>
        <v>Available</v>
      </c>
      <c r="AB906" t="str">
        <f t="shared" ca="1" si="322"/>
        <v>Paid</v>
      </c>
      <c r="AC906" t="str">
        <f t="shared" ca="1" si="323"/>
        <v>Cash</v>
      </c>
      <c r="AD906" t="str">
        <f t="shared" ca="1" si="324"/>
        <v>No</v>
      </c>
      <c r="AE906" t="str">
        <f t="shared" ca="1" si="325"/>
        <v>No</v>
      </c>
      <c r="AF906" t="str">
        <f t="shared" ca="1" si="326"/>
        <v>Under Observation</v>
      </c>
      <c r="AG906" t="str">
        <f t="shared" ca="1" si="327"/>
        <v>West Coast</v>
      </c>
      <c r="AH906" t="str">
        <f t="shared" si="310"/>
        <v>May</v>
      </c>
      <c r="AI906">
        <f t="shared" si="311"/>
        <v>2020</v>
      </c>
      <c r="AJ906" t="str">
        <f t="shared" ca="1" si="328"/>
        <v>Occupied</v>
      </c>
      <c r="AK906">
        <f t="shared" ca="1" si="329"/>
        <v>1</v>
      </c>
    </row>
    <row r="907" spans="1:37" x14ac:dyDescent="0.3">
      <c r="A907" t="s">
        <v>5324</v>
      </c>
      <c r="B907">
        <v>43</v>
      </c>
      <c r="C907" t="s">
        <v>15</v>
      </c>
      <c r="D907" t="s">
        <v>33</v>
      </c>
      <c r="E907" t="s">
        <v>25</v>
      </c>
      <c r="F907" s="1">
        <v>44240</v>
      </c>
      <c r="G907" t="s">
        <v>1841</v>
      </c>
      <c r="H907" t="s">
        <v>1842</v>
      </c>
      <c r="I907" t="s">
        <v>51</v>
      </c>
      <c r="J907">
        <v>51442</v>
      </c>
      <c r="K907">
        <v>449</v>
      </c>
      <c r="L907" t="s">
        <v>21</v>
      </c>
      <c r="M907" s="1">
        <v>44258</v>
      </c>
      <c r="N907" t="s">
        <v>37</v>
      </c>
      <c r="O907" t="s">
        <v>43</v>
      </c>
      <c r="P907" t="str">
        <f t="shared" si="312"/>
        <v>P0906</v>
      </c>
      <c r="Q907" t="str">
        <f t="shared" si="308"/>
        <v>Nutrition</v>
      </c>
      <c r="R907">
        <f t="shared" si="309"/>
        <v>18</v>
      </c>
      <c r="S907" t="str">
        <f t="shared" ca="1" si="313"/>
        <v>No</v>
      </c>
      <c r="T907" t="str">
        <f t="shared" ca="1" si="314"/>
        <v>Mild</v>
      </c>
      <c r="U907" t="str">
        <f t="shared" ca="1" si="315"/>
        <v>Semi-Private</v>
      </c>
      <c r="V907" t="str">
        <f t="shared" si="316"/>
        <v>BED0906</v>
      </c>
      <c r="W907" t="str">
        <f t="shared" ca="1" si="317"/>
        <v>General</v>
      </c>
      <c r="X907" t="str">
        <f t="shared" si="318"/>
        <v>NUR006</v>
      </c>
      <c r="Y907" t="str">
        <f t="shared" ca="1" si="319"/>
        <v>Night</v>
      </c>
      <c r="Z907" t="str">
        <f t="shared" ca="1" si="320"/>
        <v>ECG Machine</v>
      </c>
      <c r="AA907" t="str">
        <f t="shared" ca="1" si="321"/>
        <v>In Use</v>
      </c>
      <c r="AB907" t="str">
        <f t="shared" ca="1" si="322"/>
        <v>Partially Paid</v>
      </c>
      <c r="AC907" t="str">
        <f t="shared" ca="1" si="323"/>
        <v>Credit Card</v>
      </c>
      <c r="AD907" t="str">
        <f t="shared" ca="1" si="324"/>
        <v>No</v>
      </c>
      <c r="AE907" t="str">
        <f t="shared" ca="1" si="325"/>
        <v>No</v>
      </c>
      <c r="AF907" t="str">
        <f t="shared" ca="1" si="326"/>
        <v>Transferred</v>
      </c>
      <c r="AG907" t="str">
        <f t="shared" ca="1" si="327"/>
        <v>West Coast</v>
      </c>
      <c r="AH907" t="str">
        <f t="shared" si="310"/>
        <v>February</v>
      </c>
      <c r="AI907">
        <f t="shared" si="311"/>
        <v>2021</v>
      </c>
      <c r="AJ907" t="str">
        <f t="shared" ca="1" si="328"/>
        <v>Occupied</v>
      </c>
      <c r="AK907">
        <f t="shared" ca="1" si="329"/>
        <v>2</v>
      </c>
    </row>
    <row r="908" spans="1:37" x14ac:dyDescent="0.3">
      <c r="A908" t="s">
        <v>5325</v>
      </c>
      <c r="B908">
        <v>57</v>
      </c>
      <c r="C908" t="s">
        <v>32</v>
      </c>
      <c r="D908" t="s">
        <v>52</v>
      </c>
      <c r="E908" t="s">
        <v>17</v>
      </c>
      <c r="F908" s="1">
        <v>45077</v>
      </c>
      <c r="G908" t="s">
        <v>1843</v>
      </c>
      <c r="H908" t="s">
        <v>1844</v>
      </c>
      <c r="I908" t="s">
        <v>20</v>
      </c>
      <c r="J908">
        <v>1821</v>
      </c>
      <c r="K908">
        <v>379</v>
      </c>
      <c r="L908" t="s">
        <v>29</v>
      </c>
      <c r="M908" s="1">
        <v>45102</v>
      </c>
      <c r="N908" t="s">
        <v>47</v>
      </c>
      <c r="O908" t="s">
        <v>31</v>
      </c>
      <c r="P908" t="str">
        <f t="shared" si="312"/>
        <v>P0907</v>
      </c>
      <c r="Q908" t="str">
        <f t="shared" si="308"/>
        <v>Oncology</v>
      </c>
      <c r="R908">
        <f t="shared" si="309"/>
        <v>25</v>
      </c>
      <c r="S908" t="str">
        <f t="shared" ca="1" si="313"/>
        <v>No</v>
      </c>
      <c r="T908" t="str">
        <f t="shared" ca="1" si="314"/>
        <v>Moderate</v>
      </c>
      <c r="U908" t="str">
        <f t="shared" ca="1" si="315"/>
        <v>Semi-Private</v>
      </c>
      <c r="V908" t="str">
        <f t="shared" si="316"/>
        <v>BED0907</v>
      </c>
      <c r="W908" t="str">
        <f t="shared" ca="1" si="317"/>
        <v>ICU</v>
      </c>
      <c r="X908" t="str">
        <f t="shared" si="318"/>
        <v>NUR007</v>
      </c>
      <c r="Y908" t="str">
        <f t="shared" ca="1" si="319"/>
        <v>Morning</v>
      </c>
      <c r="Z908" t="str">
        <f t="shared" ca="1" si="320"/>
        <v>Ultrasound</v>
      </c>
      <c r="AA908" t="str">
        <f t="shared" ca="1" si="321"/>
        <v>Maintenance</v>
      </c>
      <c r="AB908" t="str">
        <f t="shared" ca="1" si="322"/>
        <v>Partially Paid</v>
      </c>
      <c r="AC908" t="str">
        <f t="shared" ca="1" si="323"/>
        <v>Insurance</v>
      </c>
      <c r="AD908" t="str">
        <f t="shared" ca="1" si="324"/>
        <v>No</v>
      </c>
      <c r="AE908" t="str">
        <f t="shared" ca="1" si="325"/>
        <v>No</v>
      </c>
      <c r="AF908" t="str">
        <f t="shared" ca="1" si="326"/>
        <v>Recovered</v>
      </c>
      <c r="AG908" t="str">
        <f t="shared" ca="1" si="327"/>
        <v>West Coast</v>
      </c>
      <c r="AH908" t="str">
        <f t="shared" si="310"/>
        <v>May</v>
      </c>
      <c r="AI908">
        <f t="shared" si="311"/>
        <v>2023</v>
      </c>
      <c r="AJ908" t="str">
        <f t="shared" ca="1" si="328"/>
        <v>Occupied</v>
      </c>
      <c r="AK908">
        <f t="shared" ca="1" si="329"/>
        <v>1</v>
      </c>
    </row>
    <row r="909" spans="1:37" x14ac:dyDescent="0.3">
      <c r="A909" t="s">
        <v>5326</v>
      </c>
      <c r="B909">
        <v>76</v>
      </c>
      <c r="C909" t="s">
        <v>15</v>
      </c>
      <c r="D909" t="s">
        <v>44</v>
      </c>
      <c r="E909" t="s">
        <v>76</v>
      </c>
      <c r="F909" s="1">
        <v>43848</v>
      </c>
      <c r="G909" t="s">
        <v>738</v>
      </c>
      <c r="H909" t="s">
        <v>1845</v>
      </c>
      <c r="I909" t="s">
        <v>36</v>
      </c>
      <c r="J909">
        <v>23857</v>
      </c>
      <c r="K909">
        <v>214</v>
      </c>
      <c r="L909" t="s">
        <v>21</v>
      </c>
      <c r="M909" s="1">
        <v>43856</v>
      </c>
      <c r="N909" t="s">
        <v>22</v>
      </c>
      <c r="O909" t="s">
        <v>31</v>
      </c>
      <c r="P909" t="str">
        <f t="shared" si="312"/>
        <v>P0908</v>
      </c>
      <c r="Q909" t="str">
        <f t="shared" si="308"/>
        <v>Orthopedics</v>
      </c>
      <c r="R909">
        <f t="shared" si="309"/>
        <v>8</v>
      </c>
      <c r="S909" t="str">
        <f t="shared" ca="1" si="313"/>
        <v>No</v>
      </c>
      <c r="T909" t="str">
        <f t="shared" ca="1" si="314"/>
        <v>Moderate</v>
      </c>
      <c r="U909" t="str">
        <f t="shared" ca="1" si="315"/>
        <v>Semi-Private</v>
      </c>
      <c r="V909" t="str">
        <f t="shared" si="316"/>
        <v>BED0908</v>
      </c>
      <c r="W909" t="str">
        <f t="shared" ca="1" si="317"/>
        <v>General</v>
      </c>
      <c r="X909" t="str">
        <f t="shared" si="318"/>
        <v>NUR008</v>
      </c>
      <c r="Y909" t="str">
        <f t="shared" ca="1" si="319"/>
        <v>Night</v>
      </c>
      <c r="Z909" t="str">
        <f t="shared" ca="1" si="320"/>
        <v>X-Ray</v>
      </c>
      <c r="AA909" t="str">
        <f t="shared" ca="1" si="321"/>
        <v>Available</v>
      </c>
      <c r="AB909" t="str">
        <f t="shared" ca="1" si="322"/>
        <v>Paid</v>
      </c>
      <c r="AC909" t="str">
        <f t="shared" ca="1" si="323"/>
        <v>Credit Card</v>
      </c>
      <c r="AD909" t="str">
        <f t="shared" ca="1" si="324"/>
        <v>Yes</v>
      </c>
      <c r="AE909" t="str">
        <f t="shared" ca="1" si="325"/>
        <v>No</v>
      </c>
      <c r="AF909" t="str">
        <f t="shared" ca="1" si="326"/>
        <v>Under Observation</v>
      </c>
      <c r="AG909" t="str">
        <f t="shared" ca="1" si="327"/>
        <v>Southwest</v>
      </c>
      <c r="AH909" t="str">
        <f t="shared" si="310"/>
        <v>January</v>
      </c>
      <c r="AI909">
        <f t="shared" si="311"/>
        <v>2020</v>
      </c>
      <c r="AJ909" t="str">
        <f t="shared" ca="1" si="328"/>
        <v>Occupied</v>
      </c>
      <c r="AK909">
        <f t="shared" ca="1" si="329"/>
        <v>2</v>
      </c>
    </row>
    <row r="910" spans="1:37" x14ac:dyDescent="0.3">
      <c r="A910" t="s">
        <v>1819</v>
      </c>
      <c r="B910">
        <v>53</v>
      </c>
      <c r="C910" t="s">
        <v>32</v>
      </c>
      <c r="D910" t="s">
        <v>16</v>
      </c>
      <c r="E910" t="s">
        <v>17</v>
      </c>
      <c r="F910" s="1">
        <v>44062</v>
      </c>
      <c r="G910" t="s">
        <v>1846</v>
      </c>
      <c r="H910" t="s">
        <v>1847</v>
      </c>
      <c r="I910" t="s">
        <v>57</v>
      </c>
      <c r="J910">
        <v>4796</v>
      </c>
      <c r="K910">
        <v>152</v>
      </c>
      <c r="L910" t="s">
        <v>21</v>
      </c>
      <c r="M910" s="1">
        <v>44071</v>
      </c>
      <c r="N910" t="s">
        <v>47</v>
      </c>
      <c r="O910" t="s">
        <v>43</v>
      </c>
      <c r="P910" t="str">
        <f t="shared" si="312"/>
        <v>P0909</v>
      </c>
      <c r="Q910" t="str">
        <f t="shared" si="308"/>
        <v>Oncology</v>
      </c>
      <c r="R910">
        <f t="shared" si="309"/>
        <v>9</v>
      </c>
      <c r="S910" t="str">
        <f t="shared" ca="1" si="313"/>
        <v>No</v>
      </c>
      <c r="T910" t="str">
        <f t="shared" ca="1" si="314"/>
        <v>Critical</v>
      </c>
      <c r="U910" t="str">
        <f t="shared" ca="1" si="315"/>
        <v>General Ward</v>
      </c>
      <c r="V910" t="str">
        <f t="shared" si="316"/>
        <v>BED0909</v>
      </c>
      <c r="W910" t="str">
        <f t="shared" ca="1" si="317"/>
        <v>Semi-Private</v>
      </c>
      <c r="X910" t="str">
        <f t="shared" si="318"/>
        <v>NUR009</v>
      </c>
      <c r="Y910" t="str">
        <f t="shared" ca="1" si="319"/>
        <v>Morning</v>
      </c>
      <c r="Z910" t="str">
        <f t="shared" ca="1" si="320"/>
        <v>X-Ray</v>
      </c>
      <c r="AA910" t="str">
        <f t="shared" ca="1" si="321"/>
        <v>In Use</v>
      </c>
      <c r="AB910" t="str">
        <f t="shared" ca="1" si="322"/>
        <v>Partially Paid</v>
      </c>
      <c r="AC910" t="str">
        <f t="shared" ca="1" si="323"/>
        <v>Credit Card</v>
      </c>
      <c r="AD910" t="str">
        <f t="shared" ca="1" si="324"/>
        <v>No</v>
      </c>
      <c r="AE910" t="str">
        <f t="shared" ca="1" si="325"/>
        <v>No</v>
      </c>
      <c r="AF910" t="str">
        <f t="shared" ca="1" si="326"/>
        <v>Transferred</v>
      </c>
      <c r="AG910" t="str">
        <f t="shared" ca="1" si="327"/>
        <v>Northeast</v>
      </c>
      <c r="AH910" t="str">
        <f t="shared" si="310"/>
        <v>August</v>
      </c>
      <c r="AI910">
        <f t="shared" si="311"/>
        <v>2020</v>
      </c>
      <c r="AJ910" t="str">
        <f t="shared" ca="1" si="328"/>
        <v>Vacant</v>
      </c>
      <c r="AK910">
        <f t="shared" ca="1" si="329"/>
        <v>2</v>
      </c>
    </row>
    <row r="911" spans="1:37" x14ac:dyDescent="0.3">
      <c r="A911" t="s">
        <v>5327</v>
      </c>
      <c r="B911">
        <v>45</v>
      </c>
      <c r="C911" t="s">
        <v>15</v>
      </c>
      <c r="D911" t="s">
        <v>33</v>
      </c>
      <c r="E911" t="s">
        <v>39</v>
      </c>
      <c r="F911" s="1">
        <v>44919</v>
      </c>
      <c r="G911" t="s">
        <v>1848</v>
      </c>
      <c r="H911" t="s">
        <v>1849</v>
      </c>
      <c r="I911" t="s">
        <v>51</v>
      </c>
      <c r="J911">
        <v>25501</v>
      </c>
      <c r="K911">
        <v>415</v>
      </c>
      <c r="L911" t="s">
        <v>29</v>
      </c>
      <c r="M911" s="1">
        <v>44948</v>
      </c>
      <c r="N911" t="s">
        <v>30</v>
      </c>
      <c r="O911" t="s">
        <v>23</v>
      </c>
      <c r="P911" t="str">
        <f t="shared" si="312"/>
        <v>P0910</v>
      </c>
      <c r="Q911" t="str">
        <f t="shared" si="308"/>
        <v>Endocrinology</v>
      </c>
      <c r="R911">
        <f t="shared" si="309"/>
        <v>29</v>
      </c>
      <c r="S911" t="str">
        <f t="shared" ca="1" si="313"/>
        <v>No</v>
      </c>
      <c r="T911" t="str">
        <f t="shared" ca="1" si="314"/>
        <v>Moderate</v>
      </c>
      <c r="U911" t="str">
        <f t="shared" ca="1" si="315"/>
        <v>Semi-Private</v>
      </c>
      <c r="V911" t="str">
        <f t="shared" si="316"/>
        <v>BED0910</v>
      </c>
      <c r="W911" t="str">
        <f t="shared" ca="1" si="317"/>
        <v>Private</v>
      </c>
      <c r="X911" t="str">
        <f t="shared" si="318"/>
        <v>NUR010</v>
      </c>
      <c r="Y911" t="str">
        <f t="shared" ca="1" si="319"/>
        <v>Evening</v>
      </c>
      <c r="Z911" t="str">
        <f t="shared" ca="1" si="320"/>
        <v>ECG Machine</v>
      </c>
      <c r="AA911" t="str">
        <f t="shared" ca="1" si="321"/>
        <v>In Use</v>
      </c>
      <c r="AB911" t="str">
        <f t="shared" ca="1" si="322"/>
        <v>Pending</v>
      </c>
      <c r="AC911" t="str">
        <f t="shared" ca="1" si="323"/>
        <v>Debit Card</v>
      </c>
      <c r="AD911" t="str">
        <f t="shared" ca="1" si="324"/>
        <v>Yes</v>
      </c>
      <c r="AE911" t="str">
        <f t="shared" ca="1" si="325"/>
        <v>No</v>
      </c>
      <c r="AF911" t="str">
        <f t="shared" ca="1" si="326"/>
        <v>Under Observation</v>
      </c>
      <c r="AG911" t="str">
        <f t="shared" ca="1" si="327"/>
        <v>Northeast</v>
      </c>
      <c r="AH911" t="str">
        <f t="shared" si="310"/>
        <v>December</v>
      </c>
      <c r="AI911">
        <f t="shared" si="311"/>
        <v>2022</v>
      </c>
      <c r="AJ911" t="str">
        <f t="shared" ca="1" si="328"/>
        <v>Occupied</v>
      </c>
      <c r="AK911">
        <f t="shared" ca="1" si="329"/>
        <v>1</v>
      </c>
    </row>
    <row r="912" spans="1:37" x14ac:dyDescent="0.3">
      <c r="A912" t="s">
        <v>5328</v>
      </c>
      <c r="B912">
        <v>21</v>
      </c>
      <c r="C912" t="s">
        <v>32</v>
      </c>
      <c r="D912" t="s">
        <v>38</v>
      </c>
      <c r="E912" t="s">
        <v>48</v>
      </c>
      <c r="F912" s="1">
        <v>44079</v>
      </c>
      <c r="G912" t="s">
        <v>1850</v>
      </c>
      <c r="H912" t="s">
        <v>1851</v>
      </c>
      <c r="I912" t="s">
        <v>36</v>
      </c>
      <c r="J912">
        <v>10838</v>
      </c>
      <c r="K912">
        <v>261</v>
      </c>
      <c r="L912" t="s">
        <v>29</v>
      </c>
      <c r="M912" s="1">
        <v>44099</v>
      </c>
      <c r="N912" t="s">
        <v>37</v>
      </c>
      <c r="O912" t="s">
        <v>23</v>
      </c>
      <c r="P912" t="str">
        <f t="shared" si="312"/>
        <v>P0911</v>
      </c>
      <c r="Q912" t="str">
        <f t="shared" si="308"/>
        <v>Pulmonology</v>
      </c>
      <c r="R912">
        <f t="shared" si="309"/>
        <v>20</v>
      </c>
      <c r="S912" t="str">
        <f t="shared" ca="1" si="313"/>
        <v>Yes</v>
      </c>
      <c r="T912" t="str">
        <f t="shared" ca="1" si="314"/>
        <v>Critical</v>
      </c>
      <c r="U912" t="str">
        <f t="shared" ca="1" si="315"/>
        <v>General Ward</v>
      </c>
      <c r="V912" t="str">
        <f t="shared" si="316"/>
        <v>BED0911</v>
      </c>
      <c r="W912" t="str">
        <f t="shared" ca="1" si="317"/>
        <v>Semi-Private</v>
      </c>
      <c r="X912" t="str">
        <f t="shared" si="318"/>
        <v>NUR011</v>
      </c>
      <c r="Y912" t="str">
        <f t="shared" ca="1" si="319"/>
        <v>Night</v>
      </c>
      <c r="Z912" t="str">
        <f t="shared" ca="1" si="320"/>
        <v>Ultrasound</v>
      </c>
      <c r="AA912" t="str">
        <f t="shared" ca="1" si="321"/>
        <v>In Use</v>
      </c>
      <c r="AB912" t="str">
        <f t="shared" ca="1" si="322"/>
        <v>Partially Paid</v>
      </c>
      <c r="AC912" t="str">
        <f t="shared" ca="1" si="323"/>
        <v>Credit Card</v>
      </c>
      <c r="AD912" t="str">
        <f t="shared" ca="1" si="324"/>
        <v>No</v>
      </c>
      <c r="AE912" t="str">
        <f t="shared" ca="1" si="325"/>
        <v>No</v>
      </c>
      <c r="AF912" t="str">
        <f t="shared" ca="1" si="326"/>
        <v>Transferred</v>
      </c>
      <c r="AG912" t="str">
        <f t="shared" ca="1" si="327"/>
        <v>West Coast</v>
      </c>
      <c r="AH912" t="str">
        <f t="shared" si="310"/>
        <v>September</v>
      </c>
      <c r="AI912">
        <f t="shared" si="311"/>
        <v>2020</v>
      </c>
      <c r="AJ912" t="str">
        <f t="shared" ca="1" si="328"/>
        <v>Vacant</v>
      </c>
      <c r="AK912">
        <f t="shared" ca="1" si="329"/>
        <v>2</v>
      </c>
    </row>
    <row r="913" spans="1:37" x14ac:dyDescent="0.3">
      <c r="A913" t="s">
        <v>5329</v>
      </c>
      <c r="B913">
        <v>64</v>
      </c>
      <c r="C913" t="s">
        <v>15</v>
      </c>
      <c r="D913" t="s">
        <v>33</v>
      </c>
      <c r="E913" t="s">
        <v>76</v>
      </c>
      <c r="F913" s="1">
        <v>44814</v>
      </c>
      <c r="G913" t="s">
        <v>1852</v>
      </c>
      <c r="H913" t="s">
        <v>1853</v>
      </c>
      <c r="I913" t="s">
        <v>36</v>
      </c>
      <c r="J913">
        <v>46837</v>
      </c>
      <c r="K913">
        <v>234</v>
      </c>
      <c r="L913" t="s">
        <v>42</v>
      </c>
      <c r="M913" s="1">
        <v>44826</v>
      </c>
      <c r="N913" t="s">
        <v>22</v>
      </c>
      <c r="O913" t="s">
        <v>23</v>
      </c>
      <c r="P913" t="str">
        <f t="shared" si="312"/>
        <v>P0912</v>
      </c>
      <c r="Q913" t="str">
        <f t="shared" si="308"/>
        <v>Orthopedics</v>
      </c>
      <c r="R913">
        <f t="shared" si="309"/>
        <v>12</v>
      </c>
      <c r="S913" t="str">
        <f t="shared" ca="1" si="313"/>
        <v>No</v>
      </c>
      <c r="T913" t="str">
        <f t="shared" ca="1" si="314"/>
        <v>Mild</v>
      </c>
      <c r="U913" t="str">
        <f t="shared" ca="1" si="315"/>
        <v>Emergency</v>
      </c>
      <c r="V913" t="str">
        <f t="shared" si="316"/>
        <v>BED0912</v>
      </c>
      <c r="W913" t="str">
        <f t="shared" ca="1" si="317"/>
        <v>Private</v>
      </c>
      <c r="X913" t="str">
        <f t="shared" si="318"/>
        <v>NUR012</v>
      </c>
      <c r="Y913" t="str">
        <f t="shared" ca="1" si="319"/>
        <v>Night</v>
      </c>
      <c r="Z913" t="str">
        <f t="shared" ca="1" si="320"/>
        <v>ECG Machine</v>
      </c>
      <c r="AA913" t="str">
        <f t="shared" ca="1" si="321"/>
        <v>In Use</v>
      </c>
      <c r="AB913" t="str">
        <f t="shared" ca="1" si="322"/>
        <v>Partially Paid</v>
      </c>
      <c r="AC913" t="str">
        <f t="shared" ca="1" si="323"/>
        <v>Debit Card</v>
      </c>
      <c r="AD913" t="str">
        <f t="shared" ca="1" si="324"/>
        <v>No</v>
      </c>
      <c r="AE913" t="str">
        <f t="shared" ca="1" si="325"/>
        <v>No</v>
      </c>
      <c r="AF913" t="str">
        <f t="shared" ca="1" si="326"/>
        <v>Transferred</v>
      </c>
      <c r="AG913" t="str">
        <f t="shared" ca="1" si="327"/>
        <v>Southwest</v>
      </c>
      <c r="AH913" t="str">
        <f t="shared" si="310"/>
        <v>September</v>
      </c>
      <c r="AI913">
        <f t="shared" si="311"/>
        <v>2022</v>
      </c>
      <c r="AJ913" t="str">
        <f t="shared" ca="1" si="328"/>
        <v>Occupied</v>
      </c>
      <c r="AK913">
        <f t="shared" ca="1" si="329"/>
        <v>1</v>
      </c>
    </row>
    <row r="914" spans="1:37" x14ac:dyDescent="0.3">
      <c r="A914" t="s">
        <v>5330</v>
      </c>
      <c r="B914">
        <v>71</v>
      </c>
      <c r="C914" t="s">
        <v>15</v>
      </c>
      <c r="D914" t="s">
        <v>52</v>
      </c>
      <c r="E914" t="s">
        <v>39</v>
      </c>
      <c r="F914" s="1">
        <v>44312</v>
      </c>
      <c r="G914" t="s">
        <v>1854</v>
      </c>
      <c r="H914" t="s">
        <v>1855</v>
      </c>
      <c r="I914" t="s">
        <v>51</v>
      </c>
      <c r="J914">
        <v>11426</v>
      </c>
      <c r="K914">
        <v>169</v>
      </c>
      <c r="L914" t="s">
        <v>29</v>
      </c>
      <c r="M914" s="1">
        <v>44320</v>
      </c>
      <c r="N914" t="s">
        <v>37</v>
      </c>
      <c r="O914" t="s">
        <v>43</v>
      </c>
      <c r="P914" t="str">
        <f t="shared" si="312"/>
        <v>P0913</v>
      </c>
      <c r="Q914" t="str">
        <f t="shared" si="308"/>
        <v>Endocrinology</v>
      </c>
      <c r="R914">
        <f t="shared" si="309"/>
        <v>8</v>
      </c>
      <c r="S914" t="str">
        <f t="shared" ca="1" si="313"/>
        <v>No</v>
      </c>
      <c r="T914" t="str">
        <f t="shared" ca="1" si="314"/>
        <v>Severe</v>
      </c>
      <c r="U914" t="str">
        <f t="shared" ca="1" si="315"/>
        <v>ICU</v>
      </c>
      <c r="V914" t="str">
        <f t="shared" si="316"/>
        <v>BED0913</v>
      </c>
      <c r="W914" t="str">
        <f t="shared" ca="1" si="317"/>
        <v>Private</v>
      </c>
      <c r="X914" t="str">
        <f t="shared" si="318"/>
        <v>NUR013</v>
      </c>
      <c r="Y914" t="str">
        <f t="shared" ca="1" si="319"/>
        <v>Evening</v>
      </c>
      <c r="Z914" t="str">
        <f t="shared" ca="1" si="320"/>
        <v>ECG Machine</v>
      </c>
      <c r="AA914" t="str">
        <f t="shared" ca="1" si="321"/>
        <v>Available</v>
      </c>
      <c r="AB914" t="str">
        <f t="shared" ca="1" si="322"/>
        <v>Paid</v>
      </c>
      <c r="AC914" t="str">
        <f t="shared" ca="1" si="323"/>
        <v>Credit Card</v>
      </c>
      <c r="AD914" t="str">
        <f t="shared" ca="1" si="324"/>
        <v>No</v>
      </c>
      <c r="AE914" t="str">
        <f t="shared" ca="1" si="325"/>
        <v>Yes</v>
      </c>
      <c r="AF914" t="str">
        <f t="shared" ca="1" si="326"/>
        <v>Recovered</v>
      </c>
      <c r="AG914" t="str">
        <f t="shared" ca="1" si="327"/>
        <v>Northeast</v>
      </c>
      <c r="AH914" t="str">
        <f t="shared" si="310"/>
        <v>April</v>
      </c>
      <c r="AI914">
        <f t="shared" si="311"/>
        <v>2021</v>
      </c>
      <c r="AJ914" t="str">
        <f t="shared" ca="1" si="328"/>
        <v>Vacant</v>
      </c>
      <c r="AK914">
        <f t="shared" ca="1" si="329"/>
        <v>1</v>
      </c>
    </row>
    <row r="915" spans="1:37" x14ac:dyDescent="0.3">
      <c r="A915" t="s">
        <v>5331</v>
      </c>
      <c r="B915">
        <v>28</v>
      </c>
      <c r="C915" t="s">
        <v>32</v>
      </c>
      <c r="D915" t="s">
        <v>98</v>
      </c>
      <c r="E915" t="s">
        <v>39</v>
      </c>
      <c r="F915" s="1">
        <v>45311</v>
      </c>
      <c r="G915" t="s">
        <v>1856</v>
      </c>
      <c r="H915" t="s">
        <v>1857</v>
      </c>
      <c r="I915" t="s">
        <v>57</v>
      </c>
      <c r="J915">
        <v>20591</v>
      </c>
      <c r="K915">
        <v>105</v>
      </c>
      <c r="L915" t="s">
        <v>21</v>
      </c>
      <c r="M915" s="1">
        <v>45319</v>
      </c>
      <c r="N915" t="s">
        <v>47</v>
      </c>
      <c r="O915" t="s">
        <v>23</v>
      </c>
      <c r="P915" t="str">
        <f t="shared" si="312"/>
        <v>P0914</v>
      </c>
      <c r="Q915" t="str">
        <f t="shared" si="308"/>
        <v>Endocrinology</v>
      </c>
      <c r="R915">
        <f t="shared" si="309"/>
        <v>8</v>
      </c>
      <c r="S915" t="str">
        <f t="shared" ca="1" si="313"/>
        <v>No</v>
      </c>
      <c r="T915" t="str">
        <f t="shared" ca="1" si="314"/>
        <v>Mild</v>
      </c>
      <c r="U915" t="str">
        <f t="shared" ca="1" si="315"/>
        <v>Semi-Private</v>
      </c>
      <c r="V915" t="str">
        <f t="shared" si="316"/>
        <v>BED0914</v>
      </c>
      <c r="W915" t="str">
        <f t="shared" ca="1" si="317"/>
        <v>Semi-Private</v>
      </c>
      <c r="X915" t="str">
        <f t="shared" si="318"/>
        <v>NUR014</v>
      </c>
      <c r="Y915" t="str">
        <f t="shared" ca="1" si="319"/>
        <v>Night</v>
      </c>
      <c r="Z915" t="str">
        <f t="shared" ca="1" si="320"/>
        <v>MRI Scanner</v>
      </c>
      <c r="AA915" t="str">
        <f t="shared" ca="1" si="321"/>
        <v>In Use</v>
      </c>
      <c r="AB915" t="str">
        <f t="shared" ca="1" si="322"/>
        <v>Pending</v>
      </c>
      <c r="AC915" t="str">
        <f t="shared" ca="1" si="323"/>
        <v>Credit Card</v>
      </c>
      <c r="AD915" t="str">
        <f t="shared" ca="1" si="324"/>
        <v>No</v>
      </c>
      <c r="AE915" t="str">
        <f t="shared" ca="1" si="325"/>
        <v>No</v>
      </c>
      <c r="AF915" t="str">
        <f t="shared" ca="1" si="326"/>
        <v>Transferred</v>
      </c>
      <c r="AG915" t="str">
        <f t="shared" ca="1" si="327"/>
        <v>Southwest</v>
      </c>
      <c r="AH915" t="str">
        <f t="shared" si="310"/>
        <v>January</v>
      </c>
      <c r="AI915">
        <f t="shared" si="311"/>
        <v>2024</v>
      </c>
      <c r="AJ915" t="str">
        <f t="shared" ca="1" si="328"/>
        <v>Occupied</v>
      </c>
      <c r="AK915">
        <f t="shared" ca="1" si="329"/>
        <v>1</v>
      </c>
    </row>
    <row r="916" spans="1:37" x14ac:dyDescent="0.3">
      <c r="A916" t="s">
        <v>5332</v>
      </c>
      <c r="B916">
        <v>79</v>
      </c>
      <c r="C916" t="s">
        <v>15</v>
      </c>
      <c r="D916" t="s">
        <v>33</v>
      </c>
      <c r="E916" t="s">
        <v>64</v>
      </c>
      <c r="F916" s="1">
        <v>44260</v>
      </c>
      <c r="G916" t="s">
        <v>1858</v>
      </c>
      <c r="H916" t="s">
        <v>1859</v>
      </c>
      <c r="I916" t="s">
        <v>36</v>
      </c>
      <c r="J916">
        <v>28100</v>
      </c>
      <c r="K916">
        <v>349</v>
      </c>
      <c r="L916" t="s">
        <v>29</v>
      </c>
      <c r="M916" s="1">
        <v>44270</v>
      </c>
      <c r="N916" t="s">
        <v>67</v>
      </c>
      <c r="O916" t="s">
        <v>23</v>
      </c>
      <c r="P916" t="str">
        <f t="shared" si="312"/>
        <v>P0915</v>
      </c>
      <c r="Q916" t="str">
        <f t="shared" si="308"/>
        <v>Cardiology</v>
      </c>
      <c r="R916">
        <f t="shared" si="309"/>
        <v>10</v>
      </c>
      <c r="S916" t="str">
        <f t="shared" ca="1" si="313"/>
        <v>Yes</v>
      </c>
      <c r="T916" t="str">
        <f t="shared" ca="1" si="314"/>
        <v>Moderate</v>
      </c>
      <c r="U916" t="str">
        <f t="shared" ca="1" si="315"/>
        <v>ICU</v>
      </c>
      <c r="V916" t="str">
        <f t="shared" si="316"/>
        <v>BED0915</v>
      </c>
      <c r="W916" t="str">
        <f t="shared" ca="1" si="317"/>
        <v>Semi-Private</v>
      </c>
      <c r="X916" t="str">
        <f t="shared" si="318"/>
        <v>NUR015</v>
      </c>
      <c r="Y916" t="str">
        <f t="shared" ca="1" si="319"/>
        <v>Morning</v>
      </c>
      <c r="Z916" t="str">
        <f t="shared" ca="1" si="320"/>
        <v>MRI Scanner</v>
      </c>
      <c r="AA916" t="str">
        <f t="shared" ca="1" si="321"/>
        <v>Available</v>
      </c>
      <c r="AB916" t="str">
        <f t="shared" ca="1" si="322"/>
        <v>Paid</v>
      </c>
      <c r="AC916" t="str">
        <f t="shared" ca="1" si="323"/>
        <v>Insurance</v>
      </c>
      <c r="AD916" t="str">
        <f t="shared" ca="1" si="324"/>
        <v>No</v>
      </c>
      <c r="AE916" t="str">
        <f t="shared" ca="1" si="325"/>
        <v>Yes</v>
      </c>
      <c r="AF916" t="str">
        <f t="shared" ca="1" si="326"/>
        <v>Under Observation</v>
      </c>
      <c r="AG916" t="str">
        <f t="shared" ca="1" si="327"/>
        <v>West Coast</v>
      </c>
      <c r="AH916" t="str">
        <f t="shared" si="310"/>
        <v>March</v>
      </c>
      <c r="AI916">
        <f t="shared" si="311"/>
        <v>2021</v>
      </c>
      <c r="AJ916" t="str">
        <f t="shared" ca="1" si="328"/>
        <v>Vacant</v>
      </c>
      <c r="AK916">
        <f t="shared" ca="1" si="329"/>
        <v>4</v>
      </c>
    </row>
    <row r="917" spans="1:37" x14ac:dyDescent="0.3">
      <c r="A917" t="s">
        <v>5333</v>
      </c>
      <c r="B917">
        <v>40</v>
      </c>
      <c r="C917" t="s">
        <v>15</v>
      </c>
      <c r="D917" t="s">
        <v>38</v>
      </c>
      <c r="E917" t="s">
        <v>76</v>
      </c>
      <c r="F917" s="1">
        <v>44192</v>
      </c>
      <c r="G917" t="s">
        <v>1860</v>
      </c>
      <c r="H917" t="s">
        <v>1177</v>
      </c>
      <c r="I917" t="s">
        <v>57</v>
      </c>
      <c r="J917">
        <v>33189</v>
      </c>
      <c r="K917">
        <v>107</v>
      </c>
      <c r="L917" t="s">
        <v>21</v>
      </c>
      <c r="M917" s="1">
        <v>44219</v>
      </c>
      <c r="N917" t="s">
        <v>47</v>
      </c>
      <c r="O917" t="s">
        <v>43</v>
      </c>
      <c r="P917" t="str">
        <f t="shared" si="312"/>
        <v>P0916</v>
      </c>
      <c r="Q917" t="str">
        <f t="shared" si="308"/>
        <v>Orthopedics</v>
      </c>
      <c r="R917">
        <f t="shared" si="309"/>
        <v>27</v>
      </c>
      <c r="S917" t="str">
        <f t="shared" ca="1" si="313"/>
        <v>No</v>
      </c>
      <c r="T917" t="str">
        <f t="shared" ca="1" si="314"/>
        <v>Critical</v>
      </c>
      <c r="U917" t="str">
        <f t="shared" ca="1" si="315"/>
        <v>Emergency</v>
      </c>
      <c r="V917" t="str">
        <f t="shared" si="316"/>
        <v>BED0916</v>
      </c>
      <c r="W917" t="str">
        <f t="shared" ca="1" si="317"/>
        <v>General</v>
      </c>
      <c r="X917" t="str">
        <f t="shared" si="318"/>
        <v>NUR016</v>
      </c>
      <c r="Y917" t="str">
        <f t="shared" ca="1" si="319"/>
        <v>Night</v>
      </c>
      <c r="Z917" t="str">
        <f t="shared" ca="1" si="320"/>
        <v>Ultrasound</v>
      </c>
      <c r="AA917" t="str">
        <f t="shared" ca="1" si="321"/>
        <v>In Use</v>
      </c>
      <c r="AB917" t="str">
        <f t="shared" ca="1" si="322"/>
        <v>Pending</v>
      </c>
      <c r="AC917" t="str">
        <f t="shared" ca="1" si="323"/>
        <v>Cash</v>
      </c>
      <c r="AD917" t="str">
        <f t="shared" ca="1" si="324"/>
        <v>Yes</v>
      </c>
      <c r="AE917" t="str">
        <f t="shared" ca="1" si="325"/>
        <v>No</v>
      </c>
      <c r="AF917" t="str">
        <f t="shared" ca="1" si="326"/>
        <v>Transferred</v>
      </c>
      <c r="AG917" t="str">
        <f t="shared" ca="1" si="327"/>
        <v>Midwest</v>
      </c>
      <c r="AH917" t="str">
        <f t="shared" si="310"/>
        <v>December</v>
      </c>
      <c r="AI917">
        <f t="shared" si="311"/>
        <v>2020</v>
      </c>
      <c r="AJ917" t="str">
        <f t="shared" ca="1" si="328"/>
        <v>Vacant</v>
      </c>
      <c r="AK917">
        <f t="shared" ca="1" si="329"/>
        <v>1</v>
      </c>
    </row>
    <row r="918" spans="1:37" x14ac:dyDescent="0.3">
      <c r="A918" t="s">
        <v>5334</v>
      </c>
      <c r="B918">
        <v>50</v>
      </c>
      <c r="C918" t="s">
        <v>32</v>
      </c>
      <c r="D918" t="s">
        <v>44</v>
      </c>
      <c r="E918" t="s">
        <v>48</v>
      </c>
      <c r="F918" s="1">
        <v>44461</v>
      </c>
      <c r="G918" t="s">
        <v>1861</v>
      </c>
      <c r="H918" t="s">
        <v>1862</v>
      </c>
      <c r="I918" t="s">
        <v>51</v>
      </c>
      <c r="J918">
        <v>47130</v>
      </c>
      <c r="K918">
        <v>311</v>
      </c>
      <c r="L918" t="s">
        <v>21</v>
      </c>
      <c r="M918" s="1">
        <v>44484</v>
      </c>
      <c r="N918" t="s">
        <v>67</v>
      </c>
      <c r="O918" t="s">
        <v>43</v>
      </c>
      <c r="P918" t="str">
        <f t="shared" si="312"/>
        <v>P0917</v>
      </c>
      <c r="Q918" t="str">
        <f t="shared" si="308"/>
        <v>Pulmonology</v>
      </c>
      <c r="R918">
        <f t="shared" si="309"/>
        <v>23</v>
      </c>
      <c r="S918" t="str">
        <f t="shared" ca="1" si="313"/>
        <v>No</v>
      </c>
      <c r="T918" t="str">
        <f t="shared" ca="1" si="314"/>
        <v>Moderate</v>
      </c>
      <c r="U918" t="str">
        <f t="shared" ca="1" si="315"/>
        <v>Emergency</v>
      </c>
      <c r="V918" t="str">
        <f t="shared" si="316"/>
        <v>BED0917</v>
      </c>
      <c r="W918" t="str">
        <f t="shared" ca="1" si="317"/>
        <v>Private</v>
      </c>
      <c r="X918" t="str">
        <f t="shared" si="318"/>
        <v>NUR017</v>
      </c>
      <c r="Y918" t="str">
        <f t="shared" ca="1" si="319"/>
        <v>Evening</v>
      </c>
      <c r="Z918" t="str">
        <f t="shared" ca="1" si="320"/>
        <v>CT Scanner</v>
      </c>
      <c r="AA918" t="str">
        <f t="shared" ca="1" si="321"/>
        <v>In Use</v>
      </c>
      <c r="AB918" t="str">
        <f t="shared" ca="1" si="322"/>
        <v>Paid</v>
      </c>
      <c r="AC918" t="str">
        <f t="shared" ca="1" si="323"/>
        <v>Credit Card</v>
      </c>
      <c r="AD918" t="str">
        <f t="shared" ca="1" si="324"/>
        <v>No</v>
      </c>
      <c r="AE918" t="str">
        <f t="shared" ca="1" si="325"/>
        <v>No</v>
      </c>
      <c r="AF918" t="str">
        <f t="shared" ca="1" si="326"/>
        <v>Transferred</v>
      </c>
      <c r="AG918" t="str">
        <f t="shared" ca="1" si="327"/>
        <v>Midwest</v>
      </c>
      <c r="AH918" t="str">
        <f t="shared" si="310"/>
        <v>September</v>
      </c>
      <c r="AI918">
        <f t="shared" si="311"/>
        <v>2021</v>
      </c>
      <c r="AJ918" t="str">
        <f t="shared" ca="1" si="328"/>
        <v>Occupied</v>
      </c>
      <c r="AK918">
        <f t="shared" ca="1" si="329"/>
        <v>2</v>
      </c>
    </row>
    <row r="919" spans="1:37" x14ac:dyDescent="0.3">
      <c r="A919" t="s">
        <v>5335</v>
      </c>
      <c r="B919">
        <v>64</v>
      </c>
      <c r="C919" t="s">
        <v>32</v>
      </c>
      <c r="D919" t="s">
        <v>16</v>
      </c>
      <c r="E919" t="s">
        <v>17</v>
      </c>
      <c r="F919" s="1">
        <v>45047</v>
      </c>
      <c r="G919" t="s">
        <v>1863</v>
      </c>
      <c r="H919" t="s">
        <v>1864</v>
      </c>
      <c r="I919" t="s">
        <v>57</v>
      </c>
      <c r="J919">
        <v>20362</v>
      </c>
      <c r="K919">
        <v>366</v>
      </c>
      <c r="L919" t="s">
        <v>21</v>
      </c>
      <c r="M919" s="1">
        <v>45077</v>
      </c>
      <c r="N919" t="s">
        <v>67</v>
      </c>
      <c r="O919" t="s">
        <v>43</v>
      </c>
      <c r="P919" t="str">
        <f t="shared" si="312"/>
        <v>P0918</v>
      </c>
      <c r="Q919" t="str">
        <f t="shared" si="308"/>
        <v>Oncology</v>
      </c>
      <c r="R919">
        <f t="shared" si="309"/>
        <v>30</v>
      </c>
      <c r="S919" t="str">
        <f t="shared" ca="1" si="313"/>
        <v>No</v>
      </c>
      <c r="T919" t="str">
        <f t="shared" ca="1" si="314"/>
        <v>Mild</v>
      </c>
      <c r="U919" t="str">
        <f t="shared" ca="1" si="315"/>
        <v>Emergency</v>
      </c>
      <c r="V919" t="str">
        <f t="shared" si="316"/>
        <v>BED0918</v>
      </c>
      <c r="W919" t="str">
        <f t="shared" ca="1" si="317"/>
        <v>ICU</v>
      </c>
      <c r="X919" t="str">
        <f t="shared" si="318"/>
        <v>NUR018</v>
      </c>
      <c r="Y919" t="str">
        <f t="shared" ca="1" si="319"/>
        <v>Morning</v>
      </c>
      <c r="Z919" t="str">
        <f t="shared" ca="1" si="320"/>
        <v>MRI Scanner</v>
      </c>
      <c r="AA919" t="str">
        <f t="shared" ca="1" si="321"/>
        <v>In Use</v>
      </c>
      <c r="AB919" t="str">
        <f t="shared" ca="1" si="322"/>
        <v>Pending</v>
      </c>
      <c r="AC919" t="str">
        <f t="shared" ca="1" si="323"/>
        <v>Debit Card</v>
      </c>
      <c r="AD919" t="str">
        <f t="shared" ca="1" si="324"/>
        <v>No</v>
      </c>
      <c r="AE919" t="str">
        <f t="shared" ca="1" si="325"/>
        <v>Yes</v>
      </c>
      <c r="AF919" t="str">
        <f t="shared" ca="1" si="326"/>
        <v>Transferred</v>
      </c>
      <c r="AG919" t="str">
        <f t="shared" ca="1" si="327"/>
        <v>Southwest</v>
      </c>
      <c r="AH919" t="str">
        <f t="shared" si="310"/>
        <v>May</v>
      </c>
      <c r="AI919">
        <f t="shared" si="311"/>
        <v>2023</v>
      </c>
      <c r="AJ919" t="str">
        <f t="shared" ca="1" si="328"/>
        <v>Occupied</v>
      </c>
      <c r="AK919">
        <f t="shared" ca="1" si="329"/>
        <v>1</v>
      </c>
    </row>
    <row r="920" spans="1:37" x14ac:dyDescent="0.3">
      <c r="A920" t="s">
        <v>1602</v>
      </c>
      <c r="B920">
        <v>81</v>
      </c>
      <c r="C920" t="s">
        <v>15</v>
      </c>
      <c r="D920" t="s">
        <v>38</v>
      </c>
      <c r="E920" t="s">
        <v>25</v>
      </c>
      <c r="F920" s="1">
        <v>43597</v>
      </c>
      <c r="G920" t="s">
        <v>1865</v>
      </c>
      <c r="H920" t="s">
        <v>1866</v>
      </c>
      <c r="I920" t="s">
        <v>36</v>
      </c>
      <c r="J920">
        <v>11230</v>
      </c>
      <c r="K920">
        <v>425</v>
      </c>
      <c r="L920" t="s">
        <v>29</v>
      </c>
      <c r="M920" s="1">
        <v>43608</v>
      </c>
      <c r="N920" t="s">
        <v>47</v>
      </c>
      <c r="O920" t="s">
        <v>43</v>
      </c>
      <c r="P920" t="str">
        <f t="shared" si="312"/>
        <v>P0919</v>
      </c>
      <c r="Q920" t="str">
        <f t="shared" si="308"/>
        <v>Nutrition</v>
      </c>
      <c r="R920">
        <f t="shared" si="309"/>
        <v>11</v>
      </c>
      <c r="S920" t="str">
        <f t="shared" ca="1" si="313"/>
        <v>No</v>
      </c>
      <c r="T920" t="str">
        <f t="shared" ca="1" si="314"/>
        <v>Mild</v>
      </c>
      <c r="U920" t="str">
        <f t="shared" ca="1" si="315"/>
        <v>Emergency</v>
      </c>
      <c r="V920" t="str">
        <f t="shared" si="316"/>
        <v>BED0919</v>
      </c>
      <c r="W920" t="str">
        <f t="shared" ca="1" si="317"/>
        <v>ICU</v>
      </c>
      <c r="X920" t="str">
        <f t="shared" si="318"/>
        <v>NUR019</v>
      </c>
      <c r="Y920" t="str">
        <f t="shared" ca="1" si="319"/>
        <v>Night</v>
      </c>
      <c r="Z920" t="str">
        <f t="shared" ca="1" si="320"/>
        <v>Ventilator</v>
      </c>
      <c r="AA920" t="str">
        <f t="shared" ca="1" si="321"/>
        <v>In Use</v>
      </c>
      <c r="AB920" t="str">
        <f t="shared" ca="1" si="322"/>
        <v>Pending</v>
      </c>
      <c r="AC920" t="str">
        <f t="shared" ca="1" si="323"/>
        <v>Debit Card</v>
      </c>
      <c r="AD920" t="str">
        <f t="shared" ca="1" si="324"/>
        <v>Yes</v>
      </c>
      <c r="AE920" t="str">
        <f t="shared" ca="1" si="325"/>
        <v>No</v>
      </c>
      <c r="AF920" t="str">
        <f t="shared" ca="1" si="326"/>
        <v>Transferred</v>
      </c>
      <c r="AG920" t="str">
        <f t="shared" ca="1" si="327"/>
        <v>Northeast</v>
      </c>
      <c r="AH920" t="str">
        <f t="shared" si="310"/>
        <v>May</v>
      </c>
      <c r="AI920">
        <f t="shared" si="311"/>
        <v>2019</v>
      </c>
      <c r="AJ920" t="str">
        <f t="shared" ca="1" si="328"/>
        <v>Occupied</v>
      </c>
      <c r="AK920">
        <f t="shared" ca="1" si="329"/>
        <v>1</v>
      </c>
    </row>
    <row r="921" spans="1:37" x14ac:dyDescent="0.3">
      <c r="A921" t="s">
        <v>5336</v>
      </c>
      <c r="B921">
        <v>52</v>
      </c>
      <c r="C921" t="s">
        <v>32</v>
      </c>
      <c r="D921" t="s">
        <v>38</v>
      </c>
      <c r="E921" t="s">
        <v>64</v>
      </c>
      <c r="F921" s="1">
        <v>44249</v>
      </c>
      <c r="G921" t="s">
        <v>1867</v>
      </c>
      <c r="H921" t="s">
        <v>1868</v>
      </c>
      <c r="I921" t="s">
        <v>28</v>
      </c>
      <c r="J921">
        <v>6969</v>
      </c>
      <c r="K921">
        <v>379</v>
      </c>
      <c r="L921" t="s">
        <v>29</v>
      </c>
      <c r="M921" s="1">
        <v>44270</v>
      </c>
      <c r="N921" t="s">
        <v>47</v>
      </c>
      <c r="O921" t="s">
        <v>23</v>
      </c>
      <c r="P921" t="str">
        <f t="shared" si="312"/>
        <v>P0920</v>
      </c>
      <c r="Q921" t="str">
        <f t="shared" si="308"/>
        <v>Cardiology</v>
      </c>
      <c r="R921">
        <f t="shared" si="309"/>
        <v>21</v>
      </c>
      <c r="S921" t="str">
        <f t="shared" ca="1" si="313"/>
        <v>Yes</v>
      </c>
      <c r="T921" t="str">
        <f t="shared" ca="1" si="314"/>
        <v>Moderate</v>
      </c>
      <c r="U921" t="str">
        <f t="shared" ca="1" si="315"/>
        <v>Semi-Private</v>
      </c>
      <c r="V921" t="str">
        <f t="shared" si="316"/>
        <v>BED0920</v>
      </c>
      <c r="W921" t="str">
        <f t="shared" ca="1" si="317"/>
        <v>ICU</v>
      </c>
      <c r="X921" t="str">
        <f t="shared" si="318"/>
        <v>NUR020</v>
      </c>
      <c r="Y921" t="str">
        <f t="shared" ca="1" si="319"/>
        <v>Morning</v>
      </c>
      <c r="Z921" t="str">
        <f t="shared" ca="1" si="320"/>
        <v>CT Scanner</v>
      </c>
      <c r="AA921" t="str">
        <f t="shared" ca="1" si="321"/>
        <v>Available</v>
      </c>
      <c r="AB921" t="str">
        <f t="shared" ca="1" si="322"/>
        <v>Pending</v>
      </c>
      <c r="AC921" t="str">
        <f t="shared" ca="1" si="323"/>
        <v>Debit Card</v>
      </c>
      <c r="AD921" t="str">
        <f t="shared" ca="1" si="324"/>
        <v>No</v>
      </c>
      <c r="AE921" t="str">
        <f t="shared" ca="1" si="325"/>
        <v>No</v>
      </c>
      <c r="AF921" t="str">
        <f t="shared" ca="1" si="326"/>
        <v>Recovered</v>
      </c>
      <c r="AG921" t="str">
        <f t="shared" ca="1" si="327"/>
        <v>Southeast</v>
      </c>
      <c r="AH921" t="str">
        <f t="shared" si="310"/>
        <v>February</v>
      </c>
      <c r="AI921">
        <f t="shared" si="311"/>
        <v>2021</v>
      </c>
      <c r="AJ921" t="str">
        <f t="shared" ca="1" si="328"/>
        <v>Occupied</v>
      </c>
      <c r="AK921">
        <f t="shared" ca="1" si="329"/>
        <v>1</v>
      </c>
    </row>
    <row r="922" spans="1:37" x14ac:dyDescent="0.3">
      <c r="A922" t="s">
        <v>5337</v>
      </c>
      <c r="B922">
        <v>76</v>
      </c>
      <c r="C922" t="s">
        <v>15</v>
      </c>
      <c r="D922" t="s">
        <v>83</v>
      </c>
      <c r="E922" t="s">
        <v>25</v>
      </c>
      <c r="F922" s="1">
        <v>44630</v>
      </c>
      <c r="G922" t="s">
        <v>1869</v>
      </c>
      <c r="H922" t="s">
        <v>1870</v>
      </c>
      <c r="I922" t="s">
        <v>20</v>
      </c>
      <c r="J922">
        <v>31406</v>
      </c>
      <c r="K922">
        <v>103</v>
      </c>
      <c r="L922" t="s">
        <v>21</v>
      </c>
      <c r="M922" s="1">
        <v>44638</v>
      </c>
      <c r="N922" t="s">
        <v>37</v>
      </c>
      <c r="O922" t="s">
        <v>31</v>
      </c>
      <c r="P922" t="str">
        <f t="shared" si="312"/>
        <v>P0921</v>
      </c>
      <c r="Q922" t="str">
        <f t="shared" si="308"/>
        <v>Nutrition</v>
      </c>
      <c r="R922">
        <f t="shared" si="309"/>
        <v>8</v>
      </c>
      <c r="S922" t="str">
        <f t="shared" ca="1" si="313"/>
        <v>No</v>
      </c>
      <c r="T922" t="str">
        <f t="shared" ca="1" si="314"/>
        <v>Severe</v>
      </c>
      <c r="U922" t="str">
        <f t="shared" ca="1" si="315"/>
        <v>General Ward</v>
      </c>
      <c r="V922" t="str">
        <f t="shared" si="316"/>
        <v>BED0921</v>
      </c>
      <c r="W922" t="str">
        <f t="shared" ca="1" si="317"/>
        <v>ICU</v>
      </c>
      <c r="X922" t="str">
        <f t="shared" si="318"/>
        <v>NUR021</v>
      </c>
      <c r="Y922" t="str">
        <f t="shared" ca="1" si="319"/>
        <v>Night</v>
      </c>
      <c r="Z922" t="str">
        <f t="shared" ca="1" si="320"/>
        <v>Ventilator</v>
      </c>
      <c r="AA922" t="str">
        <f t="shared" ca="1" si="321"/>
        <v>Available</v>
      </c>
      <c r="AB922" t="str">
        <f t="shared" ca="1" si="322"/>
        <v>Pending</v>
      </c>
      <c r="AC922" t="str">
        <f t="shared" ca="1" si="323"/>
        <v>Cash</v>
      </c>
      <c r="AD922" t="str">
        <f t="shared" ca="1" si="324"/>
        <v>No</v>
      </c>
      <c r="AE922" t="str">
        <f t="shared" ca="1" si="325"/>
        <v>No</v>
      </c>
      <c r="AF922" t="str">
        <f t="shared" ca="1" si="326"/>
        <v>Transferred</v>
      </c>
      <c r="AG922" t="str">
        <f t="shared" ca="1" si="327"/>
        <v>Northeast</v>
      </c>
      <c r="AH922" t="str">
        <f t="shared" si="310"/>
        <v>March</v>
      </c>
      <c r="AI922">
        <f t="shared" si="311"/>
        <v>2022</v>
      </c>
      <c r="AJ922" t="str">
        <f t="shared" ca="1" si="328"/>
        <v>Occupied</v>
      </c>
      <c r="AK922">
        <f t="shared" ca="1" si="329"/>
        <v>4</v>
      </c>
    </row>
    <row r="923" spans="1:37" x14ac:dyDescent="0.3">
      <c r="A923" t="s">
        <v>5338</v>
      </c>
      <c r="B923">
        <v>52</v>
      </c>
      <c r="C923" t="s">
        <v>15</v>
      </c>
      <c r="D923" t="s">
        <v>83</v>
      </c>
      <c r="E923" t="s">
        <v>25</v>
      </c>
      <c r="F923" s="1">
        <v>44857</v>
      </c>
      <c r="G923" t="s">
        <v>1871</v>
      </c>
      <c r="H923" t="s">
        <v>1872</v>
      </c>
      <c r="I923" t="s">
        <v>57</v>
      </c>
      <c r="J923">
        <v>22977</v>
      </c>
      <c r="K923">
        <v>309</v>
      </c>
      <c r="L923" t="s">
        <v>29</v>
      </c>
      <c r="M923" s="1">
        <v>44868</v>
      </c>
      <c r="N923" t="s">
        <v>37</v>
      </c>
      <c r="O923" t="s">
        <v>43</v>
      </c>
      <c r="P923" t="str">
        <f t="shared" si="312"/>
        <v>P0922</v>
      </c>
      <c r="Q923" t="str">
        <f t="shared" si="308"/>
        <v>Nutrition</v>
      </c>
      <c r="R923">
        <f t="shared" si="309"/>
        <v>11</v>
      </c>
      <c r="S923" t="str">
        <f t="shared" ca="1" si="313"/>
        <v>No</v>
      </c>
      <c r="T923" t="str">
        <f t="shared" ca="1" si="314"/>
        <v>Mild</v>
      </c>
      <c r="U923" t="str">
        <f t="shared" ca="1" si="315"/>
        <v>ICU</v>
      </c>
      <c r="V923" t="str">
        <f t="shared" si="316"/>
        <v>BED0922</v>
      </c>
      <c r="W923" t="str">
        <f t="shared" ca="1" si="317"/>
        <v>Semi-Private</v>
      </c>
      <c r="X923" t="str">
        <f t="shared" si="318"/>
        <v>NUR022</v>
      </c>
      <c r="Y923" t="str">
        <f t="shared" ca="1" si="319"/>
        <v>Morning</v>
      </c>
      <c r="Z923" t="str">
        <f t="shared" ca="1" si="320"/>
        <v>Ultrasound</v>
      </c>
      <c r="AA923" t="str">
        <f t="shared" ca="1" si="321"/>
        <v>In Use</v>
      </c>
      <c r="AB923" t="str">
        <f t="shared" ca="1" si="322"/>
        <v>Partially Paid</v>
      </c>
      <c r="AC923" t="str">
        <f t="shared" ca="1" si="323"/>
        <v>Insurance</v>
      </c>
      <c r="AD923" t="str">
        <f t="shared" ca="1" si="324"/>
        <v>No</v>
      </c>
      <c r="AE923" t="str">
        <f t="shared" ca="1" si="325"/>
        <v>Yes</v>
      </c>
      <c r="AF923" t="str">
        <f t="shared" ca="1" si="326"/>
        <v>Under Observation</v>
      </c>
      <c r="AG923" t="str">
        <f t="shared" ca="1" si="327"/>
        <v>West Coast</v>
      </c>
      <c r="AH923" t="str">
        <f t="shared" si="310"/>
        <v>October</v>
      </c>
      <c r="AI923">
        <f t="shared" si="311"/>
        <v>2022</v>
      </c>
      <c r="AJ923" t="str">
        <f t="shared" ca="1" si="328"/>
        <v>Occupied</v>
      </c>
      <c r="AK923">
        <f t="shared" ca="1" si="329"/>
        <v>4</v>
      </c>
    </row>
    <row r="924" spans="1:37" x14ac:dyDescent="0.3">
      <c r="A924" t="s">
        <v>5339</v>
      </c>
      <c r="B924">
        <v>77</v>
      </c>
      <c r="C924" t="s">
        <v>32</v>
      </c>
      <c r="D924" t="s">
        <v>98</v>
      </c>
      <c r="E924" t="s">
        <v>17</v>
      </c>
      <c r="F924" s="1">
        <v>45364</v>
      </c>
      <c r="G924" t="s">
        <v>1873</v>
      </c>
      <c r="H924" t="s">
        <v>1874</v>
      </c>
      <c r="I924" t="s">
        <v>36</v>
      </c>
      <c r="J924">
        <v>32137</v>
      </c>
      <c r="K924">
        <v>384</v>
      </c>
      <c r="L924" t="s">
        <v>29</v>
      </c>
      <c r="M924" s="1">
        <v>45380</v>
      </c>
      <c r="N924" t="s">
        <v>47</v>
      </c>
      <c r="O924" t="s">
        <v>31</v>
      </c>
      <c r="P924" t="str">
        <f t="shared" si="312"/>
        <v>P0923</v>
      </c>
      <c r="Q924" t="str">
        <f t="shared" si="308"/>
        <v>Oncology</v>
      </c>
      <c r="R924">
        <f t="shared" si="309"/>
        <v>16</v>
      </c>
      <c r="S924" t="str">
        <f t="shared" ca="1" si="313"/>
        <v>No</v>
      </c>
      <c r="T924" t="str">
        <f t="shared" ca="1" si="314"/>
        <v>Mild</v>
      </c>
      <c r="U924" t="str">
        <f t="shared" ca="1" si="315"/>
        <v>Emergency</v>
      </c>
      <c r="V924" t="str">
        <f t="shared" si="316"/>
        <v>BED0923</v>
      </c>
      <c r="W924" t="str">
        <f t="shared" ca="1" si="317"/>
        <v>ICU</v>
      </c>
      <c r="X924" t="str">
        <f t="shared" si="318"/>
        <v>NUR023</v>
      </c>
      <c r="Y924" t="str">
        <f t="shared" ca="1" si="319"/>
        <v>Evening</v>
      </c>
      <c r="Z924" t="str">
        <f t="shared" ca="1" si="320"/>
        <v>Ultrasound</v>
      </c>
      <c r="AA924" t="str">
        <f t="shared" ca="1" si="321"/>
        <v>In Use</v>
      </c>
      <c r="AB924" t="str">
        <f t="shared" ca="1" si="322"/>
        <v>Paid</v>
      </c>
      <c r="AC924" t="str">
        <f t="shared" ca="1" si="323"/>
        <v>Credit Card</v>
      </c>
      <c r="AD924" t="str">
        <f t="shared" ca="1" si="324"/>
        <v>No</v>
      </c>
      <c r="AE924" t="str">
        <f t="shared" ca="1" si="325"/>
        <v>No</v>
      </c>
      <c r="AF924" t="str">
        <f t="shared" ca="1" si="326"/>
        <v>Under Observation</v>
      </c>
      <c r="AG924" t="str">
        <f t="shared" ca="1" si="327"/>
        <v>Southeast</v>
      </c>
      <c r="AH924" t="str">
        <f t="shared" si="310"/>
        <v>March</v>
      </c>
      <c r="AI924">
        <f t="shared" si="311"/>
        <v>2024</v>
      </c>
      <c r="AJ924" t="str">
        <f t="shared" ca="1" si="328"/>
        <v>Vacant</v>
      </c>
      <c r="AK924">
        <f t="shared" ca="1" si="329"/>
        <v>2</v>
      </c>
    </row>
    <row r="925" spans="1:37" x14ac:dyDescent="0.3">
      <c r="A925" t="s">
        <v>5340</v>
      </c>
      <c r="B925">
        <v>81</v>
      </c>
      <c r="C925" t="s">
        <v>15</v>
      </c>
      <c r="D925" t="s">
        <v>44</v>
      </c>
      <c r="E925" t="s">
        <v>64</v>
      </c>
      <c r="F925" s="1">
        <v>43683</v>
      </c>
      <c r="G925" t="s">
        <v>1875</v>
      </c>
      <c r="H925" t="s">
        <v>1876</v>
      </c>
      <c r="I925" t="s">
        <v>51</v>
      </c>
      <c r="J925">
        <v>39314</v>
      </c>
      <c r="K925">
        <v>448</v>
      </c>
      <c r="L925" t="s">
        <v>42</v>
      </c>
      <c r="M925" s="1">
        <v>43693</v>
      </c>
      <c r="N925" t="s">
        <v>67</v>
      </c>
      <c r="O925" t="s">
        <v>23</v>
      </c>
      <c r="P925" t="str">
        <f t="shared" si="312"/>
        <v>P0924</v>
      </c>
      <c r="Q925" t="str">
        <f t="shared" si="308"/>
        <v>Cardiology</v>
      </c>
      <c r="R925">
        <f t="shared" si="309"/>
        <v>10</v>
      </c>
      <c r="S925" t="str">
        <f t="shared" ca="1" si="313"/>
        <v>No</v>
      </c>
      <c r="T925" t="str">
        <f t="shared" ca="1" si="314"/>
        <v>Critical</v>
      </c>
      <c r="U925" t="str">
        <f t="shared" ca="1" si="315"/>
        <v>Semi-Private</v>
      </c>
      <c r="V925" t="str">
        <f t="shared" si="316"/>
        <v>BED0924</v>
      </c>
      <c r="W925" t="str">
        <f t="shared" ca="1" si="317"/>
        <v>General</v>
      </c>
      <c r="X925" t="str">
        <f t="shared" si="318"/>
        <v>NUR024</v>
      </c>
      <c r="Y925" t="str">
        <f t="shared" ca="1" si="319"/>
        <v>Evening</v>
      </c>
      <c r="Z925" t="str">
        <f t="shared" ca="1" si="320"/>
        <v>Ventilator</v>
      </c>
      <c r="AA925" t="str">
        <f t="shared" ca="1" si="321"/>
        <v>In Use</v>
      </c>
      <c r="AB925" t="str">
        <f t="shared" ca="1" si="322"/>
        <v>Paid</v>
      </c>
      <c r="AC925" t="str">
        <f t="shared" ca="1" si="323"/>
        <v>Insurance</v>
      </c>
      <c r="AD925" t="str">
        <f t="shared" ca="1" si="324"/>
        <v>No</v>
      </c>
      <c r="AE925" t="str">
        <f t="shared" ca="1" si="325"/>
        <v>No</v>
      </c>
      <c r="AF925" t="str">
        <f t="shared" ca="1" si="326"/>
        <v>Under Observation</v>
      </c>
      <c r="AG925" t="str">
        <f t="shared" ca="1" si="327"/>
        <v>Midwest</v>
      </c>
      <c r="AH925" t="str">
        <f t="shared" si="310"/>
        <v>August</v>
      </c>
      <c r="AI925">
        <f t="shared" si="311"/>
        <v>2019</v>
      </c>
      <c r="AJ925" t="str">
        <f t="shared" ca="1" si="328"/>
        <v>Occupied</v>
      </c>
      <c r="AK925">
        <f t="shared" ca="1" si="329"/>
        <v>4</v>
      </c>
    </row>
    <row r="926" spans="1:37" x14ac:dyDescent="0.3">
      <c r="A926" t="s">
        <v>5341</v>
      </c>
      <c r="B926">
        <v>36</v>
      </c>
      <c r="C926" t="s">
        <v>15</v>
      </c>
      <c r="D926" t="s">
        <v>16</v>
      </c>
      <c r="E926" t="s">
        <v>25</v>
      </c>
      <c r="F926" s="1">
        <v>44089</v>
      </c>
      <c r="G926" t="s">
        <v>1877</v>
      </c>
      <c r="H926" t="s">
        <v>1878</v>
      </c>
      <c r="I926" t="s">
        <v>57</v>
      </c>
      <c r="J926">
        <v>5624</v>
      </c>
      <c r="K926">
        <v>380</v>
      </c>
      <c r="L926" t="s">
        <v>29</v>
      </c>
      <c r="M926" s="1">
        <v>44100</v>
      </c>
      <c r="N926" t="s">
        <v>22</v>
      </c>
      <c r="O926" t="s">
        <v>31</v>
      </c>
      <c r="P926" t="str">
        <f t="shared" si="312"/>
        <v>P0925</v>
      </c>
      <c r="Q926" t="str">
        <f t="shared" si="308"/>
        <v>Nutrition</v>
      </c>
      <c r="R926">
        <f t="shared" si="309"/>
        <v>11</v>
      </c>
      <c r="S926" t="str">
        <f t="shared" ca="1" si="313"/>
        <v>No</v>
      </c>
      <c r="T926" t="str">
        <f t="shared" ca="1" si="314"/>
        <v>Critical</v>
      </c>
      <c r="U926" t="str">
        <f t="shared" ca="1" si="315"/>
        <v>ICU</v>
      </c>
      <c r="V926" t="str">
        <f t="shared" si="316"/>
        <v>BED0925</v>
      </c>
      <c r="W926" t="str">
        <f t="shared" ca="1" si="317"/>
        <v>Semi-Private</v>
      </c>
      <c r="X926" t="str">
        <f t="shared" si="318"/>
        <v>NUR025</v>
      </c>
      <c r="Y926" t="str">
        <f t="shared" ca="1" si="319"/>
        <v>Night</v>
      </c>
      <c r="Z926" t="str">
        <f t="shared" ca="1" si="320"/>
        <v>Ventilator</v>
      </c>
      <c r="AA926" t="str">
        <f t="shared" ca="1" si="321"/>
        <v>Maintenance</v>
      </c>
      <c r="AB926" t="str">
        <f t="shared" ca="1" si="322"/>
        <v>Partially Paid</v>
      </c>
      <c r="AC926" t="str">
        <f t="shared" ca="1" si="323"/>
        <v>Debit Card</v>
      </c>
      <c r="AD926" t="str">
        <f t="shared" ca="1" si="324"/>
        <v>Yes</v>
      </c>
      <c r="AE926" t="str">
        <f t="shared" ca="1" si="325"/>
        <v>No</v>
      </c>
      <c r="AF926" t="str">
        <f t="shared" ca="1" si="326"/>
        <v>Recovered</v>
      </c>
      <c r="AG926" t="str">
        <f t="shared" ca="1" si="327"/>
        <v>Southwest</v>
      </c>
      <c r="AH926" t="str">
        <f t="shared" si="310"/>
        <v>September</v>
      </c>
      <c r="AI926">
        <f t="shared" si="311"/>
        <v>2020</v>
      </c>
      <c r="AJ926" t="str">
        <f t="shared" ca="1" si="328"/>
        <v>Vacant</v>
      </c>
      <c r="AK926">
        <f t="shared" ca="1" si="329"/>
        <v>2</v>
      </c>
    </row>
    <row r="927" spans="1:37" x14ac:dyDescent="0.3">
      <c r="A927" t="s">
        <v>5342</v>
      </c>
      <c r="B927">
        <v>72</v>
      </c>
      <c r="C927" t="s">
        <v>32</v>
      </c>
      <c r="D927" t="s">
        <v>44</v>
      </c>
      <c r="E927" t="s">
        <v>17</v>
      </c>
      <c r="F927" s="1">
        <v>43769</v>
      </c>
      <c r="G927" t="s">
        <v>1879</v>
      </c>
      <c r="H927" t="s">
        <v>1880</v>
      </c>
      <c r="I927" t="s">
        <v>20</v>
      </c>
      <c r="J927">
        <v>5823</v>
      </c>
      <c r="K927">
        <v>219</v>
      </c>
      <c r="L927" t="s">
        <v>42</v>
      </c>
      <c r="M927" s="1">
        <v>43772</v>
      </c>
      <c r="N927" t="s">
        <v>67</v>
      </c>
      <c r="O927" t="s">
        <v>31</v>
      </c>
      <c r="P927" t="str">
        <f t="shared" si="312"/>
        <v>P0926</v>
      </c>
      <c r="Q927" t="str">
        <f t="shared" si="308"/>
        <v>Oncology</v>
      </c>
      <c r="R927">
        <f t="shared" si="309"/>
        <v>3</v>
      </c>
      <c r="S927" t="str">
        <f t="shared" ca="1" si="313"/>
        <v>No</v>
      </c>
      <c r="T927" t="str">
        <f t="shared" ca="1" si="314"/>
        <v>Severe</v>
      </c>
      <c r="U927" t="str">
        <f t="shared" ca="1" si="315"/>
        <v>Semi-Private</v>
      </c>
      <c r="V927" t="str">
        <f t="shared" si="316"/>
        <v>BED0926</v>
      </c>
      <c r="W927" t="str">
        <f t="shared" ca="1" si="317"/>
        <v>Semi-Private</v>
      </c>
      <c r="X927" t="str">
        <f t="shared" si="318"/>
        <v>NUR026</v>
      </c>
      <c r="Y927" t="str">
        <f t="shared" ca="1" si="319"/>
        <v>Morning</v>
      </c>
      <c r="Z927" t="str">
        <f t="shared" ca="1" si="320"/>
        <v>X-Ray</v>
      </c>
      <c r="AA927" t="str">
        <f t="shared" ca="1" si="321"/>
        <v>In Use</v>
      </c>
      <c r="AB927" t="str">
        <f t="shared" ca="1" si="322"/>
        <v>Paid</v>
      </c>
      <c r="AC927" t="str">
        <f t="shared" ca="1" si="323"/>
        <v>Insurance</v>
      </c>
      <c r="AD927" t="str">
        <f t="shared" ca="1" si="324"/>
        <v>No</v>
      </c>
      <c r="AE927" t="str">
        <f t="shared" ca="1" si="325"/>
        <v>No</v>
      </c>
      <c r="AF927" t="str">
        <f t="shared" ca="1" si="326"/>
        <v>Transferred</v>
      </c>
      <c r="AG927" t="str">
        <f t="shared" ca="1" si="327"/>
        <v>West Coast</v>
      </c>
      <c r="AH927" t="str">
        <f t="shared" si="310"/>
        <v>October</v>
      </c>
      <c r="AI927">
        <f t="shared" si="311"/>
        <v>2019</v>
      </c>
      <c r="AJ927" t="str">
        <f t="shared" ca="1" si="328"/>
        <v>Vacant</v>
      </c>
      <c r="AK927">
        <f t="shared" ca="1" si="329"/>
        <v>2</v>
      </c>
    </row>
    <row r="928" spans="1:37" x14ac:dyDescent="0.3">
      <c r="A928" t="s">
        <v>5343</v>
      </c>
      <c r="B928">
        <v>70</v>
      </c>
      <c r="C928" t="s">
        <v>15</v>
      </c>
      <c r="D928" t="s">
        <v>98</v>
      </c>
      <c r="E928" t="s">
        <v>39</v>
      </c>
      <c r="F928" s="1">
        <v>44081</v>
      </c>
      <c r="G928" t="s">
        <v>1881</v>
      </c>
      <c r="H928" t="s">
        <v>1882</v>
      </c>
      <c r="I928" t="s">
        <v>36</v>
      </c>
      <c r="J928">
        <v>11629</v>
      </c>
      <c r="K928">
        <v>332</v>
      </c>
      <c r="L928" t="s">
        <v>21</v>
      </c>
      <c r="M928" s="1">
        <v>44093</v>
      </c>
      <c r="N928" t="s">
        <v>67</v>
      </c>
      <c r="O928" t="s">
        <v>31</v>
      </c>
      <c r="P928" t="str">
        <f t="shared" si="312"/>
        <v>P0927</v>
      </c>
      <c r="Q928" t="str">
        <f t="shared" si="308"/>
        <v>Endocrinology</v>
      </c>
      <c r="R928">
        <f t="shared" si="309"/>
        <v>12</v>
      </c>
      <c r="S928" t="str">
        <f t="shared" ca="1" si="313"/>
        <v>No</v>
      </c>
      <c r="T928" t="str">
        <f t="shared" ca="1" si="314"/>
        <v>Severe</v>
      </c>
      <c r="U928" t="str">
        <f t="shared" ca="1" si="315"/>
        <v>ICU</v>
      </c>
      <c r="V928" t="str">
        <f t="shared" si="316"/>
        <v>BED0927</v>
      </c>
      <c r="W928" t="str">
        <f t="shared" ca="1" si="317"/>
        <v>General</v>
      </c>
      <c r="X928" t="str">
        <f t="shared" si="318"/>
        <v>NUR027</v>
      </c>
      <c r="Y928" t="str">
        <f t="shared" ca="1" si="319"/>
        <v>Evening</v>
      </c>
      <c r="Z928" t="str">
        <f t="shared" ca="1" si="320"/>
        <v>Ventilator</v>
      </c>
      <c r="AA928" t="str">
        <f t="shared" ca="1" si="321"/>
        <v>In Use</v>
      </c>
      <c r="AB928" t="str">
        <f t="shared" ca="1" si="322"/>
        <v>Pending</v>
      </c>
      <c r="AC928" t="str">
        <f t="shared" ca="1" si="323"/>
        <v>Credit Card</v>
      </c>
      <c r="AD928" t="str">
        <f t="shared" ca="1" si="324"/>
        <v>No</v>
      </c>
      <c r="AE928" t="str">
        <f t="shared" ca="1" si="325"/>
        <v>No</v>
      </c>
      <c r="AF928" t="str">
        <f t="shared" ca="1" si="326"/>
        <v>Recovered</v>
      </c>
      <c r="AG928" t="str">
        <f t="shared" ca="1" si="327"/>
        <v>Southeast</v>
      </c>
      <c r="AH928" t="str">
        <f t="shared" si="310"/>
        <v>September</v>
      </c>
      <c r="AI928">
        <f t="shared" si="311"/>
        <v>2020</v>
      </c>
      <c r="AJ928" t="str">
        <f t="shared" ca="1" si="328"/>
        <v>Occupied</v>
      </c>
      <c r="AK928">
        <f t="shared" ca="1" si="329"/>
        <v>1</v>
      </c>
    </row>
    <row r="929" spans="1:37" x14ac:dyDescent="0.3">
      <c r="A929" t="s">
        <v>4057</v>
      </c>
      <c r="B929">
        <v>44</v>
      </c>
      <c r="C929" t="s">
        <v>32</v>
      </c>
      <c r="D929" t="s">
        <v>98</v>
      </c>
      <c r="E929" t="s">
        <v>76</v>
      </c>
      <c r="F929" s="1">
        <v>44435</v>
      </c>
      <c r="G929" t="s">
        <v>1883</v>
      </c>
      <c r="H929" t="s">
        <v>1884</v>
      </c>
      <c r="I929" t="s">
        <v>28</v>
      </c>
      <c r="J929">
        <v>8105</v>
      </c>
      <c r="K929">
        <v>174</v>
      </c>
      <c r="L929" t="s">
        <v>42</v>
      </c>
      <c r="M929" s="1">
        <v>44463</v>
      </c>
      <c r="N929" t="s">
        <v>67</v>
      </c>
      <c r="O929" t="s">
        <v>31</v>
      </c>
      <c r="P929" t="str">
        <f t="shared" si="312"/>
        <v>P0928</v>
      </c>
      <c r="Q929" t="str">
        <f t="shared" si="308"/>
        <v>Orthopedics</v>
      </c>
      <c r="R929">
        <f t="shared" si="309"/>
        <v>28</v>
      </c>
      <c r="S929" t="str">
        <f t="shared" ca="1" si="313"/>
        <v>No</v>
      </c>
      <c r="T929" t="str">
        <f t="shared" ca="1" si="314"/>
        <v>Moderate</v>
      </c>
      <c r="U929" t="str">
        <f t="shared" ca="1" si="315"/>
        <v>Private Ward</v>
      </c>
      <c r="V929" t="str">
        <f t="shared" si="316"/>
        <v>BED0928</v>
      </c>
      <c r="W929" t="str">
        <f t="shared" ca="1" si="317"/>
        <v>Semi-Private</v>
      </c>
      <c r="X929" t="str">
        <f t="shared" si="318"/>
        <v>NUR028</v>
      </c>
      <c r="Y929" t="str">
        <f t="shared" ca="1" si="319"/>
        <v>Morning</v>
      </c>
      <c r="Z929" t="str">
        <f t="shared" ca="1" si="320"/>
        <v>CT Scanner</v>
      </c>
      <c r="AA929" t="str">
        <f t="shared" ca="1" si="321"/>
        <v>Available</v>
      </c>
      <c r="AB929" t="str">
        <f t="shared" ca="1" si="322"/>
        <v>Pending</v>
      </c>
      <c r="AC929" t="str">
        <f t="shared" ca="1" si="323"/>
        <v>Bank Transfer</v>
      </c>
      <c r="AD929" t="str">
        <f t="shared" ca="1" si="324"/>
        <v>Yes</v>
      </c>
      <c r="AE929" t="str">
        <f t="shared" ca="1" si="325"/>
        <v>No</v>
      </c>
      <c r="AF929" t="str">
        <f t="shared" ca="1" si="326"/>
        <v>Under Observation</v>
      </c>
      <c r="AG929" t="str">
        <f t="shared" ca="1" si="327"/>
        <v>Midwest</v>
      </c>
      <c r="AH929" t="str">
        <f t="shared" si="310"/>
        <v>August</v>
      </c>
      <c r="AI929">
        <f t="shared" si="311"/>
        <v>2021</v>
      </c>
      <c r="AJ929" t="str">
        <f t="shared" ca="1" si="328"/>
        <v>Vacant</v>
      </c>
      <c r="AK929">
        <f t="shared" ca="1" si="329"/>
        <v>4</v>
      </c>
    </row>
    <row r="930" spans="1:37" x14ac:dyDescent="0.3">
      <c r="A930" t="s">
        <v>5344</v>
      </c>
      <c r="B930">
        <v>81</v>
      </c>
      <c r="C930" t="s">
        <v>32</v>
      </c>
      <c r="D930" t="s">
        <v>33</v>
      </c>
      <c r="E930" t="s">
        <v>76</v>
      </c>
      <c r="F930" s="1">
        <v>43820</v>
      </c>
      <c r="G930" t="s">
        <v>1885</v>
      </c>
      <c r="H930" t="s">
        <v>1886</v>
      </c>
      <c r="I930" t="s">
        <v>57</v>
      </c>
      <c r="J930">
        <v>12093</v>
      </c>
      <c r="K930">
        <v>246</v>
      </c>
      <c r="L930" t="s">
        <v>29</v>
      </c>
      <c r="M930" s="1">
        <v>43845</v>
      </c>
      <c r="N930" t="s">
        <v>37</v>
      </c>
      <c r="O930" t="s">
        <v>31</v>
      </c>
      <c r="P930" t="str">
        <f t="shared" si="312"/>
        <v>P0929</v>
      </c>
      <c r="Q930" t="str">
        <f t="shared" si="308"/>
        <v>Orthopedics</v>
      </c>
      <c r="R930">
        <f t="shared" si="309"/>
        <v>25</v>
      </c>
      <c r="S930" t="str">
        <f t="shared" ca="1" si="313"/>
        <v>No</v>
      </c>
      <c r="T930" t="str">
        <f t="shared" ca="1" si="314"/>
        <v>Severe</v>
      </c>
      <c r="U930" t="str">
        <f t="shared" ca="1" si="315"/>
        <v>ICU</v>
      </c>
      <c r="V930" t="str">
        <f t="shared" si="316"/>
        <v>BED0929</v>
      </c>
      <c r="W930" t="str">
        <f t="shared" ca="1" si="317"/>
        <v>Private</v>
      </c>
      <c r="X930" t="str">
        <f t="shared" si="318"/>
        <v>NUR029</v>
      </c>
      <c r="Y930" t="str">
        <f t="shared" ca="1" si="319"/>
        <v>Morning</v>
      </c>
      <c r="Z930" t="str">
        <f t="shared" ca="1" si="320"/>
        <v>X-Ray</v>
      </c>
      <c r="AA930" t="str">
        <f t="shared" ca="1" si="321"/>
        <v>Maintenance</v>
      </c>
      <c r="AB930" t="str">
        <f t="shared" ca="1" si="322"/>
        <v>Partially Paid</v>
      </c>
      <c r="AC930" t="str">
        <f t="shared" ca="1" si="323"/>
        <v>Bank Transfer</v>
      </c>
      <c r="AD930" t="str">
        <f t="shared" ca="1" si="324"/>
        <v>No</v>
      </c>
      <c r="AE930" t="str">
        <f t="shared" ca="1" si="325"/>
        <v>No</v>
      </c>
      <c r="AF930" t="str">
        <f t="shared" ca="1" si="326"/>
        <v>Under Observation</v>
      </c>
      <c r="AG930" t="str">
        <f t="shared" ca="1" si="327"/>
        <v>West Coast</v>
      </c>
      <c r="AH930" t="str">
        <f t="shared" si="310"/>
        <v>December</v>
      </c>
      <c r="AI930">
        <f t="shared" si="311"/>
        <v>2019</v>
      </c>
      <c r="AJ930" t="str">
        <f t="shared" ca="1" si="328"/>
        <v>Occupied</v>
      </c>
      <c r="AK930">
        <f t="shared" ca="1" si="329"/>
        <v>2</v>
      </c>
    </row>
    <row r="931" spans="1:37" x14ac:dyDescent="0.3">
      <c r="A931" t="s">
        <v>4835</v>
      </c>
      <c r="B931">
        <v>41</v>
      </c>
      <c r="C931" t="s">
        <v>15</v>
      </c>
      <c r="D931" t="s">
        <v>16</v>
      </c>
      <c r="E931" t="s">
        <v>76</v>
      </c>
      <c r="F931" s="1">
        <v>43731</v>
      </c>
      <c r="G931" t="s">
        <v>1887</v>
      </c>
      <c r="H931" t="s">
        <v>1888</v>
      </c>
      <c r="I931" t="s">
        <v>28</v>
      </c>
      <c r="J931">
        <v>29466</v>
      </c>
      <c r="K931">
        <v>271</v>
      </c>
      <c r="L931" t="s">
        <v>21</v>
      </c>
      <c r="M931" s="1">
        <v>43734</v>
      </c>
      <c r="N931" t="s">
        <v>67</v>
      </c>
      <c r="O931" t="s">
        <v>43</v>
      </c>
      <c r="P931" t="str">
        <f t="shared" si="312"/>
        <v>P0930</v>
      </c>
      <c r="Q931" t="str">
        <f t="shared" si="308"/>
        <v>Orthopedics</v>
      </c>
      <c r="R931">
        <f t="shared" si="309"/>
        <v>3</v>
      </c>
      <c r="S931" t="str">
        <f t="shared" ca="1" si="313"/>
        <v>No</v>
      </c>
      <c r="T931" t="str">
        <f t="shared" ca="1" si="314"/>
        <v>Severe</v>
      </c>
      <c r="U931" t="str">
        <f t="shared" ca="1" si="315"/>
        <v>Private Ward</v>
      </c>
      <c r="V931" t="str">
        <f t="shared" si="316"/>
        <v>BED0930</v>
      </c>
      <c r="W931" t="str">
        <f t="shared" ca="1" si="317"/>
        <v>General</v>
      </c>
      <c r="X931" t="str">
        <f t="shared" si="318"/>
        <v>NUR030</v>
      </c>
      <c r="Y931" t="str">
        <f t="shared" ca="1" si="319"/>
        <v>Evening</v>
      </c>
      <c r="Z931" t="str">
        <f t="shared" ca="1" si="320"/>
        <v>ECG Machine</v>
      </c>
      <c r="AA931" t="str">
        <f t="shared" ca="1" si="321"/>
        <v>Maintenance</v>
      </c>
      <c r="AB931" t="str">
        <f t="shared" ca="1" si="322"/>
        <v>Paid</v>
      </c>
      <c r="AC931" t="str">
        <f t="shared" ca="1" si="323"/>
        <v>Insurance</v>
      </c>
      <c r="AD931" t="str">
        <f t="shared" ca="1" si="324"/>
        <v>No</v>
      </c>
      <c r="AE931" t="str">
        <f t="shared" ca="1" si="325"/>
        <v>Yes</v>
      </c>
      <c r="AF931" t="str">
        <f t="shared" ca="1" si="326"/>
        <v>Transferred</v>
      </c>
      <c r="AG931" t="str">
        <f t="shared" ca="1" si="327"/>
        <v>Southeast</v>
      </c>
      <c r="AH931" t="str">
        <f t="shared" si="310"/>
        <v>September</v>
      </c>
      <c r="AI931">
        <f t="shared" si="311"/>
        <v>2019</v>
      </c>
      <c r="AJ931" t="str">
        <f t="shared" ca="1" si="328"/>
        <v>Occupied</v>
      </c>
      <c r="AK931">
        <f t="shared" ca="1" si="329"/>
        <v>2</v>
      </c>
    </row>
    <row r="932" spans="1:37" x14ac:dyDescent="0.3">
      <c r="A932" t="s">
        <v>5345</v>
      </c>
      <c r="B932">
        <v>32</v>
      </c>
      <c r="C932" t="s">
        <v>32</v>
      </c>
      <c r="D932" t="s">
        <v>24</v>
      </c>
      <c r="E932" t="s">
        <v>76</v>
      </c>
      <c r="F932" s="1">
        <v>44702</v>
      </c>
      <c r="G932" t="s">
        <v>1889</v>
      </c>
      <c r="H932" t="s">
        <v>1890</v>
      </c>
      <c r="I932" t="s">
        <v>57</v>
      </c>
      <c r="J932">
        <v>22546</v>
      </c>
      <c r="K932">
        <v>294</v>
      </c>
      <c r="L932" t="s">
        <v>29</v>
      </c>
      <c r="M932" s="1">
        <v>44706</v>
      </c>
      <c r="N932" t="s">
        <v>47</v>
      </c>
      <c r="O932" t="s">
        <v>31</v>
      </c>
      <c r="P932" t="str">
        <f t="shared" si="312"/>
        <v>P0931</v>
      </c>
      <c r="Q932" t="str">
        <f t="shared" si="308"/>
        <v>Orthopedics</v>
      </c>
      <c r="R932">
        <f t="shared" si="309"/>
        <v>4</v>
      </c>
      <c r="S932" t="str">
        <f t="shared" ca="1" si="313"/>
        <v>No</v>
      </c>
      <c r="T932" t="str">
        <f t="shared" ca="1" si="314"/>
        <v>Mild</v>
      </c>
      <c r="U932" t="str">
        <f t="shared" ca="1" si="315"/>
        <v>Semi-Private</v>
      </c>
      <c r="V932" t="str">
        <f t="shared" si="316"/>
        <v>BED0931</v>
      </c>
      <c r="W932" t="str">
        <f t="shared" ca="1" si="317"/>
        <v>ICU</v>
      </c>
      <c r="X932" t="str">
        <f t="shared" si="318"/>
        <v>NUR031</v>
      </c>
      <c r="Y932" t="str">
        <f t="shared" ca="1" si="319"/>
        <v>Night</v>
      </c>
      <c r="Z932" t="str">
        <f t="shared" ca="1" si="320"/>
        <v>Ultrasound</v>
      </c>
      <c r="AA932" t="str">
        <f t="shared" ca="1" si="321"/>
        <v>Available</v>
      </c>
      <c r="AB932" t="str">
        <f t="shared" ca="1" si="322"/>
        <v>Paid</v>
      </c>
      <c r="AC932" t="str">
        <f t="shared" ca="1" si="323"/>
        <v>Cash</v>
      </c>
      <c r="AD932" t="str">
        <f t="shared" ca="1" si="324"/>
        <v>No</v>
      </c>
      <c r="AE932" t="str">
        <f t="shared" ca="1" si="325"/>
        <v>No</v>
      </c>
      <c r="AF932" t="str">
        <f t="shared" ca="1" si="326"/>
        <v>Under Observation</v>
      </c>
      <c r="AG932" t="str">
        <f t="shared" ca="1" si="327"/>
        <v>Midwest</v>
      </c>
      <c r="AH932" t="str">
        <f t="shared" si="310"/>
        <v>May</v>
      </c>
      <c r="AI932">
        <f t="shared" si="311"/>
        <v>2022</v>
      </c>
      <c r="AJ932" t="str">
        <f t="shared" ca="1" si="328"/>
        <v>Occupied</v>
      </c>
      <c r="AK932">
        <f t="shared" ca="1" si="329"/>
        <v>4</v>
      </c>
    </row>
    <row r="933" spans="1:37" x14ac:dyDescent="0.3">
      <c r="A933" t="s">
        <v>5346</v>
      </c>
      <c r="B933">
        <v>58</v>
      </c>
      <c r="C933" t="s">
        <v>32</v>
      </c>
      <c r="D933" t="s">
        <v>16</v>
      </c>
      <c r="E933" t="s">
        <v>25</v>
      </c>
      <c r="F933" s="1">
        <v>43828</v>
      </c>
      <c r="G933" t="s">
        <v>1891</v>
      </c>
      <c r="H933" t="s">
        <v>1892</v>
      </c>
      <c r="I933" t="s">
        <v>28</v>
      </c>
      <c r="J933">
        <v>2641</v>
      </c>
      <c r="K933">
        <v>234</v>
      </c>
      <c r="L933" t="s">
        <v>42</v>
      </c>
      <c r="M933" s="1">
        <v>43834</v>
      </c>
      <c r="N933" t="s">
        <v>37</v>
      </c>
      <c r="O933" t="s">
        <v>23</v>
      </c>
      <c r="P933" t="str">
        <f t="shared" si="312"/>
        <v>P0932</v>
      </c>
      <c r="Q933" t="str">
        <f t="shared" si="308"/>
        <v>Nutrition</v>
      </c>
      <c r="R933">
        <f t="shared" si="309"/>
        <v>6</v>
      </c>
      <c r="S933" t="str">
        <f t="shared" ca="1" si="313"/>
        <v>No</v>
      </c>
      <c r="T933" t="str">
        <f t="shared" ca="1" si="314"/>
        <v>Mild</v>
      </c>
      <c r="U933" t="str">
        <f t="shared" ca="1" si="315"/>
        <v>Emergency</v>
      </c>
      <c r="V933" t="str">
        <f t="shared" si="316"/>
        <v>BED0932</v>
      </c>
      <c r="W933" t="str">
        <f t="shared" ca="1" si="317"/>
        <v>Semi-Private</v>
      </c>
      <c r="X933" t="str">
        <f t="shared" si="318"/>
        <v>NUR032</v>
      </c>
      <c r="Y933" t="str">
        <f t="shared" ca="1" si="319"/>
        <v>Morning</v>
      </c>
      <c r="Z933" t="str">
        <f t="shared" ca="1" si="320"/>
        <v>Ultrasound</v>
      </c>
      <c r="AA933" t="str">
        <f t="shared" ca="1" si="321"/>
        <v>Maintenance</v>
      </c>
      <c r="AB933" t="str">
        <f t="shared" ca="1" si="322"/>
        <v>Paid</v>
      </c>
      <c r="AC933" t="str">
        <f t="shared" ca="1" si="323"/>
        <v>Bank Transfer</v>
      </c>
      <c r="AD933" t="str">
        <f t="shared" ca="1" si="324"/>
        <v>No</v>
      </c>
      <c r="AE933" t="str">
        <f t="shared" ca="1" si="325"/>
        <v>No</v>
      </c>
      <c r="AF933" t="str">
        <f t="shared" ca="1" si="326"/>
        <v>Transferred</v>
      </c>
      <c r="AG933" t="str">
        <f t="shared" ca="1" si="327"/>
        <v>West Coast</v>
      </c>
      <c r="AH933" t="str">
        <f t="shared" si="310"/>
        <v>December</v>
      </c>
      <c r="AI933">
        <f t="shared" si="311"/>
        <v>2019</v>
      </c>
      <c r="AJ933" t="str">
        <f t="shared" ca="1" si="328"/>
        <v>Occupied</v>
      </c>
      <c r="AK933">
        <f t="shared" ca="1" si="329"/>
        <v>2</v>
      </c>
    </row>
    <row r="934" spans="1:37" x14ac:dyDescent="0.3">
      <c r="A934" t="s">
        <v>5347</v>
      </c>
      <c r="B934">
        <v>33</v>
      </c>
      <c r="C934" t="s">
        <v>15</v>
      </c>
      <c r="D934" t="s">
        <v>33</v>
      </c>
      <c r="E934" t="s">
        <v>76</v>
      </c>
      <c r="F934" s="1">
        <v>43924</v>
      </c>
      <c r="G934" t="s">
        <v>1893</v>
      </c>
      <c r="H934" t="s">
        <v>1894</v>
      </c>
      <c r="I934" t="s">
        <v>57</v>
      </c>
      <c r="J934">
        <v>16527</v>
      </c>
      <c r="K934">
        <v>395</v>
      </c>
      <c r="L934" t="s">
        <v>42</v>
      </c>
      <c r="M934" s="1">
        <v>43925</v>
      </c>
      <c r="N934" t="s">
        <v>47</v>
      </c>
      <c r="O934" t="s">
        <v>31</v>
      </c>
      <c r="P934" t="str">
        <f t="shared" si="312"/>
        <v>P0933</v>
      </c>
      <c r="Q934" t="str">
        <f t="shared" si="308"/>
        <v>Orthopedics</v>
      </c>
      <c r="R934">
        <f t="shared" si="309"/>
        <v>1</v>
      </c>
      <c r="S934" t="str">
        <f t="shared" ca="1" si="313"/>
        <v>Yes</v>
      </c>
      <c r="T934" t="str">
        <f t="shared" ca="1" si="314"/>
        <v>Mild</v>
      </c>
      <c r="U934" t="str">
        <f t="shared" ca="1" si="315"/>
        <v>Private Ward</v>
      </c>
      <c r="V934" t="str">
        <f t="shared" si="316"/>
        <v>BED0933</v>
      </c>
      <c r="W934" t="str">
        <f t="shared" ca="1" si="317"/>
        <v>ICU</v>
      </c>
      <c r="X934" t="str">
        <f t="shared" si="318"/>
        <v>NUR033</v>
      </c>
      <c r="Y934" t="str">
        <f t="shared" ca="1" si="319"/>
        <v>Night</v>
      </c>
      <c r="Z934" t="str">
        <f t="shared" ca="1" si="320"/>
        <v>X-Ray</v>
      </c>
      <c r="AA934" t="str">
        <f t="shared" ca="1" si="321"/>
        <v>In Use</v>
      </c>
      <c r="AB934" t="str">
        <f t="shared" ca="1" si="322"/>
        <v>Partially Paid</v>
      </c>
      <c r="AC934" t="str">
        <f t="shared" ca="1" si="323"/>
        <v>Debit Card</v>
      </c>
      <c r="AD934" t="str">
        <f t="shared" ca="1" si="324"/>
        <v>No</v>
      </c>
      <c r="AE934" t="str">
        <f t="shared" ca="1" si="325"/>
        <v>Yes</v>
      </c>
      <c r="AF934" t="str">
        <f t="shared" ca="1" si="326"/>
        <v>Under Observation</v>
      </c>
      <c r="AG934" t="str">
        <f t="shared" ca="1" si="327"/>
        <v>Midwest</v>
      </c>
      <c r="AH934" t="str">
        <f t="shared" si="310"/>
        <v>April</v>
      </c>
      <c r="AI934">
        <f t="shared" si="311"/>
        <v>2020</v>
      </c>
      <c r="AJ934" t="str">
        <f t="shared" ca="1" si="328"/>
        <v>Occupied</v>
      </c>
      <c r="AK934">
        <f t="shared" ca="1" si="329"/>
        <v>4</v>
      </c>
    </row>
    <row r="935" spans="1:37" x14ac:dyDescent="0.3">
      <c r="A935" t="s">
        <v>5348</v>
      </c>
      <c r="B935">
        <v>80</v>
      </c>
      <c r="C935" t="s">
        <v>15</v>
      </c>
      <c r="D935" t="s">
        <v>24</v>
      </c>
      <c r="E935" t="s">
        <v>17</v>
      </c>
      <c r="F935" s="1">
        <v>44910</v>
      </c>
      <c r="G935" t="s">
        <v>1895</v>
      </c>
      <c r="H935" t="s">
        <v>1896</v>
      </c>
      <c r="I935" t="s">
        <v>28</v>
      </c>
      <c r="J935">
        <v>13625</v>
      </c>
      <c r="K935">
        <v>363</v>
      </c>
      <c r="L935" t="s">
        <v>21</v>
      </c>
      <c r="M935" s="1">
        <v>44923</v>
      </c>
      <c r="N935" t="s">
        <v>22</v>
      </c>
      <c r="O935" t="s">
        <v>31</v>
      </c>
      <c r="P935" t="str">
        <f t="shared" si="312"/>
        <v>P0934</v>
      </c>
      <c r="Q935" t="str">
        <f t="shared" si="308"/>
        <v>Oncology</v>
      </c>
      <c r="R935">
        <f t="shared" si="309"/>
        <v>13</v>
      </c>
      <c r="S935" t="str">
        <f t="shared" ca="1" si="313"/>
        <v>No</v>
      </c>
      <c r="T935" t="str">
        <f t="shared" ca="1" si="314"/>
        <v>Severe</v>
      </c>
      <c r="U935" t="str">
        <f t="shared" ca="1" si="315"/>
        <v>Emergency</v>
      </c>
      <c r="V935" t="str">
        <f t="shared" si="316"/>
        <v>BED0934</v>
      </c>
      <c r="W935" t="str">
        <f t="shared" ca="1" si="317"/>
        <v>Semi-Private</v>
      </c>
      <c r="X935" t="str">
        <f t="shared" si="318"/>
        <v>NUR034</v>
      </c>
      <c r="Y935" t="str">
        <f t="shared" ca="1" si="319"/>
        <v>Night</v>
      </c>
      <c r="Z935" t="str">
        <f t="shared" ca="1" si="320"/>
        <v>Ventilator</v>
      </c>
      <c r="AA935" t="str">
        <f t="shared" ca="1" si="321"/>
        <v>Maintenance</v>
      </c>
      <c r="AB935" t="str">
        <f t="shared" ca="1" si="322"/>
        <v>Pending</v>
      </c>
      <c r="AC935" t="str">
        <f t="shared" ca="1" si="323"/>
        <v>Bank Transfer</v>
      </c>
      <c r="AD935" t="str">
        <f t="shared" ca="1" si="324"/>
        <v>No</v>
      </c>
      <c r="AE935" t="str">
        <f t="shared" ca="1" si="325"/>
        <v>Yes</v>
      </c>
      <c r="AF935" t="str">
        <f t="shared" ca="1" si="326"/>
        <v>Under Observation</v>
      </c>
      <c r="AG935" t="str">
        <f t="shared" ca="1" si="327"/>
        <v>Northeast</v>
      </c>
      <c r="AH935" t="str">
        <f t="shared" si="310"/>
        <v>December</v>
      </c>
      <c r="AI935">
        <f t="shared" si="311"/>
        <v>2022</v>
      </c>
      <c r="AJ935" t="str">
        <f t="shared" ca="1" si="328"/>
        <v>Vacant</v>
      </c>
      <c r="AK935">
        <f t="shared" ca="1" si="329"/>
        <v>2</v>
      </c>
    </row>
    <row r="936" spans="1:37" x14ac:dyDescent="0.3">
      <c r="A936" t="s">
        <v>5349</v>
      </c>
      <c r="B936">
        <v>67</v>
      </c>
      <c r="C936" t="s">
        <v>15</v>
      </c>
      <c r="D936" t="s">
        <v>98</v>
      </c>
      <c r="E936" t="s">
        <v>25</v>
      </c>
      <c r="F936" s="1">
        <v>44050</v>
      </c>
      <c r="G936" t="s">
        <v>1897</v>
      </c>
      <c r="H936" t="s">
        <v>1898</v>
      </c>
      <c r="I936" t="s">
        <v>36</v>
      </c>
      <c r="J936">
        <v>39570</v>
      </c>
      <c r="K936">
        <v>161</v>
      </c>
      <c r="L936" t="s">
        <v>21</v>
      </c>
      <c r="M936" s="1">
        <v>44052</v>
      </c>
      <c r="N936" t="s">
        <v>37</v>
      </c>
      <c r="O936" t="s">
        <v>31</v>
      </c>
      <c r="P936" t="str">
        <f t="shared" si="312"/>
        <v>P0935</v>
      </c>
      <c r="Q936" t="str">
        <f t="shared" si="308"/>
        <v>Nutrition</v>
      </c>
      <c r="R936">
        <f t="shared" si="309"/>
        <v>2</v>
      </c>
      <c r="S936" t="str">
        <f t="shared" ca="1" si="313"/>
        <v>No</v>
      </c>
      <c r="T936" t="str">
        <f t="shared" ca="1" si="314"/>
        <v>Severe</v>
      </c>
      <c r="U936" t="str">
        <f t="shared" ca="1" si="315"/>
        <v>Semi-Private</v>
      </c>
      <c r="V936" t="str">
        <f t="shared" si="316"/>
        <v>BED0935</v>
      </c>
      <c r="W936" t="str">
        <f t="shared" ca="1" si="317"/>
        <v>Semi-Private</v>
      </c>
      <c r="X936" t="str">
        <f t="shared" si="318"/>
        <v>NUR035</v>
      </c>
      <c r="Y936" t="str">
        <f t="shared" ca="1" si="319"/>
        <v>Evening</v>
      </c>
      <c r="Z936" t="str">
        <f t="shared" ca="1" si="320"/>
        <v>MRI Scanner</v>
      </c>
      <c r="AA936" t="str">
        <f t="shared" ca="1" si="321"/>
        <v>In Use</v>
      </c>
      <c r="AB936" t="str">
        <f t="shared" ca="1" si="322"/>
        <v>Pending</v>
      </c>
      <c r="AC936" t="str">
        <f t="shared" ca="1" si="323"/>
        <v>Bank Transfer</v>
      </c>
      <c r="AD936" t="str">
        <f t="shared" ca="1" si="324"/>
        <v>No</v>
      </c>
      <c r="AE936" t="str">
        <f t="shared" ca="1" si="325"/>
        <v>No</v>
      </c>
      <c r="AF936" t="str">
        <f t="shared" ca="1" si="326"/>
        <v>Recovered</v>
      </c>
      <c r="AG936" t="str">
        <f t="shared" ca="1" si="327"/>
        <v>West Coast</v>
      </c>
      <c r="AH936" t="str">
        <f t="shared" si="310"/>
        <v>August</v>
      </c>
      <c r="AI936">
        <f t="shared" si="311"/>
        <v>2020</v>
      </c>
      <c r="AJ936" t="str">
        <f t="shared" ca="1" si="328"/>
        <v>Occupied</v>
      </c>
      <c r="AK936">
        <f t="shared" ca="1" si="329"/>
        <v>1</v>
      </c>
    </row>
    <row r="937" spans="1:37" x14ac:dyDescent="0.3">
      <c r="A937" t="s">
        <v>5350</v>
      </c>
      <c r="B937">
        <v>39</v>
      </c>
      <c r="C937" t="s">
        <v>15</v>
      </c>
      <c r="D937" t="s">
        <v>33</v>
      </c>
      <c r="E937" t="s">
        <v>39</v>
      </c>
      <c r="F937" s="1">
        <v>44639</v>
      </c>
      <c r="G937" t="s">
        <v>1899</v>
      </c>
      <c r="H937" t="s">
        <v>1900</v>
      </c>
      <c r="I937" t="s">
        <v>36</v>
      </c>
      <c r="J937">
        <v>13256</v>
      </c>
      <c r="K937">
        <v>146</v>
      </c>
      <c r="L937" t="s">
        <v>21</v>
      </c>
      <c r="M937" s="1">
        <v>44640</v>
      </c>
      <c r="N937" t="s">
        <v>22</v>
      </c>
      <c r="O937" t="s">
        <v>23</v>
      </c>
      <c r="P937" t="str">
        <f t="shared" si="312"/>
        <v>P0936</v>
      </c>
      <c r="Q937" t="str">
        <f t="shared" si="308"/>
        <v>Endocrinology</v>
      </c>
      <c r="R937">
        <f t="shared" si="309"/>
        <v>1</v>
      </c>
      <c r="S937" t="str">
        <f t="shared" ca="1" si="313"/>
        <v>No</v>
      </c>
      <c r="T937" t="str">
        <f t="shared" ca="1" si="314"/>
        <v>Moderate</v>
      </c>
      <c r="U937" t="str">
        <f t="shared" ca="1" si="315"/>
        <v>Semi-Private</v>
      </c>
      <c r="V937" t="str">
        <f t="shared" si="316"/>
        <v>BED0936</v>
      </c>
      <c r="W937" t="str">
        <f t="shared" ca="1" si="317"/>
        <v>ICU</v>
      </c>
      <c r="X937" t="str">
        <f t="shared" si="318"/>
        <v>NUR036</v>
      </c>
      <c r="Y937" t="str">
        <f t="shared" ca="1" si="319"/>
        <v>Morning</v>
      </c>
      <c r="Z937" t="str">
        <f t="shared" ca="1" si="320"/>
        <v>ECG Machine</v>
      </c>
      <c r="AA937" t="str">
        <f t="shared" ca="1" si="321"/>
        <v>Available</v>
      </c>
      <c r="AB937" t="str">
        <f t="shared" ca="1" si="322"/>
        <v>Paid</v>
      </c>
      <c r="AC937" t="str">
        <f t="shared" ca="1" si="323"/>
        <v>Debit Card</v>
      </c>
      <c r="AD937" t="str">
        <f t="shared" ca="1" si="324"/>
        <v>No</v>
      </c>
      <c r="AE937" t="str">
        <f t="shared" ca="1" si="325"/>
        <v>Yes</v>
      </c>
      <c r="AF937" t="str">
        <f t="shared" ca="1" si="326"/>
        <v>Transferred</v>
      </c>
      <c r="AG937" t="str">
        <f t="shared" ca="1" si="327"/>
        <v>Northeast</v>
      </c>
      <c r="AH937" t="str">
        <f t="shared" si="310"/>
        <v>March</v>
      </c>
      <c r="AI937">
        <f t="shared" si="311"/>
        <v>2022</v>
      </c>
      <c r="AJ937" t="str">
        <f t="shared" ca="1" si="328"/>
        <v>Occupied</v>
      </c>
      <c r="AK937">
        <f t="shared" ca="1" si="329"/>
        <v>4</v>
      </c>
    </row>
    <row r="938" spans="1:37" x14ac:dyDescent="0.3">
      <c r="A938" t="s">
        <v>5351</v>
      </c>
      <c r="B938">
        <v>52</v>
      </c>
      <c r="C938" t="s">
        <v>15</v>
      </c>
      <c r="D938" t="s">
        <v>24</v>
      </c>
      <c r="E938" t="s">
        <v>76</v>
      </c>
      <c r="F938" s="1">
        <v>45361</v>
      </c>
      <c r="G938" t="s">
        <v>1901</v>
      </c>
      <c r="H938" t="s">
        <v>1902</v>
      </c>
      <c r="I938" t="s">
        <v>28</v>
      </c>
      <c r="J938">
        <v>32633</v>
      </c>
      <c r="K938">
        <v>484</v>
      </c>
      <c r="L938" t="s">
        <v>29</v>
      </c>
      <c r="M938" s="1">
        <v>45377</v>
      </c>
      <c r="N938" t="s">
        <v>37</v>
      </c>
      <c r="O938" t="s">
        <v>23</v>
      </c>
      <c r="P938" t="str">
        <f t="shared" si="312"/>
        <v>P0937</v>
      </c>
      <c r="Q938" t="str">
        <f t="shared" si="308"/>
        <v>Orthopedics</v>
      </c>
      <c r="R938">
        <f t="shared" si="309"/>
        <v>16</v>
      </c>
      <c r="S938" t="str">
        <f t="shared" ca="1" si="313"/>
        <v>No</v>
      </c>
      <c r="T938" t="str">
        <f t="shared" ca="1" si="314"/>
        <v>Critical</v>
      </c>
      <c r="U938" t="str">
        <f t="shared" ca="1" si="315"/>
        <v>Private Ward</v>
      </c>
      <c r="V938" t="str">
        <f t="shared" si="316"/>
        <v>BED0937</v>
      </c>
      <c r="W938" t="str">
        <f t="shared" ca="1" si="317"/>
        <v>Private</v>
      </c>
      <c r="X938" t="str">
        <f t="shared" si="318"/>
        <v>NUR037</v>
      </c>
      <c r="Y938" t="str">
        <f t="shared" ca="1" si="319"/>
        <v>Night</v>
      </c>
      <c r="Z938" t="str">
        <f t="shared" ca="1" si="320"/>
        <v>X-Ray</v>
      </c>
      <c r="AA938" t="str">
        <f t="shared" ca="1" si="321"/>
        <v>Available</v>
      </c>
      <c r="AB938" t="str">
        <f t="shared" ca="1" si="322"/>
        <v>Partially Paid</v>
      </c>
      <c r="AC938" t="str">
        <f t="shared" ca="1" si="323"/>
        <v>Cash</v>
      </c>
      <c r="AD938" t="str">
        <f t="shared" ca="1" si="324"/>
        <v>No</v>
      </c>
      <c r="AE938" t="str">
        <f t="shared" ca="1" si="325"/>
        <v>No</v>
      </c>
      <c r="AF938" t="str">
        <f t="shared" ca="1" si="326"/>
        <v>Recovered</v>
      </c>
      <c r="AG938" t="str">
        <f t="shared" ca="1" si="327"/>
        <v>West Coast</v>
      </c>
      <c r="AH938" t="str">
        <f t="shared" si="310"/>
        <v>March</v>
      </c>
      <c r="AI938">
        <f t="shared" si="311"/>
        <v>2024</v>
      </c>
      <c r="AJ938" t="str">
        <f t="shared" ca="1" si="328"/>
        <v>Occupied</v>
      </c>
      <c r="AK938">
        <f t="shared" ca="1" si="329"/>
        <v>1</v>
      </c>
    </row>
    <row r="939" spans="1:37" x14ac:dyDescent="0.3">
      <c r="A939" t="s">
        <v>5352</v>
      </c>
      <c r="B939">
        <v>49</v>
      </c>
      <c r="C939" t="s">
        <v>15</v>
      </c>
      <c r="D939" t="s">
        <v>52</v>
      </c>
      <c r="E939" t="s">
        <v>76</v>
      </c>
      <c r="F939" s="1">
        <v>43798</v>
      </c>
      <c r="G939" t="s">
        <v>1903</v>
      </c>
      <c r="H939" t="s">
        <v>1904</v>
      </c>
      <c r="I939" t="s">
        <v>20</v>
      </c>
      <c r="J939">
        <v>19720</v>
      </c>
      <c r="K939">
        <v>114</v>
      </c>
      <c r="L939" t="s">
        <v>29</v>
      </c>
      <c r="M939" s="1">
        <v>43799</v>
      </c>
      <c r="N939" t="s">
        <v>67</v>
      </c>
      <c r="O939" t="s">
        <v>23</v>
      </c>
      <c r="P939" t="str">
        <f t="shared" si="312"/>
        <v>P0938</v>
      </c>
      <c r="Q939" t="str">
        <f t="shared" si="308"/>
        <v>Orthopedics</v>
      </c>
      <c r="R939">
        <f t="shared" si="309"/>
        <v>1</v>
      </c>
      <c r="S939" t="str">
        <f t="shared" ca="1" si="313"/>
        <v>No</v>
      </c>
      <c r="T939" t="str">
        <f t="shared" ca="1" si="314"/>
        <v>Mild</v>
      </c>
      <c r="U939" t="str">
        <f t="shared" ca="1" si="315"/>
        <v>Semi-Private</v>
      </c>
      <c r="V939" t="str">
        <f t="shared" si="316"/>
        <v>BED0938</v>
      </c>
      <c r="W939" t="str">
        <f t="shared" ca="1" si="317"/>
        <v>Semi-Private</v>
      </c>
      <c r="X939" t="str">
        <f t="shared" si="318"/>
        <v>NUR038</v>
      </c>
      <c r="Y939" t="str">
        <f t="shared" ca="1" si="319"/>
        <v>Night</v>
      </c>
      <c r="Z939" t="str">
        <f t="shared" ca="1" si="320"/>
        <v>MRI Scanner</v>
      </c>
      <c r="AA939" t="str">
        <f t="shared" ca="1" si="321"/>
        <v>Available</v>
      </c>
      <c r="AB939" t="str">
        <f t="shared" ca="1" si="322"/>
        <v>Paid</v>
      </c>
      <c r="AC939" t="str">
        <f t="shared" ca="1" si="323"/>
        <v>Insurance</v>
      </c>
      <c r="AD939" t="str">
        <f t="shared" ca="1" si="324"/>
        <v>No</v>
      </c>
      <c r="AE939" t="str">
        <f t="shared" ca="1" si="325"/>
        <v>No</v>
      </c>
      <c r="AF939" t="str">
        <f t="shared" ca="1" si="326"/>
        <v>Transferred</v>
      </c>
      <c r="AG939" t="str">
        <f t="shared" ca="1" si="327"/>
        <v>Southwest</v>
      </c>
      <c r="AH939" t="str">
        <f t="shared" si="310"/>
        <v>November</v>
      </c>
      <c r="AI939">
        <f t="shared" si="311"/>
        <v>2019</v>
      </c>
      <c r="AJ939" t="str">
        <f t="shared" ca="1" si="328"/>
        <v>Occupied</v>
      </c>
      <c r="AK939">
        <f t="shared" ca="1" si="329"/>
        <v>1</v>
      </c>
    </row>
    <row r="940" spans="1:37" x14ac:dyDescent="0.3">
      <c r="A940" t="s">
        <v>5353</v>
      </c>
      <c r="B940">
        <v>41</v>
      </c>
      <c r="C940" t="s">
        <v>15</v>
      </c>
      <c r="D940" t="s">
        <v>16</v>
      </c>
      <c r="E940" t="s">
        <v>64</v>
      </c>
      <c r="F940" s="1">
        <v>43663</v>
      </c>
      <c r="G940" t="s">
        <v>1905</v>
      </c>
      <c r="H940" t="s">
        <v>1906</v>
      </c>
      <c r="I940" t="s">
        <v>20</v>
      </c>
      <c r="J940">
        <v>46421</v>
      </c>
      <c r="K940">
        <v>124</v>
      </c>
      <c r="L940" t="s">
        <v>29</v>
      </c>
      <c r="M940" s="1">
        <v>43689</v>
      </c>
      <c r="N940" t="s">
        <v>22</v>
      </c>
      <c r="O940" t="s">
        <v>43</v>
      </c>
      <c r="P940" t="str">
        <f t="shared" si="312"/>
        <v>P0939</v>
      </c>
      <c r="Q940" t="str">
        <f t="shared" si="308"/>
        <v>Cardiology</v>
      </c>
      <c r="R940">
        <f t="shared" si="309"/>
        <v>26</v>
      </c>
      <c r="S940" t="str">
        <f t="shared" ca="1" si="313"/>
        <v>No</v>
      </c>
      <c r="T940" t="str">
        <f t="shared" ca="1" si="314"/>
        <v>Mild</v>
      </c>
      <c r="U940" t="str">
        <f t="shared" ca="1" si="315"/>
        <v>Emergency</v>
      </c>
      <c r="V940" t="str">
        <f t="shared" si="316"/>
        <v>BED0939</v>
      </c>
      <c r="W940" t="str">
        <f t="shared" ca="1" si="317"/>
        <v>Private</v>
      </c>
      <c r="X940" t="str">
        <f t="shared" si="318"/>
        <v>NUR039</v>
      </c>
      <c r="Y940" t="str">
        <f t="shared" ca="1" si="319"/>
        <v>Night</v>
      </c>
      <c r="Z940" t="str">
        <f t="shared" ca="1" si="320"/>
        <v>Ultrasound</v>
      </c>
      <c r="AA940" t="str">
        <f t="shared" ca="1" si="321"/>
        <v>Available</v>
      </c>
      <c r="AB940" t="str">
        <f t="shared" ca="1" si="322"/>
        <v>Paid</v>
      </c>
      <c r="AC940" t="str">
        <f t="shared" ca="1" si="323"/>
        <v>Bank Transfer</v>
      </c>
      <c r="AD940" t="str">
        <f t="shared" ca="1" si="324"/>
        <v>No</v>
      </c>
      <c r="AE940" t="str">
        <f t="shared" ca="1" si="325"/>
        <v>No</v>
      </c>
      <c r="AF940" t="str">
        <f t="shared" ca="1" si="326"/>
        <v>Transferred</v>
      </c>
      <c r="AG940" t="str">
        <f t="shared" ca="1" si="327"/>
        <v>Midwest</v>
      </c>
      <c r="AH940" t="str">
        <f t="shared" si="310"/>
        <v>July</v>
      </c>
      <c r="AI940">
        <f t="shared" si="311"/>
        <v>2019</v>
      </c>
      <c r="AJ940" t="str">
        <f t="shared" ca="1" si="328"/>
        <v>Occupied</v>
      </c>
      <c r="AK940">
        <f t="shared" ca="1" si="329"/>
        <v>1</v>
      </c>
    </row>
    <row r="941" spans="1:37" x14ac:dyDescent="0.3">
      <c r="A941" t="s">
        <v>5354</v>
      </c>
      <c r="B941">
        <v>81</v>
      </c>
      <c r="C941" t="s">
        <v>32</v>
      </c>
      <c r="D941" t="s">
        <v>98</v>
      </c>
      <c r="E941" t="s">
        <v>64</v>
      </c>
      <c r="F941" s="1">
        <v>43978</v>
      </c>
      <c r="G941" t="s">
        <v>1907</v>
      </c>
      <c r="H941" t="s">
        <v>1908</v>
      </c>
      <c r="I941" t="s">
        <v>20</v>
      </c>
      <c r="J941">
        <v>10767</v>
      </c>
      <c r="K941">
        <v>126</v>
      </c>
      <c r="L941" t="s">
        <v>42</v>
      </c>
      <c r="M941" s="1">
        <v>43994</v>
      </c>
      <c r="N941" t="s">
        <v>37</v>
      </c>
      <c r="O941" t="s">
        <v>23</v>
      </c>
      <c r="P941" t="str">
        <f t="shared" si="312"/>
        <v>P0940</v>
      </c>
      <c r="Q941" t="str">
        <f t="shared" si="308"/>
        <v>Cardiology</v>
      </c>
      <c r="R941">
        <f t="shared" si="309"/>
        <v>16</v>
      </c>
      <c r="S941" t="str">
        <f t="shared" ca="1" si="313"/>
        <v>No</v>
      </c>
      <c r="T941" t="str">
        <f t="shared" ca="1" si="314"/>
        <v>Severe</v>
      </c>
      <c r="U941" t="str">
        <f t="shared" ca="1" si="315"/>
        <v>Private Ward</v>
      </c>
      <c r="V941" t="str">
        <f t="shared" si="316"/>
        <v>BED0940</v>
      </c>
      <c r="W941" t="str">
        <f t="shared" ca="1" si="317"/>
        <v>ICU</v>
      </c>
      <c r="X941" t="str">
        <f t="shared" si="318"/>
        <v>NUR040</v>
      </c>
      <c r="Y941" t="str">
        <f t="shared" ca="1" si="319"/>
        <v>Night</v>
      </c>
      <c r="Z941" t="str">
        <f t="shared" ca="1" si="320"/>
        <v>Ventilator</v>
      </c>
      <c r="AA941" t="str">
        <f t="shared" ca="1" si="321"/>
        <v>In Use</v>
      </c>
      <c r="AB941" t="str">
        <f t="shared" ca="1" si="322"/>
        <v>Pending</v>
      </c>
      <c r="AC941" t="str">
        <f t="shared" ca="1" si="323"/>
        <v>Debit Card</v>
      </c>
      <c r="AD941" t="str">
        <f t="shared" ca="1" si="324"/>
        <v>No</v>
      </c>
      <c r="AE941" t="str">
        <f t="shared" ca="1" si="325"/>
        <v>No</v>
      </c>
      <c r="AF941" t="str">
        <f t="shared" ca="1" si="326"/>
        <v>Under Observation</v>
      </c>
      <c r="AG941" t="str">
        <f t="shared" ca="1" si="327"/>
        <v>Southeast</v>
      </c>
      <c r="AH941" t="str">
        <f t="shared" si="310"/>
        <v>May</v>
      </c>
      <c r="AI941">
        <f t="shared" si="311"/>
        <v>2020</v>
      </c>
      <c r="AJ941" t="str">
        <f t="shared" ca="1" si="328"/>
        <v>Occupied</v>
      </c>
      <c r="AK941">
        <f t="shared" ca="1" si="329"/>
        <v>2</v>
      </c>
    </row>
    <row r="942" spans="1:37" x14ac:dyDescent="0.3">
      <c r="A942" t="s">
        <v>5355</v>
      </c>
      <c r="B942">
        <v>19</v>
      </c>
      <c r="C942" t="s">
        <v>32</v>
      </c>
      <c r="D942" t="s">
        <v>33</v>
      </c>
      <c r="E942" t="s">
        <v>64</v>
      </c>
      <c r="F942" s="1">
        <v>43714</v>
      </c>
      <c r="G942" t="s">
        <v>1909</v>
      </c>
      <c r="H942" t="s">
        <v>1910</v>
      </c>
      <c r="I942" t="s">
        <v>20</v>
      </c>
      <c r="J942">
        <v>47657</v>
      </c>
      <c r="K942">
        <v>286</v>
      </c>
      <c r="L942" t="s">
        <v>29</v>
      </c>
      <c r="M942" s="1">
        <v>43739</v>
      </c>
      <c r="N942" t="s">
        <v>47</v>
      </c>
      <c r="O942" t="s">
        <v>31</v>
      </c>
      <c r="P942" t="str">
        <f t="shared" si="312"/>
        <v>P0941</v>
      </c>
      <c r="Q942" t="str">
        <f t="shared" si="308"/>
        <v>Cardiology</v>
      </c>
      <c r="R942">
        <f t="shared" si="309"/>
        <v>25</v>
      </c>
      <c r="S942" t="str">
        <f t="shared" ca="1" si="313"/>
        <v>No</v>
      </c>
      <c r="T942" t="str">
        <f t="shared" ca="1" si="314"/>
        <v>Moderate</v>
      </c>
      <c r="U942" t="str">
        <f t="shared" ca="1" si="315"/>
        <v>Emergency</v>
      </c>
      <c r="V942" t="str">
        <f t="shared" si="316"/>
        <v>BED0941</v>
      </c>
      <c r="W942" t="str">
        <f t="shared" ca="1" si="317"/>
        <v>Semi-Private</v>
      </c>
      <c r="X942" t="str">
        <f t="shared" si="318"/>
        <v>NUR041</v>
      </c>
      <c r="Y942" t="str">
        <f t="shared" ca="1" si="319"/>
        <v>Evening</v>
      </c>
      <c r="Z942" t="str">
        <f t="shared" ca="1" si="320"/>
        <v>ECG Machine</v>
      </c>
      <c r="AA942" t="str">
        <f t="shared" ca="1" si="321"/>
        <v>In Use</v>
      </c>
      <c r="AB942" t="str">
        <f t="shared" ca="1" si="322"/>
        <v>Partially Paid</v>
      </c>
      <c r="AC942" t="str">
        <f t="shared" ca="1" si="323"/>
        <v>Credit Card</v>
      </c>
      <c r="AD942" t="str">
        <f t="shared" ca="1" si="324"/>
        <v>No</v>
      </c>
      <c r="AE942" t="str">
        <f t="shared" ca="1" si="325"/>
        <v>No</v>
      </c>
      <c r="AF942" t="str">
        <f t="shared" ca="1" si="326"/>
        <v>Transferred</v>
      </c>
      <c r="AG942" t="str">
        <f t="shared" ca="1" si="327"/>
        <v>Northeast</v>
      </c>
      <c r="AH942" t="str">
        <f t="shared" si="310"/>
        <v>September</v>
      </c>
      <c r="AI942">
        <f t="shared" si="311"/>
        <v>2019</v>
      </c>
      <c r="AJ942" t="str">
        <f t="shared" ca="1" si="328"/>
        <v>Occupied</v>
      </c>
      <c r="AK942">
        <f t="shared" ca="1" si="329"/>
        <v>1</v>
      </c>
    </row>
    <row r="943" spans="1:37" x14ac:dyDescent="0.3">
      <c r="A943" t="s">
        <v>5356</v>
      </c>
      <c r="B943">
        <v>83</v>
      </c>
      <c r="C943" t="s">
        <v>15</v>
      </c>
      <c r="D943" t="s">
        <v>44</v>
      </c>
      <c r="E943" t="s">
        <v>64</v>
      </c>
      <c r="F943" s="1">
        <v>44292</v>
      </c>
      <c r="G943" t="s">
        <v>1911</v>
      </c>
      <c r="H943" t="s">
        <v>1912</v>
      </c>
      <c r="I943" t="s">
        <v>57</v>
      </c>
      <c r="J943">
        <v>46186</v>
      </c>
      <c r="K943">
        <v>114</v>
      </c>
      <c r="L943" t="s">
        <v>42</v>
      </c>
      <c r="M943" s="1">
        <v>44322</v>
      </c>
      <c r="N943" t="s">
        <v>30</v>
      </c>
      <c r="O943" t="s">
        <v>43</v>
      </c>
      <c r="P943" t="str">
        <f t="shared" si="312"/>
        <v>P0942</v>
      </c>
      <c r="Q943" t="str">
        <f t="shared" si="308"/>
        <v>Cardiology</v>
      </c>
      <c r="R943">
        <f t="shared" si="309"/>
        <v>30</v>
      </c>
      <c r="S943" t="str">
        <f t="shared" ca="1" si="313"/>
        <v>No</v>
      </c>
      <c r="T943" t="str">
        <f t="shared" ca="1" si="314"/>
        <v>Critical</v>
      </c>
      <c r="U943" t="str">
        <f t="shared" ca="1" si="315"/>
        <v>General Ward</v>
      </c>
      <c r="V943" t="str">
        <f t="shared" si="316"/>
        <v>BED0942</v>
      </c>
      <c r="W943" t="str">
        <f t="shared" ca="1" si="317"/>
        <v>Semi-Private</v>
      </c>
      <c r="X943" t="str">
        <f t="shared" si="318"/>
        <v>NUR042</v>
      </c>
      <c r="Y943" t="str">
        <f t="shared" ca="1" si="319"/>
        <v>Night</v>
      </c>
      <c r="Z943" t="str">
        <f t="shared" ca="1" si="320"/>
        <v>CT Scanner</v>
      </c>
      <c r="AA943" t="str">
        <f t="shared" ca="1" si="321"/>
        <v>In Use</v>
      </c>
      <c r="AB943" t="str">
        <f t="shared" ca="1" si="322"/>
        <v>Pending</v>
      </c>
      <c r="AC943" t="str">
        <f t="shared" ca="1" si="323"/>
        <v>Cash</v>
      </c>
      <c r="AD943" t="str">
        <f t="shared" ca="1" si="324"/>
        <v>No</v>
      </c>
      <c r="AE943" t="str">
        <f t="shared" ca="1" si="325"/>
        <v>No</v>
      </c>
      <c r="AF943" t="str">
        <f t="shared" ca="1" si="326"/>
        <v>Under Observation</v>
      </c>
      <c r="AG943" t="str">
        <f t="shared" ca="1" si="327"/>
        <v>West Coast</v>
      </c>
      <c r="AH943" t="str">
        <f t="shared" si="310"/>
        <v>April</v>
      </c>
      <c r="AI943">
        <f t="shared" si="311"/>
        <v>2021</v>
      </c>
      <c r="AJ943" t="str">
        <f t="shared" ca="1" si="328"/>
        <v>Occupied</v>
      </c>
      <c r="AK943">
        <f t="shared" ca="1" si="329"/>
        <v>1</v>
      </c>
    </row>
    <row r="944" spans="1:37" x14ac:dyDescent="0.3">
      <c r="A944" t="s">
        <v>5357</v>
      </c>
      <c r="B944">
        <v>36</v>
      </c>
      <c r="C944" t="s">
        <v>32</v>
      </c>
      <c r="D944" t="s">
        <v>38</v>
      </c>
      <c r="E944" t="s">
        <v>17</v>
      </c>
      <c r="F944" s="1">
        <v>43604</v>
      </c>
      <c r="G944" t="s">
        <v>1913</v>
      </c>
      <c r="H944" t="s">
        <v>1914</v>
      </c>
      <c r="I944" t="s">
        <v>51</v>
      </c>
      <c r="J944">
        <v>44149</v>
      </c>
      <c r="K944">
        <v>336</v>
      </c>
      <c r="L944" t="s">
        <v>29</v>
      </c>
      <c r="M944" s="1">
        <v>43614</v>
      </c>
      <c r="N944" t="s">
        <v>22</v>
      </c>
      <c r="O944" t="s">
        <v>43</v>
      </c>
      <c r="P944" t="str">
        <f t="shared" si="312"/>
        <v>P0943</v>
      </c>
      <c r="Q944" t="str">
        <f t="shared" si="308"/>
        <v>Oncology</v>
      </c>
      <c r="R944">
        <f t="shared" si="309"/>
        <v>10</v>
      </c>
      <c r="S944" t="str">
        <f t="shared" ca="1" si="313"/>
        <v>No</v>
      </c>
      <c r="T944" t="str">
        <f t="shared" ca="1" si="314"/>
        <v>Severe</v>
      </c>
      <c r="U944" t="str">
        <f t="shared" ca="1" si="315"/>
        <v>Semi-Private</v>
      </c>
      <c r="V944" t="str">
        <f t="shared" si="316"/>
        <v>BED0943</v>
      </c>
      <c r="W944" t="str">
        <f t="shared" ca="1" si="317"/>
        <v>Private</v>
      </c>
      <c r="X944" t="str">
        <f t="shared" si="318"/>
        <v>NUR043</v>
      </c>
      <c r="Y944" t="str">
        <f t="shared" ca="1" si="319"/>
        <v>Night</v>
      </c>
      <c r="Z944" t="str">
        <f t="shared" ca="1" si="320"/>
        <v>MRI Scanner</v>
      </c>
      <c r="AA944" t="str">
        <f t="shared" ca="1" si="321"/>
        <v>Available</v>
      </c>
      <c r="AB944" t="str">
        <f t="shared" ca="1" si="322"/>
        <v>Partially Paid</v>
      </c>
      <c r="AC944" t="str">
        <f t="shared" ca="1" si="323"/>
        <v>Credit Card</v>
      </c>
      <c r="AD944" t="str">
        <f t="shared" ca="1" si="324"/>
        <v>No</v>
      </c>
      <c r="AE944" t="str">
        <f t="shared" ca="1" si="325"/>
        <v>No</v>
      </c>
      <c r="AF944" t="str">
        <f t="shared" ca="1" si="326"/>
        <v>Transferred</v>
      </c>
      <c r="AG944" t="str">
        <f t="shared" ca="1" si="327"/>
        <v>West Coast</v>
      </c>
      <c r="AH944" t="str">
        <f t="shared" si="310"/>
        <v>May</v>
      </c>
      <c r="AI944">
        <f t="shared" si="311"/>
        <v>2019</v>
      </c>
      <c r="AJ944" t="str">
        <f t="shared" ca="1" si="328"/>
        <v>Occupied</v>
      </c>
      <c r="AK944">
        <f t="shared" ca="1" si="329"/>
        <v>4</v>
      </c>
    </row>
    <row r="945" spans="1:37" x14ac:dyDescent="0.3">
      <c r="A945" t="s">
        <v>5358</v>
      </c>
      <c r="B945">
        <v>43</v>
      </c>
      <c r="C945" t="s">
        <v>32</v>
      </c>
      <c r="D945" t="s">
        <v>33</v>
      </c>
      <c r="E945" t="s">
        <v>17</v>
      </c>
      <c r="F945" s="1">
        <v>45193</v>
      </c>
      <c r="G945" t="s">
        <v>1915</v>
      </c>
      <c r="H945" t="s">
        <v>1916</v>
      </c>
      <c r="I945" t="s">
        <v>57</v>
      </c>
      <c r="J945">
        <v>12447</v>
      </c>
      <c r="K945">
        <v>360</v>
      </c>
      <c r="L945" t="s">
        <v>42</v>
      </c>
      <c r="M945" s="1">
        <v>45219</v>
      </c>
      <c r="N945" t="s">
        <v>22</v>
      </c>
      <c r="O945" t="s">
        <v>43</v>
      </c>
      <c r="P945" t="str">
        <f t="shared" si="312"/>
        <v>P0944</v>
      </c>
      <c r="Q945" t="str">
        <f t="shared" si="308"/>
        <v>Oncology</v>
      </c>
      <c r="R945">
        <f t="shared" si="309"/>
        <v>26</v>
      </c>
      <c r="S945" t="str">
        <f t="shared" ca="1" si="313"/>
        <v>No</v>
      </c>
      <c r="T945" t="str">
        <f t="shared" ca="1" si="314"/>
        <v>Critical</v>
      </c>
      <c r="U945" t="str">
        <f t="shared" ca="1" si="315"/>
        <v>General Ward</v>
      </c>
      <c r="V945" t="str">
        <f t="shared" si="316"/>
        <v>BED0944</v>
      </c>
      <c r="W945" t="str">
        <f t="shared" ca="1" si="317"/>
        <v>General</v>
      </c>
      <c r="X945" t="str">
        <f t="shared" si="318"/>
        <v>NUR044</v>
      </c>
      <c r="Y945" t="str">
        <f t="shared" ca="1" si="319"/>
        <v>Morning</v>
      </c>
      <c r="Z945" t="str">
        <f t="shared" ca="1" si="320"/>
        <v>MRI Scanner</v>
      </c>
      <c r="AA945" t="str">
        <f t="shared" ca="1" si="321"/>
        <v>Maintenance</v>
      </c>
      <c r="AB945" t="str">
        <f t="shared" ca="1" si="322"/>
        <v>Paid</v>
      </c>
      <c r="AC945" t="str">
        <f t="shared" ca="1" si="323"/>
        <v>Debit Card</v>
      </c>
      <c r="AD945" t="str">
        <f t="shared" ca="1" si="324"/>
        <v>No</v>
      </c>
      <c r="AE945" t="str">
        <f t="shared" ca="1" si="325"/>
        <v>Yes</v>
      </c>
      <c r="AF945" t="str">
        <f t="shared" ca="1" si="326"/>
        <v>Recovered</v>
      </c>
      <c r="AG945" t="str">
        <f t="shared" ca="1" si="327"/>
        <v>Midwest</v>
      </c>
      <c r="AH945" t="str">
        <f t="shared" si="310"/>
        <v>September</v>
      </c>
      <c r="AI945">
        <f t="shared" si="311"/>
        <v>2023</v>
      </c>
      <c r="AJ945" t="str">
        <f t="shared" ca="1" si="328"/>
        <v>Occupied</v>
      </c>
      <c r="AK945">
        <f t="shared" ca="1" si="329"/>
        <v>4</v>
      </c>
    </row>
    <row r="946" spans="1:37" x14ac:dyDescent="0.3">
      <c r="A946" t="s">
        <v>5359</v>
      </c>
      <c r="B946">
        <v>72</v>
      </c>
      <c r="C946" t="s">
        <v>15</v>
      </c>
      <c r="D946" t="s">
        <v>52</v>
      </c>
      <c r="E946" t="s">
        <v>39</v>
      </c>
      <c r="F946" s="1">
        <v>43738</v>
      </c>
      <c r="G946" t="s">
        <v>1917</v>
      </c>
      <c r="H946" t="s">
        <v>1918</v>
      </c>
      <c r="I946" t="s">
        <v>57</v>
      </c>
      <c r="J946">
        <v>43298</v>
      </c>
      <c r="K946">
        <v>290</v>
      </c>
      <c r="L946" t="s">
        <v>21</v>
      </c>
      <c r="M946" s="1">
        <v>43748</v>
      </c>
      <c r="N946" t="s">
        <v>22</v>
      </c>
      <c r="O946" t="s">
        <v>43</v>
      </c>
      <c r="P946" t="str">
        <f t="shared" si="312"/>
        <v>P0945</v>
      </c>
      <c r="Q946" t="str">
        <f t="shared" si="308"/>
        <v>Endocrinology</v>
      </c>
      <c r="R946">
        <f t="shared" si="309"/>
        <v>10</v>
      </c>
      <c r="S946" t="str">
        <f t="shared" ca="1" si="313"/>
        <v>No</v>
      </c>
      <c r="T946" t="str">
        <f t="shared" ca="1" si="314"/>
        <v>Mild</v>
      </c>
      <c r="U946" t="str">
        <f t="shared" ca="1" si="315"/>
        <v>Private Ward</v>
      </c>
      <c r="V946" t="str">
        <f t="shared" si="316"/>
        <v>BED0945</v>
      </c>
      <c r="W946" t="str">
        <f t="shared" ca="1" si="317"/>
        <v>General</v>
      </c>
      <c r="X946" t="str">
        <f t="shared" si="318"/>
        <v>NUR045</v>
      </c>
      <c r="Y946" t="str">
        <f t="shared" ca="1" si="319"/>
        <v>Night</v>
      </c>
      <c r="Z946" t="str">
        <f t="shared" ca="1" si="320"/>
        <v>CT Scanner</v>
      </c>
      <c r="AA946" t="str">
        <f t="shared" ca="1" si="321"/>
        <v>Available</v>
      </c>
      <c r="AB946" t="str">
        <f t="shared" ca="1" si="322"/>
        <v>Partially Paid</v>
      </c>
      <c r="AC946" t="str">
        <f t="shared" ca="1" si="323"/>
        <v>Debit Card</v>
      </c>
      <c r="AD946" t="str">
        <f t="shared" ca="1" si="324"/>
        <v>Yes</v>
      </c>
      <c r="AE946" t="str">
        <f t="shared" ca="1" si="325"/>
        <v>No</v>
      </c>
      <c r="AF946" t="str">
        <f t="shared" ca="1" si="326"/>
        <v>Under Observation</v>
      </c>
      <c r="AG946" t="str">
        <f t="shared" ca="1" si="327"/>
        <v>Southeast</v>
      </c>
      <c r="AH946" t="str">
        <f t="shared" si="310"/>
        <v>September</v>
      </c>
      <c r="AI946">
        <f t="shared" si="311"/>
        <v>2019</v>
      </c>
      <c r="AJ946" t="str">
        <f t="shared" ca="1" si="328"/>
        <v>Occupied</v>
      </c>
      <c r="AK946">
        <f t="shared" ca="1" si="329"/>
        <v>1</v>
      </c>
    </row>
    <row r="947" spans="1:37" x14ac:dyDescent="0.3">
      <c r="A947" t="s">
        <v>5360</v>
      </c>
      <c r="B947">
        <v>73</v>
      </c>
      <c r="C947" t="s">
        <v>32</v>
      </c>
      <c r="D947" t="s">
        <v>24</v>
      </c>
      <c r="E947" t="s">
        <v>48</v>
      </c>
      <c r="F947" s="1">
        <v>44765</v>
      </c>
      <c r="G947" t="s">
        <v>1919</v>
      </c>
      <c r="H947" t="s">
        <v>1920</v>
      </c>
      <c r="I947" t="s">
        <v>57</v>
      </c>
      <c r="J947">
        <v>33380</v>
      </c>
      <c r="K947">
        <v>142</v>
      </c>
      <c r="L947" t="s">
        <v>29</v>
      </c>
      <c r="M947" s="1">
        <v>44789</v>
      </c>
      <c r="N947" t="s">
        <v>30</v>
      </c>
      <c r="O947" t="s">
        <v>43</v>
      </c>
      <c r="P947" t="str">
        <f t="shared" si="312"/>
        <v>P0946</v>
      </c>
      <c r="Q947" t="str">
        <f t="shared" si="308"/>
        <v>Pulmonology</v>
      </c>
      <c r="R947">
        <f t="shared" si="309"/>
        <v>24</v>
      </c>
      <c r="S947" t="str">
        <f t="shared" ca="1" si="313"/>
        <v>No</v>
      </c>
      <c r="T947" t="str">
        <f t="shared" ca="1" si="314"/>
        <v>Moderate</v>
      </c>
      <c r="U947" t="str">
        <f t="shared" ca="1" si="315"/>
        <v>General Ward</v>
      </c>
      <c r="V947" t="str">
        <f t="shared" si="316"/>
        <v>BED0946</v>
      </c>
      <c r="W947" t="str">
        <f t="shared" ca="1" si="317"/>
        <v>Private</v>
      </c>
      <c r="X947" t="str">
        <f t="shared" si="318"/>
        <v>NUR046</v>
      </c>
      <c r="Y947" t="str">
        <f t="shared" ca="1" si="319"/>
        <v>Evening</v>
      </c>
      <c r="Z947" t="str">
        <f t="shared" ca="1" si="320"/>
        <v>ECG Machine</v>
      </c>
      <c r="AA947" t="str">
        <f t="shared" ca="1" si="321"/>
        <v>Available</v>
      </c>
      <c r="AB947" t="str">
        <f t="shared" ca="1" si="322"/>
        <v>Partially Paid</v>
      </c>
      <c r="AC947" t="str">
        <f t="shared" ca="1" si="323"/>
        <v>Insurance</v>
      </c>
      <c r="AD947" t="str">
        <f t="shared" ca="1" si="324"/>
        <v>No</v>
      </c>
      <c r="AE947" t="str">
        <f t="shared" ca="1" si="325"/>
        <v>No</v>
      </c>
      <c r="AF947" t="str">
        <f t="shared" ca="1" si="326"/>
        <v>Recovered</v>
      </c>
      <c r="AG947" t="str">
        <f t="shared" ca="1" si="327"/>
        <v>Midwest</v>
      </c>
      <c r="AH947" t="str">
        <f t="shared" si="310"/>
        <v>July</v>
      </c>
      <c r="AI947">
        <f t="shared" si="311"/>
        <v>2022</v>
      </c>
      <c r="AJ947" t="str">
        <f t="shared" ca="1" si="328"/>
        <v>Occupied</v>
      </c>
      <c r="AK947">
        <f t="shared" ca="1" si="329"/>
        <v>4</v>
      </c>
    </row>
    <row r="948" spans="1:37" x14ac:dyDescent="0.3">
      <c r="A948" t="s">
        <v>5361</v>
      </c>
      <c r="B948">
        <v>32</v>
      </c>
      <c r="C948" t="s">
        <v>15</v>
      </c>
      <c r="D948" t="s">
        <v>52</v>
      </c>
      <c r="E948" t="s">
        <v>17</v>
      </c>
      <c r="F948" s="1">
        <v>43962</v>
      </c>
      <c r="G948" t="s">
        <v>1921</v>
      </c>
      <c r="H948" t="s">
        <v>1922</v>
      </c>
      <c r="I948" t="s">
        <v>20</v>
      </c>
      <c r="J948">
        <v>37553</v>
      </c>
      <c r="K948">
        <v>256</v>
      </c>
      <c r="L948" t="s">
        <v>29</v>
      </c>
      <c r="M948" s="1">
        <v>43988</v>
      </c>
      <c r="N948" t="s">
        <v>37</v>
      </c>
      <c r="O948" t="s">
        <v>31</v>
      </c>
      <c r="P948" t="str">
        <f t="shared" si="312"/>
        <v>P0947</v>
      </c>
      <c r="Q948" t="str">
        <f t="shared" si="308"/>
        <v>Oncology</v>
      </c>
      <c r="R948">
        <f t="shared" si="309"/>
        <v>26</v>
      </c>
      <c r="S948" t="str">
        <f t="shared" ca="1" si="313"/>
        <v>No</v>
      </c>
      <c r="T948" t="str">
        <f t="shared" ca="1" si="314"/>
        <v>Moderate</v>
      </c>
      <c r="U948" t="str">
        <f t="shared" ca="1" si="315"/>
        <v>Private Ward</v>
      </c>
      <c r="V948" t="str">
        <f t="shared" si="316"/>
        <v>BED0947</v>
      </c>
      <c r="W948" t="str">
        <f t="shared" ca="1" si="317"/>
        <v>Private</v>
      </c>
      <c r="X948" t="str">
        <f t="shared" si="318"/>
        <v>NUR047</v>
      </c>
      <c r="Y948" t="str">
        <f t="shared" ca="1" si="319"/>
        <v>Night</v>
      </c>
      <c r="Z948" t="str">
        <f t="shared" ca="1" si="320"/>
        <v>X-Ray</v>
      </c>
      <c r="AA948" t="str">
        <f t="shared" ca="1" si="321"/>
        <v>In Use</v>
      </c>
      <c r="AB948" t="str">
        <f t="shared" ca="1" si="322"/>
        <v>Paid</v>
      </c>
      <c r="AC948" t="str">
        <f t="shared" ca="1" si="323"/>
        <v>Bank Transfer</v>
      </c>
      <c r="AD948" t="str">
        <f t="shared" ca="1" si="324"/>
        <v>No</v>
      </c>
      <c r="AE948" t="str">
        <f t="shared" ca="1" si="325"/>
        <v>No</v>
      </c>
      <c r="AF948" t="str">
        <f t="shared" ca="1" si="326"/>
        <v>Recovered</v>
      </c>
      <c r="AG948" t="str">
        <f t="shared" ca="1" si="327"/>
        <v>Midwest</v>
      </c>
      <c r="AH948" t="str">
        <f t="shared" si="310"/>
        <v>May</v>
      </c>
      <c r="AI948">
        <f t="shared" si="311"/>
        <v>2020</v>
      </c>
      <c r="AJ948" t="str">
        <f t="shared" ca="1" si="328"/>
        <v>Occupied</v>
      </c>
      <c r="AK948">
        <f t="shared" ca="1" si="329"/>
        <v>1</v>
      </c>
    </row>
    <row r="949" spans="1:37" x14ac:dyDescent="0.3">
      <c r="A949" t="s">
        <v>5362</v>
      </c>
      <c r="B949">
        <v>39</v>
      </c>
      <c r="C949" t="s">
        <v>15</v>
      </c>
      <c r="D949" t="s">
        <v>38</v>
      </c>
      <c r="E949" t="s">
        <v>48</v>
      </c>
      <c r="F949" s="1">
        <v>43678</v>
      </c>
      <c r="G949" t="s">
        <v>1923</v>
      </c>
      <c r="H949" t="s">
        <v>1924</v>
      </c>
      <c r="I949" t="s">
        <v>36</v>
      </c>
      <c r="J949">
        <v>44931</v>
      </c>
      <c r="K949">
        <v>194</v>
      </c>
      <c r="L949" t="s">
        <v>42</v>
      </c>
      <c r="M949" s="1">
        <v>43685</v>
      </c>
      <c r="N949" t="s">
        <v>47</v>
      </c>
      <c r="O949" t="s">
        <v>23</v>
      </c>
      <c r="P949" t="str">
        <f t="shared" si="312"/>
        <v>P0948</v>
      </c>
      <c r="Q949" t="str">
        <f t="shared" si="308"/>
        <v>Pulmonology</v>
      </c>
      <c r="R949">
        <f t="shared" si="309"/>
        <v>7</v>
      </c>
      <c r="S949" t="str">
        <f t="shared" ca="1" si="313"/>
        <v>No</v>
      </c>
      <c r="T949" t="str">
        <f t="shared" ca="1" si="314"/>
        <v>Severe</v>
      </c>
      <c r="U949" t="str">
        <f t="shared" ca="1" si="315"/>
        <v>Emergency</v>
      </c>
      <c r="V949" t="str">
        <f t="shared" si="316"/>
        <v>BED0948</v>
      </c>
      <c r="W949" t="str">
        <f t="shared" ca="1" si="317"/>
        <v>Semi-Private</v>
      </c>
      <c r="X949" t="str">
        <f t="shared" si="318"/>
        <v>NUR048</v>
      </c>
      <c r="Y949" t="str">
        <f t="shared" ca="1" si="319"/>
        <v>Morning</v>
      </c>
      <c r="Z949" t="str">
        <f t="shared" ca="1" si="320"/>
        <v>MRI Scanner</v>
      </c>
      <c r="AA949" t="str">
        <f t="shared" ca="1" si="321"/>
        <v>Maintenance</v>
      </c>
      <c r="AB949" t="str">
        <f t="shared" ca="1" si="322"/>
        <v>Partially Paid</v>
      </c>
      <c r="AC949" t="str">
        <f t="shared" ca="1" si="323"/>
        <v>Debit Card</v>
      </c>
      <c r="AD949" t="str">
        <f t="shared" ca="1" si="324"/>
        <v>No</v>
      </c>
      <c r="AE949" t="str">
        <f t="shared" ca="1" si="325"/>
        <v>No</v>
      </c>
      <c r="AF949" t="str">
        <f t="shared" ca="1" si="326"/>
        <v>Recovered</v>
      </c>
      <c r="AG949" t="str">
        <f t="shared" ca="1" si="327"/>
        <v>Midwest</v>
      </c>
      <c r="AH949" t="str">
        <f t="shared" si="310"/>
        <v>August</v>
      </c>
      <c r="AI949">
        <f t="shared" si="311"/>
        <v>2019</v>
      </c>
      <c r="AJ949" t="str">
        <f t="shared" ca="1" si="328"/>
        <v>Occupied</v>
      </c>
      <c r="AK949">
        <f t="shared" ca="1" si="329"/>
        <v>4</v>
      </c>
    </row>
    <row r="950" spans="1:37" x14ac:dyDescent="0.3">
      <c r="A950" t="s">
        <v>5363</v>
      </c>
      <c r="B950">
        <v>72</v>
      </c>
      <c r="C950" t="s">
        <v>15</v>
      </c>
      <c r="D950" t="s">
        <v>83</v>
      </c>
      <c r="E950" t="s">
        <v>48</v>
      </c>
      <c r="F950" s="1">
        <v>43714</v>
      </c>
      <c r="G950" t="s">
        <v>1925</v>
      </c>
      <c r="H950" t="s">
        <v>1926</v>
      </c>
      <c r="I950" t="s">
        <v>28</v>
      </c>
      <c r="J950">
        <v>44596</v>
      </c>
      <c r="K950">
        <v>203</v>
      </c>
      <c r="L950" t="s">
        <v>21</v>
      </c>
      <c r="M950" s="1">
        <v>43723</v>
      </c>
      <c r="N950" t="s">
        <v>67</v>
      </c>
      <c r="O950" t="s">
        <v>43</v>
      </c>
      <c r="P950" t="str">
        <f t="shared" si="312"/>
        <v>P0949</v>
      </c>
      <c r="Q950" t="str">
        <f t="shared" si="308"/>
        <v>Pulmonology</v>
      </c>
      <c r="R950">
        <f t="shared" si="309"/>
        <v>9</v>
      </c>
      <c r="S950" t="str">
        <f t="shared" ca="1" si="313"/>
        <v>No</v>
      </c>
      <c r="T950" t="str">
        <f t="shared" ca="1" si="314"/>
        <v>Critical</v>
      </c>
      <c r="U950" t="str">
        <f t="shared" ca="1" si="315"/>
        <v>Emergency</v>
      </c>
      <c r="V950" t="str">
        <f t="shared" si="316"/>
        <v>BED0949</v>
      </c>
      <c r="W950" t="str">
        <f t="shared" ca="1" si="317"/>
        <v>Private</v>
      </c>
      <c r="X950" t="str">
        <f t="shared" si="318"/>
        <v>NUR049</v>
      </c>
      <c r="Y950" t="str">
        <f t="shared" ca="1" si="319"/>
        <v>Evening</v>
      </c>
      <c r="Z950" t="str">
        <f t="shared" ca="1" si="320"/>
        <v>ECG Machine</v>
      </c>
      <c r="AA950" t="str">
        <f t="shared" ca="1" si="321"/>
        <v>In Use</v>
      </c>
      <c r="AB950" t="str">
        <f t="shared" ca="1" si="322"/>
        <v>Paid</v>
      </c>
      <c r="AC950" t="str">
        <f t="shared" ca="1" si="323"/>
        <v>Credit Card</v>
      </c>
      <c r="AD950" t="str">
        <f t="shared" ca="1" si="324"/>
        <v>No</v>
      </c>
      <c r="AE950" t="str">
        <f t="shared" ca="1" si="325"/>
        <v>No</v>
      </c>
      <c r="AF950" t="str">
        <f t="shared" ca="1" si="326"/>
        <v>Transferred</v>
      </c>
      <c r="AG950" t="str">
        <f t="shared" ca="1" si="327"/>
        <v>Southwest</v>
      </c>
      <c r="AH950" t="str">
        <f t="shared" si="310"/>
        <v>September</v>
      </c>
      <c r="AI950">
        <f t="shared" si="311"/>
        <v>2019</v>
      </c>
      <c r="AJ950" t="str">
        <f t="shared" ca="1" si="328"/>
        <v>Occupied</v>
      </c>
      <c r="AK950">
        <f t="shared" ca="1" si="329"/>
        <v>4</v>
      </c>
    </row>
    <row r="951" spans="1:37" x14ac:dyDescent="0.3">
      <c r="A951" t="s">
        <v>5364</v>
      </c>
      <c r="B951">
        <v>24</v>
      </c>
      <c r="C951" t="s">
        <v>15</v>
      </c>
      <c r="D951" t="s">
        <v>16</v>
      </c>
      <c r="E951" t="s">
        <v>17</v>
      </c>
      <c r="F951" s="1">
        <v>44954</v>
      </c>
      <c r="G951" t="s">
        <v>1927</v>
      </c>
      <c r="H951" t="s">
        <v>1928</v>
      </c>
      <c r="I951" t="s">
        <v>57</v>
      </c>
      <c r="J951">
        <v>10244</v>
      </c>
      <c r="K951">
        <v>383</v>
      </c>
      <c r="L951" t="s">
        <v>29</v>
      </c>
      <c r="M951" s="1">
        <v>44983</v>
      </c>
      <c r="N951" t="s">
        <v>47</v>
      </c>
      <c r="O951" t="s">
        <v>31</v>
      </c>
      <c r="P951" t="str">
        <f t="shared" si="312"/>
        <v>P0950</v>
      </c>
      <c r="Q951" t="str">
        <f t="shared" si="308"/>
        <v>Oncology</v>
      </c>
      <c r="R951">
        <f t="shared" si="309"/>
        <v>29</v>
      </c>
      <c r="S951" t="str">
        <f t="shared" ca="1" si="313"/>
        <v>No</v>
      </c>
      <c r="T951" t="str">
        <f t="shared" ca="1" si="314"/>
        <v>Severe</v>
      </c>
      <c r="U951" t="str">
        <f t="shared" ca="1" si="315"/>
        <v>Semi-Private</v>
      </c>
      <c r="V951" t="str">
        <f t="shared" si="316"/>
        <v>BED0950</v>
      </c>
      <c r="W951" t="str">
        <f t="shared" ca="1" si="317"/>
        <v>Semi-Private</v>
      </c>
      <c r="X951" t="str">
        <f t="shared" si="318"/>
        <v>NUR050</v>
      </c>
      <c r="Y951" t="str">
        <f t="shared" ca="1" si="319"/>
        <v>Morning</v>
      </c>
      <c r="Z951" t="str">
        <f t="shared" ca="1" si="320"/>
        <v>Ultrasound</v>
      </c>
      <c r="AA951" t="str">
        <f t="shared" ca="1" si="321"/>
        <v>Available</v>
      </c>
      <c r="AB951" t="str">
        <f t="shared" ca="1" si="322"/>
        <v>Paid</v>
      </c>
      <c r="AC951" t="str">
        <f t="shared" ca="1" si="323"/>
        <v>Bank Transfer</v>
      </c>
      <c r="AD951" t="str">
        <f t="shared" ca="1" si="324"/>
        <v>No</v>
      </c>
      <c r="AE951" t="str">
        <f t="shared" ca="1" si="325"/>
        <v>No</v>
      </c>
      <c r="AF951" t="str">
        <f t="shared" ca="1" si="326"/>
        <v>Transferred</v>
      </c>
      <c r="AG951" t="str">
        <f t="shared" ca="1" si="327"/>
        <v>Northeast</v>
      </c>
      <c r="AH951" t="str">
        <f t="shared" si="310"/>
        <v>January</v>
      </c>
      <c r="AI951">
        <f t="shared" si="311"/>
        <v>2023</v>
      </c>
      <c r="AJ951" t="str">
        <f t="shared" ca="1" si="328"/>
        <v>Occupied</v>
      </c>
      <c r="AK951">
        <f t="shared" ca="1" si="329"/>
        <v>2</v>
      </c>
    </row>
    <row r="952" spans="1:37" x14ac:dyDescent="0.3">
      <c r="A952" t="s">
        <v>5365</v>
      </c>
      <c r="B952">
        <v>32</v>
      </c>
      <c r="C952" t="s">
        <v>32</v>
      </c>
      <c r="D952" t="s">
        <v>98</v>
      </c>
      <c r="E952" t="s">
        <v>25</v>
      </c>
      <c r="F952" s="1">
        <v>45180</v>
      </c>
      <c r="G952" t="s">
        <v>1929</v>
      </c>
      <c r="H952" t="s">
        <v>1930</v>
      </c>
      <c r="I952" t="s">
        <v>20</v>
      </c>
      <c r="J952">
        <v>8763</v>
      </c>
      <c r="K952">
        <v>454</v>
      </c>
      <c r="L952" t="s">
        <v>29</v>
      </c>
      <c r="M952" s="1">
        <v>45210</v>
      </c>
      <c r="N952" t="s">
        <v>47</v>
      </c>
      <c r="O952" t="s">
        <v>43</v>
      </c>
      <c r="P952" t="str">
        <f t="shared" si="312"/>
        <v>P0951</v>
      </c>
      <c r="Q952" t="str">
        <f t="shared" si="308"/>
        <v>Nutrition</v>
      </c>
      <c r="R952">
        <f t="shared" si="309"/>
        <v>30</v>
      </c>
      <c r="S952" t="str">
        <f t="shared" ca="1" si="313"/>
        <v>No</v>
      </c>
      <c r="T952" t="str">
        <f t="shared" ca="1" si="314"/>
        <v>Severe</v>
      </c>
      <c r="U952" t="str">
        <f t="shared" ca="1" si="315"/>
        <v>General Ward</v>
      </c>
      <c r="V952" t="str">
        <f t="shared" si="316"/>
        <v>BED0951</v>
      </c>
      <c r="W952" t="str">
        <f t="shared" ca="1" si="317"/>
        <v>Semi-Private</v>
      </c>
      <c r="X952" t="str">
        <f t="shared" si="318"/>
        <v>NUR001</v>
      </c>
      <c r="Y952" t="str">
        <f t="shared" ca="1" si="319"/>
        <v>Night</v>
      </c>
      <c r="Z952" t="str">
        <f t="shared" ca="1" si="320"/>
        <v>Ultrasound</v>
      </c>
      <c r="AA952" t="str">
        <f t="shared" ca="1" si="321"/>
        <v>Available</v>
      </c>
      <c r="AB952" t="str">
        <f t="shared" ca="1" si="322"/>
        <v>Paid</v>
      </c>
      <c r="AC952" t="str">
        <f t="shared" ca="1" si="323"/>
        <v>Cash</v>
      </c>
      <c r="AD952" t="str">
        <f t="shared" ca="1" si="324"/>
        <v>Yes</v>
      </c>
      <c r="AE952" t="str">
        <f t="shared" ca="1" si="325"/>
        <v>Yes</v>
      </c>
      <c r="AF952" t="str">
        <f t="shared" ca="1" si="326"/>
        <v>Recovered</v>
      </c>
      <c r="AG952" t="str">
        <f t="shared" ca="1" si="327"/>
        <v>Southeast</v>
      </c>
      <c r="AH952" t="str">
        <f t="shared" si="310"/>
        <v>September</v>
      </c>
      <c r="AI952">
        <f t="shared" si="311"/>
        <v>2023</v>
      </c>
      <c r="AJ952" t="str">
        <f t="shared" ca="1" si="328"/>
        <v>Occupied</v>
      </c>
      <c r="AK952">
        <f t="shared" ca="1" si="329"/>
        <v>2</v>
      </c>
    </row>
    <row r="953" spans="1:37" x14ac:dyDescent="0.3">
      <c r="A953" t="s">
        <v>5366</v>
      </c>
      <c r="B953">
        <v>57</v>
      </c>
      <c r="C953" t="s">
        <v>32</v>
      </c>
      <c r="D953" t="s">
        <v>44</v>
      </c>
      <c r="E953" t="s">
        <v>48</v>
      </c>
      <c r="F953" s="1">
        <v>43901</v>
      </c>
      <c r="G953" t="s">
        <v>1931</v>
      </c>
      <c r="H953" t="s">
        <v>1932</v>
      </c>
      <c r="I953" t="s">
        <v>28</v>
      </c>
      <c r="J953">
        <v>10364</v>
      </c>
      <c r="K953">
        <v>384</v>
      </c>
      <c r="L953" t="s">
        <v>29</v>
      </c>
      <c r="M953" s="1">
        <v>43908</v>
      </c>
      <c r="N953" t="s">
        <v>30</v>
      </c>
      <c r="O953" t="s">
        <v>23</v>
      </c>
      <c r="P953" t="str">
        <f t="shared" si="312"/>
        <v>P0952</v>
      </c>
      <c r="Q953" t="str">
        <f t="shared" si="308"/>
        <v>Pulmonology</v>
      </c>
      <c r="R953">
        <f t="shared" si="309"/>
        <v>7</v>
      </c>
      <c r="S953" t="str">
        <f t="shared" ca="1" si="313"/>
        <v>No</v>
      </c>
      <c r="T953" t="str">
        <f t="shared" ca="1" si="314"/>
        <v>Severe</v>
      </c>
      <c r="U953" t="str">
        <f t="shared" ca="1" si="315"/>
        <v>Private Ward</v>
      </c>
      <c r="V953" t="str">
        <f t="shared" si="316"/>
        <v>BED0952</v>
      </c>
      <c r="W953" t="str">
        <f t="shared" ca="1" si="317"/>
        <v>Private</v>
      </c>
      <c r="X953" t="str">
        <f t="shared" si="318"/>
        <v>NUR002</v>
      </c>
      <c r="Y953" t="str">
        <f t="shared" ca="1" si="319"/>
        <v>Morning</v>
      </c>
      <c r="Z953" t="str">
        <f t="shared" ca="1" si="320"/>
        <v>MRI Scanner</v>
      </c>
      <c r="AA953" t="str">
        <f t="shared" ca="1" si="321"/>
        <v>In Use</v>
      </c>
      <c r="AB953" t="str">
        <f t="shared" ca="1" si="322"/>
        <v>Pending</v>
      </c>
      <c r="AC953" t="str">
        <f t="shared" ca="1" si="323"/>
        <v>Debit Card</v>
      </c>
      <c r="AD953" t="str">
        <f t="shared" ca="1" si="324"/>
        <v>No</v>
      </c>
      <c r="AE953" t="str">
        <f t="shared" ca="1" si="325"/>
        <v>No</v>
      </c>
      <c r="AF953" t="str">
        <f t="shared" ca="1" si="326"/>
        <v>Under Observation</v>
      </c>
      <c r="AG953" t="str">
        <f t="shared" ca="1" si="327"/>
        <v>Midwest</v>
      </c>
      <c r="AH953" t="str">
        <f t="shared" si="310"/>
        <v>March</v>
      </c>
      <c r="AI953">
        <f t="shared" si="311"/>
        <v>2020</v>
      </c>
      <c r="AJ953" t="str">
        <f t="shared" ca="1" si="328"/>
        <v>Occupied</v>
      </c>
      <c r="AK953">
        <f t="shared" ca="1" si="329"/>
        <v>2</v>
      </c>
    </row>
    <row r="954" spans="1:37" x14ac:dyDescent="0.3">
      <c r="A954" t="s">
        <v>5367</v>
      </c>
      <c r="B954">
        <v>56</v>
      </c>
      <c r="C954" t="s">
        <v>15</v>
      </c>
      <c r="D954" t="s">
        <v>16</v>
      </c>
      <c r="E954" t="s">
        <v>48</v>
      </c>
      <c r="F954" s="1">
        <v>44262</v>
      </c>
      <c r="G954" t="s">
        <v>1933</v>
      </c>
      <c r="H954" t="s">
        <v>1934</v>
      </c>
      <c r="I954" t="s">
        <v>28</v>
      </c>
      <c r="J954">
        <v>22828</v>
      </c>
      <c r="K954">
        <v>124</v>
      </c>
      <c r="L954" t="s">
        <v>21</v>
      </c>
      <c r="M954" s="1">
        <v>44276</v>
      </c>
      <c r="N954" t="s">
        <v>22</v>
      </c>
      <c r="O954" t="s">
        <v>43</v>
      </c>
      <c r="P954" t="str">
        <f t="shared" si="312"/>
        <v>P0953</v>
      </c>
      <c r="Q954" t="str">
        <f t="shared" si="308"/>
        <v>Pulmonology</v>
      </c>
      <c r="R954">
        <f t="shared" si="309"/>
        <v>14</v>
      </c>
      <c r="S954" t="str">
        <f t="shared" ca="1" si="313"/>
        <v>No</v>
      </c>
      <c r="T954" t="str">
        <f t="shared" ca="1" si="314"/>
        <v>Moderate</v>
      </c>
      <c r="U954" t="str">
        <f t="shared" ca="1" si="315"/>
        <v>Semi-Private</v>
      </c>
      <c r="V954" t="str">
        <f t="shared" si="316"/>
        <v>BED0953</v>
      </c>
      <c r="W954" t="str">
        <f t="shared" ca="1" si="317"/>
        <v>Private</v>
      </c>
      <c r="X954" t="str">
        <f t="shared" si="318"/>
        <v>NUR003</v>
      </c>
      <c r="Y954" t="str">
        <f t="shared" ca="1" si="319"/>
        <v>Night</v>
      </c>
      <c r="Z954" t="str">
        <f t="shared" ca="1" si="320"/>
        <v>X-Ray</v>
      </c>
      <c r="AA954" t="str">
        <f t="shared" ca="1" si="321"/>
        <v>In Use</v>
      </c>
      <c r="AB954" t="str">
        <f t="shared" ca="1" si="322"/>
        <v>Partially Paid</v>
      </c>
      <c r="AC954" t="str">
        <f t="shared" ca="1" si="323"/>
        <v>Credit Card</v>
      </c>
      <c r="AD954" t="str">
        <f t="shared" ca="1" si="324"/>
        <v>No</v>
      </c>
      <c r="AE954" t="str">
        <f t="shared" ca="1" si="325"/>
        <v>No</v>
      </c>
      <c r="AF954" t="str">
        <f t="shared" ca="1" si="326"/>
        <v>Under Observation</v>
      </c>
      <c r="AG954" t="str">
        <f t="shared" ca="1" si="327"/>
        <v>Southwest</v>
      </c>
      <c r="AH954" t="str">
        <f t="shared" si="310"/>
        <v>March</v>
      </c>
      <c r="AI954">
        <f t="shared" si="311"/>
        <v>2021</v>
      </c>
      <c r="AJ954" t="str">
        <f t="shared" ca="1" si="328"/>
        <v>Occupied</v>
      </c>
      <c r="AK954">
        <f t="shared" ca="1" si="329"/>
        <v>2</v>
      </c>
    </row>
    <row r="955" spans="1:37" x14ac:dyDescent="0.3">
      <c r="A955" t="s">
        <v>5368</v>
      </c>
      <c r="B955">
        <v>84</v>
      </c>
      <c r="C955" t="s">
        <v>32</v>
      </c>
      <c r="D955" t="s">
        <v>38</v>
      </c>
      <c r="E955" t="s">
        <v>48</v>
      </c>
      <c r="F955" s="1">
        <v>45385</v>
      </c>
      <c r="G955" t="s">
        <v>1935</v>
      </c>
      <c r="H955" t="s">
        <v>1936</v>
      </c>
      <c r="I955" t="s">
        <v>51</v>
      </c>
      <c r="J955">
        <v>22913</v>
      </c>
      <c r="K955">
        <v>238</v>
      </c>
      <c r="L955" t="s">
        <v>21</v>
      </c>
      <c r="M955" s="1">
        <v>45392</v>
      </c>
      <c r="N955" t="s">
        <v>30</v>
      </c>
      <c r="O955" t="s">
        <v>31</v>
      </c>
      <c r="P955" t="str">
        <f t="shared" si="312"/>
        <v>P0954</v>
      </c>
      <c r="Q955" t="str">
        <f t="shared" si="308"/>
        <v>Pulmonology</v>
      </c>
      <c r="R955">
        <f t="shared" si="309"/>
        <v>7</v>
      </c>
      <c r="S955" t="str">
        <f t="shared" ca="1" si="313"/>
        <v>No</v>
      </c>
      <c r="T955" t="str">
        <f t="shared" ca="1" si="314"/>
        <v>Mild</v>
      </c>
      <c r="U955" t="str">
        <f t="shared" ca="1" si="315"/>
        <v>General Ward</v>
      </c>
      <c r="V955" t="str">
        <f t="shared" si="316"/>
        <v>BED0954</v>
      </c>
      <c r="W955" t="str">
        <f t="shared" ca="1" si="317"/>
        <v>General</v>
      </c>
      <c r="X955" t="str">
        <f t="shared" si="318"/>
        <v>NUR004</v>
      </c>
      <c r="Y955" t="str">
        <f t="shared" ca="1" si="319"/>
        <v>Evening</v>
      </c>
      <c r="Z955" t="str">
        <f t="shared" ca="1" si="320"/>
        <v>MRI Scanner</v>
      </c>
      <c r="AA955" t="str">
        <f t="shared" ca="1" si="321"/>
        <v>In Use</v>
      </c>
      <c r="AB955" t="str">
        <f t="shared" ca="1" si="322"/>
        <v>Pending</v>
      </c>
      <c r="AC955" t="str">
        <f t="shared" ca="1" si="323"/>
        <v>Debit Card</v>
      </c>
      <c r="AD955" t="str">
        <f t="shared" ca="1" si="324"/>
        <v>No</v>
      </c>
      <c r="AE955" t="str">
        <f t="shared" ca="1" si="325"/>
        <v>No</v>
      </c>
      <c r="AF955" t="str">
        <f t="shared" ca="1" si="326"/>
        <v>Recovered</v>
      </c>
      <c r="AG955" t="str">
        <f t="shared" ca="1" si="327"/>
        <v>Southeast</v>
      </c>
      <c r="AH955" t="str">
        <f t="shared" si="310"/>
        <v>April</v>
      </c>
      <c r="AI955">
        <f t="shared" si="311"/>
        <v>2024</v>
      </c>
      <c r="AJ955" t="str">
        <f t="shared" ca="1" si="328"/>
        <v>Vacant</v>
      </c>
      <c r="AK955">
        <f t="shared" ca="1" si="329"/>
        <v>2</v>
      </c>
    </row>
    <row r="956" spans="1:37" x14ac:dyDescent="0.3">
      <c r="A956" t="s">
        <v>5369</v>
      </c>
      <c r="B956">
        <v>46</v>
      </c>
      <c r="C956" t="s">
        <v>15</v>
      </c>
      <c r="D956" t="s">
        <v>16</v>
      </c>
      <c r="E956" t="s">
        <v>17</v>
      </c>
      <c r="F956" s="1">
        <v>44920</v>
      </c>
      <c r="G956" t="s">
        <v>1937</v>
      </c>
      <c r="H956" t="s">
        <v>1938</v>
      </c>
      <c r="I956" t="s">
        <v>36</v>
      </c>
      <c r="J956">
        <v>33801</v>
      </c>
      <c r="K956">
        <v>437</v>
      </c>
      <c r="L956" t="s">
        <v>21</v>
      </c>
      <c r="M956" s="1">
        <v>44936</v>
      </c>
      <c r="N956" t="s">
        <v>47</v>
      </c>
      <c r="O956" t="s">
        <v>43</v>
      </c>
      <c r="P956" t="str">
        <f t="shared" si="312"/>
        <v>P0955</v>
      </c>
      <c r="Q956" t="str">
        <f t="shared" si="308"/>
        <v>Oncology</v>
      </c>
      <c r="R956">
        <f t="shared" si="309"/>
        <v>16</v>
      </c>
      <c r="S956" t="str">
        <f t="shared" ca="1" si="313"/>
        <v>No</v>
      </c>
      <c r="T956" t="str">
        <f t="shared" ca="1" si="314"/>
        <v>Severe</v>
      </c>
      <c r="U956" t="str">
        <f t="shared" ca="1" si="315"/>
        <v>Semi-Private</v>
      </c>
      <c r="V956" t="str">
        <f t="shared" si="316"/>
        <v>BED0955</v>
      </c>
      <c r="W956" t="str">
        <f t="shared" ca="1" si="317"/>
        <v>Semi-Private</v>
      </c>
      <c r="X956" t="str">
        <f t="shared" si="318"/>
        <v>NUR005</v>
      </c>
      <c r="Y956" t="str">
        <f t="shared" ca="1" si="319"/>
        <v>Night</v>
      </c>
      <c r="Z956" t="str">
        <f t="shared" ca="1" si="320"/>
        <v>Ventilator</v>
      </c>
      <c r="AA956" t="str">
        <f t="shared" ca="1" si="321"/>
        <v>In Use</v>
      </c>
      <c r="AB956" t="str">
        <f t="shared" ca="1" si="322"/>
        <v>Pending</v>
      </c>
      <c r="AC956" t="str">
        <f t="shared" ca="1" si="323"/>
        <v>Credit Card</v>
      </c>
      <c r="AD956" t="str">
        <f t="shared" ca="1" si="324"/>
        <v>No</v>
      </c>
      <c r="AE956" t="str">
        <f t="shared" ca="1" si="325"/>
        <v>No</v>
      </c>
      <c r="AF956" t="str">
        <f t="shared" ca="1" si="326"/>
        <v>Transferred</v>
      </c>
      <c r="AG956" t="str">
        <f t="shared" ca="1" si="327"/>
        <v>Midwest</v>
      </c>
      <c r="AH956" t="str">
        <f t="shared" si="310"/>
        <v>December</v>
      </c>
      <c r="AI956">
        <f t="shared" si="311"/>
        <v>2022</v>
      </c>
      <c r="AJ956" t="str">
        <f t="shared" ca="1" si="328"/>
        <v>Occupied</v>
      </c>
      <c r="AK956">
        <f t="shared" ca="1" si="329"/>
        <v>4</v>
      </c>
    </row>
    <row r="957" spans="1:37" x14ac:dyDescent="0.3">
      <c r="A957" t="s">
        <v>5370</v>
      </c>
      <c r="B957">
        <v>55</v>
      </c>
      <c r="C957" t="s">
        <v>15</v>
      </c>
      <c r="D957" t="s">
        <v>44</v>
      </c>
      <c r="E957" t="s">
        <v>25</v>
      </c>
      <c r="F957" s="1">
        <v>43922</v>
      </c>
      <c r="G957" t="s">
        <v>1939</v>
      </c>
      <c r="H957" t="s">
        <v>1940</v>
      </c>
      <c r="I957" t="s">
        <v>36</v>
      </c>
      <c r="J957">
        <v>23714</v>
      </c>
      <c r="K957">
        <v>187</v>
      </c>
      <c r="L957" t="s">
        <v>21</v>
      </c>
      <c r="M957" s="1">
        <v>43947</v>
      </c>
      <c r="N957" t="s">
        <v>30</v>
      </c>
      <c r="O957" t="s">
        <v>31</v>
      </c>
      <c r="P957" t="str">
        <f t="shared" si="312"/>
        <v>P0956</v>
      </c>
      <c r="Q957" t="str">
        <f t="shared" si="308"/>
        <v>Nutrition</v>
      </c>
      <c r="R957">
        <f t="shared" si="309"/>
        <v>25</v>
      </c>
      <c r="S957" t="str">
        <f t="shared" ca="1" si="313"/>
        <v>No</v>
      </c>
      <c r="T957" t="str">
        <f t="shared" ca="1" si="314"/>
        <v>Mild</v>
      </c>
      <c r="U957" t="str">
        <f t="shared" ca="1" si="315"/>
        <v>Emergency</v>
      </c>
      <c r="V957" t="str">
        <f t="shared" si="316"/>
        <v>BED0956</v>
      </c>
      <c r="W957" t="str">
        <f t="shared" ca="1" si="317"/>
        <v>Semi-Private</v>
      </c>
      <c r="X957" t="str">
        <f t="shared" si="318"/>
        <v>NUR006</v>
      </c>
      <c r="Y957" t="str">
        <f t="shared" ca="1" si="319"/>
        <v>Evening</v>
      </c>
      <c r="Z957" t="str">
        <f t="shared" ca="1" si="320"/>
        <v>ECG Machine</v>
      </c>
      <c r="AA957" t="str">
        <f t="shared" ca="1" si="321"/>
        <v>Available</v>
      </c>
      <c r="AB957" t="str">
        <f t="shared" ca="1" si="322"/>
        <v>Partially Paid</v>
      </c>
      <c r="AC957" t="str">
        <f t="shared" ca="1" si="323"/>
        <v>Bank Transfer</v>
      </c>
      <c r="AD957" t="str">
        <f t="shared" ca="1" si="324"/>
        <v>Yes</v>
      </c>
      <c r="AE957" t="str">
        <f t="shared" ca="1" si="325"/>
        <v>No</v>
      </c>
      <c r="AF957" t="str">
        <f t="shared" ca="1" si="326"/>
        <v>Transferred</v>
      </c>
      <c r="AG957" t="str">
        <f t="shared" ca="1" si="327"/>
        <v>West Coast</v>
      </c>
      <c r="AH957" t="str">
        <f t="shared" si="310"/>
        <v>April</v>
      </c>
      <c r="AI957">
        <f t="shared" si="311"/>
        <v>2020</v>
      </c>
      <c r="AJ957" t="str">
        <f t="shared" ca="1" si="328"/>
        <v>Occupied</v>
      </c>
      <c r="AK957">
        <f t="shared" ca="1" si="329"/>
        <v>4</v>
      </c>
    </row>
    <row r="958" spans="1:37" x14ac:dyDescent="0.3">
      <c r="A958" t="s">
        <v>5371</v>
      </c>
      <c r="B958">
        <v>19</v>
      </c>
      <c r="C958" t="s">
        <v>32</v>
      </c>
      <c r="D958" t="s">
        <v>24</v>
      </c>
      <c r="E958" t="s">
        <v>64</v>
      </c>
      <c r="F958" s="1">
        <v>43853</v>
      </c>
      <c r="G958" t="s">
        <v>1941</v>
      </c>
      <c r="H958" t="s">
        <v>1942</v>
      </c>
      <c r="I958" t="s">
        <v>28</v>
      </c>
      <c r="J958">
        <v>41794</v>
      </c>
      <c r="K958">
        <v>354</v>
      </c>
      <c r="L958" t="s">
        <v>29</v>
      </c>
      <c r="M958" s="1">
        <v>43881</v>
      </c>
      <c r="N958" t="s">
        <v>37</v>
      </c>
      <c r="O958" t="s">
        <v>43</v>
      </c>
      <c r="P958" t="str">
        <f t="shared" si="312"/>
        <v>P0957</v>
      </c>
      <c r="Q958" t="str">
        <f t="shared" si="308"/>
        <v>Cardiology</v>
      </c>
      <c r="R958">
        <f t="shared" si="309"/>
        <v>28</v>
      </c>
      <c r="S958" t="str">
        <f t="shared" ca="1" si="313"/>
        <v>No</v>
      </c>
      <c r="T958" t="str">
        <f t="shared" ca="1" si="314"/>
        <v>Severe</v>
      </c>
      <c r="U958" t="str">
        <f t="shared" ca="1" si="315"/>
        <v>General Ward</v>
      </c>
      <c r="V958" t="str">
        <f t="shared" si="316"/>
        <v>BED0957</v>
      </c>
      <c r="W958" t="str">
        <f t="shared" ca="1" si="317"/>
        <v>ICU</v>
      </c>
      <c r="X958" t="str">
        <f t="shared" si="318"/>
        <v>NUR007</v>
      </c>
      <c r="Y958" t="str">
        <f t="shared" ca="1" si="319"/>
        <v>Evening</v>
      </c>
      <c r="Z958" t="str">
        <f t="shared" ca="1" si="320"/>
        <v>CT Scanner</v>
      </c>
      <c r="AA958" t="str">
        <f t="shared" ca="1" si="321"/>
        <v>Available</v>
      </c>
      <c r="AB958" t="str">
        <f t="shared" ca="1" si="322"/>
        <v>Pending</v>
      </c>
      <c r="AC958" t="str">
        <f t="shared" ca="1" si="323"/>
        <v>Cash</v>
      </c>
      <c r="AD958" t="str">
        <f t="shared" ca="1" si="324"/>
        <v>No</v>
      </c>
      <c r="AE958" t="str">
        <f t="shared" ca="1" si="325"/>
        <v>Yes</v>
      </c>
      <c r="AF958" t="str">
        <f t="shared" ca="1" si="326"/>
        <v>Transferred</v>
      </c>
      <c r="AG958" t="str">
        <f t="shared" ca="1" si="327"/>
        <v>Midwest</v>
      </c>
      <c r="AH958" t="str">
        <f t="shared" si="310"/>
        <v>January</v>
      </c>
      <c r="AI958">
        <f t="shared" si="311"/>
        <v>2020</v>
      </c>
      <c r="AJ958" t="str">
        <f t="shared" ca="1" si="328"/>
        <v>Occupied</v>
      </c>
      <c r="AK958">
        <f t="shared" ca="1" si="329"/>
        <v>2</v>
      </c>
    </row>
    <row r="959" spans="1:37" x14ac:dyDescent="0.3">
      <c r="A959" t="s">
        <v>5372</v>
      </c>
      <c r="B959">
        <v>69</v>
      </c>
      <c r="C959" t="s">
        <v>32</v>
      </c>
      <c r="D959" t="s">
        <v>38</v>
      </c>
      <c r="E959" t="s">
        <v>39</v>
      </c>
      <c r="F959" s="1">
        <v>44967</v>
      </c>
      <c r="G959" t="s">
        <v>1943</v>
      </c>
      <c r="H959" t="s">
        <v>1944</v>
      </c>
      <c r="I959" t="s">
        <v>20</v>
      </c>
      <c r="J959">
        <v>40304</v>
      </c>
      <c r="K959">
        <v>449</v>
      </c>
      <c r="L959" t="s">
        <v>29</v>
      </c>
      <c r="M959" s="1">
        <v>44982</v>
      </c>
      <c r="N959" t="s">
        <v>22</v>
      </c>
      <c r="O959" t="s">
        <v>31</v>
      </c>
      <c r="P959" t="str">
        <f t="shared" si="312"/>
        <v>P0958</v>
      </c>
      <c r="Q959" t="str">
        <f t="shared" si="308"/>
        <v>Endocrinology</v>
      </c>
      <c r="R959">
        <f t="shared" si="309"/>
        <v>15</v>
      </c>
      <c r="S959" t="str">
        <f t="shared" ca="1" si="313"/>
        <v>No</v>
      </c>
      <c r="T959" t="str">
        <f t="shared" ca="1" si="314"/>
        <v>Moderate</v>
      </c>
      <c r="U959" t="str">
        <f t="shared" ca="1" si="315"/>
        <v>Semi-Private</v>
      </c>
      <c r="V959" t="str">
        <f t="shared" si="316"/>
        <v>BED0958</v>
      </c>
      <c r="W959" t="str">
        <f t="shared" ca="1" si="317"/>
        <v>Semi-Private</v>
      </c>
      <c r="X959" t="str">
        <f t="shared" si="318"/>
        <v>NUR008</v>
      </c>
      <c r="Y959" t="str">
        <f t="shared" ca="1" si="319"/>
        <v>Morning</v>
      </c>
      <c r="Z959" t="str">
        <f t="shared" ca="1" si="320"/>
        <v>X-Ray</v>
      </c>
      <c r="AA959" t="str">
        <f t="shared" ca="1" si="321"/>
        <v>Maintenance</v>
      </c>
      <c r="AB959" t="str">
        <f t="shared" ca="1" si="322"/>
        <v>Paid</v>
      </c>
      <c r="AC959" t="str">
        <f t="shared" ca="1" si="323"/>
        <v>Cash</v>
      </c>
      <c r="AD959" t="str">
        <f t="shared" ca="1" si="324"/>
        <v>No</v>
      </c>
      <c r="AE959" t="str">
        <f t="shared" ca="1" si="325"/>
        <v>No</v>
      </c>
      <c r="AF959" t="str">
        <f t="shared" ca="1" si="326"/>
        <v>Transferred</v>
      </c>
      <c r="AG959" t="str">
        <f t="shared" ca="1" si="327"/>
        <v>Southwest</v>
      </c>
      <c r="AH959" t="str">
        <f t="shared" si="310"/>
        <v>February</v>
      </c>
      <c r="AI959">
        <f t="shared" si="311"/>
        <v>2023</v>
      </c>
      <c r="AJ959" t="str">
        <f t="shared" ca="1" si="328"/>
        <v>Occupied</v>
      </c>
      <c r="AK959">
        <f t="shared" ca="1" si="329"/>
        <v>1</v>
      </c>
    </row>
    <row r="960" spans="1:37" x14ac:dyDescent="0.3">
      <c r="A960" t="s">
        <v>5373</v>
      </c>
      <c r="B960">
        <v>69</v>
      </c>
      <c r="C960" t="s">
        <v>32</v>
      </c>
      <c r="D960" t="s">
        <v>16</v>
      </c>
      <c r="E960" t="s">
        <v>17</v>
      </c>
      <c r="F960" s="1">
        <v>45219</v>
      </c>
      <c r="G960" t="s">
        <v>1945</v>
      </c>
      <c r="H960" t="s">
        <v>1946</v>
      </c>
      <c r="I960" t="s">
        <v>28</v>
      </c>
      <c r="J960">
        <v>43825</v>
      </c>
      <c r="K960">
        <v>329</v>
      </c>
      <c r="L960" t="s">
        <v>42</v>
      </c>
      <c r="M960" s="1">
        <v>45227</v>
      </c>
      <c r="N960" t="s">
        <v>22</v>
      </c>
      <c r="O960" t="s">
        <v>23</v>
      </c>
      <c r="P960" t="str">
        <f t="shared" si="312"/>
        <v>P0959</v>
      </c>
      <c r="Q960" t="str">
        <f t="shared" si="308"/>
        <v>Oncology</v>
      </c>
      <c r="R960">
        <f t="shared" si="309"/>
        <v>8</v>
      </c>
      <c r="S960" t="str">
        <f t="shared" ca="1" si="313"/>
        <v>No</v>
      </c>
      <c r="T960" t="str">
        <f t="shared" ca="1" si="314"/>
        <v>Critical</v>
      </c>
      <c r="U960" t="str">
        <f t="shared" ca="1" si="315"/>
        <v>Emergency</v>
      </c>
      <c r="V960" t="str">
        <f t="shared" si="316"/>
        <v>BED0959</v>
      </c>
      <c r="W960" t="str">
        <f t="shared" ca="1" si="317"/>
        <v>ICU</v>
      </c>
      <c r="X960" t="str">
        <f t="shared" si="318"/>
        <v>NUR009</v>
      </c>
      <c r="Y960" t="str">
        <f t="shared" ca="1" si="319"/>
        <v>Evening</v>
      </c>
      <c r="Z960" t="str">
        <f t="shared" ca="1" si="320"/>
        <v>MRI Scanner</v>
      </c>
      <c r="AA960" t="str">
        <f t="shared" ca="1" si="321"/>
        <v>Maintenance</v>
      </c>
      <c r="AB960" t="str">
        <f t="shared" ca="1" si="322"/>
        <v>Pending</v>
      </c>
      <c r="AC960" t="str">
        <f t="shared" ca="1" si="323"/>
        <v>Bank Transfer</v>
      </c>
      <c r="AD960" t="str">
        <f t="shared" ca="1" si="324"/>
        <v>Yes</v>
      </c>
      <c r="AE960" t="str">
        <f t="shared" ca="1" si="325"/>
        <v>Yes</v>
      </c>
      <c r="AF960" t="str">
        <f t="shared" ca="1" si="326"/>
        <v>Transferred</v>
      </c>
      <c r="AG960" t="str">
        <f t="shared" ca="1" si="327"/>
        <v>Northeast</v>
      </c>
      <c r="AH960" t="str">
        <f t="shared" si="310"/>
        <v>October</v>
      </c>
      <c r="AI960">
        <f t="shared" si="311"/>
        <v>2023</v>
      </c>
      <c r="AJ960" t="str">
        <f t="shared" ca="1" si="328"/>
        <v>Occupied</v>
      </c>
      <c r="AK960">
        <f t="shared" ca="1" si="329"/>
        <v>2</v>
      </c>
    </row>
    <row r="961" spans="1:37" x14ac:dyDescent="0.3">
      <c r="A961" t="s">
        <v>5374</v>
      </c>
      <c r="B961">
        <v>56</v>
      </c>
      <c r="C961" t="s">
        <v>15</v>
      </c>
      <c r="D961" t="s">
        <v>33</v>
      </c>
      <c r="E961" t="s">
        <v>64</v>
      </c>
      <c r="F961" s="1">
        <v>44027</v>
      </c>
      <c r="G961" t="s">
        <v>1947</v>
      </c>
      <c r="H961" t="s">
        <v>1948</v>
      </c>
      <c r="I961" t="s">
        <v>28</v>
      </c>
      <c r="J961">
        <v>16510</v>
      </c>
      <c r="K961">
        <v>472</v>
      </c>
      <c r="L961" t="s">
        <v>29</v>
      </c>
      <c r="M961" s="1">
        <v>44054</v>
      </c>
      <c r="N961" t="s">
        <v>67</v>
      </c>
      <c r="O961" t="s">
        <v>31</v>
      </c>
      <c r="P961" t="str">
        <f t="shared" si="312"/>
        <v>P0960</v>
      </c>
      <c r="Q961" t="str">
        <f t="shared" si="308"/>
        <v>Cardiology</v>
      </c>
      <c r="R961">
        <f t="shared" si="309"/>
        <v>27</v>
      </c>
      <c r="S961" t="str">
        <f t="shared" ca="1" si="313"/>
        <v>No</v>
      </c>
      <c r="T961" t="str">
        <f t="shared" ca="1" si="314"/>
        <v>Critical</v>
      </c>
      <c r="U961" t="str">
        <f t="shared" ca="1" si="315"/>
        <v>Emergency</v>
      </c>
      <c r="V961" t="str">
        <f t="shared" si="316"/>
        <v>BED0960</v>
      </c>
      <c r="W961" t="str">
        <f t="shared" ca="1" si="317"/>
        <v>General</v>
      </c>
      <c r="X961" t="str">
        <f t="shared" si="318"/>
        <v>NUR010</v>
      </c>
      <c r="Y961" t="str">
        <f t="shared" ca="1" si="319"/>
        <v>Morning</v>
      </c>
      <c r="Z961" t="str">
        <f t="shared" ca="1" si="320"/>
        <v>Ultrasound</v>
      </c>
      <c r="AA961" t="str">
        <f t="shared" ca="1" si="321"/>
        <v>In Use</v>
      </c>
      <c r="AB961" t="str">
        <f t="shared" ca="1" si="322"/>
        <v>Paid</v>
      </c>
      <c r="AC961" t="str">
        <f t="shared" ca="1" si="323"/>
        <v>Bank Transfer</v>
      </c>
      <c r="AD961" t="str">
        <f t="shared" ca="1" si="324"/>
        <v>No</v>
      </c>
      <c r="AE961" t="str">
        <f t="shared" ca="1" si="325"/>
        <v>No</v>
      </c>
      <c r="AF961" t="str">
        <f t="shared" ca="1" si="326"/>
        <v>Transferred</v>
      </c>
      <c r="AG961" t="str">
        <f t="shared" ca="1" si="327"/>
        <v>Northeast</v>
      </c>
      <c r="AH961" t="str">
        <f t="shared" si="310"/>
        <v>July</v>
      </c>
      <c r="AI961">
        <f t="shared" si="311"/>
        <v>2020</v>
      </c>
      <c r="AJ961" t="str">
        <f t="shared" ca="1" si="328"/>
        <v>Occupied</v>
      </c>
      <c r="AK961">
        <f t="shared" ca="1" si="329"/>
        <v>4</v>
      </c>
    </row>
    <row r="962" spans="1:37" x14ac:dyDescent="0.3">
      <c r="A962" t="s">
        <v>2163</v>
      </c>
      <c r="B962">
        <v>36</v>
      </c>
      <c r="C962" t="s">
        <v>32</v>
      </c>
      <c r="D962" t="s">
        <v>33</v>
      </c>
      <c r="E962" t="s">
        <v>76</v>
      </c>
      <c r="F962" s="1">
        <v>44940</v>
      </c>
      <c r="G962" t="s">
        <v>1949</v>
      </c>
      <c r="H962" t="s">
        <v>1950</v>
      </c>
      <c r="I962" t="s">
        <v>28</v>
      </c>
      <c r="J962">
        <v>46269</v>
      </c>
      <c r="K962">
        <v>425</v>
      </c>
      <c r="L962" t="s">
        <v>42</v>
      </c>
      <c r="M962" s="1">
        <v>44965</v>
      </c>
      <c r="N962" t="s">
        <v>37</v>
      </c>
      <c r="O962" t="s">
        <v>23</v>
      </c>
      <c r="P962" t="str">
        <f t="shared" si="312"/>
        <v>P0961</v>
      </c>
      <c r="Q962" t="str">
        <f t="shared" ref="Q962:Q1025" si="330">IF(E962="Cancer","Oncology",IF(E962="Obesity","Nutrition",IF(E962="Diabetes","Endocrinology",IF(E962="Asthma","Pulmonology",IF(E962="Arthritis","Orthopedics",IF(E962="Hypertension","Cardiology","General Medicine"))))))</f>
        <v>Orthopedics</v>
      </c>
      <c r="R962">
        <f t="shared" ref="R962:R1025" si="331">M962-F962</f>
        <v>25</v>
      </c>
      <c r="S962" t="str">
        <f t="shared" ca="1" si="313"/>
        <v>No</v>
      </c>
      <c r="T962" t="str">
        <f t="shared" ca="1" si="314"/>
        <v>Severe</v>
      </c>
      <c r="U962" t="str">
        <f t="shared" ca="1" si="315"/>
        <v>ICU</v>
      </c>
      <c r="V962" t="str">
        <f t="shared" si="316"/>
        <v>BED0961</v>
      </c>
      <c r="W962" t="str">
        <f t="shared" ca="1" si="317"/>
        <v>General</v>
      </c>
      <c r="X962" t="str">
        <f t="shared" si="318"/>
        <v>NUR011</v>
      </c>
      <c r="Y962" t="str">
        <f t="shared" ca="1" si="319"/>
        <v>Morning</v>
      </c>
      <c r="Z962" t="str">
        <f t="shared" ca="1" si="320"/>
        <v>Ultrasound</v>
      </c>
      <c r="AA962" t="str">
        <f t="shared" ca="1" si="321"/>
        <v>Available</v>
      </c>
      <c r="AB962" t="str">
        <f t="shared" ca="1" si="322"/>
        <v>Paid</v>
      </c>
      <c r="AC962" t="str">
        <f t="shared" ca="1" si="323"/>
        <v>Debit Card</v>
      </c>
      <c r="AD962" t="str">
        <f t="shared" ca="1" si="324"/>
        <v>No</v>
      </c>
      <c r="AE962" t="str">
        <f t="shared" ca="1" si="325"/>
        <v>Yes</v>
      </c>
      <c r="AF962" t="str">
        <f t="shared" ca="1" si="326"/>
        <v>Under Observation</v>
      </c>
      <c r="AG962" t="str">
        <f t="shared" ca="1" si="327"/>
        <v>Midwest</v>
      </c>
      <c r="AH962" t="str">
        <f t="shared" ref="AH962:AH1025" si="332">TEXT(F962,"MMMM")</f>
        <v>January</v>
      </c>
      <c r="AI962">
        <f t="shared" ref="AI962:AI1025" si="333">YEAR(F962)</f>
        <v>2023</v>
      </c>
      <c r="AJ962" t="str">
        <f t="shared" ca="1" si="328"/>
        <v>Occupied</v>
      </c>
      <c r="AK962">
        <f t="shared" ca="1" si="329"/>
        <v>2</v>
      </c>
    </row>
    <row r="963" spans="1:37" x14ac:dyDescent="0.3">
      <c r="A963" t="s">
        <v>5375</v>
      </c>
      <c r="B963">
        <v>44</v>
      </c>
      <c r="C963" t="s">
        <v>15</v>
      </c>
      <c r="D963" t="s">
        <v>33</v>
      </c>
      <c r="E963" t="s">
        <v>76</v>
      </c>
      <c r="F963" s="1">
        <v>44366</v>
      </c>
      <c r="G963" t="s">
        <v>1951</v>
      </c>
      <c r="H963" t="s">
        <v>1952</v>
      </c>
      <c r="I963" t="s">
        <v>51</v>
      </c>
      <c r="J963">
        <v>36273</v>
      </c>
      <c r="K963">
        <v>465</v>
      </c>
      <c r="L963" t="s">
        <v>29</v>
      </c>
      <c r="M963" s="1">
        <v>44391</v>
      </c>
      <c r="N963" t="s">
        <v>22</v>
      </c>
      <c r="O963" t="s">
        <v>23</v>
      </c>
      <c r="P963" t="str">
        <f t="shared" ref="P963:P1026" si="334">"P"&amp;TEXT(ROW()-1,"0000")</f>
        <v>P0962</v>
      </c>
      <c r="Q963" t="str">
        <f t="shared" si="330"/>
        <v>Orthopedics</v>
      </c>
      <c r="R963">
        <f t="shared" si="331"/>
        <v>25</v>
      </c>
      <c r="S963" t="str">
        <f t="shared" ref="S963:S1026" ca="1" si="335">IF(RAND()&lt;0.1,"Yes","No")</f>
        <v>No</v>
      </c>
      <c r="T963" t="str">
        <f t="shared" ref="T963:T1026" ca="1" si="336">CHOOSE(RANDBETWEEN(1,4),"Mild","Moderate","Severe","Critical")</f>
        <v>Severe</v>
      </c>
      <c r="U963" t="str">
        <f t="shared" ref="U963:U1026" ca="1" si="337">CHOOSE(RANDBETWEEN(1,5),"General Ward","ICU","Emergency","Private Ward","Semi-Private")</f>
        <v>ICU</v>
      </c>
      <c r="V963" t="str">
        <f t="shared" ref="V963:V1026" si="338">"BED"&amp;TEXT(ROW()-1,"0000")</f>
        <v>BED0962</v>
      </c>
      <c r="W963" t="str">
        <f t="shared" ref="W963:W1026" ca="1" si="339">CHOOSE(RANDBETWEEN(1,4),"General","Private","Semi-Private","ICU")</f>
        <v>General</v>
      </c>
      <c r="X963" t="str">
        <f t="shared" ref="X963:X1026" si="340">"NUR"&amp;TEXT(MOD(ROW()-2,50)+1,"000")</f>
        <v>NUR012</v>
      </c>
      <c r="Y963" t="str">
        <f t="shared" ref="Y963:Y1026" ca="1" si="341">CHOOSE(RANDBETWEEN(1,3),"Morning","Evening","Night")</f>
        <v>Morning</v>
      </c>
      <c r="Z963" t="str">
        <f t="shared" ref="Z963:Z1026" ca="1" si="342">CHOOSE(RANDBETWEEN(1,6),"MRI Scanner","CT Scanner","Ventilator","X-Ray","ECG Machine","Ultrasound")</f>
        <v>Ultrasound</v>
      </c>
      <c r="AA963" t="str">
        <f t="shared" ref="AA963:AA1026" ca="1" si="343">CHOOSE(RANDBETWEEN(1,3),"Available","In Use","Maintenance")</f>
        <v>In Use</v>
      </c>
      <c r="AB963" t="str">
        <f t="shared" ref="AB963:AB1026" ca="1" si="344">CHOOSE(RANDBETWEEN(1,3),"Paid","Pending","Partially Paid")</f>
        <v>Paid</v>
      </c>
      <c r="AC963" t="str">
        <f t="shared" ref="AC963:AC1026" ca="1" si="345">CHOOSE(RANDBETWEEN(1,5),"Cash","Credit Card","Debit Card","Insurance","Bank Transfer")</f>
        <v>Cash</v>
      </c>
      <c r="AD963" t="str">
        <f t="shared" ref="AD963:AD1026" ca="1" si="346">IF(RAND()&lt;0.2,"Yes","No")</f>
        <v>No</v>
      </c>
      <c r="AE963" t="str">
        <f t="shared" ref="AE963:AE1026" ca="1" si="347">IF(RAND()&lt;0.15,"Yes","No")</f>
        <v>No</v>
      </c>
      <c r="AF963" t="str">
        <f t="shared" ref="AF963:AF1026" ca="1" si="348">CHOOSE(RANDBETWEEN(1,3),"Recovered","Transferred","Under Observation")</f>
        <v>Under Observation</v>
      </c>
      <c r="AG963" t="str">
        <f t="shared" ref="AG963:AG1026" ca="1" si="349">CHOOSE(RANDBETWEEN(1,5),"Northeast","Southeast","Midwest","Southwest","West Coast")</f>
        <v>Northeast</v>
      </c>
      <c r="AH963" t="str">
        <f t="shared" si="332"/>
        <v>June</v>
      </c>
      <c r="AI963">
        <f t="shared" si="333"/>
        <v>2021</v>
      </c>
      <c r="AJ963" t="str">
        <f t="shared" ref="AJ963:AJ1026" ca="1" si="350">IF(RANDBETWEEN(1,100)&lt;=80,"Occupied","Vacant")</f>
        <v>Occupied</v>
      </c>
      <c r="AK963">
        <f t="shared" ref="AK963:AK1026" ca="1" si="351">CHOOSE(RANDBETWEEN(1,3),1,2,4)</f>
        <v>2</v>
      </c>
    </row>
    <row r="964" spans="1:37" x14ac:dyDescent="0.3">
      <c r="A964" t="s">
        <v>5376</v>
      </c>
      <c r="B964">
        <v>32</v>
      </c>
      <c r="C964" t="s">
        <v>15</v>
      </c>
      <c r="D964" t="s">
        <v>98</v>
      </c>
      <c r="E964" t="s">
        <v>25</v>
      </c>
      <c r="F964" s="1">
        <v>43969</v>
      </c>
      <c r="G964" t="s">
        <v>1953</v>
      </c>
      <c r="H964" t="s">
        <v>1954</v>
      </c>
      <c r="I964" t="s">
        <v>28</v>
      </c>
      <c r="J964">
        <v>5615</v>
      </c>
      <c r="K964">
        <v>169</v>
      </c>
      <c r="L964" t="s">
        <v>21</v>
      </c>
      <c r="M964" s="1">
        <v>43970</v>
      </c>
      <c r="N964" t="s">
        <v>37</v>
      </c>
      <c r="O964" t="s">
        <v>43</v>
      </c>
      <c r="P964" t="str">
        <f t="shared" si="334"/>
        <v>P0963</v>
      </c>
      <c r="Q964" t="str">
        <f t="shared" si="330"/>
        <v>Nutrition</v>
      </c>
      <c r="R964">
        <f t="shared" si="331"/>
        <v>1</v>
      </c>
      <c r="S964" t="str">
        <f t="shared" ca="1" si="335"/>
        <v>No</v>
      </c>
      <c r="T964" t="str">
        <f t="shared" ca="1" si="336"/>
        <v>Moderate</v>
      </c>
      <c r="U964" t="str">
        <f t="shared" ca="1" si="337"/>
        <v>Private Ward</v>
      </c>
      <c r="V964" t="str">
        <f t="shared" si="338"/>
        <v>BED0963</v>
      </c>
      <c r="W964" t="str">
        <f t="shared" ca="1" si="339"/>
        <v>ICU</v>
      </c>
      <c r="X964" t="str">
        <f t="shared" si="340"/>
        <v>NUR013</v>
      </c>
      <c r="Y964" t="str">
        <f t="shared" ca="1" si="341"/>
        <v>Morning</v>
      </c>
      <c r="Z964" t="str">
        <f t="shared" ca="1" si="342"/>
        <v>Ultrasound</v>
      </c>
      <c r="AA964" t="str">
        <f t="shared" ca="1" si="343"/>
        <v>Available</v>
      </c>
      <c r="AB964" t="str">
        <f t="shared" ca="1" si="344"/>
        <v>Paid</v>
      </c>
      <c r="AC964" t="str">
        <f t="shared" ca="1" si="345"/>
        <v>Debit Card</v>
      </c>
      <c r="AD964" t="str">
        <f t="shared" ca="1" si="346"/>
        <v>No</v>
      </c>
      <c r="AE964" t="str">
        <f t="shared" ca="1" si="347"/>
        <v>Yes</v>
      </c>
      <c r="AF964" t="str">
        <f t="shared" ca="1" si="348"/>
        <v>Transferred</v>
      </c>
      <c r="AG964" t="str">
        <f t="shared" ca="1" si="349"/>
        <v>Southeast</v>
      </c>
      <c r="AH964" t="str">
        <f t="shared" si="332"/>
        <v>May</v>
      </c>
      <c r="AI964">
        <f t="shared" si="333"/>
        <v>2020</v>
      </c>
      <c r="AJ964" t="str">
        <f t="shared" ca="1" si="350"/>
        <v>Occupied</v>
      </c>
      <c r="AK964">
        <f t="shared" ca="1" si="351"/>
        <v>4</v>
      </c>
    </row>
    <row r="965" spans="1:37" x14ac:dyDescent="0.3">
      <c r="A965" t="s">
        <v>5377</v>
      </c>
      <c r="B965">
        <v>61</v>
      </c>
      <c r="C965" t="s">
        <v>32</v>
      </c>
      <c r="D965" t="s">
        <v>16</v>
      </c>
      <c r="E965" t="s">
        <v>76</v>
      </c>
      <c r="F965" s="1">
        <v>43967</v>
      </c>
      <c r="G965" t="s">
        <v>1955</v>
      </c>
      <c r="H965" t="s">
        <v>1956</v>
      </c>
      <c r="I965" t="s">
        <v>51</v>
      </c>
      <c r="J965">
        <v>21430</v>
      </c>
      <c r="K965">
        <v>493</v>
      </c>
      <c r="L965" t="s">
        <v>42</v>
      </c>
      <c r="M965" s="1">
        <v>43997</v>
      </c>
      <c r="N965" t="s">
        <v>30</v>
      </c>
      <c r="O965" t="s">
        <v>43</v>
      </c>
      <c r="P965" t="str">
        <f t="shared" si="334"/>
        <v>P0964</v>
      </c>
      <c r="Q965" t="str">
        <f t="shared" si="330"/>
        <v>Orthopedics</v>
      </c>
      <c r="R965">
        <f t="shared" si="331"/>
        <v>30</v>
      </c>
      <c r="S965" t="str">
        <f t="shared" ca="1" si="335"/>
        <v>No</v>
      </c>
      <c r="T965" t="str">
        <f t="shared" ca="1" si="336"/>
        <v>Critical</v>
      </c>
      <c r="U965" t="str">
        <f t="shared" ca="1" si="337"/>
        <v>Semi-Private</v>
      </c>
      <c r="V965" t="str">
        <f t="shared" si="338"/>
        <v>BED0964</v>
      </c>
      <c r="W965" t="str">
        <f t="shared" ca="1" si="339"/>
        <v>General</v>
      </c>
      <c r="X965" t="str">
        <f t="shared" si="340"/>
        <v>NUR014</v>
      </c>
      <c r="Y965" t="str">
        <f t="shared" ca="1" si="341"/>
        <v>Night</v>
      </c>
      <c r="Z965" t="str">
        <f t="shared" ca="1" si="342"/>
        <v>ECG Machine</v>
      </c>
      <c r="AA965" t="str">
        <f t="shared" ca="1" si="343"/>
        <v>Available</v>
      </c>
      <c r="AB965" t="str">
        <f t="shared" ca="1" si="344"/>
        <v>Paid</v>
      </c>
      <c r="AC965" t="str">
        <f t="shared" ca="1" si="345"/>
        <v>Cash</v>
      </c>
      <c r="AD965" t="str">
        <f t="shared" ca="1" si="346"/>
        <v>Yes</v>
      </c>
      <c r="AE965" t="str">
        <f t="shared" ca="1" si="347"/>
        <v>No</v>
      </c>
      <c r="AF965" t="str">
        <f t="shared" ca="1" si="348"/>
        <v>Transferred</v>
      </c>
      <c r="AG965" t="str">
        <f t="shared" ca="1" si="349"/>
        <v>Northeast</v>
      </c>
      <c r="AH965" t="str">
        <f t="shared" si="332"/>
        <v>May</v>
      </c>
      <c r="AI965">
        <f t="shared" si="333"/>
        <v>2020</v>
      </c>
      <c r="AJ965" t="str">
        <f t="shared" ca="1" si="350"/>
        <v>Vacant</v>
      </c>
      <c r="AK965">
        <f t="shared" ca="1" si="351"/>
        <v>4</v>
      </c>
    </row>
    <row r="966" spans="1:37" x14ac:dyDescent="0.3">
      <c r="A966" t="s">
        <v>5378</v>
      </c>
      <c r="B966">
        <v>61</v>
      </c>
      <c r="C966" t="s">
        <v>15</v>
      </c>
      <c r="D966" t="s">
        <v>44</v>
      </c>
      <c r="E966" t="s">
        <v>17</v>
      </c>
      <c r="F966" s="1">
        <v>44266</v>
      </c>
      <c r="G966" t="s">
        <v>1957</v>
      </c>
      <c r="H966" t="s">
        <v>1958</v>
      </c>
      <c r="I966" t="s">
        <v>57</v>
      </c>
      <c r="J966">
        <v>24057</v>
      </c>
      <c r="K966">
        <v>304</v>
      </c>
      <c r="L966" t="s">
        <v>29</v>
      </c>
      <c r="M966" s="1">
        <v>44288</v>
      </c>
      <c r="N966" t="s">
        <v>22</v>
      </c>
      <c r="O966" t="s">
        <v>23</v>
      </c>
      <c r="P966" t="str">
        <f t="shared" si="334"/>
        <v>P0965</v>
      </c>
      <c r="Q966" t="str">
        <f t="shared" si="330"/>
        <v>Oncology</v>
      </c>
      <c r="R966">
        <f t="shared" si="331"/>
        <v>22</v>
      </c>
      <c r="S966" t="str">
        <f t="shared" ca="1" si="335"/>
        <v>No</v>
      </c>
      <c r="T966" t="str">
        <f t="shared" ca="1" si="336"/>
        <v>Moderate</v>
      </c>
      <c r="U966" t="str">
        <f t="shared" ca="1" si="337"/>
        <v>General Ward</v>
      </c>
      <c r="V966" t="str">
        <f t="shared" si="338"/>
        <v>BED0965</v>
      </c>
      <c r="W966" t="str">
        <f t="shared" ca="1" si="339"/>
        <v>General</v>
      </c>
      <c r="X966" t="str">
        <f t="shared" si="340"/>
        <v>NUR015</v>
      </c>
      <c r="Y966" t="str">
        <f t="shared" ca="1" si="341"/>
        <v>Evening</v>
      </c>
      <c r="Z966" t="str">
        <f t="shared" ca="1" si="342"/>
        <v>Ultrasound</v>
      </c>
      <c r="AA966" t="str">
        <f t="shared" ca="1" si="343"/>
        <v>Maintenance</v>
      </c>
      <c r="AB966" t="str">
        <f t="shared" ca="1" si="344"/>
        <v>Pending</v>
      </c>
      <c r="AC966" t="str">
        <f t="shared" ca="1" si="345"/>
        <v>Cash</v>
      </c>
      <c r="AD966" t="str">
        <f t="shared" ca="1" si="346"/>
        <v>No</v>
      </c>
      <c r="AE966" t="str">
        <f t="shared" ca="1" si="347"/>
        <v>No</v>
      </c>
      <c r="AF966" t="str">
        <f t="shared" ca="1" si="348"/>
        <v>Recovered</v>
      </c>
      <c r="AG966" t="str">
        <f t="shared" ca="1" si="349"/>
        <v>Midwest</v>
      </c>
      <c r="AH966" t="str">
        <f t="shared" si="332"/>
        <v>March</v>
      </c>
      <c r="AI966">
        <f t="shared" si="333"/>
        <v>2021</v>
      </c>
      <c r="AJ966" t="str">
        <f t="shared" ca="1" si="350"/>
        <v>Occupied</v>
      </c>
      <c r="AK966">
        <f t="shared" ca="1" si="351"/>
        <v>4</v>
      </c>
    </row>
    <row r="967" spans="1:37" x14ac:dyDescent="0.3">
      <c r="A967" t="s">
        <v>5379</v>
      </c>
      <c r="B967">
        <v>47</v>
      </c>
      <c r="C967" t="s">
        <v>15</v>
      </c>
      <c r="D967" t="s">
        <v>16</v>
      </c>
      <c r="E967" t="s">
        <v>76</v>
      </c>
      <c r="F967" s="1">
        <v>44962</v>
      </c>
      <c r="G967" t="s">
        <v>1959</v>
      </c>
      <c r="H967" t="s">
        <v>1960</v>
      </c>
      <c r="I967" t="s">
        <v>20</v>
      </c>
      <c r="J967">
        <v>22775</v>
      </c>
      <c r="K967">
        <v>462</v>
      </c>
      <c r="L967" t="s">
        <v>42</v>
      </c>
      <c r="M967" s="1">
        <v>44969</v>
      </c>
      <c r="N967" t="s">
        <v>47</v>
      </c>
      <c r="O967" t="s">
        <v>43</v>
      </c>
      <c r="P967" t="str">
        <f t="shared" si="334"/>
        <v>P0966</v>
      </c>
      <c r="Q967" t="str">
        <f t="shared" si="330"/>
        <v>Orthopedics</v>
      </c>
      <c r="R967">
        <f t="shared" si="331"/>
        <v>7</v>
      </c>
      <c r="S967" t="str">
        <f t="shared" ca="1" si="335"/>
        <v>No</v>
      </c>
      <c r="T967" t="str">
        <f t="shared" ca="1" si="336"/>
        <v>Mild</v>
      </c>
      <c r="U967" t="str">
        <f t="shared" ca="1" si="337"/>
        <v>Emergency</v>
      </c>
      <c r="V967" t="str">
        <f t="shared" si="338"/>
        <v>BED0966</v>
      </c>
      <c r="W967" t="str">
        <f t="shared" ca="1" si="339"/>
        <v>ICU</v>
      </c>
      <c r="X967" t="str">
        <f t="shared" si="340"/>
        <v>NUR016</v>
      </c>
      <c r="Y967" t="str">
        <f t="shared" ca="1" si="341"/>
        <v>Night</v>
      </c>
      <c r="Z967" t="str">
        <f t="shared" ca="1" si="342"/>
        <v>Ventilator</v>
      </c>
      <c r="AA967" t="str">
        <f t="shared" ca="1" si="343"/>
        <v>In Use</v>
      </c>
      <c r="AB967" t="str">
        <f t="shared" ca="1" si="344"/>
        <v>Pending</v>
      </c>
      <c r="AC967" t="str">
        <f t="shared" ca="1" si="345"/>
        <v>Debit Card</v>
      </c>
      <c r="AD967" t="str">
        <f t="shared" ca="1" si="346"/>
        <v>No</v>
      </c>
      <c r="AE967" t="str">
        <f t="shared" ca="1" si="347"/>
        <v>No</v>
      </c>
      <c r="AF967" t="str">
        <f t="shared" ca="1" si="348"/>
        <v>Under Observation</v>
      </c>
      <c r="AG967" t="str">
        <f t="shared" ca="1" si="349"/>
        <v>Northeast</v>
      </c>
      <c r="AH967" t="str">
        <f t="shared" si="332"/>
        <v>February</v>
      </c>
      <c r="AI967">
        <f t="shared" si="333"/>
        <v>2023</v>
      </c>
      <c r="AJ967" t="str">
        <f t="shared" ca="1" si="350"/>
        <v>Occupied</v>
      </c>
      <c r="AK967">
        <f t="shared" ca="1" si="351"/>
        <v>1</v>
      </c>
    </row>
    <row r="968" spans="1:37" x14ac:dyDescent="0.3">
      <c r="A968" t="s">
        <v>5380</v>
      </c>
      <c r="B968">
        <v>49</v>
      </c>
      <c r="C968" t="s">
        <v>32</v>
      </c>
      <c r="D968" t="s">
        <v>24</v>
      </c>
      <c r="E968" t="s">
        <v>25</v>
      </c>
      <c r="F968" s="1">
        <v>44488</v>
      </c>
      <c r="G968" t="s">
        <v>1961</v>
      </c>
      <c r="H968" t="s">
        <v>1962</v>
      </c>
      <c r="I968" t="s">
        <v>57</v>
      </c>
      <c r="J968">
        <v>30954</v>
      </c>
      <c r="K968">
        <v>186</v>
      </c>
      <c r="L968" t="s">
        <v>21</v>
      </c>
      <c r="M968" s="1">
        <v>44512</v>
      </c>
      <c r="N968" t="s">
        <v>47</v>
      </c>
      <c r="O968" t="s">
        <v>23</v>
      </c>
      <c r="P968" t="str">
        <f t="shared" si="334"/>
        <v>P0967</v>
      </c>
      <c r="Q968" t="str">
        <f t="shared" si="330"/>
        <v>Nutrition</v>
      </c>
      <c r="R968">
        <f t="shared" si="331"/>
        <v>24</v>
      </c>
      <c r="S968" t="str">
        <f t="shared" ca="1" si="335"/>
        <v>Yes</v>
      </c>
      <c r="T968" t="str">
        <f t="shared" ca="1" si="336"/>
        <v>Critical</v>
      </c>
      <c r="U968" t="str">
        <f t="shared" ca="1" si="337"/>
        <v>Emergency</v>
      </c>
      <c r="V968" t="str">
        <f t="shared" si="338"/>
        <v>BED0967</v>
      </c>
      <c r="W968" t="str">
        <f t="shared" ca="1" si="339"/>
        <v>ICU</v>
      </c>
      <c r="X968" t="str">
        <f t="shared" si="340"/>
        <v>NUR017</v>
      </c>
      <c r="Y968" t="str">
        <f t="shared" ca="1" si="341"/>
        <v>Night</v>
      </c>
      <c r="Z968" t="str">
        <f t="shared" ca="1" si="342"/>
        <v>Ventilator</v>
      </c>
      <c r="AA968" t="str">
        <f t="shared" ca="1" si="343"/>
        <v>Available</v>
      </c>
      <c r="AB968" t="str">
        <f t="shared" ca="1" si="344"/>
        <v>Partially Paid</v>
      </c>
      <c r="AC968" t="str">
        <f t="shared" ca="1" si="345"/>
        <v>Debit Card</v>
      </c>
      <c r="AD968" t="str">
        <f t="shared" ca="1" si="346"/>
        <v>No</v>
      </c>
      <c r="AE968" t="str">
        <f t="shared" ca="1" si="347"/>
        <v>No</v>
      </c>
      <c r="AF968" t="str">
        <f t="shared" ca="1" si="348"/>
        <v>Under Observation</v>
      </c>
      <c r="AG968" t="str">
        <f t="shared" ca="1" si="349"/>
        <v>Midwest</v>
      </c>
      <c r="AH968" t="str">
        <f t="shared" si="332"/>
        <v>October</v>
      </c>
      <c r="AI968">
        <f t="shared" si="333"/>
        <v>2021</v>
      </c>
      <c r="AJ968" t="str">
        <f t="shared" ca="1" si="350"/>
        <v>Occupied</v>
      </c>
      <c r="AK968">
        <f t="shared" ca="1" si="351"/>
        <v>1</v>
      </c>
    </row>
    <row r="969" spans="1:37" x14ac:dyDescent="0.3">
      <c r="A969" t="s">
        <v>5381</v>
      </c>
      <c r="B969">
        <v>83</v>
      </c>
      <c r="C969" t="s">
        <v>15</v>
      </c>
      <c r="D969" t="s">
        <v>16</v>
      </c>
      <c r="E969" t="s">
        <v>48</v>
      </c>
      <c r="F969" s="1">
        <v>43715</v>
      </c>
      <c r="G969" t="s">
        <v>1963</v>
      </c>
      <c r="H969" t="s">
        <v>1964</v>
      </c>
      <c r="I969" t="s">
        <v>28</v>
      </c>
      <c r="J969">
        <v>12101</v>
      </c>
      <c r="K969">
        <v>424</v>
      </c>
      <c r="L969" t="s">
        <v>21</v>
      </c>
      <c r="M969" s="1">
        <v>43737</v>
      </c>
      <c r="N969" t="s">
        <v>37</v>
      </c>
      <c r="O969" t="s">
        <v>43</v>
      </c>
      <c r="P969" t="str">
        <f t="shared" si="334"/>
        <v>P0968</v>
      </c>
      <c r="Q969" t="str">
        <f t="shared" si="330"/>
        <v>Pulmonology</v>
      </c>
      <c r="R969">
        <f t="shared" si="331"/>
        <v>22</v>
      </c>
      <c r="S969" t="str">
        <f t="shared" ca="1" si="335"/>
        <v>No</v>
      </c>
      <c r="T969" t="str">
        <f t="shared" ca="1" si="336"/>
        <v>Critical</v>
      </c>
      <c r="U969" t="str">
        <f t="shared" ca="1" si="337"/>
        <v>Emergency</v>
      </c>
      <c r="V969" t="str">
        <f t="shared" si="338"/>
        <v>BED0968</v>
      </c>
      <c r="W969" t="str">
        <f t="shared" ca="1" si="339"/>
        <v>ICU</v>
      </c>
      <c r="X969" t="str">
        <f t="shared" si="340"/>
        <v>NUR018</v>
      </c>
      <c r="Y969" t="str">
        <f t="shared" ca="1" si="341"/>
        <v>Night</v>
      </c>
      <c r="Z969" t="str">
        <f t="shared" ca="1" si="342"/>
        <v>Ventilator</v>
      </c>
      <c r="AA969" t="str">
        <f t="shared" ca="1" si="343"/>
        <v>Maintenance</v>
      </c>
      <c r="AB969" t="str">
        <f t="shared" ca="1" si="344"/>
        <v>Paid</v>
      </c>
      <c r="AC969" t="str">
        <f t="shared" ca="1" si="345"/>
        <v>Bank Transfer</v>
      </c>
      <c r="AD969" t="str">
        <f t="shared" ca="1" si="346"/>
        <v>No</v>
      </c>
      <c r="AE969" t="str">
        <f t="shared" ca="1" si="347"/>
        <v>No</v>
      </c>
      <c r="AF969" t="str">
        <f t="shared" ca="1" si="348"/>
        <v>Under Observation</v>
      </c>
      <c r="AG969" t="str">
        <f t="shared" ca="1" si="349"/>
        <v>Midwest</v>
      </c>
      <c r="AH969" t="str">
        <f t="shared" si="332"/>
        <v>September</v>
      </c>
      <c r="AI969">
        <f t="shared" si="333"/>
        <v>2019</v>
      </c>
      <c r="AJ969" t="str">
        <f t="shared" ca="1" si="350"/>
        <v>Occupied</v>
      </c>
      <c r="AK969">
        <f t="shared" ca="1" si="351"/>
        <v>1</v>
      </c>
    </row>
    <row r="970" spans="1:37" x14ac:dyDescent="0.3">
      <c r="A970" t="s">
        <v>5382</v>
      </c>
      <c r="B970">
        <v>63</v>
      </c>
      <c r="C970" t="s">
        <v>15</v>
      </c>
      <c r="D970" t="s">
        <v>16</v>
      </c>
      <c r="E970" t="s">
        <v>48</v>
      </c>
      <c r="F970" s="1">
        <v>44342</v>
      </c>
      <c r="G970" t="s">
        <v>1965</v>
      </c>
      <c r="H970" t="s">
        <v>1966</v>
      </c>
      <c r="I970" t="s">
        <v>20</v>
      </c>
      <c r="J970">
        <v>1478</v>
      </c>
      <c r="K970">
        <v>478</v>
      </c>
      <c r="L970" t="s">
        <v>42</v>
      </c>
      <c r="M970" s="1">
        <v>44367</v>
      </c>
      <c r="N970" t="s">
        <v>30</v>
      </c>
      <c r="O970" t="s">
        <v>23</v>
      </c>
      <c r="P970" t="str">
        <f t="shared" si="334"/>
        <v>P0969</v>
      </c>
      <c r="Q970" t="str">
        <f t="shared" si="330"/>
        <v>Pulmonology</v>
      </c>
      <c r="R970">
        <f t="shared" si="331"/>
        <v>25</v>
      </c>
      <c r="S970" t="str">
        <f t="shared" ca="1" si="335"/>
        <v>No</v>
      </c>
      <c r="T970" t="str">
        <f t="shared" ca="1" si="336"/>
        <v>Moderate</v>
      </c>
      <c r="U970" t="str">
        <f t="shared" ca="1" si="337"/>
        <v>General Ward</v>
      </c>
      <c r="V970" t="str">
        <f t="shared" si="338"/>
        <v>BED0969</v>
      </c>
      <c r="W970" t="str">
        <f t="shared" ca="1" si="339"/>
        <v>General</v>
      </c>
      <c r="X970" t="str">
        <f t="shared" si="340"/>
        <v>NUR019</v>
      </c>
      <c r="Y970" t="str">
        <f t="shared" ca="1" si="341"/>
        <v>Morning</v>
      </c>
      <c r="Z970" t="str">
        <f t="shared" ca="1" si="342"/>
        <v>ECG Machine</v>
      </c>
      <c r="AA970" t="str">
        <f t="shared" ca="1" si="343"/>
        <v>Maintenance</v>
      </c>
      <c r="AB970" t="str">
        <f t="shared" ca="1" si="344"/>
        <v>Partially Paid</v>
      </c>
      <c r="AC970" t="str">
        <f t="shared" ca="1" si="345"/>
        <v>Debit Card</v>
      </c>
      <c r="AD970" t="str">
        <f t="shared" ca="1" si="346"/>
        <v>No</v>
      </c>
      <c r="AE970" t="str">
        <f t="shared" ca="1" si="347"/>
        <v>No</v>
      </c>
      <c r="AF970" t="str">
        <f t="shared" ca="1" si="348"/>
        <v>Under Observation</v>
      </c>
      <c r="AG970" t="str">
        <f t="shared" ca="1" si="349"/>
        <v>Northeast</v>
      </c>
      <c r="AH970" t="str">
        <f t="shared" si="332"/>
        <v>May</v>
      </c>
      <c r="AI970">
        <f t="shared" si="333"/>
        <v>2021</v>
      </c>
      <c r="AJ970" t="str">
        <f t="shared" ca="1" si="350"/>
        <v>Occupied</v>
      </c>
      <c r="AK970">
        <f t="shared" ca="1" si="351"/>
        <v>1</v>
      </c>
    </row>
    <row r="971" spans="1:37" x14ac:dyDescent="0.3">
      <c r="A971" t="s">
        <v>5383</v>
      </c>
      <c r="B971">
        <v>26</v>
      </c>
      <c r="C971" t="s">
        <v>32</v>
      </c>
      <c r="D971" t="s">
        <v>98</v>
      </c>
      <c r="E971" t="s">
        <v>17</v>
      </c>
      <c r="F971" s="1">
        <v>44323</v>
      </c>
      <c r="G971" t="s">
        <v>1967</v>
      </c>
      <c r="H971" t="s">
        <v>1968</v>
      </c>
      <c r="I971" t="s">
        <v>36</v>
      </c>
      <c r="J971">
        <v>37198</v>
      </c>
      <c r="K971">
        <v>124</v>
      </c>
      <c r="L971" t="s">
        <v>21</v>
      </c>
      <c r="M971" s="1">
        <v>44343</v>
      </c>
      <c r="N971" t="s">
        <v>47</v>
      </c>
      <c r="O971" t="s">
        <v>43</v>
      </c>
      <c r="P971" t="str">
        <f t="shared" si="334"/>
        <v>P0970</v>
      </c>
      <c r="Q971" t="str">
        <f t="shared" si="330"/>
        <v>Oncology</v>
      </c>
      <c r="R971">
        <f t="shared" si="331"/>
        <v>20</v>
      </c>
      <c r="S971" t="str">
        <f t="shared" ca="1" si="335"/>
        <v>Yes</v>
      </c>
      <c r="T971" t="str">
        <f t="shared" ca="1" si="336"/>
        <v>Mild</v>
      </c>
      <c r="U971" t="str">
        <f t="shared" ca="1" si="337"/>
        <v>ICU</v>
      </c>
      <c r="V971" t="str">
        <f t="shared" si="338"/>
        <v>BED0970</v>
      </c>
      <c r="W971" t="str">
        <f t="shared" ca="1" si="339"/>
        <v>Private</v>
      </c>
      <c r="X971" t="str">
        <f t="shared" si="340"/>
        <v>NUR020</v>
      </c>
      <c r="Y971" t="str">
        <f t="shared" ca="1" si="341"/>
        <v>Night</v>
      </c>
      <c r="Z971" t="str">
        <f t="shared" ca="1" si="342"/>
        <v>CT Scanner</v>
      </c>
      <c r="AA971" t="str">
        <f t="shared" ca="1" si="343"/>
        <v>Maintenance</v>
      </c>
      <c r="AB971" t="str">
        <f t="shared" ca="1" si="344"/>
        <v>Partially Paid</v>
      </c>
      <c r="AC971" t="str">
        <f t="shared" ca="1" si="345"/>
        <v>Cash</v>
      </c>
      <c r="AD971" t="str">
        <f t="shared" ca="1" si="346"/>
        <v>No</v>
      </c>
      <c r="AE971" t="str">
        <f t="shared" ca="1" si="347"/>
        <v>No</v>
      </c>
      <c r="AF971" t="str">
        <f t="shared" ca="1" si="348"/>
        <v>Transferred</v>
      </c>
      <c r="AG971" t="str">
        <f t="shared" ca="1" si="349"/>
        <v>Midwest</v>
      </c>
      <c r="AH971" t="str">
        <f t="shared" si="332"/>
        <v>May</v>
      </c>
      <c r="AI971">
        <f t="shared" si="333"/>
        <v>2021</v>
      </c>
      <c r="AJ971" t="str">
        <f t="shared" ca="1" si="350"/>
        <v>Occupied</v>
      </c>
      <c r="AK971">
        <f t="shared" ca="1" si="351"/>
        <v>1</v>
      </c>
    </row>
    <row r="972" spans="1:37" x14ac:dyDescent="0.3">
      <c r="A972" t="s">
        <v>5384</v>
      </c>
      <c r="B972">
        <v>20</v>
      </c>
      <c r="C972" t="s">
        <v>32</v>
      </c>
      <c r="D972" t="s">
        <v>52</v>
      </c>
      <c r="E972" t="s">
        <v>76</v>
      </c>
      <c r="F972" s="1">
        <v>44943</v>
      </c>
      <c r="G972" t="s">
        <v>1969</v>
      </c>
      <c r="H972" t="s">
        <v>1970</v>
      </c>
      <c r="I972" t="s">
        <v>28</v>
      </c>
      <c r="J972">
        <v>5408</v>
      </c>
      <c r="K972">
        <v>294</v>
      </c>
      <c r="L972" t="s">
        <v>42</v>
      </c>
      <c r="M972" s="1">
        <v>44955</v>
      </c>
      <c r="N972" t="s">
        <v>22</v>
      </c>
      <c r="O972" t="s">
        <v>23</v>
      </c>
      <c r="P972" t="str">
        <f t="shared" si="334"/>
        <v>P0971</v>
      </c>
      <c r="Q972" t="str">
        <f t="shared" si="330"/>
        <v>Orthopedics</v>
      </c>
      <c r="R972">
        <f t="shared" si="331"/>
        <v>12</v>
      </c>
      <c r="S972" t="str">
        <f t="shared" ca="1" si="335"/>
        <v>No</v>
      </c>
      <c r="T972" t="str">
        <f t="shared" ca="1" si="336"/>
        <v>Severe</v>
      </c>
      <c r="U972" t="str">
        <f t="shared" ca="1" si="337"/>
        <v>Semi-Private</v>
      </c>
      <c r="V972" t="str">
        <f t="shared" si="338"/>
        <v>BED0971</v>
      </c>
      <c r="W972" t="str">
        <f t="shared" ca="1" si="339"/>
        <v>ICU</v>
      </c>
      <c r="X972" t="str">
        <f t="shared" si="340"/>
        <v>NUR021</v>
      </c>
      <c r="Y972" t="str">
        <f t="shared" ca="1" si="341"/>
        <v>Morning</v>
      </c>
      <c r="Z972" t="str">
        <f t="shared" ca="1" si="342"/>
        <v>CT Scanner</v>
      </c>
      <c r="AA972" t="str">
        <f t="shared" ca="1" si="343"/>
        <v>Maintenance</v>
      </c>
      <c r="AB972" t="str">
        <f t="shared" ca="1" si="344"/>
        <v>Partially Paid</v>
      </c>
      <c r="AC972" t="str">
        <f t="shared" ca="1" si="345"/>
        <v>Insurance</v>
      </c>
      <c r="AD972" t="str">
        <f t="shared" ca="1" si="346"/>
        <v>No</v>
      </c>
      <c r="AE972" t="str">
        <f t="shared" ca="1" si="347"/>
        <v>No</v>
      </c>
      <c r="AF972" t="str">
        <f t="shared" ca="1" si="348"/>
        <v>Under Observation</v>
      </c>
      <c r="AG972" t="str">
        <f t="shared" ca="1" si="349"/>
        <v>Southeast</v>
      </c>
      <c r="AH972" t="str">
        <f t="shared" si="332"/>
        <v>January</v>
      </c>
      <c r="AI972">
        <f t="shared" si="333"/>
        <v>2023</v>
      </c>
      <c r="AJ972" t="str">
        <f t="shared" ca="1" si="350"/>
        <v>Occupied</v>
      </c>
      <c r="AK972">
        <f t="shared" ca="1" si="351"/>
        <v>4</v>
      </c>
    </row>
    <row r="973" spans="1:37" x14ac:dyDescent="0.3">
      <c r="A973" t="s">
        <v>5385</v>
      </c>
      <c r="B973">
        <v>69</v>
      </c>
      <c r="C973" t="s">
        <v>15</v>
      </c>
      <c r="D973" t="s">
        <v>52</v>
      </c>
      <c r="E973" t="s">
        <v>48</v>
      </c>
      <c r="F973" s="1">
        <v>43895</v>
      </c>
      <c r="G973" t="s">
        <v>1971</v>
      </c>
      <c r="H973" t="s">
        <v>1972</v>
      </c>
      <c r="I973" t="s">
        <v>28</v>
      </c>
      <c r="J973">
        <v>6035</v>
      </c>
      <c r="K973">
        <v>282</v>
      </c>
      <c r="L973" t="s">
        <v>21</v>
      </c>
      <c r="M973" s="1">
        <v>43896</v>
      </c>
      <c r="N973" t="s">
        <v>67</v>
      </c>
      <c r="O973" t="s">
        <v>23</v>
      </c>
      <c r="P973" t="str">
        <f t="shared" si="334"/>
        <v>P0972</v>
      </c>
      <c r="Q973" t="str">
        <f t="shared" si="330"/>
        <v>Pulmonology</v>
      </c>
      <c r="R973">
        <f t="shared" si="331"/>
        <v>1</v>
      </c>
      <c r="S973" t="str">
        <f t="shared" ca="1" si="335"/>
        <v>No</v>
      </c>
      <c r="T973" t="str">
        <f t="shared" ca="1" si="336"/>
        <v>Moderate</v>
      </c>
      <c r="U973" t="str">
        <f t="shared" ca="1" si="337"/>
        <v>Private Ward</v>
      </c>
      <c r="V973" t="str">
        <f t="shared" si="338"/>
        <v>BED0972</v>
      </c>
      <c r="W973" t="str">
        <f t="shared" ca="1" si="339"/>
        <v>Semi-Private</v>
      </c>
      <c r="X973" t="str">
        <f t="shared" si="340"/>
        <v>NUR022</v>
      </c>
      <c r="Y973" t="str">
        <f t="shared" ca="1" si="341"/>
        <v>Night</v>
      </c>
      <c r="Z973" t="str">
        <f t="shared" ca="1" si="342"/>
        <v>X-Ray</v>
      </c>
      <c r="AA973" t="str">
        <f t="shared" ca="1" si="343"/>
        <v>Maintenance</v>
      </c>
      <c r="AB973" t="str">
        <f t="shared" ca="1" si="344"/>
        <v>Pending</v>
      </c>
      <c r="AC973" t="str">
        <f t="shared" ca="1" si="345"/>
        <v>Insurance</v>
      </c>
      <c r="AD973" t="str">
        <f t="shared" ca="1" si="346"/>
        <v>No</v>
      </c>
      <c r="AE973" t="str">
        <f t="shared" ca="1" si="347"/>
        <v>No</v>
      </c>
      <c r="AF973" t="str">
        <f t="shared" ca="1" si="348"/>
        <v>Under Observation</v>
      </c>
      <c r="AG973" t="str">
        <f t="shared" ca="1" si="349"/>
        <v>Midwest</v>
      </c>
      <c r="AH973" t="str">
        <f t="shared" si="332"/>
        <v>March</v>
      </c>
      <c r="AI973">
        <f t="shared" si="333"/>
        <v>2020</v>
      </c>
      <c r="AJ973" t="str">
        <f t="shared" ca="1" si="350"/>
        <v>Occupied</v>
      </c>
      <c r="AK973">
        <f t="shared" ca="1" si="351"/>
        <v>2</v>
      </c>
    </row>
    <row r="974" spans="1:37" x14ac:dyDescent="0.3">
      <c r="A974" t="s">
        <v>5386</v>
      </c>
      <c r="B974">
        <v>26</v>
      </c>
      <c r="C974" t="s">
        <v>15</v>
      </c>
      <c r="D974" t="s">
        <v>52</v>
      </c>
      <c r="E974" t="s">
        <v>48</v>
      </c>
      <c r="F974" s="1">
        <v>44820</v>
      </c>
      <c r="G974" t="s">
        <v>1973</v>
      </c>
      <c r="H974" t="s">
        <v>1974</v>
      </c>
      <c r="I974" t="s">
        <v>20</v>
      </c>
      <c r="J974">
        <v>5778</v>
      </c>
      <c r="K974">
        <v>408</v>
      </c>
      <c r="L974" t="s">
        <v>42</v>
      </c>
      <c r="M974" s="1">
        <v>44850</v>
      </c>
      <c r="N974" t="s">
        <v>37</v>
      </c>
      <c r="O974" t="s">
        <v>23</v>
      </c>
      <c r="P974" t="str">
        <f t="shared" si="334"/>
        <v>P0973</v>
      </c>
      <c r="Q974" t="str">
        <f t="shared" si="330"/>
        <v>Pulmonology</v>
      </c>
      <c r="R974">
        <f t="shared" si="331"/>
        <v>30</v>
      </c>
      <c r="S974" t="str">
        <f t="shared" ca="1" si="335"/>
        <v>No</v>
      </c>
      <c r="T974" t="str">
        <f t="shared" ca="1" si="336"/>
        <v>Critical</v>
      </c>
      <c r="U974" t="str">
        <f t="shared" ca="1" si="337"/>
        <v>Semi-Private</v>
      </c>
      <c r="V974" t="str">
        <f t="shared" si="338"/>
        <v>BED0973</v>
      </c>
      <c r="W974" t="str">
        <f t="shared" ca="1" si="339"/>
        <v>Semi-Private</v>
      </c>
      <c r="X974" t="str">
        <f t="shared" si="340"/>
        <v>NUR023</v>
      </c>
      <c r="Y974" t="str">
        <f t="shared" ca="1" si="341"/>
        <v>Night</v>
      </c>
      <c r="Z974" t="str">
        <f t="shared" ca="1" si="342"/>
        <v>Ventilator</v>
      </c>
      <c r="AA974" t="str">
        <f t="shared" ca="1" si="343"/>
        <v>Maintenance</v>
      </c>
      <c r="AB974" t="str">
        <f t="shared" ca="1" si="344"/>
        <v>Pending</v>
      </c>
      <c r="AC974" t="str">
        <f t="shared" ca="1" si="345"/>
        <v>Insurance</v>
      </c>
      <c r="AD974" t="str">
        <f t="shared" ca="1" si="346"/>
        <v>No</v>
      </c>
      <c r="AE974" t="str">
        <f t="shared" ca="1" si="347"/>
        <v>No</v>
      </c>
      <c r="AF974" t="str">
        <f t="shared" ca="1" si="348"/>
        <v>Recovered</v>
      </c>
      <c r="AG974" t="str">
        <f t="shared" ca="1" si="349"/>
        <v>Southwest</v>
      </c>
      <c r="AH974" t="str">
        <f t="shared" si="332"/>
        <v>September</v>
      </c>
      <c r="AI974">
        <f t="shared" si="333"/>
        <v>2022</v>
      </c>
      <c r="AJ974" t="str">
        <f t="shared" ca="1" si="350"/>
        <v>Occupied</v>
      </c>
      <c r="AK974">
        <f t="shared" ca="1" si="351"/>
        <v>4</v>
      </c>
    </row>
    <row r="975" spans="1:37" x14ac:dyDescent="0.3">
      <c r="A975" t="s">
        <v>5387</v>
      </c>
      <c r="B975">
        <v>36</v>
      </c>
      <c r="C975" t="s">
        <v>15</v>
      </c>
      <c r="D975" t="s">
        <v>44</v>
      </c>
      <c r="E975" t="s">
        <v>76</v>
      </c>
      <c r="F975" s="1">
        <v>44715</v>
      </c>
      <c r="G975" t="s">
        <v>1975</v>
      </c>
      <c r="H975" t="s">
        <v>1976</v>
      </c>
      <c r="I975" t="s">
        <v>51</v>
      </c>
      <c r="J975">
        <v>46603</v>
      </c>
      <c r="K975">
        <v>229</v>
      </c>
      <c r="L975" t="s">
        <v>42</v>
      </c>
      <c r="M975" s="1">
        <v>44740</v>
      </c>
      <c r="N975" t="s">
        <v>30</v>
      </c>
      <c r="O975" t="s">
        <v>43</v>
      </c>
      <c r="P975" t="str">
        <f t="shared" si="334"/>
        <v>P0974</v>
      </c>
      <c r="Q975" t="str">
        <f t="shared" si="330"/>
        <v>Orthopedics</v>
      </c>
      <c r="R975">
        <f t="shared" si="331"/>
        <v>25</v>
      </c>
      <c r="S975" t="str">
        <f t="shared" ca="1" si="335"/>
        <v>No</v>
      </c>
      <c r="T975" t="str">
        <f t="shared" ca="1" si="336"/>
        <v>Critical</v>
      </c>
      <c r="U975" t="str">
        <f t="shared" ca="1" si="337"/>
        <v>General Ward</v>
      </c>
      <c r="V975" t="str">
        <f t="shared" si="338"/>
        <v>BED0974</v>
      </c>
      <c r="W975" t="str">
        <f t="shared" ca="1" si="339"/>
        <v>General</v>
      </c>
      <c r="X975" t="str">
        <f t="shared" si="340"/>
        <v>NUR024</v>
      </c>
      <c r="Y975" t="str">
        <f t="shared" ca="1" si="341"/>
        <v>Morning</v>
      </c>
      <c r="Z975" t="str">
        <f t="shared" ca="1" si="342"/>
        <v>Ultrasound</v>
      </c>
      <c r="AA975" t="str">
        <f t="shared" ca="1" si="343"/>
        <v>In Use</v>
      </c>
      <c r="AB975" t="str">
        <f t="shared" ca="1" si="344"/>
        <v>Partially Paid</v>
      </c>
      <c r="AC975" t="str">
        <f t="shared" ca="1" si="345"/>
        <v>Cash</v>
      </c>
      <c r="AD975" t="str">
        <f t="shared" ca="1" si="346"/>
        <v>No</v>
      </c>
      <c r="AE975" t="str">
        <f t="shared" ca="1" si="347"/>
        <v>No</v>
      </c>
      <c r="AF975" t="str">
        <f t="shared" ca="1" si="348"/>
        <v>Recovered</v>
      </c>
      <c r="AG975" t="str">
        <f t="shared" ca="1" si="349"/>
        <v>West Coast</v>
      </c>
      <c r="AH975" t="str">
        <f t="shared" si="332"/>
        <v>June</v>
      </c>
      <c r="AI975">
        <f t="shared" si="333"/>
        <v>2022</v>
      </c>
      <c r="AJ975" t="str">
        <f t="shared" ca="1" si="350"/>
        <v>Occupied</v>
      </c>
      <c r="AK975">
        <f t="shared" ca="1" si="351"/>
        <v>4</v>
      </c>
    </row>
    <row r="976" spans="1:37" x14ac:dyDescent="0.3">
      <c r="A976" t="s">
        <v>5388</v>
      </c>
      <c r="B976">
        <v>27</v>
      </c>
      <c r="C976" t="s">
        <v>15</v>
      </c>
      <c r="D976" t="s">
        <v>52</v>
      </c>
      <c r="E976" t="s">
        <v>39</v>
      </c>
      <c r="F976" s="1">
        <v>44195</v>
      </c>
      <c r="G976" t="s">
        <v>1977</v>
      </c>
      <c r="H976" t="s">
        <v>1978</v>
      </c>
      <c r="I976" t="s">
        <v>28</v>
      </c>
      <c r="J976">
        <v>47790</v>
      </c>
      <c r="K976">
        <v>493</v>
      </c>
      <c r="L976" t="s">
        <v>29</v>
      </c>
      <c r="M976" s="1">
        <v>44222</v>
      </c>
      <c r="N976" t="s">
        <v>22</v>
      </c>
      <c r="O976" t="s">
        <v>43</v>
      </c>
      <c r="P976" t="str">
        <f t="shared" si="334"/>
        <v>P0975</v>
      </c>
      <c r="Q976" t="str">
        <f t="shared" si="330"/>
        <v>Endocrinology</v>
      </c>
      <c r="R976">
        <f t="shared" si="331"/>
        <v>27</v>
      </c>
      <c r="S976" t="str">
        <f t="shared" ca="1" si="335"/>
        <v>No</v>
      </c>
      <c r="T976" t="str">
        <f t="shared" ca="1" si="336"/>
        <v>Critical</v>
      </c>
      <c r="U976" t="str">
        <f t="shared" ca="1" si="337"/>
        <v>ICU</v>
      </c>
      <c r="V976" t="str">
        <f t="shared" si="338"/>
        <v>BED0975</v>
      </c>
      <c r="W976" t="str">
        <f t="shared" ca="1" si="339"/>
        <v>Private</v>
      </c>
      <c r="X976" t="str">
        <f t="shared" si="340"/>
        <v>NUR025</v>
      </c>
      <c r="Y976" t="str">
        <f t="shared" ca="1" si="341"/>
        <v>Night</v>
      </c>
      <c r="Z976" t="str">
        <f t="shared" ca="1" si="342"/>
        <v>ECG Machine</v>
      </c>
      <c r="AA976" t="str">
        <f t="shared" ca="1" si="343"/>
        <v>Maintenance</v>
      </c>
      <c r="AB976" t="str">
        <f t="shared" ca="1" si="344"/>
        <v>Pending</v>
      </c>
      <c r="AC976" t="str">
        <f t="shared" ca="1" si="345"/>
        <v>Credit Card</v>
      </c>
      <c r="AD976" t="str">
        <f t="shared" ca="1" si="346"/>
        <v>No</v>
      </c>
      <c r="AE976" t="str">
        <f t="shared" ca="1" si="347"/>
        <v>No</v>
      </c>
      <c r="AF976" t="str">
        <f t="shared" ca="1" si="348"/>
        <v>Transferred</v>
      </c>
      <c r="AG976" t="str">
        <f t="shared" ca="1" si="349"/>
        <v>Southwest</v>
      </c>
      <c r="AH976" t="str">
        <f t="shared" si="332"/>
        <v>December</v>
      </c>
      <c r="AI976">
        <f t="shared" si="333"/>
        <v>2020</v>
      </c>
      <c r="AJ976" t="str">
        <f t="shared" ca="1" si="350"/>
        <v>Occupied</v>
      </c>
      <c r="AK976">
        <f t="shared" ca="1" si="351"/>
        <v>1</v>
      </c>
    </row>
    <row r="977" spans="1:37" x14ac:dyDescent="0.3">
      <c r="A977" t="s">
        <v>5389</v>
      </c>
      <c r="B977">
        <v>60</v>
      </c>
      <c r="C977" t="s">
        <v>32</v>
      </c>
      <c r="D977" t="s">
        <v>16</v>
      </c>
      <c r="E977" t="s">
        <v>25</v>
      </c>
      <c r="F977" s="1">
        <v>44052</v>
      </c>
      <c r="G977" t="s">
        <v>1979</v>
      </c>
      <c r="H977" t="s">
        <v>1980</v>
      </c>
      <c r="I977" t="s">
        <v>36</v>
      </c>
      <c r="J977">
        <v>46608</v>
      </c>
      <c r="K977">
        <v>142</v>
      </c>
      <c r="L977" t="s">
        <v>29</v>
      </c>
      <c r="M977" s="1">
        <v>44058</v>
      </c>
      <c r="N977" t="s">
        <v>47</v>
      </c>
      <c r="O977" t="s">
        <v>43</v>
      </c>
      <c r="P977" t="str">
        <f t="shared" si="334"/>
        <v>P0976</v>
      </c>
      <c r="Q977" t="str">
        <f t="shared" si="330"/>
        <v>Nutrition</v>
      </c>
      <c r="R977">
        <f t="shared" si="331"/>
        <v>6</v>
      </c>
      <c r="S977" t="str">
        <f t="shared" ca="1" si="335"/>
        <v>No</v>
      </c>
      <c r="T977" t="str">
        <f t="shared" ca="1" si="336"/>
        <v>Severe</v>
      </c>
      <c r="U977" t="str">
        <f t="shared" ca="1" si="337"/>
        <v>General Ward</v>
      </c>
      <c r="V977" t="str">
        <f t="shared" si="338"/>
        <v>BED0976</v>
      </c>
      <c r="W977" t="str">
        <f t="shared" ca="1" si="339"/>
        <v>General</v>
      </c>
      <c r="X977" t="str">
        <f t="shared" si="340"/>
        <v>NUR026</v>
      </c>
      <c r="Y977" t="str">
        <f t="shared" ca="1" si="341"/>
        <v>Night</v>
      </c>
      <c r="Z977" t="str">
        <f t="shared" ca="1" si="342"/>
        <v>ECG Machine</v>
      </c>
      <c r="AA977" t="str">
        <f t="shared" ca="1" si="343"/>
        <v>Maintenance</v>
      </c>
      <c r="AB977" t="str">
        <f t="shared" ca="1" si="344"/>
        <v>Partially Paid</v>
      </c>
      <c r="AC977" t="str">
        <f t="shared" ca="1" si="345"/>
        <v>Credit Card</v>
      </c>
      <c r="AD977" t="str">
        <f t="shared" ca="1" si="346"/>
        <v>No</v>
      </c>
      <c r="AE977" t="str">
        <f t="shared" ca="1" si="347"/>
        <v>No</v>
      </c>
      <c r="AF977" t="str">
        <f t="shared" ca="1" si="348"/>
        <v>Under Observation</v>
      </c>
      <c r="AG977" t="str">
        <f t="shared" ca="1" si="349"/>
        <v>Midwest</v>
      </c>
      <c r="AH977" t="str">
        <f t="shared" si="332"/>
        <v>August</v>
      </c>
      <c r="AI977">
        <f t="shared" si="333"/>
        <v>2020</v>
      </c>
      <c r="AJ977" t="str">
        <f t="shared" ca="1" si="350"/>
        <v>Occupied</v>
      </c>
      <c r="AK977">
        <f t="shared" ca="1" si="351"/>
        <v>2</v>
      </c>
    </row>
    <row r="978" spans="1:37" x14ac:dyDescent="0.3">
      <c r="A978" t="s">
        <v>5390</v>
      </c>
      <c r="B978">
        <v>67</v>
      </c>
      <c r="C978" t="s">
        <v>32</v>
      </c>
      <c r="D978" t="s">
        <v>52</v>
      </c>
      <c r="E978" t="s">
        <v>76</v>
      </c>
      <c r="F978" s="1">
        <v>44265</v>
      </c>
      <c r="G978" t="s">
        <v>1981</v>
      </c>
      <c r="H978" t="s">
        <v>1982</v>
      </c>
      <c r="I978" t="s">
        <v>51</v>
      </c>
      <c r="J978">
        <v>8709</v>
      </c>
      <c r="K978">
        <v>187</v>
      </c>
      <c r="L978" t="s">
        <v>42</v>
      </c>
      <c r="M978" s="1">
        <v>44284</v>
      </c>
      <c r="N978" t="s">
        <v>67</v>
      </c>
      <c r="O978" t="s">
        <v>23</v>
      </c>
      <c r="P978" t="str">
        <f t="shared" si="334"/>
        <v>P0977</v>
      </c>
      <c r="Q978" t="str">
        <f t="shared" si="330"/>
        <v>Orthopedics</v>
      </c>
      <c r="R978">
        <f t="shared" si="331"/>
        <v>19</v>
      </c>
      <c r="S978" t="str">
        <f t="shared" ca="1" si="335"/>
        <v>No</v>
      </c>
      <c r="T978" t="str">
        <f t="shared" ca="1" si="336"/>
        <v>Moderate</v>
      </c>
      <c r="U978" t="str">
        <f t="shared" ca="1" si="337"/>
        <v>Private Ward</v>
      </c>
      <c r="V978" t="str">
        <f t="shared" si="338"/>
        <v>BED0977</v>
      </c>
      <c r="W978" t="str">
        <f t="shared" ca="1" si="339"/>
        <v>Semi-Private</v>
      </c>
      <c r="X978" t="str">
        <f t="shared" si="340"/>
        <v>NUR027</v>
      </c>
      <c r="Y978" t="str">
        <f t="shared" ca="1" si="341"/>
        <v>Evening</v>
      </c>
      <c r="Z978" t="str">
        <f t="shared" ca="1" si="342"/>
        <v>Ventilator</v>
      </c>
      <c r="AA978" t="str">
        <f t="shared" ca="1" si="343"/>
        <v>Maintenance</v>
      </c>
      <c r="AB978" t="str">
        <f t="shared" ca="1" si="344"/>
        <v>Paid</v>
      </c>
      <c r="AC978" t="str">
        <f t="shared" ca="1" si="345"/>
        <v>Credit Card</v>
      </c>
      <c r="AD978" t="str">
        <f t="shared" ca="1" si="346"/>
        <v>No</v>
      </c>
      <c r="AE978" t="str">
        <f t="shared" ca="1" si="347"/>
        <v>No</v>
      </c>
      <c r="AF978" t="str">
        <f t="shared" ca="1" si="348"/>
        <v>Recovered</v>
      </c>
      <c r="AG978" t="str">
        <f t="shared" ca="1" si="349"/>
        <v>Southeast</v>
      </c>
      <c r="AH978" t="str">
        <f t="shared" si="332"/>
        <v>March</v>
      </c>
      <c r="AI978">
        <f t="shared" si="333"/>
        <v>2021</v>
      </c>
      <c r="AJ978" t="str">
        <f t="shared" ca="1" si="350"/>
        <v>Vacant</v>
      </c>
      <c r="AK978">
        <f t="shared" ca="1" si="351"/>
        <v>1</v>
      </c>
    </row>
    <row r="979" spans="1:37" x14ac:dyDescent="0.3">
      <c r="A979" t="s">
        <v>5391</v>
      </c>
      <c r="B979">
        <v>41</v>
      </c>
      <c r="C979" t="s">
        <v>32</v>
      </c>
      <c r="D979" t="s">
        <v>38</v>
      </c>
      <c r="E979" t="s">
        <v>17</v>
      </c>
      <c r="F979" s="1">
        <v>44270</v>
      </c>
      <c r="G979" t="s">
        <v>1983</v>
      </c>
      <c r="H979" t="s">
        <v>1984</v>
      </c>
      <c r="I979" t="s">
        <v>51</v>
      </c>
      <c r="J979">
        <v>18271</v>
      </c>
      <c r="K979">
        <v>178</v>
      </c>
      <c r="L979" t="s">
        <v>21</v>
      </c>
      <c r="M979" s="1">
        <v>44281</v>
      </c>
      <c r="N979" t="s">
        <v>30</v>
      </c>
      <c r="O979" t="s">
        <v>43</v>
      </c>
      <c r="P979" t="str">
        <f t="shared" si="334"/>
        <v>P0978</v>
      </c>
      <c r="Q979" t="str">
        <f t="shared" si="330"/>
        <v>Oncology</v>
      </c>
      <c r="R979">
        <f t="shared" si="331"/>
        <v>11</v>
      </c>
      <c r="S979" t="str">
        <f t="shared" ca="1" si="335"/>
        <v>No</v>
      </c>
      <c r="T979" t="str">
        <f t="shared" ca="1" si="336"/>
        <v>Mild</v>
      </c>
      <c r="U979" t="str">
        <f t="shared" ca="1" si="337"/>
        <v>General Ward</v>
      </c>
      <c r="V979" t="str">
        <f t="shared" si="338"/>
        <v>BED0978</v>
      </c>
      <c r="W979" t="str">
        <f t="shared" ca="1" si="339"/>
        <v>General</v>
      </c>
      <c r="X979" t="str">
        <f t="shared" si="340"/>
        <v>NUR028</v>
      </c>
      <c r="Y979" t="str">
        <f t="shared" ca="1" si="341"/>
        <v>Evening</v>
      </c>
      <c r="Z979" t="str">
        <f t="shared" ca="1" si="342"/>
        <v>MRI Scanner</v>
      </c>
      <c r="AA979" t="str">
        <f t="shared" ca="1" si="343"/>
        <v>Maintenance</v>
      </c>
      <c r="AB979" t="str">
        <f t="shared" ca="1" si="344"/>
        <v>Pending</v>
      </c>
      <c r="AC979" t="str">
        <f t="shared" ca="1" si="345"/>
        <v>Cash</v>
      </c>
      <c r="AD979" t="str">
        <f t="shared" ca="1" si="346"/>
        <v>Yes</v>
      </c>
      <c r="AE979" t="str">
        <f t="shared" ca="1" si="347"/>
        <v>No</v>
      </c>
      <c r="AF979" t="str">
        <f t="shared" ca="1" si="348"/>
        <v>Under Observation</v>
      </c>
      <c r="AG979" t="str">
        <f t="shared" ca="1" si="349"/>
        <v>Southwest</v>
      </c>
      <c r="AH979" t="str">
        <f t="shared" si="332"/>
        <v>March</v>
      </c>
      <c r="AI979">
        <f t="shared" si="333"/>
        <v>2021</v>
      </c>
      <c r="AJ979" t="str">
        <f t="shared" ca="1" si="350"/>
        <v>Occupied</v>
      </c>
      <c r="AK979">
        <f t="shared" ca="1" si="351"/>
        <v>2</v>
      </c>
    </row>
    <row r="980" spans="1:37" x14ac:dyDescent="0.3">
      <c r="A980" t="s">
        <v>5392</v>
      </c>
      <c r="B980">
        <v>45</v>
      </c>
      <c r="C980" t="s">
        <v>15</v>
      </c>
      <c r="D980" t="s">
        <v>16</v>
      </c>
      <c r="E980" t="s">
        <v>64</v>
      </c>
      <c r="F980" s="1">
        <v>44431</v>
      </c>
      <c r="G980" t="s">
        <v>1985</v>
      </c>
      <c r="H980" t="s">
        <v>1986</v>
      </c>
      <c r="I980" t="s">
        <v>28</v>
      </c>
      <c r="J980">
        <v>17679</v>
      </c>
      <c r="K980">
        <v>132</v>
      </c>
      <c r="L980" t="s">
        <v>21</v>
      </c>
      <c r="M980" s="1">
        <v>44432</v>
      </c>
      <c r="N980" t="s">
        <v>47</v>
      </c>
      <c r="O980" t="s">
        <v>23</v>
      </c>
      <c r="P980" t="str">
        <f t="shared" si="334"/>
        <v>P0979</v>
      </c>
      <c r="Q980" t="str">
        <f t="shared" si="330"/>
        <v>Cardiology</v>
      </c>
      <c r="R980">
        <f t="shared" si="331"/>
        <v>1</v>
      </c>
      <c r="S980" t="str">
        <f t="shared" ca="1" si="335"/>
        <v>No</v>
      </c>
      <c r="T980" t="str">
        <f t="shared" ca="1" si="336"/>
        <v>Severe</v>
      </c>
      <c r="U980" t="str">
        <f t="shared" ca="1" si="337"/>
        <v>Semi-Private</v>
      </c>
      <c r="V980" t="str">
        <f t="shared" si="338"/>
        <v>BED0979</v>
      </c>
      <c r="W980" t="str">
        <f t="shared" ca="1" si="339"/>
        <v>General</v>
      </c>
      <c r="X980" t="str">
        <f t="shared" si="340"/>
        <v>NUR029</v>
      </c>
      <c r="Y980" t="str">
        <f t="shared" ca="1" si="341"/>
        <v>Night</v>
      </c>
      <c r="Z980" t="str">
        <f t="shared" ca="1" si="342"/>
        <v>X-Ray</v>
      </c>
      <c r="AA980" t="str">
        <f t="shared" ca="1" si="343"/>
        <v>Available</v>
      </c>
      <c r="AB980" t="str">
        <f t="shared" ca="1" si="344"/>
        <v>Paid</v>
      </c>
      <c r="AC980" t="str">
        <f t="shared" ca="1" si="345"/>
        <v>Credit Card</v>
      </c>
      <c r="AD980" t="str">
        <f t="shared" ca="1" si="346"/>
        <v>No</v>
      </c>
      <c r="AE980" t="str">
        <f t="shared" ca="1" si="347"/>
        <v>No</v>
      </c>
      <c r="AF980" t="str">
        <f t="shared" ca="1" si="348"/>
        <v>Under Observation</v>
      </c>
      <c r="AG980" t="str">
        <f t="shared" ca="1" si="349"/>
        <v>Southeast</v>
      </c>
      <c r="AH980" t="str">
        <f t="shared" si="332"/>
        <v>August</v>
      </c>
      <c r="AI980">
        <f t="shared" si="333"/>
        <v>2021</v>
      </c>
      <c r="AJ980" t="str">
        <f t="shared" ca="1" si="350"/>
        <v>Vacant</v>
      </c>
      <c r="AK980">
        <f t="shared" ca="1" si="351"/>
        <v>1</v>
      </c>
    </row>
    <row r="981" spans="1:37" x14ac:dyDescent="0.3">
      <c r="A981" t="s">
        <v>5393</v>
      </c>
      <c r="B981">
        <v>37</v>
      </c>
      <c r="C981" t="s">
        <v>15</v>
      </c>
      <c r="D981" t="s">
        <v>24</v>
      </c>
      <c r="E981" t="s">
        <v>39</v>
      </c>
      <c r="F981" s="1">
        <v>45241</v>
      </c>
      <c r="G981" t="s">
        <v>1987</v>
      </c>
      <c r="H981" t="s">
        <v>1988</v>
      </c>
      <c r="I981" t="s">
        <v>57</v>
      </c>
      <c r="J981">
        <v>21965</v>
      </c>
      <c r="K981">
        <v>406</v>
      </c>
      <c r="L981" t="s">
        <v>29</v>
      </c>
      <c r="M981" s="1">
        <v>45258</v>
      </c>
      <c r="N981" t="s">
        <v>47</v>
      </c>
      <c r="O981" t="s">
        <v>31</v>
      </c>
      <c r="P981" t="str">
        <f t="shared" si="334"/>
        <v>P0980</v>
      </c>
      <c r="Q981" t="str">
        <f t="shared" si="330"/>
        <v>Endocrinology</v>
      </c>
      <c r="R981">
        <f t="shared" si="331"/>
        <v>17</v>
      </c>
      <c r="S981" t="str">
        <f t="shared" ca="1" si="335"/>
        <v>No</v>
      </c>
      <c r="T981" t="str">
        <f t="shared" ca="1" si="336"/>
        <v>Mild</v>
      </c>
      <c r="U981" t="str">
        <f t="shared" ca="1" si="337"/>
        <v>ICU</v>
      </c>
      <c r="V981" t="str">
        <f t="shared" si="338"/>
        <v>BED0980</v>
      </c>
      <c r="W981" t="str">
        <f t="shared" ca="1" si="339"/>
        <v>General</v>
      </c>
      <c r="X981" t="str">
        <f t="shared" si="340"/>
        <v>NUR030</v>
      </c>
      <c r="Y981" t="str">
        <f t="shared" ca="1" si="341"/>
        <v>Evening</v>
      </c>
      <c r="Z981" t="str">
        <f t="shared" ca="1" si="342"/>
        <v>ECG Machine</v>
      </c>
      <c r="AA981" t="str">
        <f t="shared" ca="1" si="343"/>
        <v>Available</v>
      </c>
      <c r="AB981" t="str">
        <f t="shared" ca="1" si="344"/>
        <v>Pending</v>
      </c>
      <c r="AC981" t="str">
        <f t="shared" ca="1" si="345"/>
        <v>Bank Transfer</v>
      </c>
      <c r="AD981" t="str">
        <f t="shared" ca="1" si="346"/>
        <v>No</v>
      </c>
      <c r="AE981" t="str">
        <f t="shared" ca="1" si="347"/>
        <v>Yes</v>
      </c>
      <c r="AF981" t="str">
        <f t="shared" ca="1" si="348"/>
        <v>Under Observation</v>
      </c>
      <c r="AG981" t="str">
        <f t="shared" ca="1" si="349"/>
        <v>Northeast</v>
      </c>
      <c r="AH981" t="str">
        <f t="shared" si="332"/>
        <v>November</v>
      </c>
      <c r="AI981">
        <f t="shared" si="333"/>
        <v>2023</v>
      </c>
      <c r="AJ981" t="str">
        <f t="shared" ca="1" si="350"/>
        <v>Occupied</v>
      </c>
      <c r="AK981">
        <f t="shared" ca="1" si="351"/>
        <v>4</v>
      </c>
    </row>
    <row r="982" spans="1:37" x14ac:dyDescent="0.3">
      <c r="A982" t="s">
        <v>5394</v>
      </c>
      <c r="B982">
        <v>46</v>
      </c>
      <c r="C982" t="s">
        <v>15</v>
      </c>
      <c r="D982" t="s">
        <v>24</v>
      </c>
      <c r="E982" t="s">
        <v>17</v>
      </c>
      <c r="F982" s="1">
        <v>45291</v>
      </c>
      <c r="G982" t="s">
        <v>1989</v>
      </c>
      <c r="H982" t="s">
        <v>1990</v>
      </c>
      <c r="I982" t="s">
        <v>57</v>
      </c>
      <c r="J982">
        <v>27310</v>
      </c>
      <c r="K982">
        <v>326</v>
      </c>
      <c r="L982" t="s">
        <v>29</v>
      </c>
      <c r="M982" s="1">
        <v>45318</v>
      </c>
      <c r="N982" t="s">
        <v>47</v>
      </c>
      <c r="O982" t="s">
        <v>31</v>
      </c>
      <c r="P982" t="str">
        <f t="shared" si="334"/>
        <v>P0981</v>
      </c>
      <c r="Q982" t="str">
        <f t="shared" si="330"/>
        <v>Oncology</v>
      </c>
      <c r="R982">
        <f t="shared" si="331"/>
        <v>27</v>
      </c>
      <c r="S982" t="str">
        <f t="shared" ca="1" si="335"/>
        <v>Yes</v>
      </c>
      <c r="T982" t="str">
        <f t="shared" ca="1" si="336"/>
        <v>Moderate</v>
      </c>
      <c r="U982" t="str">
        <f t="shared" ca="1" si="337"/>
        <v>ICU</v>
      </c>
      <c r="V982" t="str">
        <f t="shared" si="338"/>
        <v>BED0981</v>
      </c>
      <c r="W982" t="str">
        <f t="shared" ca="1" si="339"/>
        <v>ICU</v>
      </c>
      <c r="X982" t="str">
        <f t="shared" si="340"/>
        <v>NUR031</v>
      </c>
      <c r="Y982" t="str">
        <f t="shared" ca="1" si="341"/>
        <v>Morning</v>
      </c>
      <c r="Z982" t="str">
        <f t="shared" ca="1" si="342"/>
        <v>Ventilator</v>
      </c>
      <c r="AA982" t="str">
        <f t="shared" ca="1" si="343"/>
        <v>Maintenance</v>
      </c>
      <c r="AB982" t="str">
        <f t="shared" ca="1" si="344"/>
        <v>Paid</v>
      </c>
      <c r="AC982" t="str">
        <f t="shared" ca="1" si="345"/>
        <v>Debit Card</v>
      </c>
      <c r="AD982" t="str">
        <f t="shared" ca="1" si="346"/>
        <v>No</v>
      </c>
      <c r="AE982" t="str">
        <f t="shared" ca="1" si="347"/>
        <v>No</v>
      </c>
      <c r="AF982" t="str">
        <f t="shared" ca="1" si="348"/>
        <v>Transferred</v>
      </c>
      <c r="AG982" t="str">
        <f t="shared" ca="1" si="349"/>
        <v>Southeast</v>
      </c>
      <c r="AH982" t="str">
        <f t="shared" si="332"/>
        <v>December</v>
      </c>
      <c r="AI982">
        <f t="shared" si="333"/>
        <v>2023</v>
      </c>
      <c r="AJ982" t="str">
        <f t="shared" ca="1" si="350"/>
        <v>Occupied</v>
      </c>
      <c r="AK982">
        <f t="shared" ca="1" si="351"/>
        <v>2</v>
      </c>
    </row>
    <row r="983" spans="1:37" x14ac:dyDescent="0.3">
      <c r="A983" t="s">
        <v>5395</v>
      </c>
      <c r="B983">
        <v>71</v>
      </c>
      <c r="C983" t="s">
        <v>32</v>
      </c>
      <c r="D983" t="s">
        <v>24</v>
      </c>
      <c r="E983" t="s">
        <v>76</v>
      </c>
      <c r="F983" s="1">
        <v>43729</v>
      </c>
      <c r="G983" t="s">
        <v>1991</v>
      </c>
      <c r="H983" t="s">
        <v>1992</v>
      </c>
      <c r="I983" t="s">
        <v>57</v>
      </c>
      <c r="J983">
        <v>4438</v>
      </c>
      <c r="K983">
        <v>406</v>
      </c>
      <c r="L983" t="s">
        <v>29</v>
      </c>
      <c r="M983" s="1">
        <v>43758</v>
      </c>
      <c r="N983" t="s">
        <v>47</v>
      </c>
      <c r="O983" t="s">
        <v>23</v>
      </c>
      <c r="P983" t="str">
        <f t="shared" si="334"/>
        <v>P0982</v>
      </c>
      <c r="Q983" t="str">
        <f t="shared" si="330"/>
        <v>Orthopedics</v>
      </c>
      <c r="R983">
        <f t="shared" si="331"/>
        <v>29</v>
      </c>
      <c r="S983" t="str">
        <f t="shared" ca="1" si="335"/>
        <v>No</v>
      </c>
      <c r="T983" t="str">
        <f t="shared" ca="1" si="336"/>
        <v>Critical</v>
      </c>
      <c r="U983" t="str">
        <f t="shared" ca="1" si="337"/>
        <v>Emergency</v>
      </c>
      <c r="V983" t="str">
        <f t="shared" si="338"/>
        <v>BED0982</v>
      </c>
      <c r="W983" t="str">
        <f t="shared" ca="1" si="339"/>
        <v>Private</v>
      </c>
      <c r="X983" t="str">
        <f t="shared" si="340"/>
        <v>NUR032</v>
      </c>
      <c r="Y983" t="str">
        <f t="shared" ca="1" si="341"/>
        <v>Night</v>
      </c>
      <c r="Z983" t="str">
        <f t="shared" ca="1" si="342"/>
        <v>Ultrasound</v>
      </c>
      <c r="AA983" t="str">
        <f t="shared" ca="1" si="343"/>
        <v>In Use</v>
      </c>
      <c r="AB983" t="str">
        <f t="shared" ca="1" si="344"/>
        <v>Pending</v>
      </c>
      <c r="AC983" t="str">
        <f t="shared" ca="1" si="345"/>
        <v>Cash</v>
      </c>
      <c r="AD983" t="str">
        <f t="shared" ca="1" si="346"/>
        <v>No</v>
      </c>
      <c r="AE983" t="str">
        <f t="shared" ca="1" si="347"/>
        <v>No</v>
      </c>
      <c r="AF983" t="str">
        <f t="shared" ca="1" si="348"/>
        <v>Under Observation</v>
      </c>
      <c r="AG983" t="str">
        <f t="shared" ca="1" si="349"/>
        <v>Southeast</v>
      </c>
      <c r="AH983" t="str">
        <f t="shared" si="332"/>
        <v>September</v>
      </c>
      <c r="AI983">
        <f t="shared" si="333"/>
        <v>2019</v>
      </c>
      <c r="AJ983" t="str">
        <f t="shared" ca="1" si="350"/>
        <v>Occupied</v>
      </c>
      <c r="AK983">
        <f t="shared" ca="1" si="351"/>
        <v>1</v>
      </c>
    </row>
    <row r="984" spans="1:37" x14ac:dyDescent="0.3">
      <c r="A984" t="s">
        <v>5396</v>
      </c>
      <c r="B984">
        <v>69</v>
      </c>
      <c r="C984" t="s">
        <v>32</v>
      </c>
      <c r="D984" t="s">
        <v>83</v>
      </c>
      <c r="E984" t="s">
        <v>64</v>
      </c>
      <c r="F984" s="1">
        <v>44869</v>
      </c>
      <c r="G984" t="s">
        <v>1993</v>
      </c>
      <c r="H984" t="s">
        <v>1994</v>
      </c>
      <c r="I984" t="s">
        <v>51</v>
      </c>
      <c r="J984">
        <v>15704</v>
      </c>
      <c r="K984">
        <v>334</v>
      </c>
      <c r="L984" t="s">
        <v>29</v>
      </c>
      <c r="M984" s="1">
        <v>44878</v>
      </c>
      <c r="N984" t="s">
        <v>30</v>
      </c>
      <c r="O984" t="s">
        <v>31</v>
      </c>
      <c r="P984" t="str">
        <f t="shared" si="334"/>
        <v>P0983</v>
      </c>
      <c r="Q984" t="str">
        <f t="shared" si="330"/>
        <v>Cardiology</v>
      </c>
      <c r="R984">
        <f t="shared" si="331"/>
        <v>9</v>
      </c>
      <c r="S984" t="str">
        <f t="shared" ca="1" si="335"/>
        <v>No</v>
      </c>
      <c r="T984" t="str">
        <f t="shared" ca="1" si="336"/>
        <v>Moderate</v>
      </c>
      <c r="U984" t="str">
        <f t="shared" ca="1" si="337"/>
        <v>General Ward</v>
      </c>
      <c r="V984" t="str">
        <f t="shared" si="338"/>
        <v>BED0983</v>
      </c>
      <c r="W984" t="str">
        <f t="shared" ca="1" si="339"/>
        <v>Semi-Private</v>
      </c>
      <c r="X984" t="str">
        <f t="shared" si="340"/>
        <v>NUR033</v>
      </c>
      <c r="Y984" t="str">
        <f t="shared" ca="1" si="341"/>
        <v>Morning</v>
      </c>
      <c r="Z984" t="str">
        <f t="shared" ca="1" si="342"/>
        <v>CT Scanner</v>
      </c>
      <c r="AA984" t="str">
        <f t="shared" ca="1" si="343"/>
        <v>Maintenance</v>
      </c>
      <c r="AB984" t="str">
        <f t="shared" ca="1" si="344"/>
        <v>Pending</v>
      </c>
      <c r="AC984" t="str">
        <f t="shared" ca="1" si="345"/>
        <v>Bank Transfer</v>
      </c>
      <c r="AD984" t="str">
        <f t="shared" ca="1" si="346"/>
        <v>No</v>
      </c>
      <c r="AE984" t="str">
        <f t="shared" ca="1" si="347"/>
        <v>Yes</v>
      </c>
      <c r="AF984" t="str">
        <f t="shared" ca="1" si="348"/>
        <v>Transferred</v>
      </c>
      <c r="AG984" t="str">
        <f t="shared" ca="1" si="349"/>
        <v>Midwest</v>
      </c>
      <c r="AH984" t="str">
        <f t="shared" si="332"/>
        <v>November</v>
      </c>
      <c r="AI984">
        <f t="shared" si="333"/>
        <v>2022</v>
      </c>
      <c r="AJ984" t="str">
        <f t="shared" ca="1" si="350"/>
        <v>Occupied</v>
      </c>
      <c r="AK984">
        <f t="shared" ca="1" si="351"/>
        <v>2</v>
      </c>
    </row>
    <row r="985" spans="1:37" x14ac:dyDescent="0.3">
      <c r="A985" t="s">
        <v>5397</v>
      </c>
      <c r="B985">
        <v>65</v>
      </c>
      <c r="C985" t="s">
        <v>15</v>
      </c>
      <c r="D985" t="s">
        <v>98</v>
      </c>
      <c r="E985" t="s">
        <v>48</v>
      </c>
      <c r="F985" s="1">
        <v>43685</v>
      </c>
      <c r="G985" t="s">
        <v>1995</v>
      </c>
      <c r="H985" t="s">
        <v>1996</v>
      </c>
      <c r="I985" t="s">
        <v>28</v>
      </c>
      <c r="J985">
        <v>16529</v>
      </c>
      <c r="K985">
        <v>286</v>
      </c>
      <c r="L985" t="s">
        <v>21</v>
      </c>
      <c r="M985" s="1">
        <v>43696</v>
      </c>
      <c r="N985" t="s">
        <v>22</v>
      </c>
      <c r="O985" t="s">
        <v>43</v>
      </c>
      <c r="P985" t="str">
        <f t="shared" si="334"/>
        <v>P0984</v>
      </c>
      <c r="Q985" t="str">
        <f t="shared" si="330"/>
        <v>Pulmonology</v>
      </c>
      <c r="R985">
        <f t="shared" si="331"/>
        <v>11</v>
      </c>
      <c r="S985" t="str">
        <f t="shared" ca="1" si="335"/>
        <v>No</v>
      </c>
      <c r="T985" t="str">
        <f t="shared" ca="1" si="336"/>
        <v>Critical</v>
      </c>
      <c r="U985" t="str">
        <f t="shared" ca="1" si="337"/>
        <v>Emergency</v>
      </c>
      <c r="V985" t="str">
        <f t="shared" si="338"/>
        <v>BED0984</v>
      </c>
      <c r="W985" t="str">
        <f t="shared" ca="1" si="339"/>
        <v>ICU</v>
      </c>
      <c r="X985" t="str">
        <f t="shared" si="340"/>
        <v>NUR034</v>
      </c>
      <c r="Y985" t="str">
        <f t="shared" ca="1" si="341"/>
        <v>Evening</v>
      </c>
      <c r="Z985" t="str">
        <f t="shared" ca="1" si="342"/>
        <v>ECG Machine</v>
      </c>
      <c r="AA985" t="str">
        <f t="shared" ca="1" si="343"/>
        <v>Maintenance</v>
      </c>
      <c r="AB985" t="str">
        <f t="shared" ca="1" si="344"/>
        <v>Paid</v>
      </c>
      <c r="AC985" t="str">
        <f t="shared" ca="1" si="345"/>
        <v>Debit Card</v>
      </c>
      <c r="AD985" t="str">
        <f t="shared" ca="1" si="346"/>
        <v>Yes</v>
      </c>
      <c r="AE985" t="str">
        <f t="shared" ca="1" si="347"/>
        <v>No</v>
      </c>
      <c r="AF985" t="str">
        <f t="shared" ca="1" si="348"/>
        <v>Under Observation</v>
      </c>
      <c r="AG985" t="str">
        <f t="shared" ca="1" si="349"/>
        <v>Southeast</v>
      </c>
      <c r="AH985" t="str">
        <f t="shared" si="332"/>
        <v>August</v>
      </c>
      <c r="AI985">
        <f t="shared" si="333"/>
        <v>2019</v>
      </c>
      <c r="AJ985" t="str">
        <f t="shared" ca="1" si="350"/>
        <v>Occupied</v>
      </c>
      <c r="AK985">
        <f t="shared" ca="1" si="351"/>
        <v>1</v>
      </c>
    </row>
    <row r="986" spans="1:37" x14ac:dyDescent="0.3">
      <c r="A986" t="s">
        <v>5398</v>
      </c>
      <c r="B986">
        <v>75</v>
      </c>
      <c r="C986" t="s">
        <v>32</v>
      </c>
      <c r="D986" t="s">
        <v>38</v>
      </c>
      <c r="E986" t="s">
        <v>76</v>
      </c>
      <c r="F986" s="1">
        <v>45204</v>
      </c>
      <c r="G986" t="s">
        <v>1997</v>
      </c>
      <c r="H986" t="s">
        <v>1998</v>
      </c>
      <c r="I986" t="s">
        <v>57</v>
      </c>
      <c r="J986">
        <v>3621</v>
      </c>
      <c r="K986">
        <v>346</v>
      </c>
      <c r="L986" t="s">
        <v>42</v>
      </c>
      <c r="M986" s="1">
        <v>45207</v>
      </c>
      <c r="N986" t="s">
        <v>47</v>
      </c>
      <c r="O986" t="s">
        <v>31</v>
      </c>
      <c r="P986" t="str">
        <f t="shared" si="334"/>
        <v>P0985</v>
      </c>
      <c r="Q986" t="str">
        <f t="shared" si="330"/>
        <v>Orthopedics</v>
      </c>
      <c r="R986">
        <f t="shared" si="331"/>
        <v>3</v>
      </c>
      <c r="S986" t="str">
        <f t="shared" ca="1" si="335"/>
        <v>No</v>
      </c>
      <c r="T986" t="str">
        <f t="shared" ca="1" si="336"/>
        <v>Critical</v>
      </c>
      <c r="U986" t="str">
        <f t="shared" ca="1" si="337"/>
        <v>Emergency</v>
      </c>
      <c r="V986" t="str">
        <f t="shared" si="338"/>
        <v>BED0985</v>
      </c>
      <c r="W986" t="str">
        <f t="shared" ca="1" si="339"/>
        <v>Private</v>
      </c>
      <c r="X986" t="str">
        <f t="shared" si="340"/>
        <v>NUR035</v>
      </c>
      <c r="Y986" t="str">
        <f t="shared" ca="1" si="341"/>
        <v>Night</v>
      </c>
      <c r="Z986" t="str">
        <f t="shared" ca="1" si="342"/>
        <v>X-Ray</v>
      </c>
      <c r="AA986" t="str">
        <f t="shared" ca="1" si="343"/>
        <v>In Use</v>
      </c>
      <c r="AB986" t="str">
        <f t="shared" ca="1" si="344"/>
        <v>Paid</v>
      </c>
      <c r="AC986" t="str">
        <f t="shared" ca="1" si="345"/>
        <v>Credit Card</v>
      </c>
      <c r="AD986" t="str">
        <f t="shared" ca="1" si="346"/>
        <v>Yes</v>
      </c>
      <c r="AE986" t="str">
        <f t="shared" ca="1" si="347"/>
        <v>No</v>
      </c>
      <c r="AF986" t="str">
        <f t="shared" ca="1" si="348"/>
        <v>Transferred</v>
      </c>
      <c r="AG986" t="str">
        <f t="shared" ca="1" si="349"/>
        <v>Southwest</v>
      </c>
      <c r="AH986" t="str">
        <f t="shared" si="332"/>
        <v>October</v>
      </c>
      <c r="AI986">
        <f t="shared" si="333"/>
        <v>2023</v>
      </c>
      <c r="AJ986" t="str">
        <f t="shared" ca="1" si="350"/>
        <v>Occupied</v>
      </c>
      <c r="AK986">
        <f t="shared" ca="1" si="351"/>
        <v>2</v>
      </c>
    </row>
    <row r="987" spans="1:37" x14ac:dyDescent="0.3">
      <c r="A987" t="s">
        <v>5399</v>
      </c>
      <c r="B987">
        <v>77</v>
      </c>
      <c r="C987" t="s">
        <v>15</v>
      </c>
      <c r="D987" t="s">
        <v>38</v>
      </c>
      <c r="E987" t="s">
        <v>39</v>
      </c>
      <c r="F987" s="1">
        <v>44071</v>
      </c>
      <c r="G987" t="s">
        <v>1999</v>
      </c>
      <c r="H987" t="s">
        <v>2000</v>
      </c>
      <c r="I987" t="s">
        <v>51</v>
      </c>
      <c r="J987">
        <v>47863</v>
      </c>
      <c r="K987">
        <v>159</v>
      </c>
      <c r="L987" t="s">
        <v>21</v>
      </c>
      <c r="M987" s="1">
        <v>44078</v>
      </c>
      <c r="N987" t="s">
        <v>30</v>
      </c>
      <c r="O987" t="s">
        <v>23</v>
      </c>
      <c r="P987" t="str">
        <f t="shared" si="334"/>
        <v>P0986</v>
      </c>
      <c r="Q987" t="str">
        <f t="shared" si="330"/>
        <v>Endocrinology</v>
      </c>
      <c r="R987">
        <f t="shared" si="331"/>
        <v>7</v>
      </c>
      <c r="S987" t="str">
        <f t="shared" ca="1" si="335"/>
        <v>No</v>
      </c>
      <c r="T987" t="str">
        <f t="shared" ca="1" si="336"/>
        <v>Moderate</v>
      </c>
      <c r="U987" t="str">
        <f t="shared" ca="1" si="337"/>
        <v>Private Ward</v>
      </c>
      <c r="V987" t="str">
        <f t="shared" si="338"/>
        <v>BED0986</v>
      </c>
      <c r="W987" t="str">
        <f t="shared" ca="1" si="339"/>
        <v>ICU</v>
      </c>
      <c r="X987" t="str">
        <f t="shared" si="340"/>
        <v>NUR036</v>
      </c>
      <c r="Y987" t="str">
        <f t="shared" ca="1" si="341"/>
        <v>Morning</v>
      </c>
      <c r="Z987" t="str">
        <f t="shared" ca="1" si="342"/>
        <v>MRI Scanner</v>
      </c>
      <c r="AA987" t="str">
        <f t="shared" ca="1" si="343"/>
        <v>In Use</v>
      </c>
      <c r="AB987" t="str">
        <f t="shared" ca="1" si="344"/>
        <v>Pending</v>
      </c>
      <c r="AC987" t="str">
        <f t="shared" ca="1" si="345"/>
        <v>Debit Card</v>
      </c>
      <c r="AD987" t="str">
        <f t="shared" ca="1" si="346"/>
        <v>No</v>
      </c>
      <c r="AE987" t="str">
        <f t="shared" ca="1" si="347"/>
        <v>No</v>
      </c>
      <c r="AF987" t="str">
        <f t="shared" ca="1" si="348"/>
        <v>Under Observation</v>
      </c>
      <c r="AG987" t="str">
        <f t="shared" ca="1" si="349"/>
        <v>West Coast</v>
      </c>
      <c r="AH987" t="str">
        <f t="shared" si="332"/>
        <v>August</v>
      </c>
      <c r="AI987">
        <f t="shared" si="333"/>
        <v>2020</v>
      </c>
      <c r="AJ987" t="str">
        <f t="shared" ca="1" si="350"/>
        <v>Vacant</v>
      </c>
      <c r="AK987">
        <f t="shared" ca="1" si="351"/>
        <v>2</v>
      </c>
    </row>
    <row r="988" spans="1:37" x14ac:dyDescent="0.3">
      <c r="A988" t="s">
        <v>5400</v>
      </c>
      <c r="B988">
        <v>22</v>
      </c>
      <c r="C988" t="s">
        <v>15</v>
      </c>
      <c r="D988" t="s">
        <v>24</v>
      </c>
      <c r="E988" t="s">
        <v>25</v>
      </c>
      <c r="F988" s="1">
        <v>44020</v>
      </c>
      <c r="G988" t="s">
        <v>2001</v>
      </c>
      <c r="H988" t="s">
        <v>2002</v>
      </c>
      <c r="I988" t="s">
        <v>28</v>
      </c>
      <c r="J988">
        <v>46773</v>
      </c>
      <c r="K988">
        <v>311</v>
      </c>
      <c r="L988" t="s">
        <v>29</v>
      </c>
      <c r="M988" s="1">
        <v>44025</v>
      </c>
      <c r="N988" t="s">
        <v>30</v>
      </c>
      <c r="O988" t="s">
        <v>43</v>
      </c>
      <c r="P988" t="str">
        <f t="shared" si="334"/>
        <v>P0987</v>
      </c>
      <c r="Q988" t="str">
        <f t="shared" si="330"/>
        <v>Nutrition</v>
      </c>
      <c r="R988">
        <f t="shared" si="331"/>
        <v>5</v>
      </c>
      <c r="S988" t="str">
        <f t="shared" ca="1" si="335"/>
        <v>No</v>
      </c>
      <c r="T988" t="str">
        <f t="shared" ca="1" si="336"/>
        <v>Moderate</v>
      </c>
      <c r="U988" t="str">
        <f t="shared" ca="1" si="337"/>
        <v>Private Ward</v>
      </c>
      <c r="V988" t="str">
        <f t="shared" si="338"/>
        <v>BED0987</v>
      </c>
      <c r="W988" t="str">
        <f t="shared" ca="1" si="339"/>
        <v>Private</v>
      </c>
      <c r="X988" t="str">
        <f t="shared" si="340"/>
        <v>NUR037</v>
      </c>
      <c r="Y988" t="str">
        <f t="shared" ca="1" si="341"/>
        <v>Evening</v>
      </c>
      <c r="Z988" t="str">
        <f t="shared" ca="1" si="342"/>
        <v>X-Ray</v>
      </c>
      <c r="AA988" t="str">
        <f t="shared" ca="1" si="343"/>
        <v>In Use</v>
      </c>
      <c r="AB988" t="str">
        <f t="shared" ca="1" si="344"/>
        <v>Partially Paid</v>
      </c>
      <c r="AC988" t="str">
        <f t="shared" ca="1" si="345"/>
        <v>Cash</v>
      </c>
      <c r="AD988" t="str">
        <f t="shared" ca="1" si="346"/>
        <v>Yes</v>
      </c>
      <c r="AE988" t="str">
        <f t="shared" ca="1" si="347"/>
        <v>No</v>
      </c>
      <c r="AF988" t="str">
        <f t="shared" ca="1" si="348"/>
        <v>Transferred</v>
      </c>
      <c r="AG988" t="str">
        <f t="shared" ca="1" si="349"/>
        <v>Southwest</v>
      </c>
      <c r="AH988" t="str">
        <f t="shared" si="332"/>
        <v>July</v>
      </c>
      <c r="AI988">
        <f t="shared" si="333"/>
        <v>2020</v>
      </c>
      <c r="AJ988" t="str">
        <f t="shared" ca="1" si="350"/>
        <v>Occupied</v>
      </c>
      <c r="AK988">
        <f t="shared" ca="1" si="351"/>
        <v>2</v>
      </c>
    </row>
    <row r="989" spans="1:37" x14ac:dyDescent="0.3">
      <c r="A989" t="s">
        <v>5401</v>
      </c>
      <c r="B989">
        <v>58</v>
      </c>
      <c r="C989" t="s">
        <v>32</v>
      </c>
      <c r="D989" t="s">
        <v>38</v>
      </c>
      <c r="E989" t="s">
        <v>25</v>
      </c>
      <c r="F989" s="1">
        <v>45205</v>
      </c>
      <c r="G989" t="s">
        <v>2003</v>
      </c>
      <c r="H989" t="s">
        <v>2004</v>
      </c>
      <c r="I989" t="s">
        <v>28</v>
      </c>
      <c r="J989">
        <v>18480</v>
      </c>
      <c r="K989">
        <v>438</v>
      </c>
      <c r="L989" t="s">
        <v>21</v>
      </c>
      <c r="M989" s="1">
        <v>45208</v>
      </c>
      <c r="N989" t="s">
        <v>30</v>
      </c>
      <c r="O989" t="s">
        <v>31</v>
      </c>
      <c r="P989" t="str">
        <f t="shared" si="334"/>
        <v>P0988</v>
      </c>
      <c r="Q989" t="str">
        <f t="shared" si="330"/>
        <v>Nutrition</v>
      </c>
      <c r="R989">
        <f t="shared" si="331"/>
        <v>3</v>
      </c>
      <c r="S989" t="str">
        <f t="shared" ca="1" si="335"/>
        <v>No</v>
      </c>
      <c r="T989" t="str">
        <f t="shared" ca="1" si="336"/>
        <v>Mild</v>
      </c>
      <c r="U989" t="str">
        <f t="shared" ca="1" si="337"/>
        <v>General Ward</v>
      </c>
      <c r="V989" t="str">
        <f t="shared" si="338"/>
        <v>BED0988</v>
      </c>
      <c r="W989" t="str">
        <f t="shared" ca="1" si="339"/>
        <v>Private</v>
      </c>
      <c r="X989" t="str">
        <f t="shared" si="340"/>
        <v>NUR038</v>
      </c>
      <c r="Y989" t="str">
        <f t="shared" ca="1" si="341"/>
        <v>Evening</v>
      </c>
      <c r="Z989" t="str">
        <f t="shared" ca="1" si="342"/>
        <v>Ultrasound</v>
      </c>
      <c r="AA989" t="str">
        <f t="shared" ca="1" si="343"/>
        <v>In Use</v>
      </c>
      <c r="AB989" t="str">
        <f t="shared" ca="1" si="344"/>
        <v>Pending</v>
      </c>
      <c r="AC989" t="str">
        <f t="shared" ca="1" si="345"/>
        <v>Bank Transfer</v>
      </c>
      <c r="AD989" t="str">
        <f t="shared" ca="1" si="346"/>
        <v>No</v>
      </c>
      <c r="AE989" t="str">
        <f t="shared" ca="1" si="347"/>
        <v>No</v>
      </c>
      <c r="AF989" t="str">
        <f t="shared" ca="1" si="348"/>
        <v>Transferred</v>
      </c>
      <c r="AG989" t="str">
        <f t="shared" ca="1" si="349"/>
        <v>Midwest</v>
      </c>
      <c r="AH989" t="str">
        <f t="shared" si="332"/>
        <v>October</v>
      </c>
      <c r="AI989">
        <f t="shared" si="333"/>
        <v>2023</v>
      </c>
      <c r="AJ989" t="str">
        <f t="shared" ca="1" si="350"/>
        <v>Occupied</v>
      </c>
      <c r="AK989">
        <f t="shared" ca="1" si="351"/>
        <v>1</v>
      </c>
    </row>
    <row r="990" spans="1:37" x14ac:dyDescent="0.3">
      <c r="A990" t="s">
        <v>5402</v>
      </c>
      <c r="B990">
        <v>25</v>
      </c>
      <c r="C990" t="s">
        <v>32</v>
      </c>
      <c r="D990" t="s">
        <v>33</v>
      </c>
      <c r="E990" t="s">
        <v>17</v>
      </c>
      <c r="F990" s="1">
        <v>45108</v>
      </c>
      <c r="G990" t="s">
        <v>2005</v>
      </c>
      <c r="H990" t="s">
        <v>2006</v>
      </c>
      <c r="I990" t="s">
        <v>20</v>
      </c>
      <c r="J990">
        <v>7285</v>
      </c>
      <c r="K990">
        <v>103</v>
      </c>
      <c r="L990" t="s">
        <v>21</v>
      </c>
      <c r="M990" s="1">
        <v>45112</v>
      </c>
      <c r="N990" t="s">
        <v>67</v>
      </c>
      <c r="O990" t="s">
        <v>23</v>
      </c>
      <c r="P990" t="str">
        <f t="shared" si="334"/>
        <v>P0989</v>
      </c>
      <c r="Q990" t="str">
        <f t="shared" si="330"/>
        <v>Oncology</v>
      </c>
      <c r="R990">
        <f t="shared" si="331"/>
        <v>4</v>
      </c>
      <c r="S990" t="str">
        <f t="shared" ca="1" si="335"/>
        <v>No</v>
      </c>
      <c r="T990" t="str">
        <f t="shared" ca="1" si="336"/>
        <v>Mild</v>
      </c>
      <c r="U990" t="str">
        <f t="shared" ca="1" si="337"/>
        <v>ICU</v>
      </c>
      <c r="V990" t="str">
        <f t="shared" si="338"/>
        <v>BED0989</v>
      </c>
      <c r="W990" t="str">
        <f t="shared" ca="1" si="339"/>
        <v>General</v>
      </c>
      <c r="X990" t="str">
        <f t="shared" si="340"/>
        <v>NUR039</v>
      </c>
      <c r="Y990" t="str">
        <f t="shared" ca="1" si="341"/>
        <v>Night</v>
      </c>
      <c r="Z990" t="str">
        <f t="shared" ca="1" si="342"/>
        <v>Ventilator</v>
      </c>
      <c r="AA990" t="str">
        <f t="shared" ca="1" si="343"/>
        <v>Available</v>
      </c>
      <c r="AB990" t="str">
        <f t="shared" ca="1" si="344"/>
        <v>Paid</v>
      </c>
      <c r="AC990" t="str">
        <f t="shared" ca="1" si="345"/>
        <v>Bank Transfer</v>
      </c>
      <c r="AD990" t="str">
        <f t="shared" ca="1" si="346"/>
        <v>No</v>
      </c>
      <c r="AE990" t="str">
        <f t="shared" ca="1" si="347"/>
        <v>No</v>
      </c>
      <c r="AF990" t="str">
        <f t="shared" ca="1" si="348"/>
        <v>Under Observation</v>
      </c>
      <c r="AG990" t="str">
        <f t="shared" ca="1" si="349"/>
        <v>West Coast</v>
      </c>
      <c r="AH990" t="str">
        <f t="shared" si="332"/>
        <v>July</v>
      </c>
      <c r="AI990">
        <f t="shared" si="333"/>
        <v>2023</v>
      </c>
      <c r="AJ990" t="str">
        <f t="shared" ca="1" si="350"/>
        <v>Occupied</v>
      </c>
      <c r="AK990">
        <f t="shared" ca="1" si="351"/>
        <v>2</v>
      </c>
    </row>
    <row r="991" spans="1:37" x14ac:dyDescent="0.3">
      <c r="A991" t="s">
        <v>5403</v>
      </c>
      <c r="B991">
        <v>83</v>
      </c>
      <c r="C991" t="s">
        <v>32</v>
      </c>
      <c r="D991" t="s">
        <v>16</v>
      </c>
      <c r="E991" t="s">
        <v>39</v>
      </c>
      <c r="F991" s="1">
        <v>44415</v>
      </c>
      <c r="G991" t="s">
        <v>2007</v>
      </c>
      <c r="H991" t="s">
        <v>2008</v>
      </c>
      <c r="I991" t="s">
        <v>20</v>
      </c>
      <c r="J991">
        <v>6819</v>
      </c>
      <c r="K991">
        <v>101</v>
      </c>
      <c r="L991" t="s">
        <v>42</v>
      </c>
      <c r="M991" s="1">
        <v>44428</v>
      </c>
      <c r="N991" t="s">
        <v>67</v>
      </c>
      <c r="O991" t="s">
        <v>23</v>
      </c>
      <c r="P991" t="str">
        <f t="shared" si="334"/>
        <v>P0990</v>
      </c>
      <c r="Q991" t="str">
        <f t="shared" si="330"/>
        <v>Endocrinology</v>
      </c>
      <c r="R991">
        <f t="shared" si="331"/>
        <v>13</v>
      </c>
      <c r="S991" t="str">
        <f t="shared" ca="1" si="335"/>
        <v>No</v>
      </c>
      <c r="T991" t="str">
        <f t="shared" ca="1" si="336"/>
        <v>Mild</v>
      </c>
      <c r="U991" t="str">
        <f t="shared" ca="1" si="337"/>
        <v>General Ward</v>
      </c>
      <c r="V991" t="str">
        <f t="shared" si="338"/>
        <v>BED0990</v>
      </c>
      <c r="W991" t="str">
        <f t="shared" ca="1" si="339"/>
        <v>General</v>
      </c>
      <c r="X991" t="str">
        <f t="shared" si="340"/>
        <v>NUR040</v>
      </c>
      <c r="Y991" t="str">
        <f t="shared" ca="1" si="341"/>
        <v>Night</v>
      </c>
      <c r="Z991" t="str">
        <f t="shared" ca="1" si="342"/>
        <v>X-Ray</v>
      </c>
      <c r="AA991" t="str">
        <f t="shared" ca="1" si="343"/>
        <v>In Use</v>
      </c>
      <c r="AB991" t="str">
        <f t="shared" ca="1" si="344"/>
        <v>Paid</v>
      </c>
      <c r="AC991" t="str">
        <f t="shared" ca="1" si="345"/>
        <v>Debit Card</v>
      </c>
      <c r="AD991" t="str">
        <f t="shared" ca="1" si="346"/>
        <v>No</v>
      </c>
      <c r="AE991" t="str">
        <f t="shared" ca="1" si="347"/>
        <v>Yes</v>
      </c>
      <c r="AF991" t="str">
        <f t="shared" ca="1" si="348"/>
        <v>Recovered</v>
      </c>
      <c r="AG991" t="str">
        <f t="shared" ca="1" si="349"/>
        <v>Southwest</v>
      </c>
      <c r="AH991" t="str">
        <f t="shared" si="332"/>
        <v>August</v>
      </c>
      <c r="AI991">
        <f t="shared" si="333"/>
        <v>2021</v>
      </c>
      <c r="AJ991" t="str">
        <f t="shared" ca="1" si="350"/>
        <v>Occupied</v>
      </c>
      <c r="AK991">
        <f t="shared" ca="1" si="351"/>
        <v>4</v>
      </c>
    </row>
    <row r="992" spans="1:37" x14ac:dyDescent="0.3">
      <c r="A992" t="s">
        <v>5404</v>
      </c>
      <c r="B992">
        <v>27</v>
      </c>
      <c r="C992" t="s">
        <v>15</v>
      </c>
      <c r="D992" t="s">
        <v>33</v>
      </c>
      <c r="E992" t="s">
        <v>64</v>
      </c>
      <c r="F992" s="1">
        <v>43964</v>
      </c>
      <c r="G992" t="s">
        <v>2009</v>
      </c>
      <c r="H992" t="s">
        <v>2010</v>
      </c>
      <c r="I992" t="s">
        <v>20</v>
      </c>
      <c r="J992">
        <v>14374</v>
      </c>
      <c r="K992">
        <v>291</v>
      </c>
      <c r="L992" t="s">
        <v>21</v>
      </c>
      <c r="M992" s="1">
        <v>43977</v>
      </c>
      <c r="N992" t="s">
        <v>67</v>
      </c>
      <c r="O992" t="s">
        <v>43</v>
      </c>
      <c r="P992" t="str">
        <f t="shared" si="334"/>
        <v>P0991</v>
      </c>
      <c r="Q992" t="str">
        <f t="shared" si="330"/>
        <v>Cardiology</v>
      </c>
      <c r="R992">
        <f t="shared" si="331"/>
        <v>13</v>
      </c>
      <c r="S992" t="str">
        <f t="shared" ca="1" si="335"/>
        <v>No</v>
      </c>
      <c r="T992" t="str">
        <f t="shared" ca="1" si="336"/>
        <v>Moderate</v>
      </c>
      <c r="U992" t="str">
        <f t="shared" ca="1" si="337"/>
        <v>ICU</v>
      </c>
      <c r="V992" t="str">
        <f t="shared" si="338"/>
        <v>BED0991</v>
      </c>
      <c r="W992" t="str">
        <f t="shared" ca="1" si="339"/>
        <v>Private</v>
      </c>
      <c r="X992" t="str">
        <f t="shared" si="340"/>
        <v>NUR041</v>
      </c>
      <c r="Y992" t="str">
        <f t="shared" ca="1" si="341"/>
        <v>Morning</v>
      </c>
      <c r="Z992" t="str">
        <f t="shared" ca="1" si="342"/>
        <v>CT Scanner</v>
      </c>
      <c r="AA992" t="str">
        <f t="shared" ca="1" si="343"/>
        <v>Maintenance</v>
      </c>
      <c r="AB992" t="str">
        <f t="shared" ca="1" si="344"/>
        <v>Partially Paid</v>
      </c>
      <c r="AC992" t="str">
        <f t="shared" ca="1" si="345"/>
        <v>Debit Card</v>
      </c>
      <c r="AD992" t="str">
        <f t="shared" ca="1" si="346"/>
        <v>No</v>
      </c>
      <c r="AE992" t="str">
        <f t="shared" ca="1" si="347"/>
        <v>No</v>
      </c>
      <c r="AF992" t="str">
        <f t="shared" ca="1" si="348"/>
        <v>Transferred</v>
      </c>
      <c r="AG992" t="str">
        <f t="shared" ca="1" si="349"/>
        <v>Southeast</v>
      </c>
      <c r="AH992" t="str">
        <f t="shared" si="332"/>
        <v>May</v>
      </c>
      <c r="AI992">
        <f t="shared" si="333"/>
        <v>2020</v>
      </c>
      <c r="AJ992" t="str">
        <f t="shared" ca="1" si="350"/>
        <v>Occupied</v>
      </c>
      <c r="AK992">
        <f t="shared" ca="1" si="351"/>
        <v>2</v>
      </c>
    </row>
    <row r="993" spans="1:37" x14ac:dyDescent="0.3">
      <c r="A993" t="s">
        <v>5405</v>
      </c>
      <c r="B993">
        <v>32</v>
      </c>
      <c r="C993" t="s">
        <v>15</v>
      </c>
      <c r="D993" t="s">
        <v>16</v>
      </c>
      <c r="E993" t="s">
        <v>76</v>
      </c>
      <c r="F993" s="1">
        <v>45195</v>
      </c>
      <c r="G993" t="s">
        <v>2011</v>
      </c>
      <c r="H993" t="s">
        <v>2012</v>
      </c>
      <c r="I993" t="s">
        <v>51</v>
      </c>
      <c r="J993">
        <v>5936</v>
      </c>
      <c r="K993">
        <v>313</v>
      </c>
      <c r="L993" t="s">
        <v>21</v>
      </c>
      <c r="M993" s="1">
        <v>45198</v>
      </c>
      <c r="N993" t="s">
        <v>37</v>
      </c>
      <c r="O993" t="s">
        <v>23</v>
      </c>
      <c r="P993" t="str">
        <f t="shared" si="334"/>
        <v>P0992</v>
      </c>
      <c r="Q993" t="str">
        <f t="shared" si="330"/>
        <v>Orthopedics</v>
      </c>
      <c r="R993">
        <f t="shared" si="331"/>
        <v>3</v>
      </c>
      <c r="S993" t="str">
        <f t="shared" ca="1" si="335"/>
        <v>No</v>
      </c>
      <c r="T993" t="str">
        <f t="shared" ca="1" si="336"/>
        <v>Critical</v>
      </c>
      <c r="U993" t="str">
        <f t="shared" ca="1" si="337"/>
        <v>Semi-Private</v>
      </c>
      <c r="V993" t="str">
        <f t="shared" si="338"/>
        <v>BED0992</v>
      </c>
      <c r="W993" t="str">
        <f t="shared" ca="1" si="339"/>
        <v>Private</v>
      </c>
      <c r="X993" t="str">
        <f t="shared" si="340"/>
        <v>NUR042</v>
      </c>
      <c r="Y993" t="str">
        <f t="shared" ca="1" si="341"/>
        <v>Night</v>
      </c>
      <c r="Z993" t="str">
        <f t="shared" ca="1" si="342"/>
        <v>Ultrasound</v>
      </c>
      <c r="AA993" t="str">
        <f t="shared" ca="1" si="343"/>
        <v>Maintenance</v>
      </c>
      <c r="AB993" t="str">
        <f t="shared" ca="1" si="344"/>
        <v>Paid</v>
      </c>
      <c r="AC993" t="str">
        <f t="shared" ca="1" si="345"/>
        <v>Credit Card</v>
      </c>
      <c r="AD993" t="str">
        <f t="shared" ca="1" si="346"/>
        <v>No</v>
      </c>
      <c r="AE993" t="str">
        <f t="shared" ca="1" si="347"/>
        <v>No</v>
      </c>
      <c r="AF993" t="str">
        <f t="shared" ca="1" si="348"/>
        <v>Transferred</v>
      </c>
      <c r="AG993" t="str">
        <f t="shared" ca="1" si="349"/>
        <v>Midwest</v>
      </c>
      <c r="AH993" t="str">
        <f t="shared" si="332"/>
        <v>September</v>
      </c>
      <c r="AI993">
        <f t="shared" si="333"/>
        <v>2023</v>
      </c>
      <c r="AJ993" t="str">
        <f t="shared" ca="1" si="350"/>
        <v>Occupied</v>
      </c>
      <c r="AK993">
        <f t="shared" ca="1" si="351"/>
        <v>2</v>
      </c>
    </row>
    <row r="994" spans="1:37" x14ac:dyDescent="0.3">
      <c r="A994" t="s">
        <v>5406</v>
      </c>
      <c r="B994">
        <v>40</v>
      </c>
      <c r="C994" t="s">
        <v>15</v>
      </c>
      <c r="D994" t="s">
        <v>24</v>
      </c>
      <c r="E994" t="s">
        <v>39</v>
      </c>
      <c r="F994" s="1">
        <v>45091</v>
      </c>
      <c r="G994" t="s">
        <v>2013</v>
      </c>
      <c r="H994" t="s">
        <v>2014</v>
      </c>
      <c r="I994" t="s">
        <v>57</v>
      </c>
      <c r="J994">
        <v>32897</v>
      </c>
      <c r="K994">
        <v>228</v>
      </c>
      <c r="L994" t="s">
        <v>21</v>
      </c>
      <c r="M994" s="1">
        <v>45092</v>
      </c>
      <c r="N994" t="s">
        <v>30</v>
      </c>
      <c r="O994" t="s">
        <v>31</v>
      </c>
      <c r="P994" t="str">
        <f t="shared" si="334"/>
        <v>P0993</v>
      </c>
      <c r="Q994" t="str">
        <f t="shared" si="330"/>
        <v>Endocrinology</v>
      </c>
      <c r="R994">
        <f t="shared" si="331"/>
        <v>1</v>
      </c>
      <c r="S994" t="str">
        <f t="shared" ca="1" si="335"/>
        <v>No</v>
      </c>
      <c r="T994" t="str">
        <f t="shared" ca="1" si="336"/>
        <v>Severe</v>
      </c>
      <c r="U994" t="str">
        <f t="shared" ca="1" si="337"/>
        <v>Emergency</v>
      </c>
      <c r="V994" t="str">
        <f t="shared" si="338"/>
        <v>BED0993</v>
      </c>
      <c r="W994" t="str">
        <f t="shared" ca="1" si="339"/>
        <v>ICU</v>
      </c>
      <c r="X994" t="str">
        <f t="shared" si="340"/>
        <v>NUR043</v>
      </c>
      <c r="Y994" t="str">
        <f t="shared" ca="1" si="341"/>
        <v>Morning</v>
      </c>
      <c r="Z994" t="str">
        <f t="shared" ca="1" si="342"/>
        <v>MRI Scanner</v>
      </c>
      <c r="AA994" t="str">
        <f t="shared" ca="1" si="343"/>
        <v>In Use</v>
      </c>
      <c r="AB994" t="str">
        <f t="shared" ca="1" si="344"/>
        <v>Partially Paid</v>
      </c>
      <c r="AC994" t="str">
        <f t="shared" ca="1" si="345"/>
        <v>Debit Card</v>
      </c>
      <c r="AD994" t="str">
        <f t="shared" ca="1" si="346"/>
        <v>No</v>
      </c>
      <c r="AE994" t="str">
        <f t="shared" ca="1" si="347"/>
        <v>No</v>
      </c>
      <c r="AF994" t="str">
        <f t="shared" ca="1" si="348"/>
        <v>Transferred</v>
      </c>
      <c r="AG994" t="str">
        <f t="shared" ca="1" si="349"/>
        <v>Midwest</v>
      </c>
      <c r="AH994" t="str">
        <f t="shared" si="332"/>
        <v>June</v>
      </c>
      <c r="AI994">
        <f t="shared" si="333"/>
        <v>2023</v>
      </c>
      <c r="AJ994" t="str">
        <f t="shared" ca="1" si="350"/>
        <v>Occupied</v>
      </c>
      <c r="AK994">
        <f t="shared" ca="1" si="351"/>
        <v>1</v>
      </c>
    </row>
    <row r="995" spans="1:37" x14ac:dyDescent="0.3">
      <c r="A995" t="s">
        <v>5407</v>
      </c>
      <c r="B995">
        <v>25</v>
      </c>
      <c r="C995" t="s">
        <v>15</v>
      </c>
      <c r="D995" t="s">
        <v>52</v>
      </c>
      <c r="E995" t="s">
        <v>48</v>
      </c>
      <c r="F995" s="1">
        <v>45417</v>
      </c>
      <c r="G995" t="s">
        <v>2015</v>
      </c>
      <c r="H995" t="s">
        <v>2016</v>
      </c>
      <c r="I995" t="s">
        <v>57</v>
      </c>
      <c r="J995">
        <v>3963</v>
      </c>
      <c r="K995">
        <v>415</v>
      </c>
      <c r="L995" t="s">
        <v>21</v>
      </c>
      <c r="M995" s="1">
        <v>45419</v>
      </c>
      <c r="N995" t="s">
        <v>37</v>
      </c>
      <c r="O995" t="s">
        <v>43</v>
      </c>
      <c r="P995" t="str">
        <f t="shared" si="334"/>
        <v>P0994</v>
      </c>
      <c r="Q995" t="str">
        <f t="shared" si="330"/>
        <v>Pulmonology</v>
      </c>
      <c r="R995">
        <f t="shared" si="331"/>
        <v>2</v>
      </c>
      <c r="S995" t="str">
        <f t="shared" ca="1" si="335"/>
        <v>No</v>
      </c>
      <c r="T995" t="str">
        <f t="shared" ca="1" si="336"/>
        <v>Moderate</v>
      </c>
      <c r="U995" t="str">
        <f t="shared" ca="1" si="337"/>
        <v>Emergency</v>
      </c>
      <c r="V995" t="str">
        <f t="shared" si="338"/>
        <v>BED0994</v>
      </c>
      <c r="W995" t="str">
        <f t="shared" ca="1" si="339"/>
        <v>Semi-Private</v>
      </c>
      <c r="X995" t="str">
        <f t="shared" si="340"/>
        <v>NUR044</v>
      </c>
      <c r="Y995" t="str">
        <f t="shared" ca="1" si="341"/>
        <v>Evening</v>
      </c>
      <c r="Z995" t="str">
        <f t="shared" ca="1" si="342"/>
        <v>Ventilator</v>
      </c>
      <c r="AA995" t="str">
        <f t="shared" ca="1" si="343"/>
        <v>Maintenance</v>
      </c>
      <c r="AB995" t="str">
        <f t="shared" ca="1" si="344"/>
        <v>Pending</v>
      </c>
      <c r="AC995" t="str">
        <f t="shared" ca="1" si="345"/>
        <v>Cash</v>
      </c>
      <c r="AD995" t="str">
        <f t="shared" ca="1" si="346"/>
        <v>No</v>
      </c>
      <c r="AE995" t="str">
        <f t="shared" ca="1" si="347"/>
        <v>No</v>
      </c>
      <c r="AF995" t="str">
        <f t="shared" ca="1" si="348"/>
        <v>Transferred</v>
      </c>
      <c r="AG995" t="str">
        <f t="shared" ca="1" si="349"/>
        <v>Northeast</v>
      </c>
      <c r="AH995" t="str">
        <f t="shared" si="332"/>
        <v>May</v>
      </c>
      <c r="AI995">
        <f t="shared" si="333"/>
        <v>2024</v>
      </c>
      <c r="AJ995" t="str">
        <f t="shared" ca="1" si="350"/>
        <v>Occupied</v>
      </c>
      <c r="AK995">
        <f t="shared" ca="1" si="351"/>
        <v>1</v>
      </c>
    </row>
    <row r="996" spans="1:37" x14ac:dyDescent="0.3">
      <c r="A996" t="s">
        <v>5408</v>
      </c>
      <c r="B996">
        <v>69</v>
      </c>
      <c r="C996" t="s">
        <v>15</v>
      </c>
      <c r="D996" t="s">
        <v>33</v>
      </c>
      <c r="E996" t="s">
        <v>48</v>
      </c>
      <c r="F996" s="1">
        <v>45019</v>
      </c>
      <c r="G996" t="s">
        <v>2017</v>
      </c>
      <c r="H996" t="s">
        <v>2018</v>
      </c>
      <c r="I996" t="s">
        <v>20</v>
      </c>
      <c r="J996">
        <v>16058</v>
      </c>
      <c r="K996">
        <v>431</v>
      </c>
      <c r="L996" t="s">
        <v>42</v>
      </c>
      <c r="M996" s="1">
        <v>45027</v>
      </c>
      <c r="N996" t="s">
        <v>30</v>
      </c>
      <c r="O996" t="s">
        <v>23</v>
      </c>
      <c r="P996" t="str">
        <f t="shared" si="334"/>
        <v>P0995</v>
      </c>
      <c r="Q996" t="str">
        <f t="shared" si="330"/>
        <v>Pulmonology</v>
      </c>
      <c r="R996">
        <f t="shared" si="331"/>
        <v>8</v>
      </c>
      <c r="S996" t="str">
        <f t="shared" ca="1" si="335"/>
        <v>No</v>
      </c>
      <c r="T996" t="str">
        <f t="shared" ca="1" si="336"/>
        <v>Mild</v>
      </c>
      <c r="U996" t="str">
        <f t="shared" ca="1" si="337"/>
        <v>ICU</v>
      </c>
      <c r="V996" t="str">
        <f t="shared" si="338"/>
        <v>BED0995</v>
      </c>
      <c r="W996" t="str">
        <f t="shared" ca="1" si="339"/>
        <v>Semi-Private</v>
      </c>
      <c r="X996" t="str">
        <f t="shared" si="340"/>
        <v>NUR045</v>
      </c>
      <c r="Y996" t="str">
        <f t="shared" ca="1" si="341"/>
        <v>Morning</v>
      </c>
      <c r="Z996" t="str">
        <f t="shared" ca="1" si="342"/>
        <v>ECG Machine</v>
      </c>
      <c r="AA996" t="str">
        <f t="shared" ca="1" si="343"/>
        <v>In Use</v>
      </c>
      <c r="AB996" t="str">
        <f t="shared" ca="1" si="344"/>
        <v>Partially Paid</v>
      </c>
      <c r="AC996" t="str">
        <f t="shared" ca="1" si="345"/>
        <v>Debit Card</v>
      </c>
      <c r="AD996" t="str">
        <f t="shared" ca="1" si="346"/>
        <v>No</v>
      </c>
      <c r="AE996" t="str">
        <f t="shared" ca="1" si="347"/>
        <v>Yes</v>
      </c>
      <c r="AF996" t="str">
        <f t="shared" ca="1" si="348"/>
        <v>Recovered</v>
      </c>
      <c r="AG996" t="str">
        <f t="shared" ca="1" si="349"/>
        <v>Southeast</v>
      </c>
      <c r="AH996" t="str">
        <f t="shared" si="332"/>
        <v>April</v>
      </c>
      <c r="AI996">
        <f t="shared" si="333"/>
        <v>2023</v>
      </c>
      <c r="AJ996" t="str">
        <f t="shared" ca="1" si="350"/>
        <v>Occupied</v>
      </c>
      <c r="AK996">
        <f t="shared" ca="1" si="351"/>
        <v>1</v>
      </c>
    </row>
    <row r="997" spans="1:37" x14ac:dyDescent="0.3">
      <c r="A997" t="s">
        <v>5409</v>
      </c>
      <c r="B997">
        <v>25</v>
      </c>
      <c r="C997" t="s">
        <v>32</v>
      </c>
      <c r="D997" t="s">
        <v>16</v>
      </c>
      <c r="E997" t="s">
        <v>39</v>
      </c>
      <c r="F997" s="1">
        <v>44493</v>
      </c>
      <c r="G997" t="s">
        <v>1487</v>
      </c>
      <c r="H997" t="s">
        <v>2019</v>
      </c>
      <c r="I997" t="s">
        <v>28</v>
      </c>
      <c r="J997">
        <v>44042</v>
      </c>
      <c r="K997">
        <v>454</v>
      </c>
      <c r="L997" t="s">
        <v>29</v>
      </c>
      <c r="M997" s="1">
        <v>44513</v>
      </c>
      <c r="N997" t="s">
        <v>30</v>
      </c>
      <c r="O997" t="s">
        <v>23</v>
      </c>
      <c r="P997" t="str">
        <f t="shared" si="334"/>
        <v>P0996</v>
      </c>
      <c r="Q997" t="str">
        <f t="shared" si="330"/>
        <v>Endocrinology</v>
      </c>
      <c r="R997">
        <f t="shared" si="331"/>
        <v>20</v>
      </c>
      <c r="S997" t="str">
        <f t="shared" ca="1" si="335"/>
        <v>No</v>
      </c>
      <c r="T997" t="str">
        <f t="shared" ca="1" si="336"/>
        <v>Mild</v>
      </c>
      <c r="U997" t="str">
        <f t="shared" ca="1" si="337"/>
        <v>General Ward</v>
      </c>
      <c r="V997" t="str">
        <f t="shared" si="338"/>
        <v>BED0996</v>
      </c>
      <c r="W997" t="str">
        <f t="shared" ca="1" si="339"/>
        <v>Private</v>
      </c>
      <c r="X997" t="str">
        <f t="shared" si="340"/>
        <v>NUR046</v>
      </c>
      <c r="Y997" t="str">
        <f t="shared" ca="1" si="341"/>
        <v>Evening</v>
      </c>
      <c r="Z997" t="str">
        <f t="shared" ca="1" si="342"/>
        <v>X-Ray</v>
      </c>
      <c r="AA997" t="str">
        <f t="shared" ca="1" si="343"/>
        <v>In Use</v>
      </c>
      <c r="AB997" t="str">
        <f t="shared" ca="1" si="344"/>
        <v>Partially Paid</v>
      </c>
      <c r="AC997" t="str">
        <f t="shared" ca="1" si="345"/>
        <v>Cash</v>
      </c>
      <c r="AD997" t="str">
        <f t="shared" ca="1" si="346"/>
        <v>No</v>
      </c>
      <c r="AE997" t="str">
        <f t="shared" ca="1" si="347"/>
        <v>No</v>
      </c>
      <c r="AF997" t="str">
        <f t="shared" ca="1" si="348"/>
        <v>Under Observation</v>
      </c>
      <c r="AG997" t="str">
        <f t="shared" ca="1" si="349"/>
        <v>West Coast</v>
      </c>
      <c r="AH997" t="str">
        <f t="shared" si="332"/>
        <v>October</v>
      </c>
      <c r="AI997">
        <f t="shared" si="333"/>
        <v>2021</v>
      </c>
      <c r="AJ997" t="str">
        <f t="shared" ca="1" si="350"/>
        <v>Occupied</v>
      </c>
      <c r="AK997">
        <f t="shared" ca="1" si="351"/>
        <v>1</v>
      </c>
    </row>
    <row r="998" spans="1:37" x14ac:dyDescent="0.3">
      <c r="A998" t="s">
        <v>5410</v>
      </c>
      <c r="B998">
        <v>66</v>
      </c>
      <c r="C998" t="s">
        <v>32</v>
      </c>
      <c r="D998" t="s">
        <v>83</v>
      </c>
      <c r="E998" t="s">
        <v>76</v>
      </c>
      <c r="F998" s="1">
        <v>45070</v>
      </c>
      <c r="G998" t="s">
        <v>2020</v>
      </c>
      <c r="H998" t="s">
        <v>2021</v>
      </c>
      <c r="I998" t="s">
        <v>28</v>
      </c>
      <c r="J998">
        <v>15086</v>
      </c>
      <c r="K998">
        <v>445</v>
      </c>
      <c r="L998" t="s">
        <v>21</v>
      </c>
      <c r="M998" s="1">
        <v>45086</v>
      </c>
      <c r="N998" t="s">
        <v>67</v>
      </c>
      <c r="O998" t="s">
        <v>43</v>
      </c>
      <c r="P998" t="str">
        <f t="shared" si="334"/>
        <v>P0997</v>
      </c>
      <c r="Q998" t="str">
        <f t="shared" si="330"/>
        <v>Orthopedics</v>
      </c>
      <c r="R998">
        <f t="shared" si="331"/>
        <v>16</v>
      </c>
      <c r="S998" t="str">
        <f t="shared" ca="1" si="335"/>
        <v>No</v>
      </c>
      <c r="T998" t="str">
        <f t="shared" ca="1" si="336"/>
        <v>Mild</v>
      </c>
      <c r="U998" t="str">
        <f t="shared" ca="1" si="337"/>
        <v>Semi-Private</v>
      </c>
      <c r="V998" t="str">
        <f t="shared" si="338"/>
        <v>BED0997</v>
      </c>
      <c r="W998" t="str">
        <f t="shared" ca="1" si="339"/>
        <v>Semi-Private</v>
      </c>
      <c r="X998" t="str">
        <f t="shared" si="340"/>
        <v>NUR047</v>
      </c>
      <c r="Y998" t="str">
        <f t="shared" ca="1" si="341"/>
        <v>Morning</v>
      </c>
      <c r="Z998" t="str">
        <f t="shared" ca="1" si="342"/>
        <v>Ultrasound</v>
      </c>
      <c r="AA998" t="str">
        <f t="shared" ca="1" si="343"/>
        <v>Available</v>
      </c>
      <c r="AB998" t="str">
        <f t="shared" ca="1" si="344"/>
        <v>Paid</v>
      </c>
      <c r="AC998" t="str">
        <f t="shared" ca="1" si="345"/>
        <v>Cash</v>
      </c>
      <c r="AD998" t="str">
        <f t="shared" ca="1" si="346"/>
        <v>Yes</v>
      </c>
      <c r="AE998" t="str">
        <f t="shared" ca="1" si="347"/>
        <v>No</v>
      </c>
      <c r="AF998" t="str">
        <f t="shared" ca="1" si="348"/>
        <v>Under Observation</v>
      </c>
      <c r="AG998" t="str">
        <f t="shared" ca="1" si="349"/>
        <v>Midwest</v>
      </c>
      <c r="AH998" t="str">
        <f t="shared" si="332"/>
        <v>May</v>
      </c>
      <c r="AI998">
        <f t="shared" si="333"/>
        <v>2023</v>
      </c>
      <c r="AJ998" t="str">
        <f t="shared" ca="1" si="350"/>
        <v>Occupied</v>
      </c>
      <c r="AK998">
        <f t="shared" ca="1" si="351"/>
        <v>2</v>
      </c>
    </row>
    <row r="999" spans="1:37" x14ac:dyDescent="0.3">
      <c r="A999" t="s">
        <v>5411</v>
      </c>
      <c r="B999">
        <v>62</v>
      </c>
      <c r="C999" t="s">
        <v>15</v>
      </c>
      <c r="D999" t="s">
        <v>24</v>
      </c>
      <c r="E999" t="s">
        <v>64</v>
      </c>
      <c r="F999" s="1">
        <v>43819</v>
      </c>
      <c r="G999" t="s">
        <v>2022</v>
      </c>
      <c r="H999" t="s">
        <v>2023</v>
      </c>
      <c r="I999" t="s">
        <v>51</v>
      </c>
      <c r="J999">
        <v>16378</v>
      </c>
      <c r="K999">
        <v>174</v>
      </c>
      <c r="L999" t="s">
        <v>21</v>
      </c>
      <c r="M999" s="1">
        <v>43847</v>
      </c>
      <c r="N999" t="s">
        <v>47</v>
      </c>
      <c r="O999" t="s">
        <v>31</v>
      </c>
      <c r="P999" t="str">
        <f t="shared" si="334"/>
        <v>P0998</v>
      </c>
      <c r="Q999" t="str">
        <f t="shared" si="330"/>
        <v>Cardiology</v>
      </c>
      <c r="R999">
        <f t="shared" si="331"/>
        <v>28</v>
      </c>
      <c r="S999" t="str">
        <f t="shared" ca="1" si="335"/>
        <v>No</v>
      </c>
      <c r="T999" t="str">
        <f t="shared" ca="1" si="336"/>
        <v>Moderate</v>
      </c>
      <c r="U999" t="str">
        <f t="shared" ca="1" si="337"/>
        <v>Semi-Private</v>
      </c>
      <c r="V999" t="str">
        <f t="shared" si="338"/>
        <v>BED0998</v>
      </c>
      <c r="W999" t="str">
        <f t="shared" ca="1" si="339"/>
        <v>Semi-Private</v>
      </c>
      <c r="X999" t="str">
        <f t="shared" si="340"/>
        <v>NUR048</v>
      </c>
      <c r="Y999" t="str">
        <f t="shared" ca="1" si="341"/>
        <v>Night</v>
      </c>
      <c r="Z999" t="str">
        <f t="shared" ca="1" si="342"/>
        <v>ECG Machine</v>
      </c>
      <c r="AA999" t="str">
        <f t="shared" ca="1" si="343"/>
        <v>Maintenance</v>
      </c>
      <c r="AB999" t="str">
        <f t="shared" ca="1" si="344"/>
        <v>Pending</v>
      </c>
      <c r="AC999" t="str">
        <f t="shared" ca="1" si="345"/>
        <v>Debit Card</v>
      </c>
      <c r="AD999" t="str">
        <f t="shared" ca="1" si="346"/>
        <v>No</v>
      </c>
      <c r="AE999" t="str">
        <f t="shared" ca="1" si="347"/>
        <v>No</v>
      </c>
      <c r="AF999" t="str">
        <f t="shared" ca="1" si="348"/>
        <v>Recovered</v>
      </c>
      <c r="AG999" t="str">
        <f t="shared" ca="1" si="349"/>
        <v>Southeast</v>
      </c>
      <c r="AH999" t="str">
        <f t="shared" si="332"/>
        <v>December</v>
      </c>
      <c r="AI999">
        <f t="shared" si="333"/>
        <v>2019</v>
      </c>
      <c r="AJ999" t="str">
        <f t="shared" ca="1" si="350"/>
        <v>Occupied</v>
      </c>
      <c r="AK999">
        <f t="shared" ca="1" si="351"/>
        <v>4</v>
      </c>
    </row>
    <row r="1000" spans="1:37" x14ac:dyDescent="0.3">
      <c r="A1000" t="s">
        <v>5412</v>
      </c>
      <c r="B1000">
        <v>30</v>
      </c>
      <c r="C1000" t="s">
        <v>15</v>
      </c>
      <c r="D1000" t="s">
        <v>33</v>
      </c>
      <c r="E1000" t="s">
        <v>64</v>
      </c>
      <c r="F1000" s="1">
        <v>44678</v>
      </c>
      <c r="G1000" t="s">
        <v>2024</v>
      </c>
      <c r="H1000" t="s">
        <v>2025</v>
      </c>
      <c r="I1000" t="s">
        <v>51</v>
      </c>
      <c r="J1000">
        <v>43489</v>
      </c>
      <c r="K1000">
        <v>341</v>
      </c>
      <c r="L1000" t="s">
        <v>42</v>
      </c>
      <c r="M1000" s="1">
        <v>44685</v>
      </c>
      <c r="N1000" t="s">
        <v>67</v>
      </c>
      <c r="O1000" t="s">
        <v>31</v>
      </c>
      <c r="P1000" t="str">
        <f t="shared" si="334"/>
        <v>P0999</v>
      </c>
      <c r="Q1000" t="str">
        <f t="shared" si="330"/>
        <v>Cardiology</v>
      </c>
      <c r="R1000">
        <f t="shared" si="331"/>
        <v>7</v>
      </c>
      <c r="S1000" t="str">
        <f t="shared" ca="1" si="335"/>
        <v>No</v>
      </c>
      <c r="T1000" t="str">
        <f t="shared" ca="1" si="336"/>
        <v>Mild</v>
      </c>
      <c r="U1000" t="str">
        <f t="shared" ca="1" si="337"/>
        <v>Emergency</v>
      </c>
      <c r="V1000" t="str">
        <f t="shared" si="338"/>
        <v>BED0999</v>
      </c>
      <c r="W1000" t="str">
        <f t="shared" ca="1" si="339"/>
        <v>Private</v>
      </c>
      <c r="X1000" t="str">
        <f t="shared" si="340"/>
        <v>NUR049</v>
      </c>
      <c r="Y1000" t="str">
        <f t="shared" ca="1" si="341"/>
        <v>Night</v>
      </c>
      <c r="Z1000" t="str">
        <f t="shared" ca="1" si="342"/>
        <v>Ultrasound</v>
      </c>
      <c r="AA1000" t="str">
        <f t="shared" ca="1" si="343"/>
        <v>Available</v>
      </c>
      <c r="AB1000" t="str">
        <f t="shared" ca="1" si="344"/>
        <v>Pending</v>
      </c>
      <c r="AC1000" t="str">
        <f t="shared" ca="1" si="345"/>
        <v>Insurance</v>
      </c>
      <c r="AD1000" t="str">
        <f t="shared" ca="1" si="346"/>
        <v>Yes</v>
      </c>
      <c r="AE1000" t="str">
        <f t="shared" ca="1" si="347"/>
        <v>No</v>
      </c>
      <c r="AF1000" t="str">
        <f t="shared" ca="1" si="348"/>
        <v>Under Observation</v>
      </c>
      <c r="AG1000" t="str">
        <f t="shared" ca="1" si="349"/>
        <v>Southwest</v>
      </c>
      <c r="AH1000" t="str">
        <f t="shared" si="332"/>
        <v>April</v>
      </c>
      <c r="AI1000">
        <f t="shared" si="333"/>
        <v>2022</v>
      </c>
      <c r="AJ1000" t="str">
        <f t="shared" ca="1" si="350"/>
        <v>Occupied</v>
      </c>
      <c r="AK1000">
        <f t="shared" ca="1" si="351"/>
        <v>2</v>
      </c>
    </row>
    <row r="1001" spans="1:37" x14ac:dyDescent="0.3">
      <c r="A1001" t="s">
        <v>5413</v>
      </c>
      <c r="B1001">
        <v>55</v>
      </c>
      <c r="C1001" t="s">
        <v>15</v>
      </c>
      <c r="D1001" t="s">
        <v>83</v>
      </c>
      <c r="E1001" t="s">
        <v>64</v>
      </c>
      <c r="F1001" s="1">
        <v>43783</v>
      </c>
      <c r="G1001" t="s">
        <v>2026</v>
      </c>
      <c r="H1001" t="s">
        <v>2027</v>
      </c>
      <c r="I1001" t="s">
        <v>57</v>
      </c>
      <c r="J1001">
        <v>43109</v>
      </c>
      <c r="K1001">
        <v>161</v>
      </c>
      <c r="L1001" t="s">
        <v>29</v>
      </c>
      <c r="M1001" s="1">
        <v>43785</v>
      </c>
      <c r="N1001" t="s">
        <v>30</v>
      </c>
      <c r="O1001" t="s">
        <v>31</v>
      </c>
      <c r="P1001" t="str">
        <f t="shared" si="334"/>
        <v>P1000</v>
      </c>
      <c r="Q1001" t="str">
        <f t="shared" si="330"/>
        <v>Cardiology</v>
      </c>
      <c r="R1001">
        <f t="shared" si="331"/>
        <v>2</v>
      </c>
      <c r="S1001" t="str">
        <f t="shared" ca="1" si="335"/>
        <v>No</v>
      </c>
      <c r="T1001" t="str">
        <f t="shared" ca="1" si="336"/>
        <v>Mild</v>
      </c>
      <c r="U1001" t="str">
        <f t="shared" ca="1" si="337"/>
        <v>Private Ward</v>
      </c>
      <c r="V1001" t="str">
        <f t="shared" si="338"/>
        <v>BED1000</v>
      </c>
      <c r="W1001" t="str">
        <f t="shared" ca="1" si="339"/>
        <v>General</v>
      </c>
      <c r="X1001" t="str">
        <f t="shared" si="340"/>
        <v>NUR050</v>
      </c>
      <c r="Y1001" t="str">
        <f t="shared" ca="1" si="341"/>
        <v>Evening</v>
      </c>
      <c r="Z1001" t="str">
        <f t="shared" ca="1" si="342"/>
        <v>ECG Machine</v>
      </c>
      <c r="AA1001" t="str">
        <f t="shared" ca="1" si="343"/>
        <v>Maintenance</v>
      </c>
      <c r="AB1001" t="str">
        <f t="shared" ca="1" si="344"/>
        <v>Partially Paid</v>
      </c>
      <c r="AC1001" t="str">
        <f t="shared" ca="1" si="345"/>
        <v>Bank Transfer</v>
      </c>
      <c r="AD1001" t="str">
        <f t="shared" ca="1" si="346"/>
        <v>No</v>
      </c>
      <c r="AE1001" t="str">
        <f t="shared" ca="1" si="347"/>
        <v>No</v>
      </c>
      <c r="AF1001" t="str">
        <f t="shared" ca="1" si="348"/>
        <v>Transferred</v>
      </c>
      <c r="AG1001" t="str">
        <f t="shared" ca="1" si="349"/>
        <v>West Coast</v>
      </c>
      <c r="AH1001" t="str">
        <f t="shared" si="332"/>
        <v>November</v>
      </c>
      <c r="AI1001">
        <f t="shared" si="333"/>
        <v>2019</v>
      </c>
      <c r="AJ1001" t="str">
        <f t="shared" ca="1" si="350"/>
        <v>Occupied</v>
      </c>
      <c r="AK1001">
        <f t="shared" ca="1" si="351"/>
        <v>2</v>
      </c>
    </row>
    <row r="1002" spans="1:37" x14ac:dyDescent="0.3">
      <c r="A1002" t="s">
        <v>5414</v>
      </c>
      <c r="B1002">
        <v>78</v>
      </c>
      <c r="C1002" t="s">
        <v>32</v>
      </c>
      <c r="D1002" t="s">
        <v>98</v>
      </c>
      <c r="E1002" t="s">
        <v>64</v>
      </c>
      <c r="F1002" s="1">
        <v>44668</v>
      </c>
      <c r="G1002" t="s">
        <v>2028</v>
      </c>
      <c r="H1002" t="s">
        <v>2029</v>
      </c>
      <c r="I1002" t="s">
        <v>28</v>
      </c>
      <c r="J1002">
        <v>21585</v>
      </c>
      <c r="K1002">
        <v>402</v>
      </c>
      <c r="L1002" t="s">
        <v>29</v>
      </c>
      <c r="M1002" s="1">
        <v>44676</v>
      </c>
      <c r="N1002" t="s">
        <v>47</v>
      </c>
      <c r="O1002" t="s">
        <v>43</v>
      </c>
      <c r="P1002" t="str">
        <f t="shared" si="334"/>
        <v>P1001</v>
      </c>
      <c r="Q1002" t="str">
        <f t="shared" si="330"/>
        <v>Cardiology</v>
      </c>
      <c r="R1002">
        <f t="shared" si="331"/>
        <v>8</v>
      </c>
      <c r="S1002" t="str">
        <f t="shared" ca="1" si="335"/>
        <v>No</v>
      </c>
      <c r="T1002" t="str">
        <f t="shared" ca="1" si="336"/>
        <v>Mild</v>
      </c>
      <c r="U1002" t="str">
        <f t="shared" ca="1" si="337"/>
        <v>Emergency</v>
      </c>
      <c r="V1002" t="str">
        <f t="shared" si="338"/>
        <v>BED1001</v>
      </c>
      <c r="W1002" t="str">
        <f t="shared" ca="1" si="339"/>
        <v>Semi-Private</v>
      </c>
      <c r="X1002" t="str">
        <f t="shared" si="340"/>
        <v>NUR001</v>
      </c>
      <c r="Y1002" t="str">
        <f t="shared" ca="1" si="341"/>
        <v>Evening</v>
      </c>
      <c r="Z1002" t="str">
        <f t="shared" ca="1" si="342"/>
        <v>ECG Machine</v>
      </c>
      <c r="AA1002" t="str">
        <f t="shared" ca="1" si="343"/>
        <v>Available</v>
      </c>
      <c r="AB1002" t="str">
        <f t="shared" ca="1" si="344"/>
        <v>Pending</v>
      </c>
      <c r="AC1002" t="str">
        <f t="shared" ca="1" si="345"/>
        <v>Bank Transfer</v>
      </c>
      <c r="AD1002" t="str">
        <f t="shared" ca="1" si="346"/>
        <v>No</v>
      </c>
      <c r="AE1002" t="str">
        <f t="shared" ca="1" si="347"/>
        <v>No</v>
      </c>
      <c r="AF1002" t="str">
        <f t="shared" ca="1" si="348"/>
        <v>Under Observation</v>
      </c>
      <c r="AG1002" t="str">
        <f t="shared" ca="1" si="349"/>
        <v>Southeast</v>
      </c>
      <c r="AH1002" t="str">
        <f t="shared" si="332"/>
        <v>April</v>
      </c>
      <c r="AI1002">
        <f t="shared" si="333"/>
        <v>2022</v>
      </c>
      <c r="AJ1002" t="str">
        <f t="shared" ca="1" si="350"/>
        <v>Occupied</v>
      </c>
      <c r="AK1002">
        <f t="shared" ca="1" si="351"/>
        <v>2</v>
      </c>
    </row>
    <row r="1003" spans="1:37" x14ac:dyDescent="0.3">
      <c r="A1003" t="s">
        <v>5415</v>
      </c>
      <c r="B1003">
        <v>69</v>
      </c>
      <c r="C1003" t="s">
        <v>32</v>
      </c>
      <c r="D1003" t="s">
        <v>33</v>
      </c>
      <c r="E1003" t="s">
        <v>76</v>
      </c>
      <c r="F1003" s="1">
        <v>44666</v>
      </c>
      <c r="G1003" t="s">
        <v>2030</v>
      </c>
      <c r="H1003" t="s">
        <v>2031</v>
      </c>
      <c r="I1003" t="s">
        <v>28</v>
      </c>
      <c r="J1003">
        <v>28923</v>
      </c>
      <c r="K1003">
        <v>307</v>
      </c>
      <c r="L1003" t="s">
        <v>21</v>
      </c>
      <c r="M1003" s="1">
        <v>44693</v>
      </c>
      <c r="N1003" t="s">
        <v>47</v>
      </c>
      <c r="O1003" t="s">
        <v>31</v>
      </c>
      <c r="P1003" t="str">
        <f t="shared" si="334"/>
        <v>P1002</v>
      </c>
      <c r="Q1003" t="str">
        <f t="shared" si="330"/>
        <v>Orthopedics</v>
      </c>
      <c r="R1003">
        <f t="shared" si="331"/>
        <v>27</v>
      </c>
      <c r="S1003" t="str">
        <f t="shared" ca="1" si="335"/>
        <v>No</v>
      </c>
      <c r="T1003" t="str">
        <f t="shared" ca="1" si="336"/>
        <v>Severe</v>
      </c>
      <c r="U1003" t="str">
        <f t="shared" ca="1" si="337"/>
        <v>Emergency</v>
      </c>
      <c r="V1003" t="str">
        <f t="shared" si="338"/>
        <v>BED1002</v>
      </c>
      <c r="W1003" t="str">
        <f t="shared" ca="1" si="339"/>
        <v>Semi-Private</v>
      </c>
      <c r="X1003" t="str">
        <f t="shared" si="340"/>
        <v>NUR002</v>
      </c>
      <c r="Y1003" t="str">
        <f t="shared" ca="1" si="341"/>
        <v>Night</v>
      </c>
      <c r="Z1003" t="str">
        <f t="shared" ca="1" si="342"/>
        <v>X-Ray</v>
      </c>
      <c r="AA1003" t="str">
        <f t="shared" ca="1" si="343"/>
        <v>In Use</v>
      </c>
      <c r="AB1003" t="str">
        <f t="shared" ca="1" si="344"/>
        <v>Pending</v>
      </c>
      <c r="AC1003" t="str">
        <f t="shared" ca="1" si="345"/>
        <v>Insurance</v>
      </c>
      <c r="AD1003" t="str">
        <f t="shared" ca="1" si="346"/>
        <v>No</v>
      </c>
      <c r="AE1003" t="str">
        <f t="shared" ca="1" si="347"/>
        <v>No</v>
      </c>
      <c r="AF1003" t="str">
        <f t="shared" ca="1" si="348"/>
        <v>Transferred</v>
      </c>
      <c r="AG1003" t="str">
        <f t="shared" ca="1" si="349"/>
        <v>Southwest</v>
      </c>
      <c r="AH1003" t="str">
        <f t="shared" si="332"/>
        <v>April</v>
      </c>
      <c r="AI1003">
        <f t="shared" si="333"/>
        <v>2022</v>
      </c>
      <c r="AJ1003" t="str">
        <f t="shared" ca="1" si="350"/>
        <v>Vacant</v>
      </c>
      <c r="AK1003">
        <f t="shared" ca="1" si="351"/>
        <v>1</v>
      </c>
    </row>
    <row r="1004" spans="1:37" x14ac:dyDescent="0.3">
      <c r="A1004" t="s">
        <v>5416</v>
      </c>
      <c r="B1004">
        <v>77</v>
      </c>
      <c r="C1004" t="s">
        <v>15</v>
      </c>
      <c r="D1004" t="s">
        <v>38</v>
      </c>
      <c r="E1004" t="s">
        <v>17</v>
      </c>
      <c r="F1004" s="1">
        <v>44268</v>
      </c>
      <c r="G1004" t="s">
        <v>2032</v>
      </c>
      <c r="H1004" t="s">
        <v>2033</v>
      </c>
      <c r="I1004" t="s">
        <v>51</v>
      </c>
      <c r="J1004">
        <v>14809</v>
      </c>
      <c r="K1004">
        <v>157</v>
      </c>
      <c r="L1004" t="s">
        <v>29</v>
      </c>
      <c r="M1004" s="1">
        <v>44269</v>
      </c>
      <c r="N1004" t="s">
        <v>37</v>
      </c>
      <c r="O1004" t="s">
        <v>23</v>
      </c>
      <c r="P1004" t="str">
        <f t="shared" si="334"/>
        <v>P1003</v>
      </c>
      <c r="Q1004" t="str">
        <f t="shared" si="330"/>
        <v>Oncology</v>
      </c>
      <c r="R1004">
        <f t="shared" si="331"/>
        <v>1</v>
      </c>
      <c r="S1004" t="str">
        <f t="shared" ca="1" si="335"/>
        <v>No</v>
      </c>
      <c r="T1004" t="str">
        <f t="shared" ca="1" si="336"/>
        <v>Moderate</v>
      </c>
      <c r="U1004" t="str">
        <f t="shared" ca="1" si="337"/>
        <v>Semi-Private</v>
      </c>
      <c r="V1004" t="str">
        <f t="shared" si="338"/>
        <v>BED1003</v>
      </c>
      <c r="W1004" t="str">
        <f t="shared" ca="1" si="339"/>
        <v>Private</v>
      </c>
      <c r="X1004" t="str">
        <f t="shared" si="340"/>
        <v>NUR003</v>
      </c>
      <c r="Y1004" t="str">
        <f t="shared" ca="1" si="341"/>
        <v>Morning</v>
      </c>
      <c r="Z1004" t="str">
        <f t="shared" ca="1" si="342"/>
        <v>CT Scanner</v>
      </c>
      <c r="AA1004" t="str">
        <f t="shared" ca="1" si="343"/>
        <v>Available</v>
      </c>
      <c r="AB1004" t="str">
        <f t="shared" ca="1" si="344"/>
        <v>Paid</v>
      </c>
      <c r="AC1004" t="str">
        <f t="shared" ca="1" si="345"/>
        <v>Bank Transfer</v>
      </c>
      <c r="AD1004" t="str">
        <f t="shared" ca="1" si="346"/>
        <v>Yes</v>
      </c>
      <c r="AE1004" t="str">
        <f t="shared" ca="1" si="347"/>
        <v>No</v>
      </c>
      <c r="AF1004" t="str">
        <f t="shared" ca="1" si="348"/>
        <v>Transferred</v>
      </c>
      <c r="AG1004" t="str">
        <f t="shared" ca="1" si="349"/>
        <v>Southwest</v>
      </c>
      <c r="AH1004" t="str">
        <f t="shared" si="332"/>
        <v>March</v>
      </c>
      <c r="AI1004">
        <f t="shared" si="333"/>
        <v>2021</v>
      </c>
      <c r="AJ1004" t="str">
        <f t="shared" ca="1" si="350"/>
        <v>Occupied</v>
      </c>
      <c r="AK1004">
        <f t="shared" ca="1" si="351"/>
        <v>1</v>
      </c>
    </row>
    <row r="1005" spans="1:37" x14ac:dyDescent="0.3">
      <c r="A1005" t="s">
        <v>5417</v>
      </c>
      <c r="B1005">
        <v>56</v>
      </c>
      <c r="C1005" t="s">
        <v>32</v>
      </c>
      <c r="D1005" t="s">
        <v>24</v>
      </c>
      <c r="E1005" t="s">
        <v>64</v>
      </c>
      <c r="F1005" s="1">
        <v>44548</v>
      </c>
      <c r="G1005" t="s">
        <v>2034</v>
      </c>
      <c r="H1005" t="s">
        <v>2035</v>
      </c>
      <c r="I1005" t="s">
        <v>51</v>
      </c>
      <c r="J1005">
        <v>26824</v>
      </c>
      <c r="K1005">
        <v>180</v>
      </c>
      <c r="L1005" t="s">
        <v>29</v>
      </c>
      <c r="M1005" s="1">
        <v>44567</v>
      </c>
      <c r="N1005" t="s">
        <v>30</v>
      </c>
      <c r="O1005" t="s">
        <v>31</v>
      </c>
      <c r="P1005" t="str">
        <f t="shared" si="334"/>
        <v>P1004</v>
      </c>
      <c r="Q1005" t="str">
        <f t="shared" si="330"/>
        <v>Cardiology</v>
      </c>
      <c r="R1005">
        <f t="shared" si="331"/>
        <v>19</v>
      </c>
      <c r="S1005" t="str">
        <f t="shared" ca="1" si="335"/>
        <v>No</v>
      </c>
      <c r="T1005" t="str">
        <f t="shared" ca="1" si="336"/>
        <v>Moderate</v>
      </c>
      <c r="U1005" t="str">
        <f t="shared" ca="1" si="337"/>
        <v>General Ward</v>
      </c>
      <c r="V1005" t="str">
        <f t="shared" si="338"/>
        <v>BED1004</v>
      </c>
      <c r="W1005" t="str">
        <f t="shared" ca="1" si="339"/>
        <v>ICU</v>
      </c>
      <c r="X1005" t="str">
        <f t="shared" si="340"/>
        <v>NUR004</v>
      </c>
      <c r="Y1005" t="str">
        <f t="shared" ca="1" si="341"/>
        <v>Morning</v>
      </c>
      <c r="Z1005" t="str">
        <f t="shared" ca="1" si="342"/>
        <v>CT Scanner</v>
      </c>
      <c r="AA1005" t="str">
        <f t="shared" ca="1" si="343"/>
        <v>Maintenance</v>
      </c>
      <c r="AB1005" t="str">
        <f t="shared" ca="1" si="344"/>
        <v>Pending</v>
      </c>
      <c r="AC1005" t="str">
        <f t="shared" ca="1" si="345"/>
        <v>Insurance</v>
      </c>
      <c r="AD1005" t="str">
        <f t="shared" ca="1" si="346"/>
        <v>No</v>
      </c>
      <c r="AE1005" t="str">
        <f t="shared" ca="1" si="347"/>
        <v>No</v>
      </c>
      <c r="AF1005" t="str">
        <f t="shared" ca="1" si="348"/>
        <v>Recovered</v>
      </c>
      <c r="AG1005" t="str">
        <f t="shared" ca="1" si="349"/>
        <v>Southeast</v>
      </c>
      <c r="AH1005" t="str">
        <f t="shared" si="332"/>
        <v>December</v>
      </c>
      <c r="AI1005">
        <f t="shared" si="333"/>
        <v>2021</v>
      </c>
      <c r="AJ1005" t="str">
        <f t="shared" ca="1" si="350"/>
        <v>Occupied</v>
      </c>
      <c r="AK1005">
        <f t="shared" ca="1" si="351"/>
        <v>1</v>
      </c>
    </row>
    <row r="1006" spans="1:37" x14ac:dyDescent="0.3">
      <c r="A1006" t="s">
        <v>5418</v>
      </c>
      <c r="B1006">
        <v>58</v>
      </c>
      <c r="C1006" t="s">
        <v>32</v>
      </c>
      <c r="D1006" t="s">
        <v>98</v>
      </c>
      <c r="E1006" t="s">
        <v>48</v>
      </c>
      <c r="F1006" s="1">
        <v>44904</v>
      </c>
      <c r="G1006" t="s">
        <v>1445</v>
      </c>
      <c r="H1006" t="s">
        <v>2036</v>
      </c>
      <c r="I1006" t="s">
        <v>20</v>
      </c>
      <c r="J1006">
        <v>49742</v>
      </c>
      <c r="K1006">
        <v>157</v>
      </c>
      <c r="L1006" t="s">
        <v>29</v>
      </c>
      <c r="M1006" s="1">
        <v>44922</v>
      </c>
      <c r="N1006" t="s">
        <v>22</v>
      </c>
      <c r="O1006" t="s">
        <v>31</v>
      </c>
      <c r="P1006" t="str">
        <f t="shared" si="334"/>
        <v>P1005</v>
      </c>
      <c r="Q1006" t="str">
        <f t="shared" si="330"/>
        <v>Pulmonology</v>
      </c>
      <c r="R1006">
        <f t="shared" si="331"/>
        <v>18</v>
      </c>
      <c r="S1006" t="str">
        <f t="shared" ca="1" si="335"/>
        <v>No</v>
      </c>
      <c r="T1006" t="str">
        <f t="shared" ca="1" si="336"/>
        <v>Critical</v>
      </c>
      <c r="U1006" t="str">
        <f t="shared" ca="1" si="337"/>
        <v>Private Ward</v>
      </c>
      <c r="V1006" t="str">
        <f t="shared" si="338"/>
        <v>BED1005</v>
      </c>
      <c r="W1006" t="str">
        <f t="shared" ca="1" si="339"/>
        <v>Private</v>
      </c>
      <c r="X1006" t="str">
        <f t="shared" si="340"/>
        <v>NUR005</v>
      </c>
      <c r="Y1006" t="str">
        <f t="shared" ca="1" si="341"/>
        <v>Night</v>
      </c>
      <c r="Z1006" t="str">
        <f t="shared" ca="1" si="342"/>
        <v>X-Ray</v>
      </c>
      <c r="AA1006" t="str">
        <f t="shared" ca="1" si="343"/>
        <v>Available</v>
      </c>
      <c r="AB1006" t="str">
        <f t="shared" ca="1" si="344"/>
        <v>Paid</v>
      </c>
      <c r="AC1006" t="str">
        <f t="shared" ca="1" si="345"/>
        <v>Cash</v>
      </c>
      <c r="AD1006" t="str">
        <f t="shared" ca="1" si="346"/>
        <v>No</v>
      </c>
      <c r="AE1006" t="str">
        <f t="shared" ca="1" si="347"/>
        <v>No</v>
      </c>
      <c r="AF1006" t="str">
        <f t="shared" ca="1" si="348"/>
        <v>Under Observation</v>
      </c>
      <c r="AG1006" t="str">
        <f t="shared" ca="1" si="349"/>
        <v>Northeast</v>
      </c>
      <c r="AH1006" t="str">
        <f t="shared" si="332"/>
        <v>December</v>
      </c>
      <c r="AI1006">
        <f t="shared" si="333"/>
        <v>2022</v>
      </c>
      <c r="AJ1006" t="str">
        <f t="shared" ca="1" si="350"/>
        <v>Occupied</v>
      </c>
      <c r="AK1006">
        <f t="shared" ca="1" si="351"/>
        <v>4</v>
      </c>
    </row>
    <row r="1007" spans="1:37" x14ac:dyDescent="0.3">
      <c r="A1007" t="s">
        <v>5419</v>
      </c>
      <c r="B1007">
        <v>78</v>
      </c>
      <c r="C1007" t="s">
        <v>32</v>
      </c>
      <c r="D1007" t="s">
        <v>98</v>
      </c>
      <c r="E1007" t="s">
        <v>48</v>
      </c>
      <c r="F1007" s="1">
        <v>45297</v>
      </c>
      <c r="G1007" t="s">
        <v>2037</v>
      </c>
      <c r="H1007" t="s">
        <v>2038</v>
      </c>
      <c r="I1007" t="s">
        <v>36</v>
      </c>
      <c r="J1007">
        <v>14687</v>
      </c>
      <c r="K1007">
        <v>155</v>
      </c>
      <c r="L1007" t="s">
        <v>42</v>
      </c>
      <c r="M1007" s="1">
        <v>45322</v>
      </c>
      <c r="N1007" t="s">
        <v>37</v>
      </c>
      <c r="O1007" t="s">
        <v>23</v>
      </c>
      <c r="P1007" t="str">
        <f t="shared" si="334"/>
        <v>P1006</v>
      </c>
      <c r="Q1007" t="str">
        <f t="shared" si="330"/>
        <v>Pulmonology</v>
      </c>
      <c r="R1007">
        <f t="shared" si="331"/>
        <v>25</v>
      </c>
      <c r="S1007" t="str">
        <f t="shared" ca="1" si="335"/>
        <v>No</v>
      </c>
      <c r="T1007" t="str">
        <f t="shared" ca="1" si="336"/>
        <v>Critical</v>
      </c>
      <c r="U1007" t="str">
        <f t="shared" ca="1" si="337"/>
        <v>Private Ward</v>
      </c>
      <c r="V1007" t="str">
        <f t="shared" si="338"/>
        <v>BED1006</v>
      </c>
      <c r="W1007" t="str">
        <f t="shared" ca="1" si="339"/>
        <v>General</v>
      </c>
      <c r="X1007" t="str">
        <f t="shared" si="340"/>
        <v>NUR006</v>
      </c>
      <c r="Y1007" t="str">
        <f t="shared" ca="1" si="341"/>
        <v>Morning</v>
      </c>
      <c r="Z1007" t="str">
        <f t="shared" ca="1" si="342"/>
        <v>Ventilator</v>
      </c>
      <c r="AA1007" t="str">
        <f t="shared" ca="1" si="343"/>
        <v>Available</v>
      </c>
      <c r="AB1007" t="str">
        <f t="shared" ca="1" si="344"/>
        <v>Partially Paid</v>
      </c>
      <c r="AC1007" t="str">
        <f t="shared" ca="1" si="345"/>
        <v>Cash</v>
      </c>
      <c r="AD1007" t="str">
        <f t="shared" ca="1" si="346"/>
        <v>Yes</v>
      </c>
      <c r="AE1007" t="str">
        <f t="shared" ca="1" si="347"/>
        <v>No</v>
      </c>
      <c r="AF1007" t="str">
        <f t="shared" ca="1" si="348"/>
        <v>Under Observation</v>
      </c>
      <c r="AG1007" t="str">
        <f t="shared" ca="1" si="349"/>
        <v>West Coast</v>
      </c>
      <c r="AH1007" t="str">
        <f t="shared" si="332"/>
        <v>January</v>
      </c>
      <c r="AI1007">
        <f t="shared" si="333"/>
        <v>2024</v>
      </c>
      <c r="AJ1007" t="str">
        <f t="shared" ca="1" si="350"/>
        <v>Occupied</v>
      </c>
      <c r="AK1007">
        <f t="shared" ca="1" si="351"/>
        <v>2</v>
      </c>
    </row>
    <row r="1008" spans="1:37" x14ac:dyDescent="0.3">
      <c r="A1008" t="s">
        <v>5420</v>
      </c>
      <c r="B1008">
        <v>50</v>
      </c>
      <c r="C1008" t="s">
        <v>15</v>
      </c>
      <c r="D1008" t="s">
        <v>38</v>
      </c>
      <c r="E1008" t="s">
        <v>48</v>
      </c>
      <c r="F1008" s="1">
        <v>44192</v>
      </c>
      <c r="G1008" t="s">
        <v>2039</v>
      </c>
      <c r="H1008" t="s">
        <v>2040</v>
      </c>
      <c r="I1008" t="s">
        <v>20</v>
      </c>
      <c r="J1008">
        <v>30770</v>
      </c>
      <c r="K1008">
        <v>221</v>
      </c>
      <c r="L1008" t="s">
        <v>29</v>
      </c>
      <c r="M1008" s="1">
        <v>44195</v>
      </c>
      <c r="N1008" t="s">
        <v>37</v>
      </c>
      <c r="O1008" t="s">
        <v>31</v>
      </c>
      <c r="P1008" t="str">
        <f t="shared" si="334"/>
        <v>P1007</v>
      </c>
      <c r="Q1008" t="str">
        <f t="shared" si="330"/>
        <v>Pulmonology</v>
      </c>
      <c r="R1008">
        <f t="shared" si="331"/>
        <v>3</v>
      </c>
      <c r="S1008" t="str">
        <f t="shared" ca="1" si="335"/>
        <v>No</v>
      </c>
      <c r="T1008" t="str">
        <f t="shared" ca="1" si="336"/>
        <v>Moderate</v>
      </c>
      <c r="U1008" t="str">
        <f t="shared" ca="1" si="337"/>
        <v>Private Ward</v>
      </c>
      <c r="V1008" t="str">
        <f t="shared" si="338"/>
        <v>BED1007</v>
      </c>
      <c r="W1008" t="str">
        <f t="shared" ca="1" si="339"/>
        <v>Private</v>
      </c>
      <c r="X1008" t="str">
        <f t="shared" si="340"/>
        <v>NUR007</v>
      </c>
      <c r="Y1008" t="str">
        <f t="shared" ca="1" si="341"/>
        <v>Morning</v>
      </c>
      <c r="Z1008" t="str">
        <f t="shared" ca="1" si="342"/>
        <v>CT Scanner</v>
      </c>
      <c r="AA1008" t="str">
        <f t="shared" ca="1" si="343"/>
        <v>Available</v>
      </c>
      <c r="AB1008" t="str">
        <f t="shared" ca="1" si="344"/>
        <v>Pending</v>
      </c>
      <c r="AC1008" t="str">
        <f t="shared" ca="1" si="345"/>
        <v>Insurance</v>
      </c>
      <c r="AD1008" t="str">
        <f t="shared" ca="1" si="346"/>
        <v>No</v>
      </c>
      <c r="AE1008" t="str">
        <f t="shared" ca="1" si="347"/>
        <v>No</v>
      </c>
      <c r="AF1008" t="str">
        <f t="shared" ca="1" si="348"/>
        <v>Recovered</v>
      </c>
      <c r="AG1008" t="str">
        <f t="shared" ca="1" si="349"/>
        <v>Northeast</v>
      </c>
      <c r="AH1008" t="str">
        <f t="shared" si="332"/>
        <v>December</v>
      </c>
      <c r="AI1008">
        <f t="shared" si="333"/>
        <v>2020</v>
      </c>
      <c r="AJ1008" t="str">
        <f t="shared" ca="1" si="350"/>
        <v>Occupied</v>
      </c>
      <c r="AK1008">
        <f t="shared" ca="1" si="351"/>
        <v>1</v>
      </c>
    </row>
    <row r="1009" spans="1:37" x14ac:dyDescent="0.3">
      <c r="A1009" t="s">
        <v>5421</v>
      </c>
      <c r="B1009">
        <v>38</v>
      </c>
      <c r="C1009" t="s">
        <v>32</v>
      </c>
      <c r="D1009" t="s">
        <v>98</v>
      </c>
      <c r="E1009" t="s">
        <v>25</v>
      </c>
      <c r="F1009" s="1">
        <v>45296</v>
      </c>
      <c r="G1009" t="s">
        <v>2041</v>
      </c>
      <c r="H1009" t="s">
        <v>2042</v>
      </c>
      <c r="I1009" t="s">
        <v>20</v>
      </c>
      <c r="J1009">
        <v>32173</v>
      </c>
      <c r="K1009">
        <v>453</v>
      </c>
      <c r="L1009" t="s">
        <v>42</v>
      </c>
      <c r="M1009" s="1">
        <v>45297</v>
      </c>
      <c r="N1009" t="s">
        <v>47</v>
      </c>
      <c r="O1009" t="s">
        <v>43</v>
      </c>
      <c r="P1009" t="str">
        <f t="shared" si="334"/>
        <v>P1008</v>
      </c>
      <c r="Q1009" t="str">
        <f t="shared" si="330"/>
        <v>Nutrition</v>
      </c>
      <c r="R1009">
        <f t="shared" si="331"/>
        <v>1</v>
      </c>
      <c r="S1009" t="str">
        <f t="shared" ca="1" si="335"/>
        <v>No</v>
      </c>
      <c r="T1009" t="str">
        <f t="shared" ca="1" si="336"/>
        <v>Severe</v>
      </c>
      <c r="U1009" t="str">
        <f t="shared" ca="1" si="337"/>
        <v>General Ward</v>
      </c>
      <c r="V1009" t="str">
        <f t="shared" si="338"/>
        <v>BED1008</v>
      </c>
      <c r="W1009" t="str">
        <f t="shared" ca="1" si="339"/>
        <v>Semi-Private</v>
      </c>
      <c r="X1009" t="str">
        <f t="shared" si="340"/>
        <v>NUR008</v>
      </c>
      <c r="Y1009" t="str">
        <f t="shared" ca="1" si="341"/>
        <v>Evening</v>
      </c>
      <c r="Z1009" t="str">
        <f t="shared" ca="1" si="342"/>
        <v>CT Scanner</v>
      </c>
      <c r="AA1009" t="str">
        <f t="shared" ca="1" si="343"/>
        <v>Available</v>
      </c>
      <c r="AB1009" t="str">
        <f t="shared" ca="1" si="344"/>
        <v>Pending</v>
      </c>
      <c r="AC1009" t="str">
        <f t="shared" ca="1" si="345"/>
        <v>Credit Card</v>
      </c>
      <c r="AD1009" t="str">
        <f t="shared" ca="1" si="346"/>
        <v>No</v>
      </c>
      <c r="AE1009" t="str">
        <f t="shared" ca="1" si="347"/>
        <v>No</v>
      </c>
      <c r="AF1009" t="str">
        <f t="shared" ca="1" si="348"/>
        <v>Transferred</v>
      </c>
      <c r="AG1009" t="str">
        <f t="shared" ca="1" si="349"/>
        <v>Southwest</v>
      </c>
      <c r="AH1009" t="str">
        <f t="shared" si="332"/>
        <v>January</v>
      </c>
      <c r="AI1009">
        <f t="shared" si="333"/>
        <v>2024</v>
      </c>
      <c r="AJ1009" t="str">
        <f t="shared" ca="1" si="350"/>
        <v>Occupied</v>
      </c>
      <c r="AK1009">
        <f t="shared" ca="1" si="351"/>
        <v>1</v>
      </c>
    </row>
    <row r="1010" spans="1:37" x14ac:dyDescent="0.3">
      <c r="A1010" t="s">
        <v>5422</v>
      </c>
      <c r="B1010">
        <v>81</v>
      </c>
      <c r="C1010" t="s">
        <v>32</v>
      </c>
      <c r="D1010" t="s">
        <v>33</v>
      </c>
      <c r="E1010" t="s">
        <v>17</v>
      </c>
      <c r="F1010" s="1">
        <v>44251</v>
      </c>
      <c r="G1010" t="s">
        <v>2043</v>
      </c>
      <c r="H1010" t="s">
        <v>2044</v>
      </c>
      <c r="I1010" t="s">
        <v>28</v>
      </c>
      <c r="J1010">
        <v>28009</v>
      </c>
      <c r="K1010">
        <v>101</v>
      </c>
      <c r="L1010" t="s">
        <v>21</v>
      </c>
      <c r="M1010" s="1">
        <v>44255</v>
      </c>
      <c r="N1010" t="s">
        <v>22</v>
      </c>
      <c r="O1010" t="s">
        <v>43</v>
      </c>
      <c r="P1010" t="str">
        <f t="shared" si="334"/>
        <v>P1009</v>
      </c>
      <c r="Q1010" t="str">
        <f t="shared" si="330"/>
        <v>Oncology</v>
      </c>
      <c r="R1010">
        <f t="shared" si="331"/>
        <v>4</v>
      </c>
      <c r="S1010" t="str">
        <f t="shared" ca="1" si="335"/>
        <v>No</v>
      </c>
      <c r="T1010" t="str">
        <f t="shared" ca="1" si="336"/>
        <v>Mild</v>
      </c>
      <c r="U1010" t="str">
        <f t="shared" ca="1" si="337"/>
        <v>Emergency</v>
      </c>
      <c r="V1010" t="str">
        <f t="shared" si="338"/>
        <v>BED1009</v>
      </c>
      <c r="W1010" t="str">
        <f t="shared" ca="1" si="339"/>
        <v>Semi-Private</v>
      </c>
      <c r="X1010" t="str">
        <f t="shared" si="340"/>
        <v>NUR009</v>
      </c>
      <c r="Y1010" t="str">
        <f t="shared" ca="1" si="341"/>
        <v>Evening</v>
      </c>
      <c r="Z1010" t="str">
        <f t="shared" ca="1" si="342"/>
        <v>X-Ray</v>
      </c>
      <c r="AA1010" t="str">
        <f t="shared" ca="1" si="343"/>
        <v>Available</v>
      </c>
      <c r="AB1010" t="str">
        <f t="shared" ca="1" si="344"/>
        <v>Paid</v>
      </c>
      <c r="AC1010" t="str">
        <f t="shared" ca="1" si="345"/>
        <v>Credit Card</v>
      </c>
      <c r="AD1010" t="str">
        <f t="shared" ca="1" si="346"/>
        <v>Yes</v>
      </c>
      <c r="AE1010" t="str">
        <f t="shared" ca="1" si="347"/>
        <v>No</v>
      </c>
      <c r="AF1010" t="str">
        <f t="shared" ca="1" si="348"/>
        <v>Recovered</v>
      </c>
      <c r="AG1010" t="str">
        <f t="shared" ca="1" si="349"/>
        <v>Midwest</v>
      </c>
      <c r="AH1010" t="str">
        <f t="shared" si="332"/>
        <v>February</v>
      </c>
      <c r="AI1010">
        <f t="shared" si="333"/>
        <v>2021</v>
      </c>
      <c r="AJ1010" t="str">
        <f t="shared" ca="1" si="350"/>
        <v>Occupied</v>
      </c>
      <c r="AK1010">
        <f t="shared" ca="1" si="351"/>
        <v>2</v>
      </c>
    </row>
    <row r="1011" spans="1:37" x14ac:dyDescent="0.3">
      <c r="A1011" t="s">
        <v>5423</v>
      </c>
      <c r="B1011">
        <v>80</v>
      </c>
      <c r="C1011" t="s">
        <v>15</v>
      </c>
      <c r="D1011" t="s">
        <v>52</v>
      </c>
      <c r="E1011" t="s">
        <v>17</v>
      </c>
      <c r="F1011" s="1">
        <v>45180</v>
      </c>
      <c r="G1011" t="s">
        <v>2045</v>
      </c>
      <c r="H1011" t="s">
        <v>2046</v>
      </c>
      <c r="I1011" t="s">
        <v>28</v>
      </c>
      <c r="J1011">
        <v>14658</v>
      </c>
      <c r="K1011">
        <v>131</v>
      </c>
      <c r="L1011" t="s">
        <v>42</v>
      </c>
      <c r="M1011" s="1">
        <v>45196</v>
      </c>
      <c r="N1011" t="s">
        <v>67</v>
      </c>
      <c r="O1011" t="s">
        <v>43</v>
      </c>
      <c r="P1011" t="str">
        <f t="shared" si="334"/>
        <v>P1010</v>
      </c>
      <c r="Q1011" t="str">
        <f t="shared" si="330"/>
        <v>Oncology</v>
      </c>
      <c r="R1011">
        <f t="shared" si="331"/>
        <v>16</v>
      </c>
      <c r="S1011" t="str">
        <f t="shared" ca="1" si="335"/>
        <v>No</v>
      </c>
      <c r="T1011" t="str">
        <f t="shared" ca="1" si="336"/>
        <v>Severe</v>
      </c>
      <c r="U1011" t="str">
        <f t="shared" ca="1" si="337"/>
        <v>Private Ward</v>
      </c>
      <c r="V1011" t="str">
        <f t="shared" si="338"/>
        <v>BED1010</v>
      </c>
      <c r="W1011" t="str">
        <f t="shared" ca="1" si="339"/>
        <v>Semi-Private</v>
      </c>
      <c r="X1011" t="str">
        <f t="shared" si="340"/>
        <v>NUR010</v>
      </c>
      <c r="Y1011" t="str">
        <f t="shared" ca="1" si="341"/>
        <v>Morning</v>
      </c>
      <c r="Z1011" t="str">
        <f t="shared" ca="1" si="342"/>
        <v>CT Scanner</v>
      </c>
      <c r="AA1011" t="str">
        <f t="shared" ca="1" si="343"/>
        <v>In Use</v>
      </c>
      <c r="AB1011" t="str">
        <f t="shared" ca="1" si="344"/>
        <v>Paid</v>
      </c>
      <c r="AC1011" t="str">
        <f t="shared" ca="1" si="345"/>
        <v>Cash</v>
      </c>
      <c r="AD1011" t="str">
        <f t="shared" ca="1" si="346"/>
        <v>No</v>
      </c>
      <c r="AE1011" t="str">
        <f t="shared" ca="1" si="347"/>
        <v>No</v>
      </c>
      <c r="AF1011" t="str">
        <f t="shared" ca="1" si="348"/>
        <v>Transferred</v>
      </c>
      <c r="AG1011" t="str">
        <f t="shared" ca="1" si="349"/>
        <v>Southwest</v>
      </c>
      <c r="AH1011" t="str">
        <f t="shared" si="332"/>
        <v>September</v>
      </c>
      <c r="AI1011">
        <f t="shared" si="333"/>
        <v>2023</v>
      </c>
      <c r="AJ1011" t="str">
        <f t="shared" ca="1" si="350"/>
        <v>Occupied</v>
      </c>
      <c r="AK1011">
        <f t="shared" ca="1" si="351"/>
        <v>4</v>
      </c>
    </row>
    <row r="1012" spans="1:37" x14ac:dyDescent="0.3">
      <c r="A1012" t="s">
        <v>5424</v>
      </c>
      <c r="B1012">
        <v>48</v>
      </c>
      <c r="C1012" t="s">
        <v>32</v>
      </c>
      <c r="D1012" t="s">
        <v>24</v>
      </c>
      <c r="E1012" t="s">
        <v>17</v>
      </c>
      <c r="F1012" s="1">
        <v>44592</v>
      </c>
      <c r="G1012" t="s">
        <v>2047</v>
      </c>
      <c r="H1012" t="s">
        <v>2048</v>
      </c>
      <c r="I1012" t="s">
        <v>51</v>
      </c>
      <c r="J1012">
        <v>49492</v>
      </c>
      <c r="K1012">
        <v>126</v>
      </c>
      <c r="L1012" t="s">
        <v>42</v>
      </c>
      <c r="M1012" s="1">
        <v>44601</v>
      </c>
      <c r="N1012" t="s">
        <v>67</v>
      </c>
      <c r="O1012" t="s">
        <v>23</v>
      </c>
      <c r="P1012" t="str">
        <f t="shared" si="334"/>
        <v>P1011</v>
      </c>
      <c r="Q1012" t="str">
        <f t="shared" si="330"/>
        <v>Oncology</v>
      </c>
      <c r="R1012">
        <f t="shared" si="331"/>
        <v>9</v>
      </c>
      <c r="S1012" t="str">
        <f t="shared" ca="1" si="335"/>
        <v>No</v>
      </c>
      <c r="T1012" t="str">
        <f t="shared" ca="1" si="336"/>
        <v>Severe</v>
      </c>
      <c r="U1012" t="str">
        <f t="shared" ca="1" si="337"/>
        <v>Semi-Private</v>
      </c>
      <c r="V1012" t="str">
        <f t="shared" si="338"/>
        <v>BED1011</v>
      </c>
      <c r="W1012" t="str">
        <f t="shared" ca="1" si="339"/>
        <v>ICU</v>
      </c>
      <c r="X1012" t="str">
        <f t="shared" si="340"/>
        <v>NUR011</v>
      </c>
      <c r="Y1012" t="str">
        <f t="shared" ca="1" si="341"/>
        <v>Evening</v>
      </c>
      <c r="Z1012" t="str">
        <f t="shared" ca="1" si="342"/>
        <v>Ultrasound</v>
      </c>
      <c r="AA1012" t="str">
        <f t="shared" ca="1" si="343"/>
        <v>In Use</v>
      </c>
      <c r="AB1012" t="str">
        <f t="shared" ca="1" si="344"/>
        <v>Partially Paid</v>
      </c>
      <c r="AC1012" t="str">
        <f t="shared" ca="1" si="345"/>
        <v>Insurance</v>
      </c>
      <c r="AD1012" t="str">
        <f t="shared" ca="1" si="346"/>
        <v>No</v>
      </c>
      <c r="AE1012" t="str">
        <f t="shared" ca="1" si="347"/>
        <v>No</v>
      </c>
      <c r="AF1012" t="str">
        <f t="shared" ca="1" si="348"/>
        <v>Recovered</v>
      </c>
      <c r="AG1012" t="str">
        <f t="shared" ca="1" si="349"/>
        <v>West Coast</v>
      </c>
      <c r="AH1012" t="str">
        <f t="shared" si="332"/>
        <v>January</v>
      </c>
      <c r="AI1012">
        <f t="shared" si="333"/>
        <v>2022</v>
      </c>
      <c r="AJ1012" t="str">
        <f t="shared" ca="1" si="350"/>
        <v>Occupied</v>
      </c>
      <c r="AK1012">
        <f t="shared" ca="1" si="351"/>
        <v>2</v>
      </c>
    </row>
    <row r="1013" spans="1:37" x14ac:dyDescent="0.3">
      <c r="A1013" t="s">
        <v>5425</v>
      </c>
      <c r="B1013">
        <v>22</v>
      </c>
      <c r="C1013" t="s">
        <v>15</v>
      </c>
      <c r="D1013" t="s">
        <v>38</v>
      </c>
      <c r="E1013" t="s">
        <v>76</v>
      </c>
      <c r="F1013" s="1">
        <v>44795</v>
      </c>
      <c r="G1013" t="s">
        <v>2049</v>
      </c>
      <c r="H1013" t="s">
        <v>2050</v>
      </c>
      <c r="I1013" t="s">
        <v>51</v>
      </c>
      <c r="J1013">
        <v>7647</v>
      </c>
      <c r="K1013">
        <v>218</v>
      </c>
      <c r="L1013" t="s">
        <v>29</v>
      </c>
      <c r="M1013" s="1">
        <v>44819</v>
      </c>
      <c r="N1013" t="s">
        <v>47</v>
      </c>
      <c r="O1013" t="s">
        <v>31</v>
      </c>
      <c r="P1013" t="str">
        <f t="shared" si="334"/>
        <v>P1012</v>
      </c>
      <c r="Q1013" t="str">
        <f t="shared" si="330"/>
        <v>Orthopedics</v>
      </c>
      <c r="R1013">
        <f t="shared" si="331"/>
        <v>24</v>
      </c>
      <c r="S1013" t="str">
        <f t="shared" ca="1" si="335"/>
        <v>No</v>
      </c>
      <c r="T1013" t="str">
        <f t="shared" ca="1" si="336"/>
        <v>Mild</v>
      </c>
      <c r="U1013" t="str">
        <f t="shared" ca="1" si="337"/>
        <v>Emergency</v>
      </c>
      <c r="V1013" t="str">
        <f t="shared" si="338"/>
        <v>BED1012</v>
      </c>
      <c r="W1013" t="str">
        <f t="shared" ca="1" si="339"/>
        <v>Private</v>
      </c>
      <c r="X1013" t="str">
        <f t="shared" si="340"/>
        <v>NUR012</v>
      </c>
      <c r="Y1013" t="str">
        <f t="shared" ca="1" si="341"/>
        <v>Night</v>
      </c>
      <c r="Z1013" t="str">
        <f t="shared" ca="1" si="342"/>
        <v>Ventilator</v>
      </c>
      <c r="AA1013" t="str">
        <f t="shared" ca="1" si="343"/>
        <v>Available</v>
      </c>
      <c r="AB1013" t="str">
        <f t="shared" ca="1" si="344"/>
        <v>Partially Paid</v>
      </c>
      <c r="AC1013" t="str">
        <f t="shared" ca="1" si="345"/>
        <v>Bank Transfer</v>
      </c>
      <c r="AD1013" t="str">
        <f t="shared" ca="1" si="346"/>
        <v>Yes</v>
      </c>
      <c r="AE1013" t="str">
        <f t="shared" ca="1" si="347"/>
        <v>No</v>
      </c>
      <c r="AF1013" t="str">
        <f t="shared" ca="1" si="348"/>
        <v>Under Observation</v>
      </c>
      <c r="AG1013" t="str">
        <f t="shared" ca="1" si="349"/>
        <v>Southwest</v>
      </c>
      <c r="AH1013" t="str">
        <f t="shared" si="332"/>
        <v>August</v>
      </c>
      <c r="AI1013">
        <f t="shared" si="333"/>
        <v>2022</v>
      </c>
      <c r="AJ1013" t="str">
        <f t="shared" ca="1" si="350"/>
        <v>Vacant</v>
      </c>
      <c r="AK1013">
        <f t="shared" ca="1" si="351"/>
        <v>4</v>
      </c>
    </row>
    <row r="1014" spans="1:37" x14ac:dyDescent="0.3">
      <c r="A1014" t="s">
        <v>5426</v>
      </c>
      <c r="B1014">
        <v>50</v>
      </c>
      <c r="C1014" t="s">
        <v>15</v>
      </c>
      <c r="D1014" t="s">
        <v>33</v>
      </c>
      <c r="E1014" t="s">
        <v>76</v>
      </c>
      <c r="F1014" s="1">
        <v>44476</v>
      </c>
      <c r="G1014" t="s">
        <v>2051</v>
      </c>
      <c r="H1014" t="s">
        <v>2052</v>
      </c>
      <c r="I1014" t="s">
        <v>57</v>
      </c>
      <c r="J1014">
        <v>37340</v>
      </c>
      <c r="K1014">
        <v>427</v>
      </c>
      <c r="L1014" t="s">
        <v>21</v>
      </c>
      <c r="M1014" s="1">
        <v>44477</v>
      </c>
      <c r="N1014" t="s">
        <v>30</v>
      </c>
      <c r="O1014" t="s">
        <v>43</v>
      </c>
      <c r="P1014" t="str">
        <f t="shared" si="334"/>
        <v>P1013</v>
      </c>
      <c r="Q1014" t="str">
        <f t="shared" si="330"/>
        <v>Orthopedics</v>
      </c>
      <c r="R1014">
        <f t="shared" si="331"/>
        <v>1</v>
      </c>
      <c r="S1014" t="str">
        <f t="shared" ca="1" si="335"/>
        <v>No</v>
      </c>
      <c r="T1014" t="str">
        <f t="shared" ca="1" si="336"/>
        <v>Moderate</v>
      </c>
      <c r="U1014" t="str">
        <f t="shared" ca="1" si="337"/>
        <v>General Ward</v>
      </c>
      <c r="V1014" t="str">
        <f t="shared" si="338"/>
        <v>BED1013</v>
      </c>
      <c r="W1014" t="str">
        <f t="shared" ca="1" si="339"/>
        <v>Semi-Private</v>
      </c>
      <c r="X1014" t="str">
        <f t="shared" si="340"/>
        <v>NUR013</v>
      </c>
      <c r="Y1014" t="str">
        <f t="shared" ca="1" si="341"/>
        <v>Evening</v>
      </c>
      <c r="Z1014" t="str">
        <f t="shared" ca="1" si="342"/>
        <v>Ventilator</v>
      </c>
      <c r="AA1014" t="str">
        <f t="shared" ca="1" si="343"/>
        <v>In Use</v>
      </c>
      <c r="AB1014" t="str">
        <f t="shared" ca="1" si="344"/>
        <v>Partially Paid</v>
      </c>
      <c r="AC1014" t="str">
        <f t="shared" ca="1" si="345"/>
        <v>Bank Transfer</v>
      </c>
      <c r="AD1014" t="str">
        <f t="shared" ca="1" si="346"/>
        <v>No</v>
      </c>
      <c r="AE1014" t="str">
        <f t="shared" ca="1" si="347"/>
        <v>No</v>
      </c>
      <c r="AF1014" t="str">
        <f t="shared" ca="1" si="348"/>
        <v>Under Observation</v>
      </c>
      <c r="AG1014" t="str">
        <f t="shared" ca="1" si="349"/>
        <v>Midwest</v>
      </c>
      <c r="AH1014" t="str">
        <f t="shared" si="332"/>
        <v>October</v>
      </c>
      <c r="AI1014">
        <f t="shared" si="333"/>
        <v>2021</v>
      </c>
      <c r="AJ1014" t="str">
        <f t="shared" ca="1" si="350"/>
        <v>Occupied</v>
      </c>
      <c r="AK1014">
        <f t="shared" ca="1" si="351"/>
        <v>4</v>
      </c>
    </row>
    <row r="1015" spans="1:37" x14ac:dyDescent="0.3">
      <c r="A1015" t="s">
        <v>5427</v>
      </c>
      <c r="B1015">
        <v>19</v>
      </c>
      <c r="C1015" t="s">
        <v>15</v>
      </c>
      <c r="D1015" t="s">
        <v>98</v>
      </c>
      <c r="E1015" t="s">
        <v>39</v>
      </c>
      <c r="F1015" s="1">
        <v>44473</v>
      </c>
      <c r="G1015" t="s">
        <v>2053</v>
      </c>
      <c r="H1015" t="s">
        <v>2054</v>
      </c>
      <c r="I1015" t="s">
        <v>57</v>
      </c>
      <c r="J1015">
        <v>23743</v>
      </c>
      <c r="K1015">
        <v>171</v>
      </c>
      <c r="L1015" t="s">
        <v>29</v>
      </c>
      <c r="M1015" s="1">
        <v>44482</v>
      </c>
      <c r="N1015" t="s">
        <v>37</v>
      </c>
      <c r="O1015" t="s">
        <v>31</v>
      </c>
      <c r="P1015" t="str">
        <f t="shared" si="334"/>
        <v>P1014</v>
      </c>
      <c r="Q1015" t="str">
        <f t="shared" si="330"/>
        <v>Endocrinology</v>
      </c>
      <c r="R1015">
        <f t="shared" si="331"/>
        <v>9</v>
      </c>
      <c r="S1015" t="str">
        <f t="shared" ca="1" si="335"/>
        <v>No</v>
      </c>
      <c r="T1015" t="str">
        <f t="shared" ca="1" si="336"/>
        <v>Mild</v>
      </c>
      <c r="U1015" t="str">
        <f t="shared" ca="1" si="337"/>
        <v>Emergency</v>
      </c>
      <c r="V1015" t="str">
        <f t="shared" si="338"/>
        <v>BED1014</v>
      </c>
      <c r="W1015" t="str">
        <f t="shared" ca="1" si="339"/>
        <v>Semi-Private</v>
      </c>
      <c r="X1015" t="str">
        <f t="shared" si="340"/>
        <v>NUR014</v>
      </c>
      <c r="Y1015" t="str">
        <f t="shared" ca="1" si="341"/>
        <v>Morning</v>
      </c>
      <c r="Z1015" t="str">
        <f t="shared" ca="1" si="342"/>
        <v>Ventilator</v>
      </c>
      <c r="AA1015" t="str">
        <f t="shared" ca="1" si="343"/>
        <v>Available</v>
      </c>
      <c r="AB1015" t="str">
        <f t="shared" ca="1" si="344"/>
        <v>Partially Paid</v>
      </c>
      <c r="AC1015" t="str">
        <f t="shared" ca="1" si="345"/>
        <v>Credit Card</v>
      </c>
      <c r="AD1015" t="str">
        <f t="shared" ca="1" si="346"/>
        <v>No</v>
      </c>
      <c r="AE1015" t="str">
        <f t="shared" ca="1" si="347"/>
        <v>Yes</v>
      </c>
      <c r="AF1015" t="str">
        <f t="shared" ca="1" si="348"/>
        <v>Transferred</v>
      </c>
      <c r="AG1015" t="str">
        <f t="shared" ca="1" si="349"/>
        <v>Southwest</v>
      </c>
      <c r="AH1015" t="str">
        <f t="shared" si="332"/>
        <v>October</v>
      </c>
      <c r="AI1015">
        <f t="shared" si="333"/>
        <v>2021</v>
      </c>
      <c r="AJ1015" t="str">
        <f t="shared" ca="1" si="350"/>
        <v>Vacant</v>
      </c>
      <c r="AK1015">
        <f t="shared" ca="1" si="351"/>
        <v>1</v>
      </c>
    </row>
    <row r="1016" spans="1:37" x14ac:dyDescent="0.3">
      <c r="A1016" t="s">
        <v>5428</v>
      </c>
      <c r="B1016">
        <v>79</v>
      </c>
      <c r="C1016" t="s">
        <v>15</v>
      </c>
      <c r="D1016" t="s">
        <v>24</v>
      </c>
      <c r="E1016" t="s">
        <v>25</v>
      </c>
      <c r="F1016" s="1">
        <v>45151</v>
      </c>
      <c r="G1016" t="s">
        <v>2055</v>
      </c>
      <c r="H1016" t="s">
        <v>2056</v>
      </c>
      <c r="I1016" t="s">
        <v>36</v>
      </c>
      <c r="J1016">
        <v>10323</v>
      </c>
      <c r="K1016">
        <v>282</v>
      </c>
      <c r="L1016" t="s">
        <v>29</v>
      </c>
      <c r="M1016" s="1">
        <v>45171</v>
      </c>
      <c r="N1016" t="s">
        <v>22</v>
      </c>
      <c r="O1016" t="s">
        <v>31</v>
      </c>
      <c r="P1016" t="str">
        <f t="shared" si="334"/>
        <v>P1015</v>
      </c>
      <c r="Q1016" t="str">
        <f t="shared" si="330"/>
        <v>Nutrition</v>
      </c>
      <c r="R1016">
        <f t="shared" si="331"/>
        <v>20</v>
      </c>
      <c r="S1016" t="str">
        <f t="shared" ca="1" si="335"/>
        <v>No</v>
      </c>
      <c r="T1016" t="str">
        <f t="shared" ca="1" si="336"/>
        <v>Mild</v>
      </c>
      <c r="U1016" t="str">
        <f t="shared" ca="1" si="337"/>
        <v>General Ward</v>
      </c>
      <c r="V1016" t="str">
        <f t="shared" si="338"/>
        <v>BED1015</v>
      </c>
      <c r="W1016" t="str">
        <f t="shared" ca="1" si="339"/>
        <v>Private</v>
      </c>
      <c r="X1016" t="str">
        <f t="shared" si="340"/>
        <v>NUR015</v>
      </c>
      <c r="Y1016" t="str">
        <f t="shared" ca="1" si="341"/>
        <v>Evening</v>
      </c>
      <c r="Z1016" t="str">
        <f t="shared" ca="1" si="342"/>
        <v>MRI Scanner</v>
      </c>
      <c r="AA1016" t="str">
        <f t="shared" ca="1" si="343"/>
        <v>Available</v>
      </c>
      <c r="AB1016" t="str">
        <f t="shared" ca="1" si="344"/>
        <v>Paid</v>
      </c>
      <c r="AC1016" t="str">
        <f t="shared" ca="1" si="345"/>
        <v>Credit Card</v>
      </c>
      <c r="AD1016" t="str">
        <f t="shared" ca="1" si="346"/>
        <v>No</v>
      </c>
      <c r="AE1016" t="str">
        <f t="shared" ca="1" si="347"/>
        <v>No</v>
      </c>
      <c r="AF1016" t="str">
        <f t="shared" ca="1" si="348"/>
        <v>Transferred</v>
      </c>
      <c r="AG1016" t="str">
        <f t="shared" ca="1" si="349"/>
        <v>West Coast</v>
      </c>
      <c r="AH1016" t="str">
        <f t="shared" si="332"/>
        <v>August</v>
      </c>
      <c r="AI1016">
        <f t="shared" si="333"/>
        <v>2023</v>
      </c>
      <c r="AJ1016" t="str">
        <f t="shared" ca="1" si="350"/>
        <v>Occupied</v>
      </c>
      <c r="AK1016">
        <f t="shared" ca="1" si="351"/>
        <v>2</v>
      </c>
    </row>
    <row r="1017" spans="1:37" x14ac:dyDescent="0.3">
      <c r="A1017" t="s">
        <v>5429</v>
      </c>
      <c r="B1017">
        <v>44</v>
      </c>
      <c r="C1017" t="s">
        <v>32</v>
      </c>
      <c r="D1017" t="s">
        <v>16</v>
      </c>
      <c r="E1017" t="s">
        <v>76</v>
      </c>
      <c r="F1017" s="1">
        <v>43785</v>
      </c>
      <c r="G1017" t="s">
        <v>2057</v>
      </c>
      <c r="H1017" t="s">
        <v>2058</v>
      </c>
      <c r="I1017" t="s">
        <v>28</v>
      </c>
      <c r="J1017">
        <v>5010</v>
      </c>
      <c r="K1017">
        <v>324</v>
      </c>
      <c r="L1017" t="s">
        <v>21</v>
      </c>
      <c r="M1017" s="1">
        <v>43794</v>
      </c>
      <c r="N1017" t="s">
        <v>22</v>
      </c>
      <c r="O1017" t="s">
        <v>31</v>
      </c>
      <c r="P1017" t="str">
        <f t="shared" si="334"/>
        <v>P1016</v>
      </c>
      <c r="Q1017" t="str">
        <f t="shared" si="330"/>
        <v>Orthopedics</v>
      </c>
      <c r="R1017">
        <f t="shared" si="331"/>
        <v>9</v>
      </c>
      <c r="S1017" t="str">
        <f t="shared" ca="1" si="335"/>
        <v>No</v>
      </c>
      <c r="T1017" t="str">
        <f t="shared" ca="1" si="336"/>
        <v>Mild</v>
      </c>
      <c r="U1017" t="str">
        <f t="shared" ca="1" si="337"/>
        <v>Semi-Private</v>
      </c>
      <c r="V1017" t="str">
        <f t="shared" si="338"/>
        <v>BED1016</v>
      </c>
      <c r="W1017" t="str">
        <f t="shared" ca="1" si="339"/>
        <v>Private</v>
      </c>
      <c r="X1017" t="str">
        <f t="shared" si="340"/>
        <v>NUR016</v>
      </c>
      <c r="Y1017" t="str">
        <f t="shared" ca="1" si="341"/>
        <v>Morning</v>
      </c>
      <c r="Z1017" t="str">
        <f t="shared" ca="1" si="342"/>
        <v>CT Scanner</v>
      </c>
      <c r="AA1017" t="str">
        <f t="shared" ca="1" si="343"/>
        <v>In Use</v>
      </c>
      <c r="AB1017" t="str">
        <f t="shared" ca="1" si="344"/>
        <v>Pending</v>
      </c>
      <c r="AC1017" t="str">
        <f t="shared" ca="1" si="345"/>
        <v>Credit Card</v>
      </c>
      <c r="AD1017" t="str">
        <f t="shared" ca="1" si="346"/>
        <v>No</v>
      </c>
      <c r="AE1017" t="str">
        <f t="shared" ca="1" si="347"/>
        <v>No</v>
      </c>
      <c r="AF1017" t="str">
        <f t="shared" ca="1" si="348"/>
        <v>Recovered</v>
      </c>
      <c r="AG1017" t="str">
        <f t="shared" ca="1" si="349"/>
        <v>Southeast</v>
      </c>
      <c r="AH1017" t="str">
        <f t="shared" si="332"/>
        <v>November</v>
      </c>
      <c r="AI1017">
        <f t="shared" si="333"/>
        <v>2019</v>
      </c>
      <c r="AJ1017" t="str">
        <f t="shared" ca="1" si="350"/>
        <v>Occupied</v>
      </c>
      <c r="AK1017">
        <f t="shared" ca="1" si="351"/>
        <v>1</v>
      </c>
    </row>
    <row r="1018" spans="1:37" x14ac:dyDescent="0.3">
      <c r="A1018" t="s">
        <v>5430</v>
      </c>
      <c r="B1018">
        <v>50</v>
      </c>
      <c r="C1018" t="s">
        <v>32</v>
      </c>
      <c r="D1018" t="s">
        <v>33</v>
      </c>
      <c r="E1018" t="s">
        <v>64</v>
      </c>
      <c r="F1018" s="1">
        <v>45056</v>
      </c>
      <c r="G1018" t="s">
        <v>2059</v>
      </c>
      <c r="H1018" t="s">
        <v>2060</v>
      </c>
      <c r="I1018" t="s">
        <v>20</v>
      </c>
      <c r="J1018">
        <v>22824</v>
      </c>
      <c r="K1018">
        <v>262</v>
      </c>
      <c r="L1018" t="s">
        <v>29</v>
      </c>
      <c r="M1018" s="1">
        <v>45081</v>
      </c>
      <c r="N1018" t="s">
        <v>30</v>
      </c>
      <c r="O1018" t="s">
        <v>31</v>
      </c>
      <c r="P1018" t="str">
        <f t="shared" si="334"/>
        <v>P1017</v>
      </c>
      <c r="Q1018" t="str">
        <f t="shared" si="330"/>
        <v>Cardiology</v>
      </c>
      <c r="R1018">
        <f t="shared" si="331"/>
        <v>25</v>
      </c>
      <c r="S1018" t="str">
        <f t="shared" ca="1" si="335"/>
        <v>No</v>
      </c>
      <c r="T1018" t="str">
        <f t="shared" ca="1" si="336"/>
        <v>Mild</v>
      </c>
      <c r="U1018" t="str">
        <f t="shared" ca="1" si="337"/>
        <v>Emergency</v>
      </c>
      <c r="V1018" t="str">
        <f t="shared" si="338"/>
        <v>BED1017</v>
      </c>
      <c r="W1018" t="str">
        <f t="shared" ca="1" si="339"/>
        <v>ICU</v>
      </c>
      <c r="X1018" t="str">
        <f t="shared" si="340"/>
        <v>NUR017</v>
      </c>
      <c r="Y1018" t="str">
        <f t="shared" ca="1" si="341"/>
        <v>Morning</v>
      </c>
      <c r="Z1018" t="str">
        <f t="shared" ca="1" si="342"/>
        <v>ECG Machine</v>
      </c>
      <c r="AA1018" t="str">
        <f t="shared" ca="1" si="343"/>
        <v>Maintenance</v>
      </c>
      <c r="AB1018" t="str">
        <f t="shared" ca="1" si="344"/>
        <v>Partially Paid</v>
      </c>
      <c r="AC1018" t="str">
        <f t="shared" ca="1" si="345"/>
        <v>Bank Transfer</v>
      </c>
      <c r="AD1018" t="str">
        <f t="shared" ca="1" si="346"/>
        <v>No</v>
      </c>
      <c r="AE1018" t="str">
        <f t="shared" ca="1" si="347"/>
        <v>No</v>
      </c>
      <c r="AF1018" t="str">
        <f t="shared" ca="1" si="348"/>
        <v>Under Observation</v>
      </c>
      <c r="AG1018" t="str">
        <f t="shared" ca="1" si="349"/>
        <v>Midwest</v>
      </c>
      <c r="AH1018" t="str">
        <f t="shared" si="332"/>
        <v>May</v>
      </c>
      <c r="AI1018">
        <f t="shared" si="333"/>
        <v>2023</v>
      </c>
      <c r="AJ1018" t="str">
        <f t="shared" ca="1" si="350"/>
        <v>Vacant</v>
      </c>
      <c r="AK1018">
        <f t="shared" ca="1" si="351"/>
        <v>2</v>
      </c>
    </row>
    <row r="1019" spans="1:37" x14ac:dyDescent="0.3">
      <c r="A1019" t="s">
        <v>5431</v>
      </c>
      <c r="B1019">
        <v>20</v>
      </c>
      <c r="C1019" t="s">
        <v>32</v>
      </c>
      <c r="D1019" t="s">
        <v>38</v>
      </c>
      <c r="E1019" t="s">
        <v>76</v>
      </c>
      <c r="F1019" s="1">
        <v>44283</v>
      </c>
      <c r="G1019" t="s">
        <v>2061</v>
      </c>
      <c r="H1019" t="s">
        <v>2062</v>
      </c>
      <c r="I1019" t="s">
        <v>28</v>
      </c>
      <c r="J1019">
        <v>27855</v>
      </c>
      <c r="K1019">
        <v>309</v>
      </c>
      <c r="L1019" t="s">
        <v>21</v>
      </c>
      <c r="M1019" s="1">
        <v>44303</v>
      </c>
      <c r="N1019" t="s">
        <v>67</v>
      </c>
      <c r="O1019" t="s">
        <v>43</v>
      </c>
      <c r="P1019" t="str">
        <f t="shared" si="334"/>
        <v>P1018</v>
      </c>
      <c r="Q1019" t="str">
        <f t="shared" si="330"/>
        <v>Orthopedics</v>
      </c>
      <c r="R1019">
        <f t="shared" si="331"/>
        <v>20</v>
      </c>
      <c r="S1019" t="str">
        <f t="shared" ca="1" si="335"/>
        <v>No</v>
      </c>
      <c r="T1019" t="str">
        <f t="shared" ca="1" si="336"/>
        <v>Mild</v>
      </c>
      <c r="U1019" t="str">
        <f t="shared" ca="1" si="337"/>
        <v>Semi-Private</v>
      </c>
      <c r="V1019" t="str">
        <f t="shared" si="338"/>
        <v>BED1018</v>
      </c>
      <c r="W1019" t="str">
        <f t="shared" ca="1" si="339"/>
        <v>General</v>
      </c>
      <c r="X1019" t="str">
        <f t="shared" si="340"/>
        <v>NUR018</v>
      </c>
      <c r="Y1019" t="str">
        <f t="shared" ca="1" si="341"/>
        <v>Evening</v>
      </c>
      <c r="Z1019" t="str">
        <f t="shared" ca="1" si="342"/>
        <v>X-Ray</v>
      </c>
      <c r="AA1019" t="str">
        <f t="shared" ca="1" si="343"/>
        <v>Maintenance</v>
      </c>
      <c r="AB1019" t="str">
        <f t="shared" ca="1" si="344"/>
        <v>Pending</v>
      </c>
      <c r="AC1019" t="str">
        <f t="shared" ca="1" si="345"/>
        <v>Cash</v>
      </c>
      <c r="AD1019" t="str">
        <f t="shared" ca="1" si="346"/>
        <v>No</v>
      </c>
      <c r="AE1019" t="str">
        <f t="shared" ca="1" si="347"/>
        <v>No</v>
      </c>
      <c r="AF1019" t="str">
        <f t="shared" ca="1" si="348"/>
        <v>Transferred</v>
      </c>
      <c r="AG1019" t="str">
        <f t="shared" ca="1" si="349"/>
        <v>Northeast</v>
      </c>
      <c r="AH1019" t="str">
        <f t="shared" si="332"/>
        <v>March</v>
      </c>
      <c r="AI1019">
        <f t="shared" si="333"/>
        <v>2021</v>
      </c>
      <c r="AJ1019" t="str">
        <f t="shared" ca="1" si="350"/>
        <v>Occupied</v>
      </c>
      <c r="AK1019">
        <f t="shared" ca="1" si="351"/>
        <v>1</v>
      </c>
    </row>
    <row r="1020" spans="1:37" x14ac:dyDescent="0.3">
      <c r="A1020" t="s">
        <v>2200</v>
      </c>
      <c r="B1020">
        <v>60</v>
      </c>
      <c r="C1020" t="s">
        <v>15</v>
      </c>
      <c r="D1020" t="s">
        <v>24</v>
      </c>
      <c r="E1020" t="s">
        <v>64</v>
      </c>
      <c r="F1020" s="1">
        <v>44551</v>
      </c>
      <c r="G1020" t="s">
        <v>2063</v>
      </c>
      <c r="H1020" t="s">
        <v>2064</v>
      </c>
      <c r="I1020" t="s">
        <v>36</v>
      </c>
      <c r="J1020">
        <v>-306</v>
      </c>
      <c r="K1020">
        <v>426</v>
      </c>
      <c r="L1020" t="s">
        <v>42</v>
      </c>
      <c r="M1020" s="1">
        <v>44572</v>
      </c>
      <c r="N1020" t="s">
        <v>30</v>
      </c>
      <c r="O1020" t="s">
        <v>23</v>
      </c>
      <c r="P1020" t="str">
        <f t="shared" si="334"/>
        <v>P1019</v>
      </c>
      <c r="Q1020" t="str">
        <f t="shared" si="330"/>
        <v>Cardiology</v>
      </c>
      <c r="R1020">
        <f t="shared" si="331"/>
        <v>21</v>
      </c>
      <c r="S1020" t="str">
        <f t="shared" ca="1" si="335"/>
        <v>No</v>
      </c>
      <c r="T1020" t="str">
        <f t="shared" ca="1" si="336"/>
        <v>Critical</v>
      </c>
      <c r="U1020" t="str">
        <f t="shared" ca="1" si="337"/>
        <v>ICU</v>
      </c>
      <c r="V1020" t="str">
        <f t="shared" si="338"/>
        <v>BED1019</v>
      </c>
      <c r="W1020" t="str">
        <f t="shared" ca="1" si="339"/>
        <v>General</v>
      </c>
      <c r="X1020" t="str">
        <f t="shared" si="340"/>
        <v>NUR019</v>
      </c>
      <c r="Y1020" t="str">
        <f t="shared" ca="1" si="341"/>
        <v>Evening</v>
      </c>
      <c r="Z1020" t="str">
        <f t="shared" ca="1" si="342"/>
        <v>CT Scanner</v>
      </c>
      <c r="AA1020" t="str">
        <f t="shared" ca="1" si="343"/>
        <v>Maintenance</v>
      </c>
      <c r="AB1020" t="str">
        <f t="shared" ca="1" si="344"/>
        <v>Partially Paid</v>
      </c>
      <c r="AC1020" t="str">
        <f t="shared" ca="1" si="345"/>
        <v>Insurance</v>
      </c>
      <c r="AD1020" t="str">
        <f t="shared" ca="1" si="346"/>
        <v>No</v>
      </c>
      <c r="AE1020" t="str">
        <f t="shared" ca="1" si="347"/>
        <v>No</v>
      </c>
      <c r="AF1020" t="str">
        <f t="shared" ca="1" si="348"/>
        <v>Recovered</v>
      </c>
      <c r="AG1020" t="str">
        <f t="shared" ca="1" si="349"/>
        <v>West Coast</v>
      </c>
      <c r="AH1020" t="str">
        <f t="shared" si="332"/>
        <v>December</v>
      </c>
      <c r="AI1020">
        <f t="shared" si="333"/>
        <v>2021</v>
      </c>
      <c r="AJ1020" t="str">
        <f t="shared" ca="1" si="350"/>
        <v>Occupied</v>
      </c>
      <c r="AK1020">
        <f t="shared" ca="1" si="351"/>
        <v>2</v>
      </c>
    </row>
    <row r="1021" spans="1:37" x14ac:dyDescent="0.3">
      <c r="A1021" t="s">
        <v>5432</v>
      </c>
      <c r="B1021">
        <v>75</v>
      </c>
      <c r="C1021" t="s">
        <v>15</v>
      </c>
      <c r="D1021" t="s">
        <v>83</v>
      </c>
      <c r="E1021" t="s">
        <v>48</v>
      </c>
      <c r="F1021" s="1">
        <v>44232</v>
      </c>
      <c r="G1021" t="s">
        <v>2065</v>
      </c>
      <c r="H1021" t="s">
        <v>2066</v>
      </c>
      <c r="I1021" t="s">
        <v>20</v>
      </c>
      <c r="J1021">
        <v>2224</v>
      </c>
      <c r="K1021">
        <v>173</v>
      </c>
      <c r="L1021" t="s">
        <v>29</v>
      </c>
      <c r="M1021" s="1">
        <v>44244</v>
      </c>
      <c r="N1021" t="s">
        <v>37</v>
      </c>
      <c r="O1021" t="s">
        <v>43</v>
      </c>
      <c r="P1021" t="str">
        <f t="shared" si="334"/>
        <v>P1020</v>
      </c>
      <c r="Q1021" t="str">
        <f t="shared" si="330"/>
        <v>Pulmonology</v>
      </c>
      <c r="R1021">
        <f t="shared" si="331"/>
        <v>12</v>
      </c>
      <c r="S1021" t="str">
        <f t="shared" ca="1" si="335"/>
        <v>No</v>
      </c>
      <c r="T1021" t="str">
        <f t="shared" ca="1" si="336"/>
        <v>Moderate</v>
      </c>
      <c r="U1021" t="str">
        <f t="shared" ca="1" si="337"/>
        <v>General Ward</v>
      </c>
      <c r="V1021" t="str">
        <f t="shared" si="338"/>
        <v>BED1020</v>
      </c>
      <c r="W1021" t="str">
        <f t="shared" ca="1" si="339"/>
        <v>Semi-Private</v>
      </c>
      <c r="X1021" t="str">
        <f t="shared" si="340"/>
        <v>NUR020</v>
      </c>
      <c r="Y1021" t="str">
        <f t="shared" ca="1" si="341"/>
        <v>Evening</v>
      </c>
      <c r="Z1021" t="str">
        <f t="shared" ca="1" si="342"/>
        <v>Ultrasound</v>
      </c>
      <c r="AA1021" t="str">
        <f t="shared" ca="1" si="343"/>
        <v>Available</v>
      </c>
      <c r="AB1021" t="str">
        <f t="shared" ca="1" si="344"/>
        <v>Paid</v>
      </c>
      <c r="AC1021" t="str">
        <f t="shared" ca="1" si="345"/>
        <v>Insurance</v>
      </c>
      <c r="AD1021" t="str">
        <f t="shared" ca="1" si="346"/>
        <v>Yes</v>
      </c>
      <c r="AE1021" t="str">
        <f t="shared" ca="1" si="347"/>
        <v>No</v>
      </c>
      <c r="AF1021" t="str">
        <f t="shared" ca="1" si="348"/>
        <v>Transferred</v>
      </c>
      <c r="AG1021" t="str">
        <f t="shared" ca="1" si="349"/>
        <v>Southeast</v>
      </c>
      <c r="AH1021" t="str">
        <f t="shared" si="332"/>
        <v>February</v>
      </c>
      <c r="AI1021">
        <f t="shared" si="333"/>
        <v>2021</v>
      </c>
      <c r="AJ1021" t="str">
        <f t="shared" ca="1" si="350"/>
        <v>Occupied</v>
      </c>
      <c r="AK1021">
        <f t="shared" ca="1" si="351"/>
        <v>1</v>
      </c>
    </row>
    <row r="1022" spans="1:37" x14ac:dyDescent="0.3">
      <c r="A1022" t="s">
        <v>5433</v>
      </c>
      <c r="B1022">
        <v>45</v>
      </c>
      <c r="C1022" t="s">
        <v>32</v>
      </c>
      <c r="D1022" t="s">
        <v>44</v>
      </c>
      <c r="E1022" t="s">
        <v>48</v>
      </c>
      <c r="F1022" s="1">
        <v>45122</v>
      </c>
      <c r="G1022" t="s">
        <v>2067</v>
      </c>
      <c r="H1022" t="s">
        <v>2068</v>
      </c>
      <c r="I1022" t="s">
        <v>28</v>
      </c>
      <c r="J1022">
        <v>13534</v>
      </c>
      <c r="K1022">
        <v>219</v>
      </c>
      <c r="L1022" t="s">
        <v>21</v>
      </c>
      <c r="M1022" s="1">
        <v>45130</v>
      </c>
      <c r="N1022" t="s">
        <v>30</v>
      </c>
      <c r="O1022" t="s">
        <v>43</v>
      </c>
      <c r="P1022" t="str">
        <f t="shared" si="334"/>
        <v>P1021</v>
      </c>
      <c r="Q1022" t="str">
        <f t="shared" si="330"/>
        <v>Pulmonology</v>
      </c>
      <c r="R1022">
        <f t="shared" si="331"/>
        <v>8</v>
      </c>
      <c r="S1022" t="str">
        <f t="shared" ca="1" si="335"/>
        <v>No</v>
      </c>
      <c r="T1022" t="str">
        <f t="shared" ca="1" si="336"/>
        <v>Critical</v>
      </c>
      <c r="U1022" t="str">
        <f t="shared" ca="1" si="337"/>
        <v>ICU</v>
      </c>
      <c r="V1022" t="str">
        <f t="shared" si="338"/>
        <v>BED1021</v>
      </c>
      <c r="W1022" t="str">
        <f t="shared" ca="1" si="339"/>
        <v>Private</v>
      </c>
      <c r="X1022" t="str">
        <f t="shared" si="340"/>
        <v>NUR021</v>
      </c>
      <c r="Y1022" t="str">
        <f t="shared" ca="1" si="341"/>
        <v>Evening</v>
      </c>
      <c r="Z1022" t="str">
        <f t="shared" ca="1" si="342"/>
        <v>Ventilator</v>
      </c>
      <c r="AA1022" t="str">
        <f t="shared" ca="1" si="343"/>
        <v>In Use</v>
      </c>
      <c r="AB1022" t="str">
        <f t="shared" ca="1" si="344"/>
        <v>Paid</v>
      </c>
      <c r="AC1022" t="str">
        <f t="shared" ca="1" si="345"/>
        <v>Credit Card</v>
      </c>
      <c r="AD1022" t="str">
        <f t="shared" ca="1" si="346"/>
        <v>Yes</v>
      </c>
      <c r="AE1022" t="str">
        <f t="shared" ca="1" si="347"/>
        <v>Yes</v>
      </c>
      <c r="AF1022" t="str">
        <f t="shared" ca="1" si="348"/>
        <v>Transferred</v>
      </c>
      <c r="AG1022" t="str">
        <f t="shared" ca="1" si="349"/>
        <v>Northeast</v>
      </c>
      <c r="AH1022" t="str">
        <f t="shared" si="332"/>
        <v>July</v>
      </c>
      <c r="AI1022">
        <f t="shared" si="333"/>
        <v>2023</v>
      </c>
      <c r="AJ1022" t="str">
        <f t="shared" ca="1" si="350"/>
        <v>Occupied</v>
      </c>
      <c r="AK1022">
        <f t="shared" ca="1" si="351"/>
        <v>2</v>
      </c>
    </row>
    <row r="1023" spans="1:37" x14ac:dyDescent="0.3">
      <c r="A1023" t="s">
        <v>5434</v>
      </c>
      <c r="B1023">
        <v>20</v>
      </c>
      <c r="C1023" t="s">
        <v>32</v>
      </c>
      <c r="D1023" t="s">
        <v>98</v>
      </c>
      <c r="E1023" t="s">
        <v>48</v>
      </c>
      <c r="F1023" s="1">
        <v>44946</v>
      </c>
      <c r="G1023" t="s">
        <v>2069</v>
      </c>
      <c r="H1023" t="s">
        <v>2070</v>
      </c>
      <c r="I1023" t="s">
        <v>28</v>
      </c>
      <c r="J1023">
        <v>5851</v>
      </c>
      <c r="K1023">
        <v>214</v>
      </c>
      <c r="L1023" t="s">
        <v>29</v>
      </c>
      <c r="M1023" s="1">
        <v>44975</v>
      </c>
      <c r="N1023" t="s">
        <v>30</v>
      </c>
      <c r="O1023" t="s">
        <v>31</v>
      </c>
      <c r="P1023" t="str">
        <f t="shared" si="334"/>
        <v>P1022</v>
      </c>
      <c r="Q1023" t="str">
        <f t="shared" si="330"/>
        <v>Pulmonology</v>
      </c>
      <c r="R1023">
        <f t="shared" si="331"/>
        <v>29</v>
      </c>
      <c r="S1023" t="str">
        <f t="shared" ca="1" si="335"/>
        <v>No</v>
      </c>
      <c r="T1023" t="str">
        <f t="shared" ca="1" si="336"/>
        <v>Mild</v>
      </c>
      <c r="U1023" t="str">
        <f t="shared" ca="1" si="337"/>
        <v>ICU</v>
      </c>
      <c r="V1023" t="str">
        <f t="shared" si="338"/>
        <v>BED1022</v>
      </c>
      <c r="W1023" t="str">
        <f t="shared" ca="1" si="339"/>
        <v>Private</v>
      </c>
      <c r="X1023" t="str">
        <f t="shared" si="340"/>
        <v>NUR022</v>
      </c>
      <c r="Y1023" t="str">
        <f t="shared" ca="1" si="341"/>
        <v>Morning</v>
      </c>
      <c r="Z1023" t="str">
        <f t="shared" ca="1" si="342"/>
        <v>Ventilator</v>
      </c>
      <c r="AA1023" t="str">
        <f t="shared" ca="1" si="343"/>
        <v>Maintenance</v>
      </c>
      <c r="AB1023" t="str">
        <f t="shared" ca="1" si="344"/>
        <v>Partially Paid</v>
      </c>
      <c r="AC1023" t="str">
        <f t="shared" ca="1" si="345"/>
        <v>Insurance</v>
      </c>
      <c r="AD1023" t="str">
        <f t="shared" ca="1" si="346"/>
        <v>No</v>
      </c>
      <c r="AE1023" t="str">
        <f t="shared" ca="1" si="347"/>
        <v>No</v>
      </c>
      <c r="AF1023" t="str">
        <f t="shared" ca="1" si="348"/>
        <v>Under Observation</v>
      </c>
      <c r="AG1023" t="str">
        <f t="shared" ca="1" si="349"/>
        <v>Southeast</v>
      </c>
      <c r="AH1023" t="str">
        <f t="shared" si="332"/>
        <v>January</v>
      </c>
      <c r="AI1023">
        <f t="shared" si="333"/>
        <v>2023</v>
      </c>
      <c r="AJ1023" t="str">
        <f t="shared" ca="1" si="350"/>
        <v>Occupied</v>
      </c>
      <c r="AK1023">
        <f t="shared" ca="1" si="351"/>
        <v>1</v>
      </c>
    </row>
    <row r="1024" spans="1:37" x14ac:dyDescent="0.3">
      <c r="A1024" t="s">
        <v>5435</v>
      </c>
      <c r="B1024">
        <v>50</v>
      </c>
      <c r="C1024" t="s">
        <v>32</v>
      </c>
      <c r="D1024" t="s">
        <v>52</v>
      </c>
      <c r="E1024" t="s">
        <v>64</v>
      </c>
      <c r="F1024" s="1">
        <v>43912</v>
      </c>
      <c r="G1024" t="s">
        <v>2071</v>
      </c>
      <c r="H1024" t="s">
        <v>2072</v>
      </c>
      <c r="I1024" t="s">
        <v>20</v>
      </c>
      <c r="J1024">
        <v>20831</v>
      </c>
      <c r="K1024">
        <v>353</v>
      </c>
      <c r="L1024" t="s">
        <v>29</v>
      </c>
      <c r="M1024" s="1">
        <v>43922</v>
      </c>
      <c r="N1024" t="s">
        <v>22</v>
      </c>
      <c r="O1024" t="s">
        <v>31</v>
      </c>
      <c r="P1024" t="str">
        <f t="shared" si="334"/>
        <v>P1023</v>
      </c>
      <c r="Q1024" t="str">
        <f t="shared" si="330"/>
        <v>Cardiology</v>
      </c>
      <c r="R1024">
        <f t="shared" si="331"/>
        <v>10</v>
      </c>
      <c r="S1024" t="str">
        <f t="shared" ca="1" si="335"/>
        <v>No</v>
      </c>
      <c r="T1024" t="str">
        <f t="shared" ca="1" si="336"/>
        <v>Critical</v>
      </c>
      <c r="U1024" t="str">
        <f t="shared" ca="1" si="337"/>
        <v>Semi-Private</v>
      </c>
      <c r="V1024" t="str">
        <f t="shared" si="338"/>
        <v>BED1023</v>
      </c>
      <c r="W1024" t="str">
        <f t="shared" ca="1" si="339"/>
        <v>Semi-Private</v>
      </c>
      <c r="X1024" t="str">
        <f t="shared" si="340"/>
        <v>NUR023</v>
      </c>
      <c r="Y1024" t="str">
        <f t="shared" ca="1" si="341"/>
        <v>Evening</v>
      </c>
      <c r="Z1024" t="str">
        <f t="shared" ca="1" si="342"/>
        <v>ECG Machine</v>
      </c>
      <c r="AA1024" t="str">
        <f t="shared" ca="1" si="343"/>
        <v>Available</v>
      </c>
      <c r="AB1024" t="str">
        <f t="shared" ca="1" si="344"/>
        <v>Pending</v>
      </c>
      <c r="AC1024" t="str">
        <f t="shared" ca="1" si="345"/>
        <v>Debit Card</v>
      </c>
      <c r="AD1024" t="str">
        <f t="shared" ca="1" si="346"/>
        <v>No</v>
      </c>
      <c r="AE1024" t="str">
        <f t="shared" ca="1" si="347"/>
        <v>No</v>
      </c>
      <c r="AF1024" t="str">
        <f t="shared" ca="1" si="348"/>
        <v>Under Observation</v>
      </c>
      <c r="AG1024" t="str">
        <f t="shared" ca="1" si="349"/>
        <v>West Coast</v>
      </c>
      <c r="AH1024" t="str">
        <f t="shared" si="332"/>
        <v>March</v>
      </c>
      <c r="AI1024">
        <f t="shared" si="333"/>
        <v>2020</v>
      </c>
      <c r="AJ1024" t="str">
        <f t="shared" ca="1" si="350"/>
        <v>Occupied</v>
      </c>
      <c r="AK1024">
        <f t="shared" ca="1" si="351"/>
        <v>1</v>
      </c>
    </row>
    <row r="1025" spans="1:37" x14ac:dyDescent="0.3">
      <c r="A1025" t="s">
        <v>5436</v>
      </c>
      <c r="B1025">
        <v>39</v>
      </c>
      <c r="C1025" t="s">
        <v>32</v>
      </c>
      <c r="D1025" t="s">
        <v>44</v>
      </c>
      <c r="E1025" t="s">
        <v>39</v>
      </c>
      <c r="F1025" s="1">
        <v>44121</v>
      </c>
      <c r="G1025" t="s">
        <v>2073</v>
      </c>
      <c r="H1025" t="s">
        <v>2074</v>
      </c>
      <c r="I1025" t="s">
        <v>36</v>
      </c>
      <c r="J1025">
        <v>10557</v>
      </c>
      <c r="K1025">
        <v>266</v>
      </c>
      <c r="L1025" t="s">
        <v>29</v>
      </c>
      <c r="M1025" s="1">
        <v>44130</v>
      </c>
      <c r="N1025" t="s">
        <v>47</v>
      </c>
      <c r="O1025" t="s">
        <v>43</v>
      </c>
      <c r="P1025" t="str">
        <f t="shared" si="334"/>
        <v>P1024</v>
      </c>
      <c r="Q1025" t="str">
        <f t="shared" si="330"/>
        <v>Endocrinology</v>
      </c>
      <c r="R1025">
        <f t="shared" si="331"/>
        <v>9</v>
      </c>
      <c r="S1025" t="str">
        <f t="shared" ca="1" si="335"/>
        <v>No</v>
      </c>
      <c r="T1025" t="str">
        <f t="shared" ca="1" si="336"/>
        <v>Mild</v>
      </c>
      <c r="U1025" t="str">
        <f t="shared" ca="1" si="337"/>
        <v>ICU</v>
      </c>
      <c r="V1025" t="str">
        <f t="shared" si="338"/>
        <v>BED1024</v>
      </c>
      <c r="W1025" t="str">
        <f t="shared" ca="1" si="339"/>
        <v>Private</v>
      </c>
      <c r="X1025" t="str">
        <f t="shared" si="340"/>
        <v>NUR024</v>
      </c>
      <c r="Y1025" t="str">
        <f t="shared" ca="1" si="341"/>
        <v>Morning</v>
      </c>
      <c r="Z1025" t="str">
        <f t="shared" ca="1" si="342"/>
        <v>Ventilator</v>
      </c>
      <c r="AA1025" t="str">
        <f t="shared" ca="1" si="343"/>
        <v>Available</v>
      </c>
      <c r="AB1025" t="str">
        <f t="shared" ca="1" si="344"/>
        <v>Paid</v>
      </c>
      <c r="AC1025" t="str">
        <f t="shared" ca="1" si="345"/>
        <v>Credit Card</v>
      </c>
      <c r="AD1025" t="str">
        <f t="shared" ca="1" si="346"/>
        <v>Yes</v>
      </c>
      <c r="AE1025" t="str">
        <f t="shared" ca="1" si="347"/>
        <v>No</v>
      </c>
      <c r="AF1025" t="str">
        <f t="shared" ca="1" si="348"/>
        <v>Under Observation</v>
      </c>
      <c r="AG1025" t="str">
        <f t="shared" ca="1" si="349"/>
        <v>Southeast</v>
      </c>
      <c r="AH1025" t="str">
        <f t="shared" si="332"/>
        <v>October</v>
      </c>
      <c r="AI1025">
        <f t="shared" si="333"/>
        <v>2020</v>
      </c>
      <c r="AJ1025" t="str">
        <f t="shared" ca="1" si="350"/>
        <v>Occupied</v>
      </c>
      <c r="AK1025">
        <f t="shared" ca="1" si="351"/>
        <v>1</v>
      </c>
    </row>
    <row r="1026" spans="1:37" x14ac:dyDescent="0.3">
      <c r="A1026" t="s">
        <v>5437</v>
      </c>
      <c r="B1026">
        <v>32</v>
      </c>
      <c r="C1026" t="s">
        <v>32</v>
      </c>
      <c r="D1026" t="s">
        <v>38</v>
      </c>
      <c r="E1026" t="s">
        <v>48</v>
      </c>
      <c r="F1026" s="1">
        <v>44215</v>
      </c>
      <c r="G1026" t="s">
        <v>2075</v>
      </c>
      <c r="H1026" t="s">
        <v>2076</v>
      </c>
      <c r="I1026" t="s">
        <v>20</v>
      </c>
      <c r="J1026">
        <v>29832</v>
      </c>
      <c r="K1026">
        <v>281</v>
      </c>
      <c r="L1026" t="s">
        <v>42</v>
      </c>
      <c r="M1026" s="1">
        <v>44232</v>
      </c>
      <c r="N1026" t="s">
        <v>67</v>
      </c>
      <c r="O1026" t="s">
        <v>23</v>
      </c>
      <c r="P1026" t="str">
        <f t="shared" si="334"/>
        <v>P1025</v>
      </c>
      <c r="Q1026" t="str">
        <f t="shared" ref="Q1026:Q1089" si="352">IF(E1026="Cancer","Oncology",IF(E1026="Obesity","Nutrition",IF(E1026="Diabetes","Endocrinology",IF(E1026="Asthma","Pulmonology",IF(E1026="Arthritis","Orthopedics",IF(E1026="Hypertension","Cardiology","General Medicine"))))))</f>
        <v>Pulmonology</v>
      </c>
      <c r="R1026">
        <f t="shared" ref="R1026:R1089" si="353">M1026-F1026</f>
        <v>17</v>
      </c>
      <c r="S1026" t="str">
        <f t="shared" ca="1" si="335"/>
        <v>No</v>
      </c>
      <c r="T1026" t="str">
        <f t="shared" ca="1" si="336"/>
        <v>Moderate</v>
      </c>
      <c r="U1026" t="str">
        <f t="shared" ca="1" si="337"/>
        <v>Private Ward</v>
      </c>
      <c r="V1026" t="str">
        <f t="shared" si="338"/>
        <v>BED1025</v>
      </c>
      <c r="W1026" t="str">
        <f t="shared" ca="1" si="339"/>
        <v>General</v>
      </c>
      <c r="X1026" t="str">
        <f t="shared" si="340"/>
        <v>NUR025</v>
      </c>
      <c r="Y1026" t="str">
        <f t="shared" ca="1" si="341"/>
        <v>Night</v>
      </c>
      <c r="Z1026" t="str">
        <f t="shared" ca="1" si="342"/>
        <v>X-Ray</v>
      </c>
      <c r="AA1026" t="str">
        <f t="shared" ca="1" si="343"/>
        <v>In Use</v>
      </c>
      <c r="AB1026" t="str">
        <f t="shared" ca="1" si="344"/>
        <v>Partially Paid</v>
      </c>
      <c r="AC1026" t="str">
        <f t="shared" ca="1" si="345"/>
        <v>Debit Card</v>
      </c>
      <c r="AD1026" t="str">
        <f t="shared" ca="1" si="346"/>
        <v>No</v>
      </c>
      <c r="AE1026" t="str">
        <f t="shared" ca="1" si="347"/>
        <v>No</v>
      </c>
      <c r="AF1026" t="str">
        <f t="shared" ca="1" si="348"/>
        <v>Recovered</v>
      </c>
      <c r="AG1026" t="str">
        <f t="shared" ca="1" si="349"/>
        <v>West Coast</v>
      </c>
      <c r="AH1026" t="str">
        <f t="shared" ref="AH1026:AH1089" si="354">TEXT(F1026,"MMMM")</f>
        <v>January</v>
      </c>
      <c r="AI1026">
        <f t="shared" ref="AI1026:AI1089" si="355">YEAR(F1026)</f>
        <v>2021</v>
      </c>
      <c r="AJ1026" t="str">
        <f t="shared" ca="1" si="350"/>
        <v>Occupied</v>
      </c>
      <c r="AK1026">
        <f t="shared" ca="1" si="351"/>
        <v>4</v>
      </c>
    </row>
    <row r="1027" spans="1:37" x14ac:dyDescent="0.3">
      <c r="A1027" t="s">
        <v>5438</v>
      </c>
      <c r="B1027">
        <v>58</v>
      </c>
      <c r="C1027" t="s">
        <v>15</v>
      </c>
      <c r="D1027" t="s">
        <v>33</v>
      </c>
      <c r="E1027" t="s">
        <v>39</v>
      </c>
      <c r="F1027" s="1">
        <v>45011</v>
      </c>
      <c r="G1027" t="s">
        <v>2077</v>
      </c>
      <c r="H1027" t="s">
        <v>2078</v>
      </c>
      <c r="I1027" t="s">
        <v>36</v>
      </c>
      <c r="J1027">
        <v>30143</v>
      </c>
      <c r="K1027">
        <v>459</v>
      </c>
      <c r="L1027" t="s">
        <v>21</v>
      </c>
      <c r="M1027" s="1">
        <v>45021</v>
      </c>
      <c r="N1027" t="s">
        <v>30</v>
      </c>
      <c r="O1027" t="s">
        <v>23</v>
      </c>
      <c r="P1027" t="str">
        <f t="shared" ref="P1027:P1090" si="356">"P"&amp;TEXT(ROW()-1,"0000")</f>
        <v>P1026</v>
      </c>
      <c r="Q1027" t="str">
        <f t="shared" si="352"/>
        <v>Endocrinology</v>
      </c>
      <c r="R1027">
        <f t="shared" si="353"/>
        <v>10</v>
      </c>
      <c r="S1027" t="str">
        <f t="shared" ref="S1027:S1090" ca="1" si="357">IF(RAND()&lt;0.1,"Yes","No")</f>
        <v>No</v>
      </c>
      <c r="T1027" t="str">
        <f t="shared" ref="T1027:T1090" ca="1" si="358">CHOOSE(RANDBETWEEN(1,4),"Mild","Moderate","Severe","Critical")</f>
        <v>Severe</v>
      </c>
      <c r="U1027" t="str">
        <f t="shared" ref="U1027:U1090" ca="1" si="359">CHOOSE(RANDBETWEEN(1,5),"General Ward","ICU","Emergency","Private Ward","Semi-Private")</f>
        <v>Emergency</v>
      </c>
      <c r="V1027" t="str">
        <f t="shared" ref="V1027:V1090" si="360">"BED"&amp;TEXT(ROW()-1,"0000")</f>
        <v>BED1026</v>
      </c>
      <c r="W1027" t="str">
        <f t="shared" ref="W1027:W1090" ca="1" si="361">CHOOSE(RANDBETWEEN(1,4),"General","Private","Semi-Private","ICU")</f>
        <v>General</v>
      </c>
      <c r="X1027" t="str">
        <f t="shared" ref="X1027:X1090" si="362">"NUR"&amp;TEXT(MOD(ROW()-2,50)+1,"000")</f>
        <v>NUR026</v>
      </c>
      <c r="Y1027" t="str">
        <f t="shared" ref="Y1027:Y1090" ca="1" si="363">CHOOSE(RANDBETWEEN(1,3),"Morning","Evening","Night")</f>
        <v>Morning</v>
      </c>
      <c r="Z1027" t="str">
        <f t="shared" ref="Z1027:Z1090" ca="1" si="364">CHOOSE(RANDBETWEEN(1,6),"MRI Scanner","CT Scanner","Ventilator","X-Ray","ECG Machine","Ultrasound")</f>
        <v>X-Ray</v>
      </c>
      <c r="AA1027" t="str">
        <f t="shared" ref="AA1027:AA1090" ca="1" si="365">CHOOSE(RANDBETWEEN(1,3),"Available","In Use","Maintenance")</f>
        <v>Available</v>
      </c>
      <c r="AB1027" t="str">
        <f t="shared" ref="AB1027:AB1090" ca="1" si="366">CHOOSE(RANDBETWEEN(1,3),"Paid","Pending","Partially Paid")</f>
        <v>Paid</v>
      </c>
      <c r="AC1027" t="str">
        <f t="shared" ref="AC1027:AC1090" ca="1" si="367">CHOOSE(RANDBETWEEN(1,5),"Cash","Credit Card","Debit Card","Insurance","Bank Transfer")</f>
        <v>Credit Card</v>
      </c>
      <c r="AD1027" t="str">
        <f t="shared" ref="AD1027:AD1090" ca="1" si="368">IF(RAND()&lt;0.2,"Yes","No")</f>
        <v>No</v>
      </c>
      <c r="AE1027" t="str">
        <f t="shared" ref="AE1027:AE1090" ca="1" si="369">IF(RAND()&lt;0.15,"Yes","No")</f>
        <v>No</v>
      </c>
      <c r="AF1027" t="str">
        <f t="shared" ref="AF1027:AF1090" ca="1" si="370">CHOOSE(RANDBETWEEN(1,3),"Recovered","Transferred","Under Observation")</f>
        <v>Recovered</v>
      </c>
      <c r="AG1027" t="str">
        <f t="shared" ref="AG1027:AG1090" ca="1" si="371">CHOOSE(RANDBETWEEN(1,5),"Northeast","Southeast","Midwest","Southwest","West Coast")</f>
        <v>Southwest</v>
      </c>
      <c r="AH1027" t="str">
        <f t="shared" si="354"/>
        <v>March</v>
      </c>
      <c r="AI1027">
        <f t="shared" si="355"/>
        <v>2023</v>
      </c>
      <c r="AJ1027" t="str">
        <f t="shared" ref="AJ1027:AJ1090" ca="1" si="372">IF(RANDBETWEEN(1,100)&lt;=80,"Occupied","Vacant")</f>
        <v>Vacant</v>
      </c>
      <c r="AK1027">
        <f t="shared" ref="AK1027:AK1090" ca="1" si="373">CHOOSE(RANDBETWEEN(1,3),1,2,4)</f>
        <v>4</v>
      </c>
    </row>
    <row r="1028" spans="1:37" x14ac:dyDescent="0.3">
      <c r="A1028" t="s">
        <v>5439</v>
      </c>
      <c r="B1028">
        <v>67</v>
      </c>
      <c r="C1028" t="s">
        <v>32</v>
      </c>
      <c r="D1028" t="s">
        <v>33</v>
      </c>
      <c r="E1028" t="s">
        <v>39</v>
      </c>
      <c r="F1028" s="1">
        <v>44832</v>
      </c>
      <c r="G1028" t="s">
        <v>2079</v>
      </c>
      <c r="H1028" t="s">
        <v>2080</v>
      </c>
      <c r="I1028" t="s">
        <v>36</v>
      </c>
      <c r="J1028">
        <v>34555</v>
      </c>
      <c r="K1028">
        <v>317</v>
      </c>
      <c r="L1028" t="s">
        <v>29</v>
      </c>
      <c r="M1028" s="1">
        <v>44850</v>
      </c>
      <c r="N1028" t="s">
        <v>37</v>
      </c>
      <c r="O1028" t="s">
        <v>23</v>
      </c>
      <c r="P1028" t="str">
        <f t="shared" si="356"/>
        <v>P1027</v>
      </c>
      <c r="Q1028" t="str">
        <f t="shared" si="352"/>
        <v>Endocrinology</v>
      </c>
      <c r="R1028">
        <f t="shared" si="353"/>
        <v>18</v>
      </c>
      <c r="S1028" t="str">
        <f t="shared" ca="1" si="357"/>
        <v>No</v>
      </c>
      <c r="T1028" t="str">
        <f t="shared" ca="1" si="358"/>
        <v>Severe</v>
      </c>
      <c r="U1028" t="str">
        <f t="shared" ca="1" si="359"/>
        <v>Semi-Private</v>
      </c>
      <c r="V1028" t="str">
        <f t="shared" si="360"/>
        <v>BED1027</v>
      </c>
      <c r="W1028" t="str">
        <f t="shared" ca="1" si="361"/>
        <v>Private</v>
      </c>
      <c r="X1028" t="str">
        <f t="shared" si="362"/>
        <v>NUR027</v>
      </c>
      <c r="Y1028" t="str">
        <f t="shared" ca="1" si="363"/>
        <v>Evening</v>
      </c>
      <c r="Z1028" t="str">
        <f t="shared" ca="1" si="364"/>
        <v>ECG Machine</v>
      </c>
      <c r="AA1028" t="str">
        <f t="shared" ca="1" si="365"/>
        <v>Available</v>
      </c>
      <c r="AB1028" t="str">
        <f t="shared" ca="1" si="366"/>
        <v>Partially Paid</v>
      </c>
      <c r="AC1028" t="str">
        <f t="shared" ca="1" si="367"/>
        <v>Credit Card</v>
      </c>
      <c r="AD1028" t="str">
        <f t="shared" ca="1" si="368"/>
        <v>No</v>
      </c>
      <c r="AE1028" t="str">
        <f t="shared" ca="1" si="369"/>
        <v>No</v>
      </c>
      <c r="AF1028" t="str">
        <f t="shared" ca="1" si="370"/>
        <v>Transferred</v>
      </c>
      <c r="AG1028" t="str">
        <f t="shared" ca="1" si="371"/>
        <v>Southwest</v>
      </c>
      <c r="AH1028" t="str">
        <f t="shared" si="354"/>
        <v>September</v>
      </c>
      <c r="AI1028">
        <f t="shared" si="355"/>
        <v>2022</v>
      </c>
      <c r="AJ1028" t="str">
        <f t="shared" ca="1" si="372"/>
        <v>Occupied</v>
      </c>
      <c r="AK1028">
        <f t="shared" ca="1" si="373"/>
        <v>2</v>
      </c>
    </row>
    <row r="1029" spans="1:37" x14ac:dyDescent="0.3">
      <c r="A1029" t="s">
        <v>5440</v>
      </c>
      <c r="B1029">
        <v>59</v>
      </c>
      <c r="C1029" t="s">
        <v>15</v>
      </c>
      <c r="D1029" t="s">
        <v>52</v>
      </c>
      <c r="E1029" t="s">
        <v>17</v>
      </c>
      <c r="F1029" s="1">
        <v>43758</v>
      </c>
      <c r="G1029" t="s">
        <v>2081</v>
      </c>
      <c r="H1029" t="s">
        <v>2082</v>
      </c>
      <c r="I1029" t="s">
        <v>57</v>
      </c>
      <c r="J1029">
        <v>3915</v>
      </c>
      <c r="K1029">
        <v>346</v>
      </c>
      <c r="L1029" t="s">
        <v>42</v>
      </c>
      <c r="M1029" s="1">
        <v>43776</v>
      </c>
      <c r="N1029" t="s">
        <v>47</v>
      </c>
      <c r="O1029" t="s">
        <v>43</v>
      </c>
      <c r="P1029" t="str">
        <f t="shared" si="356"/>
        <v>P1028</v>
      </c>
      <c r="Q1029" t="str">
        <f t="shared" si="352"/>
        <v>Oncology</v>
      </c>
      <c r="R1029">
        <f t="shared" si="353"/>
        <v>18</v>
      </c>
      <c r="S1029" t="str">
        <f t="shared" ca="1" si="357"/>
        <v>No</v>
      </c>
      <c r="T1029" t="str">
        <f t="shared" ca="1" si="358"/>
        <v>Severe</v>
      </c>
      <c r="U1029" t="str">
        <f t="shared" ca="1" si="359"/>
        <v>ICU</v>
      </c>
      <c r="V1029" t="str">
        <f t="shared" si="360"/>
        <v>BED1028</v>
      </c>
      <c r="W1029" t="str">
        <f t="shared" ca="1" si="361"/>
        <v>General</v>
      </c>
      <c r="X1029" t="str">
        <f t="shared" si="362"/>
        <v>NUR028</v>
      </c>
      <c r="Y1029" t="str">
        <f t="shared" ca="1" si="363"/>
        <v>Night</v>
      </c>
      <c r="Z1029" t="str">
        <f t="shared" ca="1" si="364"/>
        <v>Ultrasound</v>
      </c>
      <c r="AA1029" t="str">
        <f t="shared" ca="1" si="365"/>
        <v>In Use</v>
      </c>
      <c r="AB1029" t="str">
        <f t="shared" ca="1" si="366"/>
        <v>Partially Paid</v>
      </c>
      <c r="AC1029" t="str">
        <f t="shared" ca="1" si="367"/>
        <v>Cash</v>
      </c>
      <c r="AD1029" t="str">
        <f t="shared" ca="1" si="368"/>
        <v>Yes</v>
      </c>
      <c r="AE1029" t="str">
        <f t="shared" ca="1" si="369"/>
        <v>No</v>
      </c>
      <c r="AF1029" t="str">
        <f t="shared" ca="1" si="370"/>
        <v>Under Observation</v>
      </c>
      <c r="AG1029" t="str">
        <f t="shared" ca="1" si="371"/>
        <v>Southwest</v>
      </c>
      <c r="AH1029" t="str">
        <f t="shared" si="354"/>
        <v>October</v>
      </c>
      <c r="AI1029">
        <f t="shared" si="355"/>
        <v>2019</v>
      </c>
      <c r="AJ1029" t="str">
        <f t="shared" ca="1" si="372"/>
        <v>Occupied</v>
      </c>
      <c r="AK1029">
        <f t="shared" ca="1" si="373"/>
        <v>1</v>
      </c>
    </row>
    <row r="1030" spans="1:37" x14ac:dyDescent="0.3">
      <c r="A1030" t="s">
        <v>5441</v>
      </c>
      <c r="B1030">
        <v>37</v>
      </c>
      <c r="C1030" t="s">
        <v>15</v>
      </c>
      <c r="D1030" t="s">
        <v>38</v>
      </c>
      <c r="E1030" t="s">
        <v>76</v>
      </c>
      <c r="F1030" s="1">
        <v>44633</v>
      </c>
      <c r="G1030" t="s">
        <v>2083</v>
      </c>
      <c r="H1030" t="s">
        <v>2084</v>
      </c>
      <c r="I1030" t="s">
        <v>36</v>
      </c>
      <c r="J1030">
        <v>36542</v>
      </c>
      <c r="K1030">
        <v>446</v>
      </c>
      <c r="L1030" t="s">
        <v>29</v>
      </c>
      <c r="M1030" s="1">
        <v>44637</v>
      </c>
      <c r="N1030" t="s">
        <v>22</v>
      </c>
      <c r="O1030" t="s">
        <v>43</v>
      </c>
      <c r="P1030" t="str">
        <f t="shared" si="356"/>
        <v>P1029</v>
      </c>
      <c r="Q1030" t="str">
        <f t="shared" si="352"/>
        <v>Orthopedics</v>
      </c>
      <c r="R1030">
        <f t="shared" si="353"/>
        <v>4</v>
      </c>
      <c r="S1030" t="str">
        <f t="shared" ca="1" si="357"/>
        <v>No</v>
      </c>
      <c r="T1030" t="str">
        <f t="shared" ca="1" si="358"/>
        <v>Severe</v>
      </c>
      <c r="U1030" t="str">
        <f t="shared" ca="1" si="359"/>
        <v>Semi-Private</v>
      </c>
      <c r="V1030" t="str">
        <f t="shared" si="360"/>
        <v>BED1029</v>
      </c>
      <c r="W1030" t="str">
        <f t="shared" ca="1" si="361"/>
        <v>Semi-Private</v>
      </c>
      <c r="X1030" t="str">
        <f t="shared" si="362"/>
        <v>NUR029</v>
      </c>
      <c r="Y1030" t="str">
        <f t="shared" ca="1" si="363"/>
        <v>Evening</v>
      </c>
      <c r="Z1030" t="str">
        <f t="shared" ca="1" si="364"/>
        <v>Ventilator</v>
      </c>
      <c r="AA1030" t="str">
        <f t="shared" ca="1" si="365"/>
        <v>In Use</v>
      </c>
      <c r="AB1030" t="str">
        <f t="shared" ca="1" si="366"/>
        <v>Partially Paid</v>
      </c>
      <c r="AC1030" t="str">
        <f t="shared" ca="1" si="367"/>
        <v>Credit Card</v>
      </c>
      <c r="AD1030" t="str">
        <f t="shared" ca="1" si="368"/>
        <v>No</v>
      </c>
      <c r="AE1030" t="str">
        <f t="shared" ca="1" si="369"/>
        <v>Yes</v>
      </c>
      <c r="AF1030" t="str">
        <f t="shared" ca="1" si="370"/>
        <v>Under Observation</v>
      </c>
      <c r="AG1030" t="str">
        <f t="shared" ca="1" si="371"/>
        <v>Southwest</v>
      </c>
      <c r="AH1030" t="str">
        <f t="shared" si="354"/>
        <v>March</v>
      </c>
      <c r="AI1030">
        <f t="shared" si="355"/>
        <v>2022</v>
      </c>
      <c r="AJ1030" t="str">
        <f t="shared" ca="1" si="372"/>
        <v>Vacant</v>
      </c>
      <c r="AK1030">
        <f t="shared" ca="1" si="373"/>
        <v>1</v>
      </c>
    </row>
    <row r="1031" spans="1:37" x14ac:dyDescent="0.3">
      <c r="A1031" t="s">
        <v>5442</v>
      </c>
      <c r="B1031">
        <v>37</v>
      </c>
      <c r="C1031" t="s">
        <v>15</v>
      </c>
      <c r="D1031" t="s">
        <v>83</v>
      </c>
      <c r="E1031" t="s">
        <v>25</v>
      </c>
      <c r="F1031" s="1">
        <v>43909</v>
      </c>
      <c r="G1031" t="s">
        <v>2085</v>
      </c>
      <c r="H1031" t="s">
        <v>2086</v>
      </c>
      <c r="I1031" t="s">
        <v>57</v>
      </c>
      <c r="J1031">
        <v>6710</v>
      </c>
      <c r="K1031">
        <v>362</v>
      </c>
      <c r="L1031" t="s">
        <v>42</v>
      </c>
      <c r="M1031" s="1">
        <v>43912</v>
      </c>
      <c r="N1031" t="s">
        <v>37</v>
      </c>
      <c r="O1031" t="s">
        <v>43</v>
      </c>
      <c r="P1031" t="str">
        <f t="shared" si="356"/>
        <v>P1030</v>
      </c>
      <c r="Q1031" t="str">
        <f t="shared" si="352"/>
        <v>Nutrition</v>
      </c>
      <c r="R1031">
        <f t="shared" si="353"/>
        <v>3</v>
      </c>
      <c r="S1031" t="str">
        <f t="shared" ca="1" si="357"/>
        <v>No</v>
      </c>
      <c r="T1031" t="str">
        <f t="shared" ca="1" si="358"/>
        <v>Critical</v>
      </c>
      <c r="U1031" t="str">
        <f t="shared" ca="1" si="359"/>
        <v>Semi-Private</v>
      </c>
      <c r="V1031" t="str">
        <f t="shared" si="360"/>
        <v>BED1030</v>
      </c>
      <c r="W1031" t="str">
        <f t="shared" ca="1" si="361"/>
        <v>Private</v>
      </c>
      <c r="X1031" t="str">
        <f t="shared" si="362"/>
        <v>NUR030</v>
      </c>
      <c r="Y1031" t="str">
        <f t="shared" ca="1" si="363"/>
        <v>Evening</v>
      </c>
      <c r="Z1031" t="str">
        <f t="shared" ca="1" si="364"/>
        <v>Ventilator</v>
      </c>
      <c r="AA1031" t="str">
        <f t="shared" ca="1" si="365"/>
        <v>Available</v>
      </c>
      <c r="AB1031" t="str">
        <f t="shared" ca="1" si="366"/>
        <v>Pending</v>
      </c>
      <c r="AC1031" t="str">
        <f t="shared" ca="1" si="367"/>
        <v>Insurance</v>
      </c>
      <c r="AD1031" t="str">
        <f t="shared" ca="1" si="368"/>
        <v>No</v>
      </c>
      <c r="AE1031" t="str">
        <f t="shared" ca="1" si="369"/>
        <v>No</v>
      </c>
      <c r="AF1031" t="str">
        <f t="shared" ca="1" si="370"/>
        <v>Transferred</v>
      </c>
      <c r="AG1031" t="str">
        <f t="shared" ca="1" si="371"/>
        <v>Southwest</v>
      </c>
      <c r="AH1031" t="str">
        <f t="shared" si="354"/>
        <v>March</v>
      </c>
      <c r="AI1031">
        <f t="shared" si="355"/>
        <v>2020</v>
      </c>
      <c r="AJ1031" t="str">
        <f t="shared" ca="1" si="372"/>
        <v>Occupied</v>
      </c>
      <c r="AK1031">
        <f t="shared" ca="1" si="373"/>
        <v>4</v>
      </c>
    </row>
    <row r="1032" spans="1:37" x14ac:dyDescent="0.3">
      <c r="A1032" t="s">
        <v>5443</v>
      </c>
      <c r="B1032">
        <v>59</v>
      </c>
      <c r="C1032" t="s">
        <v>32</v>
      </c>
      <c r="D1032" t="s">
        <v>38</v>
      </c>
      <c r="E1032" t="s">
        <v>39</v>
      </c>
      <c r="F1032" s="1">
        <v>44249</v>
      </c>
      <c r="G1032" t="s">
        <v>2087</v>
      </c>
      <c r="H1032" t="s">
        <v>2088</v>
      </c>
      <c r="I1032" t="s">
        <v>57</v>
      </c>
      <c r="J1032">
        <v>5079</v>
      </c>
      <c r="K1032">
        <v>476</v>
      </c>
      <c r="L1032" t="s">
        <v>42</v>
      </c>
      <c r="M1032" s="1">
        <v>44259</v>
      </c>
      <c r="N1032" t="s">
        <v>22</v>
      </c>
      <c r="O1032" t="s">
        <v>43</v>
      </c>
      <c r="P1032" t="str">
        <f t="shared" si="356"/>
        <v>P1031</v>
      </c>
      <c r="Q1032" t="str">
        <f t="shared" si="352"/>
        <v>Endocrinology</v>
      </c>
      <c r="R1032">
        <f t="shared" si="353"/>
        <v>10</v>
      </c>
      <c r="S1032" t="str">
        <f t="shared" ca="1" si="357"/>
        <v>No</v>
      </c>
      <c r="T1032" t="str">
        <f t="shared" ca="1" si="358"/>
        <v>Severe</v>
      </c>
      <c r="U1032" t="str">
        <f t="shared" ca="1" si="359"/>
        <v>General Ward</v>
      </c>
      <c r="V1032" t="str">
        <f t="shared" si="360"/>
        <v>BED1031</v>
      </c>
      <c r="W1032" t="str">
        <f t="shared" ca="1" si="361"/>
        <v>Private</v>
      </c>
      <c r="X1032" t="str">
        <f t="shared" si="362"/>
        <v>NUR031</v>
      </c>
      <c r="Y1032" t="str">
        <f t="shared" ca="1" si="363"/>
        <v>Night</v>
      </c>
      <c r="Z1032" t="str">
        <f t="shared" ca="1" si="364"/>
        <v>MRI Scanner</v>
      </c>
      <c r="AA1032" t="str">
        <f t="shared" ca="1" si="365"/>
        <v>Available</v>
      </c>
      <c r="AB1032" t="str">
        <f t="shared" ca="1" si="366"/>
        <v>Pending</v>
      </c>
      <c r="AC1032" t="str">
        <f t="shared" ca="1" si="367"/>
        <v>Bank Transfer</v>
      </c>
      <c r="AD1032" t="str">
        <f t="shared" ca="1" si="368"/>
        <v>No</v>
      </c>
      <c r="AE1032" t="str">
        <f t="shared" ca="1" si="369"/>
        <v>No</v>
      </c>
      <c r="AF1032" t="str">
        <f t="shared" ca="1" si="370"/>
        <v>Recovered</v>
      </c>
      <c r="AG1032" t="str">
        <f t="shared" ca="1" si="371"/>
        <v>Northeast</v>
      </c>
      <c r="AH1032" t="str">
        <f t="shared" si="354"/>
        <v>February</v>
      </c>
      <c r="AI1032">
        <f t="shared" si="355"/>
        <v>2021</v>
      </c>
      <c r="AJ1032" t="str">
        <f t="shared" ca="1" si="372"/>
        <v>Vacant</v>
      </c>
      <c r="AK1032">
        <f t="shared" ca="1" si="373"/>
        <v>4</v>
      </c>
    </row>
    <row r="1033" spans="1:37" x14ac:dyDescent="0.3">
      <c r="A1033" t="s">
        <v>5444</v>
      </c>
      <c r="B1033">
        <v>68</v>
      </c>
      <c r="C1033" t="s">
        <v>15</v>
      </c>
      <c r="D1033" t="s">
        <v>16</v>
      </c>
      <c r="E1033" t="s">
        <v>76</v>
      </c>
      <c r="F1033" s="1">
        <v>44375</v>
      </c>
      <c r="G1033" t="s">
        <v>2089</v>
      </c>
      <c r="H1033" t="s">
        <v>2090</v>
      </c>
      <c r="I1033" t="s">
        <v>57</v>
      </c>
      <c r="J1033">
        <v>36247</v>
      </c>
      <c r="K1033">
        <v>313</v>
      </c>
      <c r="L1033" t="s">
        <v>29</v>
      </c>
      <c r="M1033" s="1">
        <v>44404</v>
      </c>
      <c r="N1033" t="s">
        <v>30</v>
      </c>
      <c r="O1033" t="s">
        <v>31</v>
      </c>
      <c r="P1033" t="str">
        <f t="shared" si="356"/>
        <v>P1032</v>
      </c>
      <c r="Q1033" t="str">
        <f t="shared" si="352"/>
        <v>Orthopedics</v>
      </c>
      <c r="R1033">
        <f t="shared" si="353"/>
        <v>29</v>
      </c>
      <c r="S1033" t="str">
        <f t="shared" ca="1" si="357"/>
        <v>Yes</v>
      </c>
      <c r="T1033" t="str">
        <f t="shared" ca="1" si="358"/>
        <v>Critical</v>
      </c>
      <c r="U1033" t="str">
        <f t="shared" ca="1" si="359"/>
        <v>Private Ward</v>
      </c>
      <c r="V1033" t="str">
        <f t="shared" si="360"/>
        <v>BED1032</v>
      </c>
      <c r="W1033" t="str">
        <f t="shared" ca="1" si="361"/>
        <v>Semi-Private</v>
      </c>
      <c r="X1033" t="str">
        <f t="shared" si="362"/>
        <v>NUR032</v>
      </c>
      <c r="Y1033" t="str">
        <f t="shared" ca="1" si="363"/>
        <v>Evening</v>
      </c>
      <c r="Z1033" t="str">
        <f t="shared" ca="1" si="364"/>
        <v>ECG Machine</v>
      </c>
      <c r="AA1033" t="str">
        <f t="shared" ca="1" si="365"/>
        <v>Available</v>
      </c>
      <c r="AB1033" t="str">
        <f t="shared" ca="1" si="366"/>
        <v>Pending</v>
      </c>
      <c r="AC1033" t="str">
        <f t="shared" ca="1" si="367"/>
        <v>Debit Card</v>
      </c>
      <c r="AD1033" t="str">
        <f t="shared" ca="1" si="368"/>
        <v>Yes</v>
      </c>
      <c r="AE1033" t="str">
        <f t="shared" ca="1" si="369"/>
        <v>No</v>
      </c>
      <c r="AF1033" t="str">
        <f t="shared" ca="1" si="370"/>
        <v>Transferred</v>
      </c>
      <c r="AG1033" t="str">
        <f t="shared" ca="1" si="371"/>
        <v>Northeast</v>
      </c>
      <c r="AH1033" t="str">
        <f t="shared" si="354"/>
        <v>June</v>
      </c>
      <c r="AI1033">
        <f t="shared" si="355"/>
        <v>2021</v>
      </c>
      <c r="AJ1033" t="str">
        <f t="shared" ca="1" si="372"/>
        <v>Occupied</v>
      </c>
      <c r="AK1033">
        <f t="shared" ca="1" si="373"/>
        <v>4</v>
      </c>
    </row>
    <row r="1034" spans="1:37" x14ac:dyDescent="0.3">
      <c r="A1034" t="s">
        <v>5445</v>
      </c>
      <c r="B1034">
        <v>51</v>
      </c>
      <c r="C1034" t="s">
        <v>32</v>
      </c>
      <c r="D1034" t="s">
        <v>33</v>
      </c>
      <c r="E1034" t="s">
        <v>64</v>
      </c>
      <c r="F1034" s="1">
        <v>44842</v>
      </c>
      <c r="G1034" t="s">
        <v>2091</v>
      </c>
      <c r="H1034" t="s">
        <v>2092</v>
      </c>
      <c r="I1034" t="s">
        <v>51</v>
      </c>
      <c r="J1034">
        <v>24786</v>
      </c>
      <c r="K1034">
        <v>154</v>
      </c>
      <c r="L1034" t="s">
        <v>42</v>
      </c>
      <c r="M1034" s="1">
        <v>44870</v>
      </c>
      <c r="N1034" t="s">
        <v>37</v>
      </c>
      <c r="O1034" t="s">
        <v>43</v>
      </c>
      <c r="P1034" t="str">
        <f t="shared" si="356"/>
        <v>P1033</v>
      </c>
      <c r="Q1034" t="str">
        <f t="shared" si="352"/>
        <v>Cardiology</v>
      </c>
      <c r="R1034">
        <f t="shared" si="353"/>
        <v>28</v>
      </c>
      <c r="S1034" t="str">
        <f t="shared" ca="1" si="357"/>
        <v>No</v>
      </c>
      <c r="T1034" t="str">
        <f t="shared" ca="1" si="358"/>
        <v>Mild</v>
      </c>
      <c r="U1034" t="str">
        <f t="shared" ca="1" si="359"/>
        <v>General Ward</v>
      </c>
      <c r="V1034" t="str">
        <f t="shared" si="360"/>
        <v>BED1033</v>
      </c>
      <c r="W1034" t="str">
        <f t="shared" ca="1" si="361"/>
        <v>ICU</v>
      </c>
      <c r="X1034" t="str">
        <f t="shared" si="362"/>
        <v>NUR033</v>
      </c>
      <c r="Y1034" t="str">
        <f t="shared" ca="1" si="363"/>
        <v>Night</v>
      </c>
      <c r="Z1034" t="str">
        <f t="shared" ca="1" si="364"/>
        <v>ECG Machine</v>
      </c>
      <c r="AA1034" t="str">
        <f t="shared" ca="1" si="365"/>
        <v>In Use</v>
      </c>
      <c r="AB1034" t="str">
        <f t="shared" ca="1" si="366"/>
        <v>Paid</v>
      </c>
      <c r="AC1034" t="str">
        <f t="shared" ca="1" si="367"/>
        <v>Credit Card</v>
      </c>
      <c r="AD1034" t="str">
        <f t="shared" ca="1" si="368"/>
        <v>Yes</v>
      </c>
      <c r="AE1034" t="str">
        <f t="shared" ca="1" si="369"/>
        <v>No</v>
      </c>
      <c r="AF1034" t="str">
        <f t="shared" ca="1" si="370"/>
        <v>Recovered</v>
      </c>
      <c r="AG1034" t="str">
        <f t="shared" ca="1" si="371"/>
        <v>Northeast</v>
      </c>
      <c r="AH1034" t="str">
        <f t="shared" si="354"/>
        <v>October</v>
      </c>
      <c r="AI1034">
        <f t="shared" si="355"/>
        <v>2022</v>
      </c>
      <c r="AJ1034" t="str">
        <f t="shared" ca="1" si="372"/>
        <v>Occupied</v>
      </c>
      <c r="AK1034">
        <f t="shared" ca="1" si="373"/>
        <v>1</v>
      </c>
    </row>
    <row r="1035" spans="1:37" x14ac:dyDescent="0.3">
      <c r="A1035" t="s">
        <v>5446</v>
      </c>
      <c r="B1035">
        <v>74</v>
      </c>
      <c r="C1035" t="s">
        <v>15</v>
      </c>
      <c r="D1035" t="s">
        <v>16</v>
      </c>
      <c r="E1035" t="s">
        <v>64</v>
      </c>
      <c r="F1035" s="1">
        <v>44474</v>
      </c>
      <c r="G1035" t="s">
        <v>2093</v>
      </c>
      <c r="H1035" t="s">
        <v>2094</v>
      </c>
      <c r="I1035" t="s">
        <v>20</v>
      </c>
      <c r="J1035">
        <v>28652</v>
      </c>
      <c r="K1035">
        <v>377</v>
      </c>
      <c r="L1035" t="s">
        <v>21</v>
      </c>
      <c r="M1035" s="1">
        <v>44495</v>
      </c>
      <c r="N1035" t="s">
        <v>37</v>
      </c>
      <c r="O1035" t="s">
        <v>43</v>
      </c>
      <c r="P1035" t="str">
        <f t="shared" si="356"/>
        <v>P1034</v>
      </c>
      <c r="Q1035" t="str">
        <f t="shared" si="352"/>
        <v>Cardiology</v>
      </c>
      <c r="R1035">
        <f t="shared" si="353"/>
        <v>21</v>
      </c>
      <c r="S1035" t="str">
        <f t="shared" ca="1" si="357"/>
        <v>Yes</v>
      </c>
      <c r="T1035" t="str">
        <f t="shared" ca="1" si="358"/>
        <v>Severe</v>
      </c>
      <c r="U1035" t="str">
        <f t="shared" ca="1" si="359"/>
        <v>Private Ward</v>
      </c>
      <c r="V1035" t="str">
        <f t="shared" si="360"/>
        <v>BED1034</v>
      </c>
      <c r="W1035" t="str">
        <f t="shared" ca="1" si="361"/>
        <v>General</v>
      </c>
      <c r="X1035" t="str">
        <f t="shared" si="362"/>
        <v>NUR034</v>
      </c>
      <c r="Y1035" t="str">
        <f t="shared" ca="1" si="363"/>
        <v>Morning</v>
      </c>
      <c r="Z1035" t="str">
        <f t="shared" ca="1" si="364"/>
        <v>CT Scanner</v>
      </c>
      <c r="AA1035" t="str">
        <f t="shared" ca="1" si="365"/>
        <v>Maintenance</v>
      </c>
      <c r="AB1035" t="str">
        <f t="shared" ca="1" si="366"/>
        <v>Paid</v>
      </c>
      <c r="AC1035" t="str">
        <f t="shared" ca="1" si="367"/>
        <v>Cash</v>
      </c>
      <c r="AD1035" t="str">
        <f t="shared" ca="1" si="368"/>
        <v>No</v>
      </c>
      <c r="AE1035" t="str">
        <f t="shared" ca="1" si="369"/>
        <v>Yes</v>
      </c>
      <c r="AF1035" t="str">
        <f t="shared" ca="1" si="370"/>
        <v>Under Observation</v>
      </c>
      <c r="AG1035" t="str">
        <f t="shared" ca="1" si="371"/>
        <v>Northeast</v>
      </c>
      <c r="AH1035" t="str">
        <f t="shared" si="354"/>
        <v>October</v>
      </c>
      <c r="AI1035">
        <f t="shared" si="355"/>
        <v>2021</v>
      </c>
      <c r="AJ1035" t="str">
        <f t="shared" ca="1" si="372"/>
        <v>Occupied</v>
      </c>
      <c r="AK1035">
        <f t="shared" ca="1" si="373"/>
        <v>4</v>
      </c>
    </row>
    <row r="1036" spans="1:37" x14ac:dyDescent="0.3">
      <c r="A1036" t="s">
        <v>2026</v>
      </c>
      <c r="B1036">
        <v>81</v>
      </c>
      <c r="C1036" t="s">
        <v>32</v>
      </c>
      <c r="D1036" t="s">
        <v>44</v>
      </c>
      <c r="E1036" t="s">
        <v>64</v>
      </c>
      <c r="F1036" s="1">
        <v>44972</v>
      </c>
      <c r="G1036" t="s">
        <v>2095</v>
      </c>
      <c r="H1036" t="s">
        <v>2096</v>
      </c>
      <c r="I1036" t="s">
        <v>51</v>
      </c>
      <c r="J1036">
        <v>9825</v>
      </c>
      <c r="K1036">
        <v>188</v>
      </c>
      <c r="L1036" t="s">
        <v>29</v>
      </c>
      <c r="M1036" s="1">
        <v>44979</v>
      </c>
      <c r="N1036" t="s">
        <v>30</v>
      </c>
      <c r="O1036" t="s">
        <v>43</v>
      </c>
      <c r="P1036" t="str">
        <f t="shared" si="356"/>
        <v>P1035</v>
      </c>
      <c r="Q1036" t="str">
        <f t="shared" si="352"/>
        <v>Cardiology</v>
      </c>
      <c r="R1036">
        <f t="shared" si="353"/>
        <v>7</v>
      </c>
      <c r="S1036" t="str">
        <f t="shared" ca="1" si="357"/>
        <v>No</v>
      </c>
      <c r="T1036" t="str">
        <f t="shared" ca="1" si="358"/>
        <v>Severe</v>
      </c>
      <c r="U1036" t="str">
        <f t="shared" ca="1" si="359"/>
        <v>Emergency</v>
      </c>
      <c r="V1036" t="str">
        <f t="shared" si="360"/>
        <v>BED1035</v>
      </c>
      <c r="W1036" t="str">
        <f t="shared" ca="1" si="361"/>
        <v>Private</v>
      </c>
      <c r="X1036" t="str">
        <f t="shared" si="362"/>
        <v>NUR035</v>
      </c>
      <c r="Y1036" t="str">
        <f t="shared" ca="1" si="363"/>
        <v>Night</v>
      </c>
      <c r="Z1036" t="str">
        <f t="shared" ca="1" si="364"/>
        <v>MRI Scanner</v>
      </c>
      <c r="AA1036" t="str">
        <f t="shared" ca="1" si="365"/>
        <v>Available</v>
      </c>
      <c r="AB1036" t="str">
        <f t="shared" ca="1" si="366"/>
        <v>Partially Paid</v>
      </c>
      <c r="AC1036" t="str">
        <f t="shared" ca="1" si="367"/>
        <v>Cash</v>
      </c>
      <c r="AD1036" t="str">
        <f t="shared" ca="1" si="368"/>
        <v>No</v>
      </c>
      <c r="AE1036" t="str">
        <f t="shared" ca="1" si="369"/>
        <v>Yes</v>
      </c>
      <c r="AF1036" t="str">
        <f t="shared" ca="1" si="370"/>
        <v>Transferred</v>
      </c>
      <c r="AG1036" t="str">
        <f t="shared" ca="1" si="371"/>
        <v>Northeast</v>
      </c>
      <c r="AH1036" t="str">
        <f t="shared" si="354"/>
        <v>February</v>
      </c>
      <c r="AI1036">
        <f t="shared" si="355"/>
        <v>2023</v>
      </c>
      <c r="AJ1036" t="str">
        <f t="shared" ca="1" si="372"/>
        <v>Occupied</v>
      </c>
      <c r="AK1036">
        <f t="shared" ca="1" si="373"/>
        <v>4</v>
      </c>
    </row>
    <row r="1037" spans="1:37" x14ac:dyDescent="0.3">
      <c r="A1037" t="s">
        <v>5447</v>
      </c>
      <c r="B1037">
        <v>60</v>
      </c>
      <c r="C1037" t="s">
        <v>15</v>
      </c>
      <c r="D1037" t="s">
        <v>98</v>
      </c>
      <c r="E1037" t="s">
        <v>39</v>
      </c>
      <c r="F1037" s="1">
        <v>44220</v>
      </c>
      <c r="G1037" t="s">
        <v>2097</v>
      </c>
      <c r="H1037" t="s">
        <v>2098</v>
      </c>
      <c r="I1037" t="s">
        <v>51</v>
      </c>
      <c r="J1037">
        <v>3764</v>
      </c>
      <c r="K1037">
        <v>180</v>
      </c>
      <c r="L1037" t="s">
        <v>21</v>
      </c>
      <c r="M1037" s="1">
        <v>44238</v>
      </c>
      <c r="N1037" t="s">
        <v>22</v>
      </c>
      <c r="O1037" t="s">
        <v>43</v>
      </c>
      <c r="P1037" t="str">
        <f t="shared" si="356"/>
        <v>P1036</v>
      </c>
      <c r="Q1037" t="str">
        <f t="shared" si="352"/>
        <v>Endocrinology</v>
      </c>
      <c r="R1037">
        <f t="shared" si="353"/>
        <v>18</v>
      </c>
      <c r="S1037" t="str">
        <f t="shared" ca="1" si="357"/>
        <v>No</v>
      </c>
      <c r="T1037" t="str">
        <f t="shared" ca="1" si="358"/>
        <v>Mild</v>
      </c>
      <c r="U1037" t="str">
        <f t="shared" ca="1" si="359"/>
        <v>Emergency</v>
      </c>
      <c r="V1037" t="str">
        <f t="shared" si="360"/>
        <v>BED1036</v>
      </c>
      <c r="W1037" t="str">
        <f t="shared" ca="1" si="361"/>
        <v>ICU</v>
      </c>
      <c r="X1037" t="str">
        <f t="shared" si="362"/>
        <v>NUR036</v>
      </c>
      <c r="Y1037" t="str">
        <f t="shared" ca="1" si="363"/>
        <v>Night</v>
      </c>
      <c r="Z1037" t="str">
        <f t="shared" ca="1" si="364"/>
        <v>MRI Scanner</v>
      </c>
      <c r="AA1037" t="str">
        <f t="shared" ca="1" si="365"/>
        <v>In Use</v>
      </c>
      <c r="AB1037" t="str">
        <f t="shared" ca="1" si="366"/>
        <v>Partially Paid</v>
      </c>
      <c r="AC1037" t="str">
        <f t="shared" ca="1" si="367"/>
        <v>Bank Transfer</v>
      </c>
      <c r="AD1037" t="str">
        <f t="shared" ca="1" si="368"/>
        <v>No</v>
      </c>
      <c r="AE1037" t="str">
        <f t="shared" ca="1" si="369"/>
        <v>Yes</v>
      </c>
      <c r="AF1037" t="str">
        <f t="shared" ca="1" si="370"/>
        <v>Recovered</v>
      </c>
      <c r="AG1037" t="str">
        <f t="shared" ca="1" si="371"/>
        <v>Northeast</v>
      </c>
      <c r="AH1037" t="str">
        <f t="shared" si="354"/>
        <v>January</v>
      </c>
      <c r="AI1037">
        <f t="shared" si="355"/>
        <v>2021</v>
      </c>
      <c r="AJ1037" t="str">
        <f t="shared" ca="1" si="372"/>
        <v>Vacant</v>
      </c>
      <c r="AK1037">
        <f t="shared" ca="1" si="373"/>
        <v>1</v>
      </c>
    </row>
    <row r="1038" spans="1:37" x14ac:dyDescent="0.3">
      <c r="A1038" t="s">
        <v>5448</v>
      </c>
      <c r="B1038">
        <v>44</v>
      </c>
      <c r="C1038" t="s">
        <v>15</v>
      </c>
      <c r="D1038" t="s">
        <v>24</v>
      </c>
      <c r="E1038" t="s">
        <v>64</v>
      </c>
      <c r="F1038" s="1">
        <v>44583</v>
      </c>
      <c r="G1038" t="s">
        <v>2099</v>
      </c>
      <c r="H1038" t="s">
        <v>2100</v>
      </c>
      <c r="I1038" t="s">
        <v>51</v>
      </c>
      <c r="J1038">
        <v>31043</v>
      </c>
      <c r="K1038">
        <v>458</v>
      </c>
      <c r="L1038" t="s">
        <v>21</v>
      </c>
      <c r="M1038" s="1">
        <v>44601</v>
      </c>
      <c r="N1038" t="s">
        <v>30</v>
      </c>
      <c r="O1038" t="s">
        <v>31</v>
      </c>
      <c r="P1038" t="str">
        <f t="shared" si="356"/>
        <v>P1037</v>
      </c>
      <c r="Q1038" t="str">
        <f t="shared" si="352"/>
        <v>Cardiology</v>
      </c>
      <c r="R1038">
        <f t="shared" si="353"/>
        <v>18</v>
      </c>
      <c r="S1038" t="str">
        <f t="shared" ca="1" si="357"/>
        <v>No</v>
      </c>
      <c r="T1038" t="str">
        <f t="shared" ca="1" si="358"/>
        <v>Critical</v>
      </c>
      <c r="U1038" t="str">
        <f t="shared" ca="1" si="359"/>
        <v>Semi-Private</v>
      </c>
      <c r="V1038" t="str">
        <f t="shared" si="360"/>
        <v>BED1037</v>
      </c>
      <c r="W1038" t="str">
        <f t="shared" ca="1" si="361"/>
        <v>ICU</v>
      </c>
      <c r="X1038" t="str">
        <f t="shared" si="362"/>
        <v>NUR037</v>
      </c>
      <c r="Y1038" t="str">
        <f t="shared" ca="1" si="363"/>
        <v>Morning</v>
      </c>
      <c r="Z1038" t="str">
        <f t="shared" ca="1" si="364"/>
        <v>MRI Scanner</v>
      </c>
      <c r="AA1038" t="str">
        <f t="shared" ca="1" si="365"/>
        <v>In Use</v>
      </c>
      <c r="AB1038" t="str">
        <f t="shared" ca="1" si="366"/>
        <v>Partially Paid</v>
      </c>
      <c r="AC1038" t="str">
        <f t="shared" ca="1" si="367"/>
        <v>Insurance</v>
      </c>
      <c r="AD1038" t="str">
        <f t="shared" ca="1" si="368"/>
        <v>No</v>
      </c>
      <c r="AE1038" t="str">
        <f t="shared" ca="1" si="369"/>
        <v>No</v>
      </c>
      <c r="AF1038" t="str">
        <f t="shared" ca="1" si="370"/>
        <v>Transferred</v>
      </c>
      <c r="AG1038" t="str">
        <f t="shared" ca="1" si="371"/>
        <v>Northeast</v>
      </c>
      <c r="AH1038" t="str">
        <f t="shared" si="354"/>
        <v>January</v>
      </c>
      <c r="AI1038">
        <f t="shared" si="355"/>
        <v>2022</v>
      </c>
      <c r="AJ1038" t="str">
        <f t="shared" ca="1" si="372"/>
        <v>Occupied</v>
      </c>
      <c r="AK1038">
        <f t="shared" ca="1" si="373"/>
        <v>1</v>
      </c>
    </row>
    <row r="1039" spans="1:37" x14ac:dyDescent="0.3">
      <c r="A1039" t="s">
        <v>5449</v>
      </c>
      <c r="B1039">
        <v>33</v>
      </c>
      <c r="C1039" t="s">
        <v>32</v>
      </c>
      <c r="D1039" t="s">
        <v>52</v>
      </c>
      <c r="E1039" t="s">
        <v>25</v>
      </c>
      <c r="F1039" s="1">
        <v>44987</v>
      </c>
      <c r="G1039" t="s">
        <v>2101</v>
      </c>
      <c r="H1039" t="s">
        <v>2102</v>
      </c>
      <c r="I1039" t="s">
        <v>36</v>
      </c>
      <c r="J1039">
        <v>14034</v>
      </c>
      <c r="K1039">
        <v>471</v>
      </c>
      <c r="L1039" t="s">
        <v>29</v>
      </c>
      <c r="M1039" s="1">
        <v>44988</v>
      </c>
      <c r="N1039" t="s">
        <v>30</v>
      </c>
      <c r="O1039" t="s">
        <v>43</v>
      </c>
      <c r="P1039" t="str">
        <f t="shared" si="356"/>
        <v>P1038</v>
      </c>
      <c r="Q1039" t="str">
        <f t="shared" si="352"/>
        <v>Nutrition</v>
      </c>
      <c r="R1039">
        <f t="shared" si="353"/>
        <v>1</v>
      </c>
      <c r="S1039" t="str">
        <f t="shared" ca="1" si="357"/>
        <v>No</v>
      </c>
      <c r="T1039" t="str">
        <f t="shared" ca="1" si="358"/>
        <v>Severe</v>
      </c>
      <c r="U1039" t="str">
        <f t="shared" ca="1" si="359"/>
        <v>General Ward</v>
      </c>
      <c r="V1039" t="str">
        <f t="shared" si="360"/>
        <v>BED1038</v>
      </c>
      <c r="W1039" t="str">
        <f t="shared" ca="1" si="361"/>
        <v>General</v>
      </c>
      <c r="X1039" t="str">
        <f t="shared" si="362"/>
        <v>NUR038</v>
      </c>
      <c r="Y1039" t="str">
        <f t="shared" ca="1" si="363"/>
        <v>Morning</v>
      </c>
      <c r="Z1039" t="str">
        <f t="shared" ca="1" si="364"/>
        <v>CT Scanner</v>
      </c>
      <c r="AA1039" t="str">
        <f t="shared" ca="1" si="365"/>
        <v>Maintenance</v>
      </c>
      <c r="AB1039" t="str">
        <f t="shared" ca="1" si="366"/>
        <v>Pending</v>
      </c>
      <c r="AC1039" t="str">
        <f t="shared" ca="1" si="367"/>
        <v>Debit Card</v>
      </c>
      <c r="AD1039" t="str">
        <f t="shared" ca="1" si="368"/>
        <v>Yes</v>
      </c>
      <c r="AE1039" t="str">
        <f t="shared" ca="1" si="369"/>
        <v>No</v>
      </c>
      <c r="AF1039" t="str">
        <f t="shared" ca="1" si="370"/>
        <v>Under Observation</v>
      </c>
      <c r="AG1039" t="str">
        <f t="shared" ca="1" si="371"/>
        <v>Southwest</v>
      </c>
      <c r="AH1039" t="str">
        <f t="shared" si="354"/>
        <v>March</v>
      </c>
      <c r="AI1039">
        <f t="shared" si="355"/>
        <v>2023</v>
      </c>
      <c r="AJ1039" t="str">
        <f t="shared" ca="1" si="372"/>
        <v>Occupied</v>
      </c>
      <c r="AK1039">
        <f t="shared" ca="1" si="373"/>
        <v>4</v>
      </c>
    </row>
    <row r="1040" spans="1:37" x14ac:dyDescent="0.3">
      <c r="A1040" t="s">
        <v>5450</v>
      </c>
      <c r="B1040">
        <v>35</v>
      </c>
      <c r="C1040" t="s">
        <v>15</v>
      </c>
      <c r="D1040" t="s">
        <v>83</v>
      </c>
      <c r="E1040" t="s">
        <v>25</v>
      </c>
      <c r="F1040" s="1">
        <v>44130</v>
      </c>
      <c r="G1040" t="s">
        <v>2103</v>
      </c>
      <c r="H1040" t="s">
        <v>2104</v>
      </c>
      <c r="I1040" t="s">
        <v>28</v>
      </c>
      <c r="J1040">
        <v>28978</v>
      </c>
      <c r="K1040">
        <v>143</v>
      </c>
      <c r="L1040" t="s">
        <v>29</v>
      </c>
      <c r="M1040" s="1">
        <v>44135</v>
      </c>
      <c r="N1040" t="s">
        <v>30</v>
      </c>
      <c r="O1040" t="s">
        <v>23</v>
      </c>
      <c r="P1040" t="str">
        <f t="shared" si="356"/>
        <v>P1039</v>
      </c>
      <c r="Q1040" t="str">
        <f t="shared" si="352"/>
        <v>Nutrition</v>
      </c>
      <c r="R1040">
        <f t="shared" si="353"/>
        <v>5</v>
      </c>
      <c r="S1040" t="str">
        <f t="shared" ca="1" si="357"/>
        <v>No</v>
      </c>
      <c r="T1040" t="str">
        <f t="shared" ca="1" si="358"/>
        <v>Critical</v>
      </c>
      <c r="U1040" t="str">
        <f t="shared" ca="1" si="359"/>
        <v>ICU</v>
      </c>
      <c r="V1040" t="str">
        <f t="shared" si="360"/>
        <v>BED1039</v>
      </c>
      <c r="W1040" t="str">
        <f t="shared" ca="1" si="361"/>
        <v>Semi-Private</v>
      </c>
      <c r="X1040" t="str">
        <f t="shared" si="362"/>
        <v>NUR039</v>
      </c>
      <c r="Y1040" t="str">
        <f t="shared" ca="1" si="363"/>
        <v>Night</v>
      </c>
      <c r="Z1040" t="str">
        <f t="shared" ca="1" si="364"/>
        <v>X-Ray</v>
      </c>
      <c r="AA1040" t="str">
        <f t="shared" ca="1" si="365"/>
        <v>In Use</v>
      </c>
      <c r="AB1040" t="str">
        <f t="shared" ca="1" si="366"/>
        <v>Paid</v>
      </c>
      <c r="AC1040" t="str">
        <f t="shared" ca="1" si="367"/>
        <v>Debit Card</v>
      </c>
      <c r="AD1040" t="str">
        <f t="shared" ca="1" si="368"/>
        <v>No</v>
      </c>
      <c r="AE1040" t="str">
        <f t="shared" ca="1" si="369"/>
        <v>Yes</v>
      </c>
      <c r="AF1040" t="str">
        <f t="shared" ca="1" si="370"/>
        <v>Under Observation</v>
      </c>
      <c r="AG1040" t="str">
        <f t="shared" ca="1" si="371"/>
        <v>West Coast</v>
      </c>
      <c r="AH1040" t="str">
        <f t="shared" si="354"/>
        <v>October</v>
      </c>
      <c r="AI1040">
        <f t="shared" si="355"/>
        <v>2020</v>
      </c>
      <c r="AJ1040" t="str">
        <f t="shared" ca="1" si="372"/>
        <v>Vacant</v>
      </c>
      <c r="AK1040">
        <f t="shared" ca="1" si="373"/>
        <v>4</v>
      </c>
    </row>
    <row r="1041" spans="1:37" x14ac:dyDescent="0.3">
      <c r="A1041" t="s">
        <v>5451</v>
      </c>
      <c r="B1041">
        <v>46</v>
      </c>
      <c r="C1041" t="s">
        <v>15</v>
      </c>
      <c r="D1041" t="s">
        <v>16</v>
      </c>
      <c r="E1041" t="s">
        <v>48</v>
      </c>
      <c r="F1041" s="1">
        <v>44601</v>
      </c>
      <c r="G1041" t="s">
        <v>2105</v>
      </c>
      <c r="H1041" t="s">
        <v>2106</v>
      </c>
      <c r="I1041" t="s">
        <v>20</v>
      </c>
      <c r="J1041">
        <v>46468</v>
      </c>
      <c r="K1041">
        <v>433</v>
      </c>
      <c r="L1041" t="s">
        <v>21</v>
      </c>
      <c r="M1041" s="1">
        <v>44608</v>
      </c>
      <c r="N1041" t="s">
        <v>22</v>
      </c>
      <c r="O1041" t="s">
        <v>31</v>
      </c>
      <c r="P1041" t="str">
        <f t="shared" si="356"/>
        <v>P1040</v>
      </c>
      <c r="Q1041" t="str">
        <f t="shared" si="352"/>
        <v>Pulmonology</v>
      </c>
      <c r="R1041">
        <f t="shared" si="353"/>
        <v>7</v>
      </c>
      <c r="S1041" t="str">
        <f t="shared" ca="1" si="357"/>
        <v>No</v>
      </c>
      <c r="T1041" t="str">
        <f t="shared" ca="1" si="358"/>
        <v>Mild</v>
      </c>
      <c r="U1041" t="str">
        <f t="shared" ca="1" si="359"/>
        <v>General Ward</v>
      </c>
      <c r="V1041" t="str">
        <f t="shared" si="360"/>
        <v>BED1040</v>
      </c>
      <c r="W1041" t="str">
        <f t="shared" ca="1" si="361"/>
        <v>ICU</v>
      </c>
      <c r="X1041" t="str">
        <f t="shared" si="362"/>
        <v>NUR040</v>
      </c>
      <c r="Y1041" t="str">
        <f t="shared" ca="1" si="363"/>
        <v>Morning</v>
      </c>
      <c r="Z1041" t="str">
        <f t="shared" ca="1" si="364"/>
        <v>Ultrasound</v>
      </c>
      <c r="AA1041" t="str">
        <f t="shared" ca="1" si="365"/>
        <v>Available</v>
      </c>
      <c r="AB1041" t="str">
        <f t="shared" ca="1" si="366"/>
        <v>Paid</v>
      </c>
      <c r="AC1041" t="str">
        <f t="shared" ca="1" si="367"/>
        <v>Credit Card</v>
      </c>
      <c r="AD1041" t="str">
        <f t="shared" ca="1" si="368"/>
        <v>Yes</v>
      </c>
      <c r="AE1041" t="str">
        <f t="shared" ca="1" si="369"/>
        <v>Yes</v>
      </c>
      <c r="AF1041" t="str">
        <f t="shared" ca="1" si="370"/>
        <v>Recovered</v>
      </c>
      <c r="AG1041" t="str">
        <f t="shared" ca="1" si="371"/>
        <v>Southwest</v>
      </c>
      <c r="AH1041" t="str">
        <f t="shared" si="354"/>
        <v>February</v>
      </c>
      <c r="AI1041">
        <f t="shared" si="355"/>
        <v>2022</v>
      </c>
      <c r="AJ1041" t="str">
        <f t="shared" ca="1" si="372"/>
        <v>Occupied</v>
      </c>
      <c r="AK1041">
        <f t="shared" ca="1" si="373"/>
        <v>1</v>
      </c>
    </row>
    <row r="1042" spans="1:37" x14ac:dyDescent="0.3">
      <c r="A1042" t="s">
        <v>5452</v>
      </c>
      <c r="B1042">
        <v>51</v>
      </c>
      <c r="C1042" t="s">
        <v>32</v>
      </c>
      <c r="D1042" t="s">
        <v>83</v>
      </c>
      <c r="E1042" t="s">
        <v>64</v>
      </c>
      <c r="F1042" s="1">
        <v>45225</v>
      </c>
      <c r="G1042" t="s">
        <v>2107</v>
      </c>
      <c r="H1042" t="s">
        <v>2108</v>
      </c>
      <c r="I1042" t="s">
        <v>51</v>
      </c>
      <c r="J1042">
        <v>19096</v>
      </c>
      <c r="K1042">
        <v>360</v>
      </c>
      <c r="L1042" t="s">
        <v>29</v>
      </c>
      <c r="M1042" s="1">
        <v>45251</v>
      </c>
      <c r="N1042" t="s">
        <v>47</v>
      </c>
      <c r="O1042" t="s">
        <v>31</v>
      </c>
      <c r="P1042" t="str">
        <f t="shared" si="356"/>
        <v>P1041</v>
      </c>
      <c r="Q1042" t="str">
        <f t="shared" si="352"/>
        <v>Cardiology</v>
      </c>
      <c r="R1042">
        <f t="shared" si="353"/>
        <v>26</v>
      </c>
      <c r="S1042" t="str">
        <f t="shared" ca="1" si="357"/>
        <v>No</v>
      </c>
      <c r="T1042" t="str">
        <f t="shared" ca="1" si="358"/>
        <v>Moderate</v>
      </c>
      <c r="U1042" t="str">
        <f t="shared" ca="1" si="359"/>
        <v>ICU</v>
      </c>
      <c r="V1042" t="str">
        <f t="shared" si="360"/>
        <v>BED1041</v>
      </c>
      <c r="W1042" t="str">
        <f t="shared" ca="1" si="361"/>
        <v>Semi-Private</v>
      </c>
      <c r="X1042" t="str">
        <f t="shared" si="362"/>
        <v>NUR041</v>
      </c>
      <c r="Y1042" t="str">
        <f t="shared" ca="1" si="363"/>
        <v>Evening</v>
      </c>
      <c r="Z1042" t="str">
        <f t="shared" ca="1" si="364"/>
        <v>Ultrasound</v>
      </c>
      <c r="AA1042" t="str">
        <f t="shared" ca="1" si="365"/>
        <v>Available</v>
      </c>
      <c r="AB1042" t="str">
        <f t="shared" ca="1" si="366"/>
        <v>Pending</v>
      </c>
      <c r="AC1042" t="str">
        <f t="shared" ca="1" si="367"/>
        <v>Insurance</v>
      </c>
      <c r="AD1042" t="str">
        <f t="shared" ca="1" si="368"/>
        <v>Yes</v>
      </c>
      <c r="AE1042" t="str">
        <f t="shared" ca="1" si="369"/>
        <v>No</v>
      </c>
      <c r="AF1042" t="str">
        <f t="shared" ca="1" si="370"/>
        <v>Recovered</v>
      </c>
      <c r="AG1042" t="str">
        <f t="shared" ca="1" si="371"/>
        <v>West Coast</v>
      </c>
      <c r="AH1042" t="str">
        <f t="shared" si="354"/>
        <v>October</v>
      </c>
      <c r="AI1042">
        <f t="shared" si="355"/>
        <v>2023</v>
      </c>
      <c r="AJ1042" t="str">
        <f t="shared" ca="1" si="372"/>
        <v>Occupied</v>
      </c>
      <c r="AK1042">
        <f t="shared" ca="1" si="373"/>
        <v>2</v>
      </c>
    </row>
    <row r="1043" spans="1:37" x14ac:dyDescent="0.3">
      <c r="A1043" t="s">
        <v>5453</v>
      </c>
      <c r="B1043">
        <v>65</v>
      </c>
      <c r="C1043" t="s">
        <v>15</v>
      </c>
      <c r="D1043" t="s">
        <v>33</v>
      </c>
      <c r="E1043" t="s">
        <v>25</v>
      </c>
      <c r="F1043" s="1">
        <v>45302</v>
      </c>
      <c r="G1043" t="s">
        <v>2109</v>
      </c>
      <c r="H1043" t="s">
        <v>2110</v>
      </c>
      <c r="I1043" t="s">
        <v>57</v>
      </c>
      <c r="J1043">
        <v>13302</v>
      </c>
      <c r="K1043">
        <v>494</v>
      </c>
      <c r="L1043" t="s">
        <v>42</v>
      </c>
      <c r="M1043" s="1">
        <v>45306</v>
      </c>
      <c r="N1043" t="s">
        <v>47</v>
      </c>
      <c r="O1043" t="s">
        <v>43</v>
      </c>
      <c r="P1043" t="str">
        <f t="shared" si="356"/>
        <v>P1042</v>
      </c>
      <c r="Q1043" t="str">
        <f t="shared" si="352"/>
        <v>Nutrition</v>
      </c>
      <c r="R1043">
        <f t="shared" si="353"/>
        <v>4</v>
      </c>
      <c r="S1043" t="str">
        <f t="shared" ca="1" si="357"/>
        <v>No</v>
      </c>
      <c r="T1043" t="str">
        <f t="shared" ca="1" si="358"/>
        <v>Mild</v>
      </c>
      <c r="U1043" t="str">
        <f t="shared" ca="1" si="359"/>
        <v>Private Ward</v>
      </c>
      <c r="V1043" t="str">
        <f t="shared" si="360"/>
        <v>BED1042</v>
      </c>
      <c r="W1043" t="str">
        <f t="shared" ca="1" si="361"/>
        <v>Private</v>
      </c>
      <c r="X1043" t="str">
        <f t="shared" si="362"/>
        <v>NUR042</v>
      </c>
      <c r="Y1043" t="str">
        <f t="shared" ca="1" si="363"/>
        <v>Evening</v>
      </c>
      <c r="Z1043" t="str">
        <f t="shared" ca="1" si="364"/>
        <v>Ventilator</v>
      </c>
      <c r="AA1043" t="str">
        <f t="shared" ca="1" si="365"/>
        <v>In Use</v>
      </c>
      <c r="AB1043" t="str">
        <f t="shared" ca="1" si="366"/>
        <v>Pending</v>
      </c>
      <c r="AC1043" t="str">
        <f t="shared" ca="1" si="367"/>
        <v>Bank Transfer</v>
      </c>
      <c r="AD1043" t="str">
        <f t="shared" ca="1" si="368"/>
        <v>No</v>
      </c>
      <c r="AE1043" t="str">
        <f t="shared" ca="1" si="369"/>
        <v>No</v>
      </c>
      <c r="AF1043" t="str">
        <f t="shared" ca="1" si="370"/>
        <v>Transferred</v>
      </c>
      <c r="AG1043" t="str">
        <f t="shared" ca="1" si="371"/>
        <v>Southwest</v>
      </c>
      <c r="AH1043" t="str">
        <f t="shared" si="354"/>
        <v>January</v>
      </c>
      <c r="AI1043">
        <f t="shared" si="355"/>
        <v>2024</v>
      </c>
      <c r="AJ1043" t="str">
        <f t="shared" ca="1" si="372"/>
        <v>Occupied</v>
      </c>
      <c r="AK1043">
        <f t="shared" ca="1" si="373"/>
        <v>2</v>
      </c>
    </row>
    <row r="1044" spans="1:37" x14ac:dyDescent="0.3">
      <c r="A1044" t="s">
        <v>5454</v>
      </c>
      <c r="B1044">
        <v>75</v>
      </c>
      <c r="C1044" t="s">
        <v>15</v>
      </c>
      <c r="D1044" t="s">
        <v>38</v>
      </c>
      <c r="E1044" t="s">
        <v>64</v>
      </c>
      <c r="F1044" s="1">
        <v>44706</v>
      </c>
      <c r="G1044" t="s">
        <v>2111</v>
      </c>
      <c r="H1044" t="s">
        <v>2112</v>
      </c>
      <c r="I1044" t="s">
        <v>36</v>
      </c>
      <c r="J1044">
        <v>47702</v>
      </c>
      <c r="K1044">
        <v>184</v>
      </c>
      <c r="L1044" t="s">
        <v>29</v>
      </c>
      <c r="M1044" s="1">
        <v>44731</v>
      </c>
      <c r="N1044" t="s">
        <v>22</v>
      </c>
      <c r="O1044" t="s">
        <v>23</v>
      </c>
      <c r="P1044" t="str">
        <f t="shared" si="356"/>
        <v>P1043</v>
      </c>
      <c r="Q1044" t="str">
        <f t="shared" si="352"/>
        <v>Cardiology</v>
      </c>
      <c r="R1044">
        <f t="shared" si="353"/>
        <v>25</v>
      </c>
      <c r="S1044" t="str">
        <f t="shared" ca="1" si="357"/>
        <v>No</v>
      </c>
      <c r="T1044" t="str">
        <f t="shared" ca="1" si="358"/>
        <v>Severe</v>
      </c>
      <c r="U1044" t="str">
        <f t="shared" ca="1" si="359"/>
        <v>Semi-Private</v>
      </c>
      <c r="V1044" t="str">
        <f t="shared" si="360"/>
        <v>BED1043</v>
      </c>
      <c r="W1044" t="str">
        <f t="shared" ca="1" si="361"/>
        <v>ICU</v>
      </c>
      <c r="X1044" t="str">
        <f t="shared" si="362"/>
        <v>NUR043</v>
      </c>
      <c r="Y1044" t="str">
        <f t="shared" ca="1" si="363"/>
        <v>Evening</v>
      </c>
      <c r="Z1044" t="str">
        <f t="shared" ca="1" si="364"/>
        <v>Ventilator</v>
      </c>
      <c r="AA1044" t="str">
        <f t="shared" ca="1" si="365"/>
        <v>Available</v>
      </c>
      <c r="AB1044" t="str">
        <f t="shared" ca="1" si="366"/>
        <v>Paid</v>
      </c>
      <c r="AC1044" t="str">
        <f t="shared" ca="1" si="367"/>
        <v>Debit Card</v>
      </c>
      <c r="AD1044" t="str">
        <f t="shared" ca="1" si="368"/>
        <v>Yes</v>
      </c>
      <c r="AE1044" t="str">
        <f t="shared" ca="1" si="369"/>
        <v>No</v>
      </c>
      <c r="AF1044" t="str">
        <f t="shared" ca="1" si="370"/>
        <v>Recovered</v>
      </c>
      <c r="AG1044" t="str">
        <f t="shared" ca="1" si="371"/>
        <v>Midwest</v>
      </c>
      <c r="AH1044" t="str">
        <f t="shared" si="354"/>
        <v>May</v>
      </c>
      <c r="AI1044">
        <f t="shared" si="355"/>
        <v>2022</v>
      </c>
      <c r="AJ1044" t="str">
        <f t="shared" ca="1" si="372"/>
        <v>Occupied</v>
      </c>
      <c r="AK1044">
        <f t="shared" ca="1" si="373"/>
        <v>4</v>
      </c>
    </row>
    <row r="1045" spans="1:37" x14ac:dyDescent="0.3">
      <c r="A1045" t="s">
        <v>5455</v>
      </c>
      <c r="B1045">
        <v>33</v>
      </c>
      <c r="C1045" t="s">
        <v>32</v>
      </c>
      <c r="D1045" t="s">
        <v>16</v>
      </c>
      <c r="E1045" t="s">
        <v>17</v>
      </c>
      <c r="F1045" s="1">
        <v>43677</v>
      </c>
      <c r="G1045" t="s">
        <v>2113</v>
      </c>
      <c r="H1045" t="s">
        <v>2114</v>
      </c>
      <c r="I1045" t="s">
        <v>57</v>
      </c>
      <c r="J1045">
        <v>3312</v>
      </c>
      <c r="K1045">
        <v>448</v>
      </c>
      <c r="L1045" t="s">
        <v>42</v>
      </c>
      <c r="M1045" s="1">
        <v>43685</v>
      </c>
      <c r="N1045" t="s">
        <v>37</v>
      </c>
      <c r="O1045" t="s">
        <v>43</v>
      </c>
      <c r="P1045" t="str">
        <f t="shared" si="356"/>
        <v>P1044</v>
      </c>
      <c r="Q1045" t="str">
        <f t="shared" si="352"/>
        <v>Oncology</v>
      </c>
      <c r="R1045">
        <f t="shared" si="353"/>
        <v>8</v>
      </c>
      <c r="S1045" t="str">
        <f t="shared" ca="1" si="357"/>
        <v>No</v>
      </c>
      <c r="T1045" t="str">
        <f t="shared" ca="1" si="358"/>
        <v>Critical</v>
      </c>
      <c r="U1045" t="str">
        <f t="shared" ca="1" si="359"/>
        <v>General Ward</v>
      </c>
      <c r="V1045" t="str">
        <f t="shared" si="360"/>
        <v>BED1044</v>
      </c>
      <c r="W1045" t="str">
        <f t="shared" ca="1" si="361"/>
        <v>Private</v>
      </c>
      <c r="X1045" t="str">
        <f t="shared" si="362"/>
        <v>NUR044</v>
      </c>
      <c r="Y1045" t="str">
        <f t="shared" ca="1" si="363"/>
        <v>Night</v>
      </c>
      <c r="Z1045" t="str">
        <f t="shared" ca="1" si="364"/>
        <v>MRI Scanner</v>
      </c>
      <c r="AA1045" t="str">
        <f t="shared" ca="1" si="365"/>
        <v>Available</v>
      </c>
      <c r="AB1045" t="str">
        <f t="shared" ca="1" si="366"/>
        <v>Pending</v>
      </c>
      <c r="AC1045" t="str">
        <f t="shared" ca="1" si="367"/>
        <v>Credit Card</v>
      </c>
      <c r="AD1045" t="str">
        <f t="shared" ca="1" si="368"/>
        <v>No</v>
      </c>
      <c r="AE1045" t="str">
        <f t="shared" ca="1" si="369"/>
        <v>No</v>
      </c>
      <c r="AF1045" t="str">
        <f t="shared" ca="1" si="370"/>
        <v>Under Observation</v>
      </c>
      <c r="AG1045" t="str">
        <f t="shared" ca="1" si="371"/>
        <v>West Coast</v>
      </c>
      <c r="AH1045" t="str">
        <f t="shared" si="354"/>
        <v>July</v>
      </c>
      <c r="AI1045">
        <f t="shared" si="355"/>
        <v>2019</v>
      </c>
      <c r="AJ1045" t="str">
        <f t="shared" ca="1" si="372"/>
        <v>Occupied</v>
      </c>
      <c r="AK1045">
        <f t="shared" ca="1" si="373"/>
        <v>4</v>
      </c>
    </row>
    <row r="1046" spans="1:37" x14ac:dyDescent="0.3">
      <c r="A1046" t="s">
        <v>5456</v>
      </c>
      <c r="B1046">
        <v>45</v>
      </c>
      <c r="C1046" t="s">
        <v>32</v>
      </c>
      <c r="D1046" t="s">
        <v>38</v>
      </c>
      <c r="E1046" t="s">
        <v>39</v>
      </c>
      <c r="F1046" s="1">
        <v>44619</v>
      </c>
      <c r="G1046" t="s">
        <v>2115</v>
      </c>
      <c r="H1046" t="s">
        <v>2116</v>
      </c>
      <c r="I1046" t="s">
        <v>57</v>
      </c>
      <c r="J1046">
        <v>3554</v>
      </c>
      <c r="K1046">
        <v>375</v>
      </c>
      <c r="L1046" t="s">
        <v>29</v>
      </c>
      <c r="M1046" s="1">
        <v>44623</v>
      </c>
      <c r="N1046" t="s">
        <v>37</v>
      </c>
      <c r="O1046" t="s">
        <v>43</v>
      </c>
      <c r="P1046" t="str">
        <f t="shared" si="356"/>
        <v>P1045</v>
      </c>
      <c r="Q1046" t="str">
        <f t="shared" si="352"/>
        <v>Endocrinology</v>
      </c>
      <c r="R1046">
        <f t="shared" si="353"/>
        <v>4</v>
      </c>
      <c r="S1046" t="str">
        <f t="shared" ca="1" si="357"/>
        <v>No</v>
      </c>
      <c r="T1046" t="str">
        <f t="shared" ca="1" si="358"/>
        <v>Moderate</v>
      </c>
      <c r="U1046" t="str">
        <f t="shared" ca="1" si="359"/>
        <v>Emergency</v>
      </c>
      <c r="V1046" t="str">
        <f t="shared" si="360"/>
        <v>BED1045</v>
      </c>
      <c r="W1046" t="str">
        <f t="shared" ca="1" si="361"/>
        <v>Private</v>
      </c>
      <c r="X1046" t="str">
        <f t="shared" si="362"/>
        <v>NUR045</v>
      </c>
      <c r="Y1046" t="str">
        <f t="shared" ca="1" si="363"/>
        <v>Evening</v>
      </c>
      <c r="Z1046" t="str">
        <f t="shared" ca="1" si="364"/>
        <v>Ventilator</v>
      </c>
      <c r="AA1046" t="str">
        <f t="shared" ca="1" si="365"/>
        <v>In Use</v>
      </c>
      <c r="AB1046" t="str">
        <f t="shared" ca="1" si="366"/>
        <v>Partially Paid</v>
      </c>
      <c r="AC1046" t="str">
        <f t="shared" ca="1" si="367"/>
        <v>Cash</v>
      </c>
      <c r="AD1046" t="str">
        <f t="shared" ca="1" si="368"/>
        <v>No</v>
      </c>
      <c r="AE1046" t="str">
        <f t="shared" ca="1" si="369"/>
        <v>No</v>
      </c>
      <c r="AF1046" t="str">
        <f t="shared" ca="1" si="370"/>
        <v>Recovered</v>
      </c>
      <c r="AG1046" t="str">
        <f t="shared" ca="1" si="371"/>
        <v>West Coast</v>
      </c>
      <c r="AH1046" t="str">
        <f t="shared" si="354"/>
        <v>February</v>
      </c>
      <c r="AI1046">
        <f t="shared" si="355"/>
        <v>2022</v>
      </c>
      <c r="AJ1046" t="str">
        <f t="shared" ca="1" si="372"/>
        <v>Occupied</v>
      </c>
      <c r="AK1046">
        <f t="shared" ca="1" si="373"/>
        <v>4</v>
      </c>
    </row>
    <row r="1047" spans="1:37" x14ac:dyDescent="0.3">
      <c r="A1047" t="s">
        <v>5457</v>
      </c>
      <c r="B1047">
        <v>81</v>
      </c>
      <c r="C1047" t="s">
        <v>32</v>
      </c>
      <c r="D1047" t="s">
        <v>44</v>
      </c>
      <c r="E1047" t="s">
        <v>39</v>
      </c>
      <c r="F1047" s="1">
        <v>44331</v>
      </c>
      <c r="G1047" t="s">
        <v>2117</v>
      </c>
      <c r="H1047" t="s">
        <v>2118</v>
      </c>
      <c r="I1047" t="s">
        <v>51</v>
      </c>
      <c r="J1047">
        <v>41321</v>
      </c>
      <c r="K1047">
        <v>136</v>
      </c>
      <c r="L1047" t="s">
        <v>42</v>
      </c>
      <c r="M1047" s="1">
        <v>44347</v>
      </c>
      <c r="N1047" t="s">
        <v>22</v>
      </c>
      <c r="O1047" t="s">
        <v>43</v>
      </c>
      <c r="P1047" t="str">
        <f t="shared" si="356"/>
        <v>P1046</v>
      </c>
      <c r="Q1047" t="str">
        <f t="shared" si="352"/>
        <v>Endocrinology</v>
      </c>
      <c r="R1047">
        <f t="shared" si="353"/>
        <v>16</v>
      </c>
      <c r="S1047" t="str">
        <f t="shared" ca="1" si="357"/>
        <v>No</v>
      </c>
      <c r="T1047" t="str">
        <f t="shared" ca="1" si="358"/>
        <v>Critical</v>
      </c>
      <c r="U1047" t="str">
        <f t="shared" ca="1" si="359"/>
        <v>Private Ward</v>
      </c>
      <c r="V1047" t="str">
        <f t="shared" si="360"/>
        <v>BED1046</v>
      </c>
      <c r="W1047" t="str">
        <f t="shared" ca="1" si="361"/>
        <v>Private</v>
      </c>
      <c r="X1047" t="str">
        <f t="shared" si="362"/>
        <v>NUR046</v>
      </c>
      <c r="Y1047" t="str">
        <f t="shared" ca="1" si="363"/>
        <v>Evening</v>
      </c>
      <c r="Z1047" t="str">
        <f t="shared" ca="1" si="364"/>
        <v>Ultrasound</v>
      </c>
      <c r="AA1047" t="str">
        <f t="shared" ca="1" si="365"/>
        <v>Available</v>
      </c>
      <c r="AB1047" t="str">
        <f t="shared" ca="1" si="366"/>
        <v>Pending</v>
      </c>
      <c r="AC1047" t="str">
        <f t="shared" ca="1" si="367"/>
        <v>Bank Transfer</v>
      </c>
      <c r="AD1047" t="str">
        <f t="shared" ca="1" si="368"/>
        <v>No</v>
      </c>
      <c r="AE1047" t="str">
        <f t="shared" ca="1" si="369"/>
        <v>No</v>
      </c>
      <c r="AF1047" t="str">
        <f t="shared" ca="1" si="370"/>
        <v>Transferred</v>
      </c>
      <c r="AG1047" t="str">
        <f t="shared" ca="1" si="371"/>
        <v>West Coast</v>
      </c>
      <c r="AH1047" t="str">
        <f t="shared" si="354"/>
        <v>May</v>
      </c>
      <c r="AI1047">
        <f t="shared" si="355"/>
        <v>2021</v>
      </c>
      <c r="AJ1047" t="str">
        <f t="shared" ca="1" si="372"/>
        <v>Occupied</v>
      </c>
      <c r="AK1047">
        <f t="shared" ca="1" si="373"/>
        <v>1</v>
      </c>
    </row>
    <row r="1048" spans="1:37" x14ac:dyDescent="0.3">
      <c r="A1048" t="s">
        <v>5458</v>
      </c>
      <c r="B1048">
        <v>56</v>
      </c>
      <c r="C1048" t="s">
        <v>32</v>
      </c>
      <c r="D1048" t="s">
        <v>16</v>
      </c>
      <c r="E1048" t="s">
        <v>76</v>
      </c>
      <c r="F1048" s="1">
        <v>45134</v>
      </c>
      <c r="G1048" t="s">
        <v>2119</v>
      </c>
      <c r="H1048" t="s">
        <v>2120</v>
      </c>
      <c r="I1048" t="s">
        <v>20</v>
      </c>
      <c r="J1048">
        <v>14151</v>
      </c>
      <c r="K1048">
        <v>406</v>
      </c>
      <c r="L1048" t="s">
        <v>42</v>
      </c>
      <c r="M1048" s="1">
        <v>45157</v>
      </c>
      <c r="N1048" t="s">
        <v>47</v>
      </c>
      <c r="O1048" t="s">
        <v>43</v>
      </c>
      <c r="P1048" t="str">
        <f t="shared" si="356"/>
        <v>P1047</v>
      </c>
      <c r="Q1048" t="str">
        <f t="shared" si="352"/>
        <v>Orthopedics</v>
      </c>
      <c r="R1048">
        <f t="shared" si="353"/>
        <v>23</v>
      </c>
      <c r="S1048" t="str">
        <f t="shared" ca="1" si="357"/>
        <v>No</v>
      </c>
      <c r="T1048" t="str">
        <f t="shared" ca="1" si="358"/>
        <v>Moderate</v>
      </c>
      <c r="U1048" t="str">
        <f t="shared" ca="1" si="359"/>
        <v>Emergency</v>
      </c>
      <c r="V1048" t="str">
        <f t="shared" si="360"/>
        <v>BED1047</v>
      </c>
      <c r="W1048" t="str">
        <f t="shared" ca="1" si="361"/>
        <v>General</v>
      </c>
      <c r="X1048" t="str">
        <f t="shared" si="362"/>
        <v>NUR047</v>
      </c>
      <c r="Y1048" t="str">
        <f t="shared" ca="1" si="363"/>
        <v>Evening</v>
      </c>
      <c r="Z1048" t="str">
        <f t="shared" ca="1" si="364"/>
        <v>X-Ray</v>
      </c>
      <c r="AA1048" t="str">
        <f t="shared" ca="1" si="365"/>
        <v>Maintenance</v>
      </c>
      <c r="AB1048" t="str">
        <f t="shared" ca="1" si="366"/>
        <v>Partially Paid</v>
      </c>
      <c r="AC1048" t="str">
        <f t="shared" ca="1" si="367"/>
        <v>Credit Card</v>
      </c>
      <c r="AD1048" t="str">
        <f t="shared" ca="1" si="368"/>
        <v>No</v>
      </c>
      <c r="AE1048" t="str">
        <f t="shared" ca="1" si="369"/>
        <v>No</v>
      </c>
      <c r="AF1048" t="str">
        <f t="shared" ca="1" si="370"/>
        <v>Transferred</v>
      </c>
      <c r="AG1048" t="str">
        <f t="shared" ca="1" si="371"/>
        <v>Northeast</v>
      </c>
      <c r="AH1048" t="str">
        <f t="shared" si="354"/>
        <v>July</v>
      </c>
      <c r="AI1048">
        <f t="shared" si="355"/>
        <v>2023</v>
      </c>
      <c r="AJ1048" t="str">
        <f t="shared" ca="1" si="372"/>
        <v>Occupied</v>
      </c>
      <c r="AK1048">
        <f t="shared" ca="1" si="373"/>
        <v>1</v>
      </c>
    </row>
    <row r="1049" spans="1:37" x14ac:dyDescent="0.3">
      <c r="A1049" t="s">
        <v>5459</v>
      </c>
      <c r="B1049">
        <v>57</v>
      </c>
      <c r="C1049" t="s">
        <v>15</v>
      </c>
      <c r="D1049" t="s">
        <v>24</v>
      </c>
      <c r="E1049" t="s">
        <v>25</v>
      </c>
      <c r="F1049" s="1">
        <v>44774</v>
      </c>
      <c r="G1049" t="s">
        <v>2121</v>
      </c>
      <c r="H1049" t="s">
        <v>2122</v>
      </c>
      <c r="I1049" t="s">
        <v>28</v>
      </c>
      <c r="J1049">
        <v>34904</v>
      </c>
      <c r="K1049">
        <v>371</v>
      </c>
      <c r="L1049" t="s">
        <v>29</v>
      </c>
      <c r="M1049" s="1">
        <v>44789</v>
      </c>
      <c r="N1049" t="s">
        <v>37</v>
      </c>
      <c r="O1049" t="s">
        <v>43</v>
      </c>
      <c r="P1049" t="str">
        <f t="shared" si="356"/>
        <v>P1048</v>
      </c>
      <c r="Q1049" t="str">
        <f t="shared" si="352"/>
        <v>Nutrition</v>
      </c>
      <c r="R1049">
        <f t="shared" si="353"/>
        <v>15</v>
      </c>
      <c r="S1049" t="str">
        <f t="shared" ca="1" si="357"/>
        <v>No</v>
      </c>
      <c r="T1049" t="str">
        <f t="shared" ca="1" si="358"/>
        <v>Moderate</v>
      </c>
      <c r="U1049" t="str">
        <f t="shared" ca="1" si="359"/>
        <v>General Ward</v>
      </c>
      <c r="V1049" t="str">
        <f t="shared" si="360"/>
        <v>BED1048</v>
      </c>
      <c r="W1049" t="str">
        <f t="shared" ca="1" si="361"/>
        <v>ICU</v>
      </c>
      <c r="X1049" t="str">
        <f t="shared" si="362"/>
        <v>NUR048</v>
      </c>
      <c r="Y1049" t="str">
        <f t="shared" ca="1" si="363"/>
        <v>Morning</v>
      </c>
      <c r="Z1049" t="str">
        <f t="shared" ca="1" si="364"/>
        <v>X-Ray</v>
      </c>
      <c r="AA1049" t="str">
        <f t="shared" ca="1" si="365"/>
        <v>In Use</v>
      </c>
      <c r="AB1049" t="str">
        <f t="shared" ca="1" si="366"/>
        <v>Paid</v>
      </c>
      <c r="AC1049" t="str">
        <f t="shared" ca="1" si="367"/>
        <v>Cash</v>
      </c>
      <c r="AD1049" t="str">
        <f t="shared" ca="1" si="368"/>
        <v>No</v>
      </c>
      <c r="AE1049" t="str">
        <f t="shared" ca="1" si="369"/>
        <v>No</v>
      </c>
      <c r="AF1049" t="str">
        <f t="shared" ca="1" si="370"/>
        <v>Under Observation</v>
      </c>
      <c r="AG1049" t="str">
        <f t="shared" ca="1" si="371"/>
        <v>Southwest</v>
      </c>
      <c r="AH1049" t="str">
        <f t="shared" si="354"/>
        <v>August</v>
      </c>
      <c r="AI1049">
        <f t="shared" si="355"/>
        <v>2022</v>
      </c>
      <c r="AJ1049" t="str">
        <f t="shared" ca="1" si="372"/>
        <v>Occupied</v>
      </c>
      <c r="AK1049">
        <f t="shared" ca="1" si="373"/>
        <v>2</v>
      </c>
    </row>
    <row r="1050" spans="1:37" x14ac:dyDescent="0.3">
      <c r="A1050" t="s">
        <v>5460</v>
      </c>
      <c r="B1050">
        <v>75</v>
      </c>
      <c r="C1050" t="s">
        <v>15</v>
      </c>
      <c r="D1050" t="s">
        <v>24</v>
      </c>
      <c r="E1050" t="s">
        <v>76</v>
      </c>
      <c r="F1050" s="1">
        <v>44333</v>
      </c>
      <c r="G1050" t="s">
        <v>2123</v>
      </c>
      <c r="H1050" t="s">
        <v>2124</v>
      </c>
      <c r="I1050" t="s">
        <v>57</v>
      </c>
      <c r="J1050">
        <v>47642</v>
      </c>
      <c r="K1050">
        <v>187</v>
      </c>
      <c r="L1050" t="s">
        <v>21</v>
      </c>
      <c r="M1050" s="1">
        <v>44346</v>
      </c>
      <c r="N1050" t="s">
        <v>22</v>
      </c>
      <c r="O1050" t="s">
        <v>43</v>
      </c>
      <c r="P1050" t="str">
        <f t="shared" si="356"/>
        <v>P1049</v>
      </c>
      <c r="Q1050" t="str">
        <f t="shared" si="352"/>
        <v>Orthopedics</v>
      </c>
      <c r="R1050">
        <f t="shared" si="353"/>
        <v>13</v>
      </c>
      <c r="S1050" t="str">
        <f t="shared" ca="1" si="357"/>
        <v>No</v>
      </c>
      <c r="T1050" t="str">
        <f t="shared" ca="1" si="358"/>
        <v>Moderate</v>
      </c>
      <c r="U1050" t="str">
        <f t="shared" ca="1" si="359"/>
        <v>Semi-Private</v>
      </c>
      <c r="V1050" t="str">
        <f t="shared" si="360"/>
        <v>BED1049</v>
      </c>
      <c r="W1050" t="str">
        <f t="shared" ca="1" si="361"/>
        <v>Private</v>
      </c>
      <c r="X1050" t="str">
        <f t="shared" si="362"/>
        <v>NUR049</v>
      </c>
      <c r="Y1050" t="str">
        <f t="shared" ca="1" si="363"/>
        <v>Night</v>
      </c>
      <c r="Z1050" t="str">
        <f t="shared" ca="1" si="364"/>
        <v>X-Ray</v>
      </c>
      <c r="AA1050" t="str">
        <f t="shared" ca="1" si="365"/>
        <v>Maintenance</v>
      </c>
      <c r="AB1050" t="str">
        <f t="shared" ca="1" si="366"/>
        <v>Partially Paid</v>
      </c>
      <c r="AC1050" t="str">
        <f t="shared" ca="1" si="367"/>
        <v>Bank Transfer</v>
      </c>
      <c r="AD1050" t="str">
        <f t="shared" ca="1" si="368"/>
        <v>Yes</v>
      </c>
      <c r="AE1050" t="str">
        <f t="shared" ca="1" si="369"/>
        <v>No</v>
      </c>
      <c r="AF1050" t="str">
        <f t="shared" ca="1" si="370"/>
        <v>Transferred</v>
      </c>
      <c r="AG1050" t="str">
        <f t="shared" ca="1" si="371"/>
        <v>Southwest</v>
      </c>
      <c r="AH1050" t="str">
        <f t="shared" si="354"/>
        <v>May</v>
      </c>
      <c r="AI1050">
        <f t="shared" si="355"/>
        <v>2021</v>
      </c>
      <c r="AJ1050" t="str">
        <f t="shared" ca="1" si="372"/>
        <v>Occupied</v>
      </c>
      <c r="AK1050">
        <f t="shared" ca="1" si="373"/>
        <v>2</v>
      </c>
    </row>
    <row r="1051" spans="1:37" x14ac:dyDescent="0.3">
      <c r="A1051" t="s">
        <v>5461</v>
      </c>
      <c r="B1051">
        <v>22</v>
      </c>
      <c r="C1051" t="s">
        <v>15</v>
      </c>
      <c r="D1051" t="s">
        <v>24</v>
      </c>
      <c r="E1051" t="s">
        <v>17</v>
      </c>
      <c r="F1051" s="1">
        <v>44642</v>
      </c>
      <c r="G1051" t="s">
        <v>2125</v>
      </c>
      <c r="H1051" t="s">
        <v>356</v>
      </c>
      <c r="I1051" t="s">
        <v>36</v>
      </c>
      <c r="J1051">
        <v>4440</v>
      </c>
      <c r="K1051">
        <v>245</v>
      </c>
      <c r="L1051" t="s">
        <v>42</v>
      </c>
      <c r="M1051" s="1">
        <v>44652</v>
      </c>
      <c r="N1051" t="s">
        <v>30</v>
      </c>
      <c r="O1051" t="s">
        <v>23</v>
      </c>
      <c r="P1051" t="str">
        <f t="shared" si="356"/>
        <v>P1050</v>
      </c>
      <c r="Q1051" t="str">
        <f t="shared" si="352"/>
        <v>Oncology</v>
      </c>
      <c r="R1051">
        <f t="shared" si="353"/>
        <v>10</v>
      </c>
      <c r="S1051" t="str">
        <f t="shared" ca="1" si="357"/>
        <v>No</v>
      </c>
      <c r="T1051" t="str">
        <f t="shared" ca="1" si="358"/>
        <v>Critical</v>
      </c>
      <c r="U1051" t="str">
        <f t="shared" ca="1" si="359"/>
        <v>Emergency</v>
      </c>
      <c r="V1051" t="str">
        <f t="shared" si="360"/>
        <v>BED1050</v>
      </c>
      <c r="W1051" t="str">
        <f t="shared" ca="1" si="361"/>
        <v>Semi-Private</v>
      </c>
      <c r="X1051" t="str">
        <f t="shared" si="362"/>
        <v>NUR050</v>
      </c>
      <c r="Y1051" t="str">
        <f t="shared" ca="1" si="363"/>
        <v>Night</v>
      </c>
      <c r="Z1051" t="str">
        <f t="shared" ca="1" si="364"/>
        <v>ECG Machine</v>
      </c>
      <c r="AA1051" t="str">
        <f t="shared" ca="1" si="365"/>
        <v>In Use</v>
      </c>
      <c r="AB1051" t="str">
        <f t="shared" ca="1" si="366"/>
        <v>Pending</v>
      </c>
      <c r="AC1051" t="str">
        <f t="shared" ca="1" si="367"/>
        <v>Debit Card</v>
      </c>
      <c r="AD1051" t="str">
        <f t="shared" ca="1" si="368"/>
        <v>No</v>
      </c>
      <c r="AE1051" t="str">
        <f t="shared" ca="1" si="369"/>
        <v>No</v>
      </c>
      <c r="AF1051" t="str">
        <f t="shared" ca="1" si="370"/>
        <v>Transferred</v>
      </c>
      <c r="AG1051" t="str">
        <f t="shared" ca="1" si="371"/>
        <v>Midwest</v>
      </c>
      <c r="AH1051" t="str">
        <f t="shared" si="354"/>
        <v>March</v>
      </c>
      <c r="AI1051">
        <f t="shared" si="355"/>
        <v>2022</v>
      </c>
      <c r="AJ1051" t="str">
        <f t="shared" ca="1" si="372"/>
        <v>Occupied</v>
      </c>
      <c r="AK1051">
        <f t="shared" ca="1" si="373"/>
        <v>2</v>
      </c>
    </row>
    <row r="1052" spans="1:37" x14ac:dyDescent="0.3">
      <c r="A1052" t="s">
        <v>5462</v>
      </c>
      <c r="B1052">
        <v>68</v>
      </c>
      <c r="C1052" t="s">
        <v>15</v>
      </c>
      <c r="D1052" t="s">
        <v>83</v>
      </c>
      <c r="E1052" t="s">
        <v>64</v>
      </c>
      <c r="F1052" s="1">
        <v>44074</v>
      </c>
      <c r="G1052" t="s">
        <v>2126</v>
      </c>
      <c r="H1052" t="s">
        <v>2127</v>
      </c>
      <c r="I1052" t="s">
        <v>36</v>
      </c>
      <c r="J1052">
        <v>19937</v>
      </c>
      <c r="K1052">
        <v>212</v>
      </c>
      <c r="L1052" t="s">
        <v>42</v>
      </c>
      <c r="M1052" s="1">
        <v>44087</v>
      </c>
      <c r="N1052" t="s">
        <v>47</v>
      </c>
      <c r="O1052" t="s">
        <v>23</v>
      </c>
      <c r="P1052" t="str">
        <f t="shared" si="356"/>
        <v>P1051</v>
      </c>
      <c r="Q1052" t="str">
        <f t="shared" si="352"/>
        <v>Cardiology</v>
      </c>
      <c r="R1052">
        <f t="shared" si="353"/>
        <v>13</v>
      </c>
      <c r="S1052" t="str">
        <f t="shared" ca="1" si="357"/>
        <v>No</v>
      </c>
      <c r="T1052" t="str">
        <f t="shared" ca="1" si="358"/>
        <v>Mild</v>
      </c>
      <c r="U1052" t="str">
        <f t="shared" ca="1" si="359"/>
        <v>Semi-Private</v>
      </c>
      <c r="V1052" t="str">
        <f t="shared" si="360"/>
        <v>BED1051</v>
      </c>
      <c r="W1052" t="str">
        <f t="shared" ca="1" si="361"/>
        <v>ICU</v>
      </c>
      <c r="X1052" t="str">
        <f t="shared" si="362"/>
        <v>NUR001</v>
      </c>
      <c r="Y1052" t="str">
        <f t="shared" ca="1" si="363"/>
        <v>Night</v>
      </c>
      <c r="Z1052" t="str">
        <f t="shared" ca="1" si="364"/>
        <v>ECG Machine</v>
      </c>
      <c r="AA1052" t="str">
        <f t="shared" ca="1" si="365"/>
        <v>Available</v>
      </c>
      <c r="AB1052" t="str">
        <f t="shared" ca="1" si="366"/>
        <v>Pending</v>
      </c>
      <c r="AC1052" t="str">
        <f t="shared" ca="1" si="367"/>
        <v>Debit Card</v>
      </c>
      <c r="AD1052" t="str">
        <f t="shared" ca="1" si="368"/>
        <v>No</v>
      </c>
      <c r="AE1052" t="str">
        <f t="shared" ca="1" si="369"/>
        <v>Yes</v>
      </c>
      <c r="AF1052" t="str">
        <f t="shared" ca="1" si="370"/>
        <v>Under Observation</v>
      </c>
      <c r="AG1052" t="str">
        <f t="shared" ca="1" si="371"/>
        <v>Southeast</v>
      </c>
      <c r="AH1052" t="str">
        <f t="shared" si="354"/>
        <v>August</v>
      </c>
      <c r="AI1052">
        <f t="shared" si="355"/>
        <v>2020</v>
      </c>
      <c r="AJ1052" t="str">
        <f t="shared" ca="1" si="372"/>
        <v>Occupied</v>
      </c>
      <c r="AK1052">
        <f t="shared" ca="1" si="373"/>
        <v>1</v>
      </c>
    </row>
    <row r="1053" spans="1:37" x14ac:dyDescent="0.3">
      <c r="A1053" t="s">
        <v>5463</v>
      </c>
      <c r="B1053">
        <v>22</v>
      </c>
      <c r="C1053" t="s">
        <v>15</v>
      </c>
      <c r="D1053" t="s">
        <v>44</v>
      </c>
      <c r="E1053" t="s">
        <v>76</v>
      </c>
      <c r="F1053" s="1">
        <v>44272</v>
      </c>
      <c r="G1053" t="s">
        <v>2128</v>
      </c>
      <c r="H1053" t="s">
        <v>2129</v>
      </c>
      <c r="I1053" t="s">
        <v>51</v>
      </c>
      <c r="J1053">
        <v>44864</v>
      </c>
      <c r="K1053">
        <v>244</v>
      </c>
      <c r="L1053" t="s">
        <v>29</v>
      </c>
      <c r="M1053" s="1">
        <v>44275</v>
      </c>
      <c r="N1053" t="s">
        <v>37</v>
      </c>
      <c r="O1053" t="s">
        <v>23</v>
      </c>
      <c r="P1053" t="str">
        <f t="shared" si="356"/>
        <v>P1052</v>
      </c>
      <c r="Q1053" t="str">
        <f t="shared" si="352"/>
        <v>Orthopedics</v>
      </c>
      <c r="R1053">
        <f t="shared" si="353"/>
        <v>3</v>
      </c>
      <c r="S1053" t="str">
        <f t="shared" ca="1" si="357"/>
        <v>No</v>
      </c>
      <c r="T1053" t="str">
        <f t="shared" ca="1" si="358"/>
        <v>Severe</v>
      </c>
      <c r="U1053" t="str">
        <f t="shared" ca="1" si="359"/>
        <v>ICU</v>
      </c>
      <c r="V1053" t="str">
        <f t="shared" si="360"/>
        <v>BED1052</v>
      </c>
      <c r="W1053" t="str">
        <f t="shared" ca="1" si="361"/>
        <v>General</v>
      </c>
      <c r="X1053" t="str">
        <f t="shared" si="362"/>
        <v>NUR002</v>
      </c>
      <c r="Y1053" t="str">
        <f t="shared" ca="1" si="363"/>
        <v>Evening</v>
      </c>
      <c r="Z1053" t="str">
        <f t="shared" ca="1" si="364"/>
        <v>X-Ray</v>
      </c>
      <c r="AA1053" t="str">
        <f t="shared" ca="1" si="365"/>
        <v>Available</v>
      </c>
      <c r="AB1053" t="str">
        <f t="shared" ca="1" si="366"/>
        <v>Pending</v>
      </c>
      <c r="AC1053" t="str">
        <f t="shared" ca="1" si="367"/>
        <v>Insurance</v>
      </c>
      <c r="AD1053" t="str">
        <f t="shared" ca="1" si="368"/>
        <v>No</v>
      </c>
      <c r="AE1053" t="str">
        <f t="shared" ca="1" si="369"/>
        <v>No</v>
      </c>
      <c r="AF1053" t="str">
        <f t="shared" ca="1" si="370"/>
        <v>Recovered</v>
      </c>
      <c r="AG1053" t="str">
        <f t="shared" ca="1" si="371"/>
        <v>Southeast</v>
      </c>
      <c r="AH1053" t="str">
        <f t="shared" si="354"/>
        <v>March</v>
      </c>
      <c r="AI1053">
        <f t="shared" si="355"/>
        <v>2021</v>
      </c>
      <c r="AJ1053" t="str">
        <f t="shared" ca="1" si="372"/>
        <v>Occupied</v>
      </c>
      <c r="AK1053">
        <f t="shared" ca="1" si="373"/>
        <v>4</v>
      </c>
    </row>
    <row r="1054" spans="1:37" x14ac:dyDescent="0.3">
      <c r="A1054" t="s">
        <v>5464</v>
      </c>
      <c r="B1054">
        <v>47</v>
      </c>
      <c r="C1054" t="s">
        <v>15</v>
      </c>
      <c r="D1054" t="s">
        <v>24</v>
      </c>
      <c r="E1054" t="s">
        <v>17</v>
      </c>
      <c r="F1054" s="1">
        <v>43629</v>
      </c>
      <c r="G1054" t="s">
        <v>2130</v>
      </c>
      <c r="H1054" t="s">
        <v>2131</v>
      </c>
      <c r="I1054" t="s">
        <v>28</v>
      </c>
      <c r="J1054">
        <v>6877</v>
      </c>
      <c r="K1054">
        <v>200</v>
      </c>
      <c r="L1054" t="s">
        <v>29</v>
      </c>
      <c r="M1054" s="1">
        <v>43633</v>
      </c>
      <c r="N1054" t="s">
        <v>47</v>
      </c>
      <c r="O1054" t="s">
        <v>23</v>
      </c>
      <c r="P1054" t="str">
        <f t="shared" si="356"/>
        <v>P1053</v>
      </c>
      <c r="Q1054" t="str">
        <f t="shared" si="352"/>
        <v>Oncology</v>
      </c>
      <c r="R1054">
        <f t="shared" si="353"/>
        <v>4</v>
      </c>
      <c r="S1054" t="str">
        <f t="shared" ca="1" si="357"/>
        <v>No</v>
      </c>
      <c r="T1054" t="str">
        <f t="shared" ca="1" si="358"/>
        <v>Critical</v>
      </c>
      <c r="U1054" t="str">
        <f t="shared" ca="1" si="359"/>
        <v>Private Ward</v>
      </c>
      <c r="V1054" t="str">
        <f t="shared" si="360"/>
        <v>BED1053</v>
      </c>
      <c r="W1054" t="str">
        <f t="shared" ca="1" si="361"/>
        <v>Semi-Private</v>
      </c>
      <c r="X1054" t="str">
        <f t="shared" si="362"/>
        <v>NUR003</v>
      </c>
      <c r="Y1054" t="str">
        <f t="shared" ca="1" si="363"/>
        <v>Night</v>
      </c>
      <c r="Z1054" t="str">
        <f t="shared" ca="1" si="364"/>
        <v>CT Scanner</v>
      </c>
      <c r="AA1054" t="str">
        <f t="shared" ca="1" si="365"/>
        <v>Maintenance</v>
      </c>
      <c r="AB1054" t="str">
        <f t="shared" ca="1" si="366"/>
        <v>Pending</v>
      </c>
      <c r="AC1054" t="str">
        <f t="shared" ca="1" si="367"/>
        <v>Debit Card</v>
      </c>
      <c r="AD1054" t="str">
        <f t="shared" ca="1" si="368"/>
        <v>No</v>
      </c>
      <c r="AE1054" t="str">
        <f t="shared" ca="1" si="369"/>
        <v>No</v>
      </c>
      <c r="AF1054" t="str">
        <f t="shared" ca="1" si="370"/>
        <v>Recovered</v>
      </c>
      <c r="AG1054" t="str">
        <f t="shared" ca="1" si="371"/>
        <v>Midwest</v>
      </c>
      <c r="AH1054" t="str">
        <f t="shared" si="354"/>
        <v>June</v>
      </c>
      <c r="AI1054">
        <f t="shared" si="355"/>
        <v>2019</v>
      </c>
      <c r="AJ1054" t="str">
        <f t="shared" ca="1" si="372"/>
        <v>Occupied</v>
      </c>
      <c r="AK1054">
        <f t="shared" ca="1" si="373"/>
        <v>2</v>
      </c>
    </row>
    <row r="1055" spans="1:37" x14ac:dyDescent="0.3">
      <c r="A1055" t="s">
        <v>5465</v>
      </c>
      <c r="B1055">
        <v>66</v>
      </c>
      <c r="C1055" t="s">
        <v>15</v>
      </c>
      <c r="D1055" t="s">
        <v>52</v>
      </c>
      <c r="E1055" t="s">
        <v>64</v>
      </c>
      <c r="F1055" s="1">
        <v>44044</v>
      </c>
      <c r="G1055" t="s">
        <v>2132</v>
      </c>
      <c r="H1055" t="s">
        <v>2133</v>
      </c>
      <c r="I1055" t="s">
        <v>57</v>
      </c>
      <c r="J1055">
        <v>17036</v>
      </c>
      <c r="K1055">
        <v>120</v>
      </c>
      <c r="L1055" t="s">
        <v>42</v>
      </c>
      <c r="M1055" s="1">
        <v>44065</v>
      </c>
      <c r="N1055" t="s">
        <v>67</v>
      </c>
      <c r="O1055" t="s">
        <v>43</v>
      </c>
      <c r="P1055" t="str">
        <f t="shared" si="356"/>
        <v>P1054</v>
      </c>
      <c r="Q1055" t="str">
        <f t="shared" si="352"/>
        <v>Cardiology</v>
      </c>
      <c r="R1055">
        <f t="shared" si="353"/>
        <v>21</v>
      </c>
      <c r="S1055" t="str">
        <f t="shared" ca="1" si="357"/>
        <v>No</v>
      </c>
      <c r="T1055" t="str">
        <f t="shared" ca="1" si="358"/>
        <v>Critical</v>
      </c>
      <c r="U1055" t="str">
        <f t="shared" ca="1" si="359"/>
        <v>Private Ward</v>
      </c>
      <c r="V1055" t="str">
        <f t="shared" si="360"/>
        <v>BED1054</v>
      </c>
      <c r="W1055" t="str">
        <f t="shared" ca="1" si="361"/>
        <v>General</v>
      </c>
      <c r="X1055" t="str">
        <f t="shared" si="362"/>
        <v>NUR004</v>
      </c>
      <c r="Y1055" t="str">
        <f t="shared" ca="1" si="363"/>
        <v>Evening</v>
      </c>
      <c r="Z1055" t="str">
        <f t="shared" ca="1" si="364"/>
        <v>CT Scanner</v>
      </c>
      <c r="AA1055" t="str">
        <f t="shared" ca="1" si="365"/>
        <v>In Use</v>
      </c>
      <c r="AB1055" t="str">
        <f t="shared" ca="1" si="366"/>
        <v>Partially Paid</v>
      </c>
      <c r="AC1055" t="str">
        <f t="shared" ca="1" si="367"/>
        <v>Credit Card</v>
      </c>
      <c r="AD1055" t="str">
        <f t="shared" ca="1" si="368"/>
        <v>No</v>
      </c>
      <c r="AE1055" t="str">
        <f t="shared" ca="1" si="369"/>
        <v>No</v>
      </c>
      <c r="AF1055" t="str">
        <f t="shared" ca="1" si="370"/>
        <v>Transferred</v>
      </c>
      <c r="AG1055" t="str">
        <f t="shared" ca="1" si="371"/>
        <v>Southwest</v>
      </c>
      <c r="AH1055" t="str">
        <f t="shared" si="354"/>
        <v>August</v>
      </c>
      <c r="AI1055">
        <f t="shared" si="355"/>
        <v>2020</v>
      </c>
      <c r="AJ1055" t="str">
        <f t="shared" ca="1" si="372"/>
        <v>Occupied</v>
      </c>
      <c r="AK1055">
        <f t="shared" ca="1" si="373"/>
        <v>2</v>
      </c>
    </row>
    <row r="1056" spans="1:37" x14ac:dyDescent="0.3">
      <c r="A1056" t="s">
        <v>5466</v>
      </c>
      <c r="B1056">
        <v>51</v>
      </c>
      <c r="C1056" t="s">
        <v>32</v>
      </c>
      <c r="D1056" t="s">
        <v>38</v>
      </c>
      <c r="E1056" t="s">
        <v>17</v>
      </c>
      <c r="F1056" s="1">
        <v>43915</v>
      </c>
      <c r="G1056" t="s">
        <v>2134</v>
      </c>
      <c r="H1056" t="s">
        <v>2135</v>
      </c>
      <c r="I1056" t="s">
        <v>20</v>
      </c>
      <c r="J1056">
        <v>19825</v>
      </c>
      <c r="K1056">
        <v>256</v>
      </c>
      <c r="L1056" t="s">
        <v>29</v>
      </c>
      <c r="M1056" s="1">
        <v>43926</v>
      </c>
      <c r="N1056" t="s">
        <v>67</v>
      </c>
      <c r="O1056" t="s">
        <v>43</v>
      </c>
      <c r="P1056" t="str">
        <f t="shared" si="356"/>
        <v>P1055</v>
      </c>
      <c r="Q1056" t="str">
        <f t="shared" si="352"/>
        <v>Oncology</v>
      </c>
      <c r="R1056">
        <f t="shared" si="353"/>
        <v>11</v>
      </c>
      <c r="S1056" t="str">
        <f t="shared" ca="1" si="357"/>
        <v>No</v>
      </c>
      <c r="T1056" t="str">
        <f t="shared" ca="1" si="358"/>
        <v>Mild</v>
      </c>
      <c r="U1056" t="str">
        <f t="shared" ca="1" si="359"/>
        <v>Private Ward</v>
      </c>
      <c r="V1056" t="str">
        <f t="shared" si="360"/>
        <v>BED1055</v>
      </c>
      <c r="W1056" t="str">
        <f t="shared" ca="1" si="361"/>
        <v>ICU</v>
      </c>
      <c r="X1056" t="str">
        <f t="shared" si="362"/>
        <v>NUR005</v>
      </c>
      <c r="Y1056" t="str">
        <f t="shared" ca="1" si="363"/>
        <v>Morning</v>
      </c>
      <c r="Z1056" t="str">
        <f t="shared" ca="1" si="364"/>
        <v>Ultrasound</v>
      </c>
      <c r="AA1056" t="str">
        <f t="shared" ca="1" si="365"/>
        <v>Maintenance</v>
      </c>
      <c r="AB1056" t="str">
        <f t="shared" ca="1" si="366"/>
        <v>Pending</v>
      </c>
      <c r="AC1056" t="str">
        <f t="shared" ca="1" si="367"/>
        <v>Insurance</v>
      </c>
      <c r="AD1056" t="str">
        <f t="shared" ca="1" si="368"/>
        <v>No</v>
      </c>
      <c r="AE1056" t="str">
        <f t="shared" ca="1" si="369"/>
        <v>No</v>
      </c>
      <c r="AF1056" t="str">
        <f t="shared" ca="1" si="370"/>
        <v>Under Observation</v>
      </c>
      <c r="AG1056" t="str">
        <f t="shared" ca="1" si="371"/>
        <v>Northeast</v>
      </c>
      <c r="AH1056" t="str">
        <f t="shared" si="354"/>
        <v>March</v>
      </c>
      <c r="AI1056">
        <f t="shared" si="355"/>
        <v>2020</v>
      </c>
      <c r="AJ1056" t="str">
        <f t="shared" ca="1" si="372"/>
        <v>Occupied</v>
      </c>
      <c r="AK1056">
        <f t="shared" ca="1" si="373"/>
        <v>1</v>
      </c>
    </row>
    <row r="1057" spans="1:37" x14ac:dyDescent="0.3">
      <c r="A1057" t="s">
        <v>5467</v>
      </c>
      <c r="B1057">
        <v>45</v>
      </c>
      <c r="C1057" t="s">
        <v>15</v>
      </c>
      <c r="D1057" t="s">
        <v>44</v>
      </c>
      <c r="E1057" t="s">
        <v>48</v>
      </c>
      <c r="F1057" s="1">
        <v>43954</v>
      </c>
      <c r="G1057" t="s">
        <v>2136</v>
      </c>
      <c r="H1057" t="s">
        <v>2137</v>
      </c>
      <c r="I1057" t="s">
        <v>57</v>
      </c>
      <c r="J1057">
        <v>47624</v>
      </c>
      <c r="K1057">
        <v>261</v>
      </c>
      <c r="L1057" t="s">
        <v>21</v>
      </c>
      <c r="M1057" s="1">
        <v>43978</v>
      </c>
      <c r="N1057" t="s">
        <v>67</v>
      </c>
      <c r="O1057" t="s">
        <v>43</v>
      </c>
      <c r="P1057" t="str">
        <f t="shared" si="356"/>
        <v>P1056</v>
      </c>
      <c r="Q1057" t="str">
        <f t="shared" si="352"/>
        <v>Pulmonology</v>
      </c>
      <c r="R1057">
        <f t="shared" si="353"/>
        <v>24</v>
      </c>
      <c r="S1057" t="str">
        <f t="shared" ca="1" si="357"/>
        <v>No</v>
      </c>
      <c r="T1057" t="str">
        <f t="shared" ca="1" si="358"/>
        <v>Moderate</v>
      </c>
      <c r="U1057" t="str">
        <f t="shared" ca="1" si="359"/>
        <v>General Ward</v>
      </c>
      <c r="V1057" t="str">
        <f t="shared" si="360"/>
        <v>BED1056</v>
      </c>
      <c r="W1057" t="str">
        <f t="shared" ca="1" si="361"/>
        <v>General</v>
      </c>
      <c r="X1057" t="str">
        <f t="shared" si="362"/>
        <v>NUR006</v>
      </c>
      <c r="Y1057" t="str">
        <f t="shared" ca="1" si="363"/>
        <v>Night</v>
      </c>
      <c r="Z1057" t="str">
        <f t="shared" ca="1" si="364"/>
        <v>Ventilator</v>
      </c>
      <c r="AA1057" t="str">
        <f t="shared" ca="1" si="365"/>
        <v>Maintenance</v>
      </c>
      <c r="AB1057" t="str">
        <f t="shared" ca="1" si="366"/>
        <v>Paid</v>
      </c>
      <c r="AC1057" t="str">
        <f t="shared" ca="1" si="367"/>
        <v>Bank Transfer</v>
      </c>
      <c r="AD1057" t="str">
        <f t="shared" ca="1" si="368"/>
        <v>No</v>
      </c>
      <c r="AE1057" t="str">
        <f t="shared" ca="1" si="369"/>
        <v>No</v>
      </c>
      <c r="AF1057" t="str">
        <f t="shared" ca="1" si="370"/>
        <v>Recovered</v>
      </c>
      <c r="AG1057" t="str">
        <f t="shared" ca="1" si="371"/>
        <v>Northeast</v>
      </c>
      <c r="AH1057" t="str">
        <f t="shared" si="354"/>
        <v>May</v>
      </c>
      <c r="AI1057">
        <f t="shared" si="355"/>
        <v>2020</v>
      </c>
      <c r="AJ1057" t="str">
        <f t="shared" ca="1" si="372"/>
        <v>Occupied</v>
      </c>
      <c r="AK1057">
        <f t="shared" ca="1" si="373"/>
        <v>4</v>
      </c>
    </row>
    <row r="1058" spans="1:37" x14ac:dyDescent="0.3">
      <c r="A1058" t="s">
        <v>5468</v>
      </c>
      <c r="B1058">
        <v>23</v>
      </c>
      <c r="C1058" t="s">
        <v>32</v>
      </c>
      <c r="D1058" t="s">
        <v>24</v>
      </c>
      <c r="E1058" t="s">
        <v>76</v>
      </c>
      <c r="F1058" s="1">
        <v>44894</v>
      </c>
      <c r="G1058" t="s">
        <v>2138</v>
      </c>
      <c r="H1058" t="s">
        <v>2139</v>
      </c>
      <c r="I1058" t="s">
        <v>57</v>
      </c>
      <c r="J1058">
        <v>22015</v>
      </c>
      <c r="K1058">
        <v>132</v>
      </c>
      <c r="L1058" t="s">
        <v>42</v>
      </c>
      <c r="M1058" s="1">
        <v>44912</v>
      </c>
      <c r="N1058" t="s">
        <v>30</v>
      </c>
      <c r="O1058" t="s">
        <v>43</v>
      </c>
      <c r="P1058" t="str">
        <f t="shared" si="356"/>
        <v>P1057</v>
      </c>
      <c r="Q1058" t="str">
        <f t="shared" si="352"/>
        <v>Orthopedics</v>
      </c>
      <c r="R1058">
        <f t="shared" si="353"/>
        <v>18</v>
      </c>
      <c r="S1058" t="str">
        <f t="shared" ca="1" si="357"/>
        <v>No</v>
      </c>
      <c r="T1058" t="str">
        <f t="shared" ca="1" si="358"/>
        <v>Severe</v>
      </c>
      <c r="U1058" t="str">
        <f t="shared" ca="1" si="359"/>
        <v>Semi-Private</v>
      </c>
      <c r="V1058" t="str">
        <f t="shared" si="360"/>
        <v>BED1057</v>
      </c>
      <c r="W1058" t="str">
        <f t="shared" ca="1" si="361"/>
        <v>General</v>
      </c>
      <c r="X1058" t="str">
        <f t="shared" si="362"/>
        <v>NUR007</v>
      </c>
      <c r="Y1058" t="str">
        <f t="shared" ca="1" si="363"/>
        <v>Night</v>
      </c>
      <c r="Z1058" t="str">
        <f t="shared" ca="1" si="364"/>
        <v>MRI Scanner</v>
      </c>
      <c r="AA1058" t="str">
        <f t="shared" ca="1" si="365"/>
        <v>Maintenance</v>
      </c>
      <c r="AB1058" t="str">
        <f t="shared" ca="1" si="366"/>
        <v>Paid</v>
      </c>
      <c r="AC1058" t="str">
        <f t="shared" ca="1" si="367"/>
        <v>Debit Card</v>
      </c>
      <c r="AD1058" t="str">
        <f t="shared" ca="1" si="368"/>
        <v>No</v>
      </c>
      <c r="AE1058" t="str">
        <f t="shared" ca="1" si="369"/>
        <v>No</v>
      </c>
      <c r="AF1058" t="str">
        <f t="shared" ca="1" si="370"/>
        <v>Under Observation</v>
      </c>
      <c r="AG1058" t="str">
        <f t="shared" ca="1" si="371"/>
        <v>Southwest</v>
      </c>
      <c r="AH1058" t="str">
        <f t="shared" si="354"/>
        <v>November</v>
      </c>
      <c r="AI1058">
        <f t="shared" si="355"/>
        <v>2022</v>
      </c>
      <c r="AJ1058" t="str">
        <f t="shared" ca="1" si="372"/>
        <v>Occupied</v>
      </c>
      <c r="AK1058">
        <f t="shared" ca="1" si="373"/>
        <v>4</v>
      </c>
    </row>
    <row r="1059" spans="1:37" x14ac:dyDescent="0.3">
      <c r="A1059" t="s">
        <v>5469</v>
      </c>
      <c r="B1059">
        <v>77</v>
      </c>
      <c r="C1059" t="s">
        <v>15</v>
      </c>
      <c r="D1059" t="s">
        <v>52</v>
      </c>
      <c r="E1059" t="s">
        <v>25</v>
      </c>
      <c r="F1059" s="1">
        <v>43811</v>
      </c>
      <c r="G1059" t="s">
        <v>2140</v>
      </c>
      <c r="H1059" t="s">
        <v>2141</v>
      </c>
      <c r="I1059" t="s">
        <v>36</v>
      </c>
      <c r="J1059">
        <v>17622</v>
      </c>
      <c r="K1059">
        <v>331</v>
      </c>
      <c r="L1059" t="s">
        <v>42</v>
      </c>
      <c r="M1059" s="1">
        <v>43826</v>
      </c>
      <c r="N1059" t="s">
        <v>47</v>
      </c>
      <c r="O1059" t="s">
        <v>43</v>
      </c>
      <c r="P1059" t="str">
        <f t="shared" si="356"/>
        <v>P1058</v>
      </c>
      <c r="Q1059" t="str">
        <f t="shared" si="352"/>
        <v>Nutrition</v>
      </c>
      <c r="R1059">
        <f t="shared" si="353"/>
        <v>15</v>
      </c>
      <c r="S1059" t="str">
        <f t="shared" ca="1" si="357"/>
        <v>No</v>
      </c>
      <c r="T1059" t="str">
        <f t="shared" ca="1" si="358"/>
        <v>Moderate</v>
      </c>
      <c r="U1059" t="str">
        <f t="shared" ca="1" si="359"/>
        <v>ICU</v>
      </c>
      <c r="V1059" t="str">
        <f t="shared" si="360"/>
        <v>BED1058</v>
      </c>
      <c r="W1059" t="str">
        <f t="shared" ca="1" si="361"/>
        <v>ICU</v>
      </c>
      <c r="X1059" t="str">
        <f t="shared" si="362"/>
        <v>NUR008</v>
      </c>
      <c r="Y1059" t="str">
        <f t="shared" ca="1" si="363"/>
        <v>Night</v>
      </c>
      <c r="Z1059" t="str">
        <f t="shared" ca="1" si="364"/>
        <v>ECG Machine</v>
      </c>
      <c r="AA1059" t="str">
        <f t="shared" ca="1" si="365"/>
        <v>In Use</v>
      </c>
      <c r="AB1059" t="str">
        <f t="shared" ca="1" si="366"/>
        <v>Pending</v>
      </c>
      <c r="AC1059" t="str">
        <f t="shared" ca="1" si="367"/>
        <v>Insurance</v>
      </c>
      <c r="AD1059" t="str">
        <f t="shared" ca="1" si="368"/>
        <v>Yes</v>
      </c>
      <c r="AE1059" t="str">
        <f t="shared" ca="1" si="369"/>
        <v>No</v>
      </c>
      <c r="AF1059" t="str">
        <f t="shared" ca="1" si="370"/>
        <v>Under Observation</v>
      </c>
      <c r="AG1059" t="str">
        <f t="shared" ca="1" si="371"/>
        <v>Northeast</v>
      </c>
      <c r="AH1059" t="str">
        <f t="shared" si="354"/>
        <v>December</v>
      </c>
      <c r="AI1059">
        <f t="shared" si="355"/>
        <v>2019</v>
      </c>
      <c r="AJ1059" t="str">
        <f t="shared" ca="1" si="372"/>
        <v>Occupied</v>
      </c>
      <c r="AK1059">
        <f t="shared" ca="1" si="373"/>
        <v>2</v>
      </c>
    </row>
    <row r="1060" spans="1:37" x14ac:dyDescent="0.3">
      <c r="A1060" t="s">
        <v>5470</v>
      </c>
      <c r="B1060">
        <v>68</v>
      </c>
      <c r="C1060" t="s">
        <v>15</v>
      </c>
      <c r="D1060" t="s">
        <v>83</v>
      </c>
      <c r="E1060" t="s">
        <v>48</v>
      </c>
      <c r="F1060" s="1">
        <v>45030</v>
      </c>
      <c r="G1060" t="s">
        <v>2142</v>
      </c>
      <c r="H1060" t="s">
        <v>2143</v>
      </c>
      <c r="I1060" t="s">
        <v>20</v>
      </c>
      <c r="J1060">
        <v>47743</v>
      </c>
      <c r="K1060">
        <v>134</v>
      </c>
      <c r="L1060" t="s">
        <v>21</v>
      </c>
      <c r="M1060" s="1">
        <v>45049</v>
      </c>
      <c r="N1060" t="s">
        <v>47</v>
      </c>
      <c r="O1060" t="s">
        <v>43</v>
      </c>
      <c r="P1060" t="str">
        <f t="shared" si="356"/>
        <v>P1059</v>
      </c>
      <c r="Q1060" t="str">
        <f t="shared" si="352"/>
        <v>Pulmonology</v>
      </c>
      <c r="R1060">
        <f t="shared" si="353"/>
        <v>19</v>
      </c>
      <c r="S1060" t="str">
        <f t="shared" ca="1" si="357"/>
        <v>No</v>
      </c>
      <c r="T1060" t="str">
        <f t="shared" ca="1" si="358"/>
        <v>Moderate</v>
      </c>
      <c r="U1060" t="str">
        <f t="shared" ca="1" si="359"/>
        <v>ICU</v>
      </c>
      <c r="V1060" t="str">
        <f t="shared" si="360"/>
        <v>BED1059</v>
      </c>
      <c r="W1060" t="str">
        <f t="shared" ca="1" si="361"/>
        <v>Semi-Private</v>
      </c>
      <c r="X1060" t="str">
        <f t="shared" si="362"/>
        <v>NUR009</v>
      </c>
      <c r="Y1060" t="str">
        <f t="shared" ca="1" si="363"/>
        <v>Evening</v>
      </c>
      <c r="Z1060" t="str">
        <f t="shared" ca="1" si="364"/>
        <v>ECG Machine</v>
      </c>
      <c r="AA1060" t="str">
        <f t="shared" ca="1" si="365"/>
        <v>In Use</v>
      </c>
      <c r="AB1060" t="str">
        <f t="shared" ca="1" si="366"/>
        <v>Partially Paid</v>
      </c>
      <c r="AC1060" t="str">
        <f t="shared" ca="1" si="367"/>
        <v>Insurance</v>
      </c>
      <c r="AD1060" t="str">
        <f t="shared" ca="1" si="368"/>
        <v>No</v>
      </c>
      <c r="AE1060" t="str">
        <f t="shared" ca="1" si="369"/>
        <v>No</v>
      </c>
      <c r="AF1060" t="str">
        <f t="shared" ca="1" si="370"/>
        <v>Transferred</v>
      </c>
      <c r="AG1060" t="str">
        <f t="shared" ca="1" si="371"/>
        <v>Southeast</v>
      </c>
      <c r="AH1060" t="str">
        <f t="shared" si="354"/>
        <v>April</v>
      </c>
      <c r="AI1060">
        <f t="shared" si="355"/>
        <v>2023</v>
      </c>
      <c r="AJ1060" t="str">
        <f t="shared" ca="1" si="372"/>
        <v>Occupied</v>
      </c>
      <c r="AK1060">
        <f t="shared" ca="1" si="373"/>
        <v>4</v>
      </c>
    </row>
    <row r="1061" spans="1:37" x14ac:dyDescent="0.3">
      <c r="A1061" t="s">
        <v>5471</v>
      </c>
      <c r="B1061">
        <v>21</v>
      </c>
      <c r="C1061" t="s">
        <v>32</v>
      </c>
      <c r="D1061" t="s">
        <v>44</v>
      </c>
      <c r="E1061" t="s">
        <v>17</v>
      </c>
      <c r="F1061" s="1">
        <v>44447</v>
      </c>
      <c r="G1061" t="s">
        <v>2144</v>
      </c>
      <c r="H1061" t="s">
        <v>2145</v>
      </c>
      <c r="I1061" t="s">
        <v>57</v>
      </c>
      <c r="J1061">
        <v>40961</v>
      </c>
      <c r="K1061">
        <v>171</v>
      </c>
      <c r="L1061" t="s">
        <v>42</v>
      </c>
      <c r="M1061" s="1">
        <v>44472</v>
      </c>
      <c r="N1061" t="s">
        <v>47</v>
      </c>
      <c r="O1061" t="s">
        <v>23</v>
      </c>
      <c r="P1061" t="str">
        <f t="shared" si="356"/>
        <v>P1060</v>
      </c>
      <c r="Q1061" t="str">
        <f t="shared" si="352"/>
        <v>Oncology</v>
      </c>
      <c r="R1061">
        <f t="shared" si="353"/>
        <v>25</v>
      </c>
      <c r="S1061" t="str">
        <f t="shared" ca="1" si="357"/>
        <v>No</v>
      </c>
      <c r="T1061" t="str">
        <f t="shared" ca="1" si="358"/>
        <v>Severe</v>
      </c>
      <c r="U1061" t="str">
        <f t="shared" ca="1" si="359"/>
        <v>Private Ward</v>
      </c>
      <c r="V1061" t="str">
        <f t="shared" si="360"/>
        <v>BED1060</v>
      </c>
      <c r="W1061" t="str">
        <f t="shared" ca="1" si="361"/>
        <v>Private</v>
      </c>
      <c r="X1061" t="str">
        <f t="shared" si="362"/>
        <v>NUR010</v>
      </c>
      <c r="Y1061" t="str">
        <f t="shared" ca="1" si="363"/>
        <v>Morning</v>
      </c>
      <c r="Z1061" t="str">
        <f t="shared" ca="1" si="364"/>
        <v>MRI Scanner</v>
      </c>
      <c r="AA1061" t="str">
        <f t="shared" ca="1" si="365"/>
        <v>Maintenance</v>
      </c>
      <c r="AB1061" t="str">
        <f t="shared" ca="1" si="366"/>
        <v>Pending</v>
      </c>
      <c r="AC1061" t="str">
        <f t="shared" ca="1" si="367"/>
        <v>Cash</v>
      </c>
      <c r="AD1061" t="str">
        <f t="shared" ca="1" si="368"/>
        <v>No</v>
      </c>
      <c r="AE1061" t="str">
        <f t="shared" ca="1" si="369"/>
        <v>No</v>
      </c>
      <c r="AF1061" t="str">
        <f t="shared" ca="1" si="370"/>
        <v>Under Observation</v>
      </c>
      <c r="AG1061" t="str">
        <f t="shared" ca="1" si="371"/>
        <v>West Coast</v>
      </c>
      <c r="AH1061" t="str">
        <f t="shared" si="354"/>
        <v>September</v>
      </c>
      <c r="AI1061">
        <f t="shared" si="355"/>
        <v>2021</v>
      </c>
      <c r="AJ1061" t="str">
        <f t="shared" ca="1" si="372"/>
        <v>Vacant</v>
      </c>
      <c r="AK1061">
        <f t="shared" ca="1" si="373"/>
        <v>1</v>
      </c>
    </row>
    <row r="1062" spans="1:37" x14ac:dyDescent="0.3">
      <c r="A1062" t="s">
        <v>5472</v>
      </c>
      <c r="B1062">
        <v>28</v>
      </c>
      <c r="C1062" t="s">
        <v>15</v>
      </c>
      <c r="D1062" t="s">
        <v>24</v>
      </c>
      <c r="E1062" t="s">
        <v>64</v>
      </c>
      <c r="F1062" s="1">
        <v>43967</v>
      </c>
      <c r="G1062" t="s">
        <v>2146</v>
      </c>
      <c r="H1062" t="s">
        <v>2147</v>
      </c>
      <c r="I1062" t="s">
        <v>20</v>
      </c>
      <c r="J1062">
        <v>45977</v>
      </c>
      <c r="K1062">
        <v>249</v>
      </c>
      <c r="L1062" t="s">
        <v>21</v>
      </c>
      <c r="M1062" s="1">
        <v>43971</v>
      </c>
      <c r="N1062" t="s">
        <v>30</v>
      </c>
      <c r="O1062" t="s">
        <v>31</v>
      </c>
      <c r="P1062" t="str">
        <f t="shared" si="356"/>
        <v>P1061</v>
      </c>
      <c r="Q1062" t="str">
        <f t="shared" si="352"/>
        <v>Cardiology</v>
      </c>
      <c r="R1062">
        <f t="shared" si="353"/>
        <v>4</v>
      </c>
      <c r="S1062" t="str">
        <f t="shared" ca="1" si="357"/>
        <v>No</v>
      </c>
      <c r="T1062" t="str">
        <f t="shared" ca="1" si="358"/>
        <v>Severe</v>
      </c>
      <c r="U1062" t="str">
        <f t="shared" ca="1" si="359"/>
        <v>ICU</v>
      </c>
      <c r="V1062" t="str">
        <f t="shared" si="360"/>
        <v>BED1061</v>
      </c>
      <c r="W1062" t="str">
        <f t="shared" ca="1" si="361"/>
        <v>ICU</v>
      </c>
      <c r="X1062" t="str">
        <f t="shared" si="362"/>
        <v>NUR011</v>
      </c>
      <c r="Y1062" t="str">
        <f t="shared" ca="1" si="363"/>
        <v>Morning</v>
      </c>
      <c r="Z1062" t="str">
        <f t="shared" ca="1" si="364"/>
        <v>Ventilator</v>
      </c>
      <c r="AA1062" t="str">
        <f t="shared" ca="1" si="365"/>
        <v>Available</v>
      </c>
      <c r="AB1062" t="str">
        <f t="shared" ca="1" si="366"/>
        <v>Pending</v>
      </c>
      <c r="AC1062" t="str">
        <f t="shared" ca="1" si="367"/>
        <v>Bank Transfer</v>
      </c>
      <c r="AD1062" t="str">
        <f t="shared" ca="1" si="368"/>
        <v>No</v>
      </c>
      <c r="AE1062" t="str">
        <f t="shared" ca="1" si="369"/>
        <v>No</v>
      </c>
      <c r="AF1062" t="str">
        <f t="shared" ca="1" si="370"/>
        <v>Under Observation</v>
      </c>
      <c r="AG1062" t="str">
        <f t="shared" ca="1" si="371"/>
        <v>Midwest</v>
      </c>
      <c r="AH1062" t="str">
        <f t="shared" si="354"/>
        <v>May</v>
      </c>
      <c r="AI1062">
        <f t="shared" si="355"/>
        <v>2020</v>
      </c>
      <c r="AJ1062" t="str">
        <f t="shared" ca="1" si="372"/>
        <v>Occupied</v>
      </c>
      <c r="AK1062">
        <f t="shared" ca="1" si="373"/>
        <v>4</v>
      </c>
    </row>
    <row r="1063" spans="1:37" x14ac:dyDescent="0.3">
      <c r="A1063" t="s">
        <v>5473</v>
      </c>
      <c r="B1063">
        <v>64</v>
      </c>
      <c r="C1063" t="s">
        <v>15</v>
      </c>
      <c r="D1063" t="s">
        <v>83</v>
      </c>
      <c r="E1063" t="s">
        <v>25</v>
      </c>
      <c r="F1063" s="1">
        <v>43975</v>
      </c>
      <c r="G1063" t="s">
        <v>2148</v>
      </c>
      <c r="H1063" t="s">
        <v>2149</v>
      </c>
      <c r="I1063" t="s">
        <v>51</v>
      </c>
      <c r="J1063">
        <v>29685</v>
      </c>
      <c r="K1063">
        <v>307</v>
      </c>
      <c r="L1063" t="s">
        <v>29</v>
      </c>
      <c r="M1063" s="1">
        <v>43983</v>
      </c>
      <c r="N1063" t="s">
        <v>30</v>
      </c>
      <c r="O1063" t="s">
        <v>43</v>
      </c>
      <c r="P1063" t="str">
        <f t="shared" si="356"/>
        <v>P1062</v>
      </c>
      <c r="Q1063" t="str">
        <f t="shared" si="352"/>
        <v>Nutrition</v>
      </c>
      <c r="R1063">
        <f t="shared" si="353"/>
        <v>8</v>
      </c>
      <c r="S1063" t="str">
        <f t="shared" ca="1" si="357"/>
        <v>No</v>
      </c>
      <c r="T1063" t="str">
        <f t="shared" ca="1" si="358"/>
        <v>Mild</v>
      </c>
      <c r="U1063" t="str">
        <f t="shared" ca="1" si="359"/>
        <v>Emergency</v>
      </c>
      <c r="V1063" t="str">
        <f t="shared" si="360"/>
        <v>BED1062</v>
      </c>
      <c r="W1063" t="str">
        <f t="shared" ca="1" si="361"/>
        <v>Private</v>
      </c>
      <c r="X1063" t="str">
        <f t="shared" si="362"/>
        <v>NUR012</v>
      </c>
      <c r="Y1063" t="str">
        <f t="shared" ca="1" si="363"/>
        <v>Morning</v>
      </c>
      <c r="Z1063" t="str">
        <f t="shared" ca="1" si="364"/>
        <v>MRI Scanner</v>
      </c>
      <c r="AA1063" t="str">
        <f t="shared" ca="1" si="365"/>
        <v>In Use</v>
      </c>
      <c r="AB1063" t="str">
        <f t="shared" ca="1" si="366"/>
        <v>Pending</v>
      </c>
      <c r="AC1063" t="str">
        <f t="shared" ca="1" si="367"/>
        <v>Cash</v>
      </c>
      <c r="AD1063" t="str">
        <f t="shared" ca="1" si="368"/>
        <v>No</v>
      </c>
      <c r="AE1063" t="str">
        <f t="shared" ca="1" si="369"/>
        <v>No</v>
      </c>
      <c r="AF1063" t="str">
        <f t="shared" ca="1" si="370"/>
        <v>Recovered</v>
      </c>
      <c r="AG1063" t="str">
        <f t="shared" ca="1" si="371"/>
        <v>Northeast</v>
      </c>
      <c r="AH1063" t="str">
        <f t="shared" si="354"/>
        <v>May</v>
      </c>
      <c r="AI1063">
        <f t="shared" si="355"/>
        <v>2020</v>
      </c>
      <c r="AJ1063" t="str">
        <f t="shared" ca="1" si="372"/>
        <v>Occupied</v>
      </c>
      <c r="AK1063">
        <f t="shared" ca="1" si="373"/>
        <v>2</v>
      </c>
    </row>
    <row r="1064" spans="1:37" x14ac:dyDescent="0.3">
      <c r="A1064" t="s">
        <v>5474</v>
      </c>
      <c r="B1064">
        <v>23</v>
      </c>
      <c r="C1064" t="s">
        <v>15</v>
      </c>
      <c r="D1064" t="s">
        <v>16</v>
      </c>
      <c r="E1064" t="s">
        <v>25</v>
      </c>
      <c r="F1064" s="1">
        <v>43835</v>
      </c>
      <c r="G1064" t="s">
        <v>1893</v>
      </c>
      <c r="H1064" t="s">
        <v>2150</v>
      </c>
      <c r="I1064" t="s">
        <v>51</v>
      </c>
      <c r="J1064">
        <v>11419</v>
      </c>
      <c r="K1064">
        <v>360</v>
      </c>
      <c r="L1064" t="s">
        <v>21</v>
      </c>
      <c r="M1064" s="1">
        <v>43861</v>
      </c>
      <c r="N1064" t="s">
        <v>67</v>
      </c>
      <c r="O1064" t="s">
        <v>43</v>
      </c>
      <c r="P1064" t="str">
        <f t="shared" si="356"/>
        <v>P1063</v>
      </c>
      <c r="Q1064" t="str">
        <f t="shared" si="352"/>
        <v>Nutrition</v>
      </c>
      <c r="R1064">
        <f t="shared" si="353"/>
        <v>26</v>
      </c>
      <c r="S1064" t="str">
        <f t="shared" ca="1" si="357"/>
        <v>No</v>
      </c>
      <c r="T1064" t="str">
        <f t="shared" ca="1" si="358"/>
        <v>Moderate</v>
      </c>
      <c r="U1064" t="str">
        <f t="shared" ca="1" si="359"/>
        <v>Private Ward</v>
      </c>
      <c r="V1064" t="str">
        <f t="shared" si="360"/>
        <v>BED1063</v>
      </c>
      <c r="W1064" t="str">
        <f t="shared" ca="1" si="361"/>
        <v>Semi-Private</v>
      </c>
      <c r="X1064" t="str">
        <f t="shared" si="362"/>
        <v>NUR013</v>
      </c>
      <c r="Y1064" t="str">
        <f t="shared" ca="1" si="363"/>
        <v>Night</v>
      </c>
      <c r="Z1064" t="str">
        <f t="shared" ca="1" si="364"/>
        <v>X-Ray</v>
      </c>
      <c r="AA1064" t="str">
        <f t="shared" ca="1" si="365"/>
        <v>In Use</v>
      </c>
      <c r="AB1064" t="str">
        <f t="shared" ca="1" si="366"/>
        <v>Partially Paid</v>
      </c>
      <c r="AC1064" t="str">
        <f t="shared" ca="1" si="367"/>
        <v>Cash</v>
      </c>
      <c r="AD1064" t="str">
        <f t="shared" ca="1" si="368"/>
        <v>No</v>
      </c>
      <c r="AE1064" t="str">
        <f t="shared" ca="1" si="369"/>
        <v>Yes</v>
      </c>
      <c r="AF1064" t="str">
        <f t="shared" ca="1" si="370"/>
        <v>Transferred</v>
      </c>
      <c r="AG1064" t="str">
        <f t="shared" ca="1" si="371"/>
        <v>Midwest</v>
      </c>
      <c r="AH1064" t="str">
        <f t="shared" si="354"/>
        <v>January</v>
      </c>
      <c r="AI1064">
        <f t="shared" si="355"/>
        <v>2020</v>
      </c>
      <c r="AJ1064" t="str">
        <f t="shared" ca="1" si="372"/>
        <v>Occupied</v>
      </c>
      <c r="AK1064">
        <f t="shared" ca="1" si="373"/>
        <v>2</v>
      </c>
    </row>
    <row r="1065" spans="1:37" x14ac:dyDescent="0.3">
      <c r="A1065" t="s">
        <v>5475</v>
      </c>
      <c r="B1065">
        <v>29</v>
      </c>
      <c r="C1065" t="s">
        <v>32</v>
      </c>
      <c r="D1065" t="s">
        <v>16</v>
      </c>
      <c r="E1065" t="s">
        <v>17</v>
      </c>
      <c r="F1065" s="1">
        <v>45066</v>
      </c>
      <c r="G1065" t="s">
        <v>2151</v>
      </c>
      <c r="H1065" t="s">
        <v>2152</v>
      </c>
      <c r="I1065" t="s">
        <v>57</v>
      </c>
      <c r="J1065">
        <v>20578</v>
      </c>
      <c r="K1065">
        <v>408</v>
      </c>
      <c r="L1065" t="s">
        <v>29</v>
      </c>
      <c r="M1065" s="1">
        <v>45071</v>
      </c>
      <c r="N1065" t="s">
        <v>47</v>
      </c>
      <c r="O1065" t="s">
        <v>23</v>
      </c>
      <c r="P1065" t="str">
        <f t="shared" si="356"/>
        <v>P1064</v>
      </c>
      <c r="Q1065" t="str">
        <f t="shared" si="352"/>
        <v>Oncology</v>
      </c>
      <c r="R1065">
        <f t="shared" si="353"/>
        <v>5</v>
      </c>
      <c r="S1065" t="str">
        <f t="shared" ca="1" si="357"/>
        <v>Yes</v>
      </c>
      <c r="T1065" t="str">
        <f t="shared" ca="1" si="358"/>
        <v>Critical</v>
      </c>
      <c r="U1065" t="str">
        <f t="shared" ca="1" si="359"/>
        <v>Semi-Private</v>
      </c>
      <c r="V1065" t="str">
        <f t="shared" si="360"/>
        <v>BED1064</v>
      </c>
      <c r="W1065" t="str">
        <f t="shared" ca="1" si="361"/>
        <v>Semi-Private</v>
      </c>
      <c r="X1065" t="str">
        <f t="shared" si="362"/>
        <v>NUR014</v>
      </c>
      <c r="Y1065" t="str">
        <f t="shared" ca="1" si="363"/>
        <v>Night</v>
      </c>
      <c r="Z1065" t="str">
        <f t="shared" ca="1" si="364"/>
        <v>ECG Machine</v>
      </c>
      <c r="AA1065" t="str">
        <f t="shared" ca="1" si="365"/>
        <v>Maintenance</v>
      </c>
      <c r="AB1065" t="str">
        <f t="shared" ca="1" si="366"/>
        <v>Pending</v>
      </c>
      <c r="AC1065" t="str">
        <f t="shared" ca="1" si="367"/>
        <v>Insurance</v>
      </c>
      <c r="AD1065" t="str">
        <f t="shared" ca="1" si="368"/>
        <v>No</v>
      </c>
      <c r="AE1065" t="str">
        <f t="shared" ca="1" si="369"/>
        <v>No</v>
      </c>
      <c r="AF1065" t="str">
        <f t="shared" ca="1" si="370"/>
        <v>Recovered</v>
      </c>
      <c r="AG1065" t="str">
        <f t="shared" ca="1" si="371"/>
        <v>Southeast</v>
      </c>
      <c r="AH1065" t="str">
        <f t="shared" si="354"/>
        <v>May</v>
      </c>
      <c r="AI1065">
        <f t="shared" si="355"/>
        <v>2023</v>
      </c>
      <c r="AJ1065" t="str">
        <f t="shared" ca="1" si="372"/>
        <v>Occupied</v>
      </c>
      <c r="AK1065">
        <f t="shared" ca="1" si="373"/>
        <v>1</v>
      </c>
    </row>
    <row r="1066" spans="1:37" x14ac:dyDescent="0.3">
      <c r="A1066" t="s">
        <v>5476</v>
      </c>
      <c r="B1066">
        <v>79</v>
      </c>
      <c r="C1066" t="s">
        <v>32</v>
      </c>
      <c r="D1066" t="s">
        <v>98</v>
      </c>
      <c r="E1066" t="s">
        <v>76</v>
      </c>
      <c r="F1066" s="1">
        <v>45215</v>
      </c>
      <c r="G1066" t="s">
        <v>2153</v>
      </c>
      <c r="H1066" t="s">
        <v>2154</v>
      </c>
      <c r="I1066" t="s">
        <v>57</v>
      </c>
      <c r="J1066">
        <v>7069</v>
      </c>
      <c r="K1066">
        <v>237</v>
      </c>
      <c r="L1066" t="s">
        <v>42</v>
      </c>
      <c r="M1066" s="1">
        <v>45226</v>
      </c>
      <c r="N1066" t="s">
        <v>47</v>
      </c>
      <c r="O1066" t="s">
        <v>31</v>
      </c>
      <c r="P1066" t="str">
        <f t="shared" si="356"/>
        <v>P1065</v>
      </c>
      <c r="Q1066" t="str">
        <f t="shared" si="352"/>
        <v>Orthopedics</v>
      </c>
      <c r="R1066">
        <f t="shared" si="353"/>
        <v>11</v>
      </c>
      <c r="S1066" t="str">
        <f t="shared" ca="1" si="357"/>
        <v>No</v>
      </c>
      <c r="T1066" t="str">
        <f t="shared" ca="1" si="358"/>
        <v>Mild</v>
      </c>
      <c r="U1066" t="str">
        <f t="shared" ca="1" si="359"/>
        <v>Semi-Private</v>
      </c>
      <c r="V1066" t="str">
        <f t="shared" si="360"/>
        <v>BED1065</v>
      </c>
      <c r="W1066" t="str">
        <f t="shared" ca="1" si="361"/>
        <v>ICU</v>
      </c>
      <c r="X1066" t="str">
        <f t="shared" si="362"/>
        <v>NUR015</v>
      </c>
      <c r="Y1066" t="str">
        <f t="shared" ca="1" si="363"/>
        <v>Evening</v>
      </c>
      <c r="Z1066" t="str">
        <f t="shared" ca="1" si="364"/>
        <v>Ultrasound</v>
      </c>
      <c r="AA1066" t="str">
        <f t="shared" ca="1" si="365"/>
        <v>In Use</v>
      </c>
      <c r="AB1066" t="str">
        <f t="shared" ca="1" si="366"/>
        <v>Paid</v>
      </c>
      <c r="AC1066" t="str">
        <f t="shared" ca="1" si="367"/>
        <v>Bank Transfer</v>
      </c>
      <c r="AD1066" t="str">
        <f t="shared" ca="1" si="368"/>
        <v>No</v>
      </c>
      <c r="AE1066" t="str">
        <f t="shared" ca="1" si="369"/>
        <v>Yes</v>
      </c>
      <c r="AF1066" t="str">
        <f t="shared" ca="1" si="370"/>
        <v>Recovered</v>
      </c>
      <c r="AG1066" t="str">
        <f t="shared" ca="1" si="371"/>
        <v>West Coast</v>
      </c>
      <c r="AH1066" t="str">
        <f t="shared" si="354"/>
        <v>October</v>
      </c>
      <c r="AI1066">
        <f t="shared" si="355"/>
        <v>2023</v>
      </c>
      <c r="AJ1066" t="str">
        <f t="shared" ca="1" si="372"/>
        <v>Occupied</v>
      </c>
      <c r="AK1066">
        <f t="shared" ca="1" si="373"/>
        <v>2</v>
      </c>
    </row>
    <row r="1067" spans="1:37" x14ac:dyDescent="0.3">
      <c r="A1067" t="s">
        <v>5477</v>
      </c>
      <c r="B1067">
        <v>53</v>
      </c>
      <c r="C1067" t="s">
        <v>15</v>
      </c>
      <c r="D1067" t="s">
        <v>38</v>
      </c>
      <c r="E1067" t="s">
        <v>17</v>
      </c>
      <c r="F1067" s="1">
        <v>44904</v>
      </c>
      <c r="G1067" t="s">
        <v>2155</v>
      </c>
      <c r="H1067" t="s">
        <v>2156</v>
      </c>
      <c r="I1067" t="s">
        <v>51</v>
      </c>
      <c r="J1067">
        <v>16964</v>
      </c>
      <c r="K1067">
        <v>292</v>
      </c>
      <c r="L1067" t="s">
        <v>21</v>
      </c>
      <c r="M1067" s="1">
        <v>44907</v>
      </c>
      <c r="N1067" t="s">
        <v>47</v>
      </c>
      <c r="O1067" t="s">
        <v>31</v>
      </c>
      <c r="P1067" t="str">
        <f t="shared" si="356"/>
        <v>P1066</v>
      </c>
      <c r="Q1067" t="str">
        <f t="shared" si="352"/>
        <v>Oncology</v>
      </c>
      <c r="R1067">
        <f t="shared" si="353"/>
        <v>3</v>
      </c>
      <c r="S1067" t="str">
        <f t="shared" ca="1" si="357"/>
        <v>No</v>
      </c>
      <c r="T1067" t="str">
        <f t="shared" ca="1" si="358"/>
        <v>Critical</v>
      </c>
      <c r="U1067" t="str">
        <f t="shared" ca="1" si="359"/>
        <v>Semi-Private</v>
      </c>
      <c r="V1067" t="str">
        <f t="shared" si="360"/>
        <v>BED1066</v>
      </c>
      <c r="W1067" t="str">
        <f t="shared" ca="1" si="361"/>
        <v>General</v>
      </c>
      <c r="X1067" t="str">
        <f t="shared" si="362"/>
        <v>NUR016</v>
      </c>
      <c r="Y1067" t="str">
        <f t="shared" ca="1" si="363"/>
        <v>Night</v>
      </c>
      <c r="Z1067" t="str">
        <f t="shared" ca="1" si="364"/>
        <v>Ventilator</v>
      </c>
      <c r="AA1067" t="str">
        <f t="shared" ca="1" si="365"/>
        <v>Maintenance</v>
      </c>
      <c r="AB1067" t="str">
        <f t="shared" ca="1" si="366"/>
        <v>Pending</v>
      </c>
      <c r="AC1067" t="str">
        <f t="shared" ca="1" si="367"/>
        <v>Credit Card</v>
      </c>
      <c r="AD1067" t="str">
        <f t="shared" ca="1" si="368"/>
        <v>Yes</v>
      </c>
      <c r="AE1067" t="str">
        <f t="shared" ca="1" si="369"/>
        <v>No</v>
      </c>
      <c r="AF1067" t="str">
        <f t="shared" ca="1" si="370"/>
        <v>Recovered</v>
      </c>
      <c r="AG1067" t="str">
        <f t="shared" ca="1" si="371"/>
        <v>Northeast</v>
      </c>
      <c r="AH1067" t="str">
        <f t="shared" si="354"/>
        <v>December</v>
      </c>
      <c r="AI1067">
        <f t="shared" si="355"/>
        <v>2022</v>
      </c>
      <c r="AJ1067" t="str">
        <f t="shared" ca="1" si="372"/>
        <v>Occupied</v>
      </c>
      <c r="AK1067">
        <f t="shared" ca="1" si="373"/>
        <v>1</v>
      </c>
    </row>
    <row r="1068" spans="1:37" x14ac:dyDescent="0.3">
      <c r="A1068" t="s">
        <v>5478</v>
      </c>
      <c r="B1068">
        <v>25</v>
      </c>
      <c r="C1068" t="s">
        <v>32</v>
      </c>
      <c r="D1068" t="s">
        <v>52</v>
      </c>
      <c r="E1068" t="s">
        <v>17</v>
      </c>
      <c r="F1068" s="1">
        <v>44855</v>
      </c>
      <c r="G1068" t="s">
        <v>2157</v>
      </c>
      <c r="H1068" t="s">
        <v>2158</v>
      </c>
      <c r="I1068" t="s">
        <v>51</v>
      </c>
      <c r="J1068">
        <v>16429</v>
      </c>
      <c r="K1068">
        <v>407</v>
      </c>
      <c r="L1068" t="s">
        <v>21</v>
      </c>
      <c r="M1068" s="1">
        <v>44879</v>
      </c>
      <c r="N1068" t="s">
        <v>47</v>
      </c>
      <c r="O1068" t="s">
        <v>23</v>
      </c>
      <c r="P1068" t="str">
        <f t="shared" si="356"/>
        <v>P1067</v>
      </c>
      <c r="Q1068" t="str">
        <f t="shared" si="352"/>
        <v>Oncology</v>
      </c>
      <c r="R1068">
        <f t="shared" si="353"/>
        <v>24</v>
      </c>
      <c r="S1068" t="str">
        <f t="shared" ca="1" si="357"/>
        <v>No</v>
      </c>
      <c r="T1068" t="str">
        <f t="shared" ca="1" si="358"/>
        <v>Severe</v>
      </c>
      <c r="U1068" t="str">
        <f t="shared" ca="1" si="359"/>
        <v>Semi-Private</v>
      </c>
      <c r="V1068" t="str">
        <f t="shared" si="360"/>
        <v>BED1067</v>
      </c>
      <c r="W1068" t="str">
        <f t="shared" ca="1" si="361"/>
        <v>ICU</v>
      </c>
      <c r="X1068" t="str">
        <f t="shared" si="362"/>
        <v>NUR017</v>
      </c>
      <c r="Y1068" t="str">
        <f t="shared" ca="1" si="363"/>
        <v>Night</v>
      </c>
      <c r="Z1068" t="str">
        <f t="shared" ca="1" si="364"/>
        <v>ECG Machine</v>
      </c>
      <c r="AA1068" t="str">
        <f t="shared" ca="1" si="365"/>
        <v>In Use</v>
      </c>
      <c r="AB1068" t="str">
        <f t="shared" ca="1" si="366"/>
        <v>Partially Paid</v>
      </c>
      <c r="AC1068" t="str">
        <f t="shared" ca="1" si="367"/>
        <v>Bank Transfer</v>
      </c>
      <c r="AD1068" t="str">
        <f t="shared" ca="1" si="368"/>
        <v>No</v>
      </c>
      <c r="AE1068" t="str">
        <f t="shared" ca="1" si="369"/>
        <v>Yes</v>
      </c>
      <c r="AF1068" t="str">
        <f t="shared" ca="1" si="370"/>
        <v>Recovered</v>
      </c>
      <c r="AG1068" t="str">
        <f t="shared" ca="1" si="371"/>
        <v>Southeast</v>
      </c>
      <c r="AH1068" t="str">
        <f t="shared" si="354"/>
        <v>October</v>
      </c>
      <c r="AI1068">
        <f t="shared" si="355"/>
        <v>2022</v>
      </c>
      <c r="AJ1068" t="str">
        <f t="shared" ca="1" si="372"/>
        <v>Occupied</v>
      </c>
      <c r="AK1068">
        <f t="shared" ca="1" si="373"/>
        <v>4</v>
      </c>
    </row>
    <row r="1069" spans="1:37" x14ac:dyDescent="0.3">
      <c r="A1069" t="s">
        <v>5479</v>
      </c>
      <c r="B1069">
        <v>60</v>
      </c>
      <c r="C1069" t="s">
        <v>15</v>
      </c>
      <c r="D1069" t="s">
        <v>98</v>
      </c>
      <c r="E1069" t="s">
        <v>25</v>
      </c>
      <c r="F1069" s="1">
        <v>43888</v>
      </c>
      <c r="G1069" t="s">
        <v>2159</v>
      </c>
      <c r="H1069" t="s">
        <v>2160</v>
      </c>
      <c r="I1069" t="s">
        <v>51</v>
      </c>
      <c r="J1069">
        <v>49242</v>
      </c>
      <c r="K1069">
        <v>399</v>
      </c>
      <c r="L1069" t="s">
        <v>42</v>
      </c>
      <c r="M1069" s="1">
        <v>43906</v>
      </c>
      <c r="N1069" t="s">
        <v>67</v>
      </c>
      <c r="O1069" t="s">
        <v>43</v>
      </c>
      <c r="P1069" t="str">
        <f t="shared" si="356"/>
        <v>P1068</v>
      </c>
      <c r="Q1069" t="str">
        <f t="shared" si="352"/>
        <v>Nutrition</v>
      </c>
      <c r="R1069">
        <f t="shared" si="353"/>
        <v>18</v>
      </c>
      <c r="S1069" t="str">
        <f t="shared" ca="1" si="357"/>
        <v>No</v>
      </c>
      <c r="T1069" t="str">
        <f t="shared" ca="1" si="358"/>
        <v>Mild</v>
      </c>
      <c r="U1069" t="str">
        <f t="shared" ca="1" si="359"/>
        <v>Private Ward</v>
      </c>
      <c r="V1069" t="str">
        <f t="shared" si="360"/>
        <v>BED1068</v>
      </c>
      <c r="W1069" t="str">
        <f t="shared" ca="1" si="361"/>
        <v>Semi-Private</v>
      </c>
      <c r="X1069" t="str">
        <f t="shared" si="362"/>
        <v>NUR018</v>
      </c>
      <c r="Y1069" t="str">
        <f t="shared" ca="1" si="363"/>
        <v>Morning</v>
      </c>
      <c r="Z1069" t="str">
        <f t="shared" ca="1" si="364"/>
        <v>ECG Machine</v>
      </c>
      <c r="AA1069" t="str">
        <f t="shared" ca="1" si="365"/>
        <v>Available</v>
      </c>
      <c r="AB1069" t="str">
        <f t="shared" ca="1" si="366"/>
        <v>Paid</v>
      </c>
      <c r="AC1069" t="str">
        <f t="shared" ca="1" si="367"/>
        <v>Debit Card</v>
      </c>
      <c r="AD1069" t="str">
        <f t="shared" ca="1" si="368"/>
        <v>Yes</v>
      </c>
      <c r="AE1069" t="str">
        <f t="shared" ca="1" si="369"/>
        <v>No</v>
      </c>
      <c r="AF1069" t="str">
        <f t="shared" ca="1" si="370"/>
        <v>Transferred</v>
      </c>
      <c r="AG1069" t="str">
        <f t="shared" ca="1" si="371"/>
        <v>Midwest</v>
      </c>
      <c r="AH1069" t="str">
        <f t="shared" si="354"/>
        <v>February</v>
      </c>
      <c r="AI1069">
        <f t="shared" si="355"/>
        <v>2020</v>
      </c>
      <c r="AJ1069" t="str">
        <f t="shared" ca="1" si="372"/>
        <v>Occupied</v>
      </c>
      <c r="AK1069">
        <f t="shared" ca="1" si="373"/>
        <v>1</v>
      </c>
    </row>
    <row r="1070" spans="1:37" x14ac:dyDescent="0.3">
      <c r="A1070" t="s">
        <v>5480</v>
      </c>
      <c r="B1070">
        <v>59</v>
      </c>
      <c r="C1070" t="s">
        <v>32</v>
      </c>
      <c r="D1070" t="s">
        <v>44</v>
      </c>
      <c r="E1070" t="s">
        <v>25</v>
      </c>
      <c r="F1070" s="1">
        <v>44801</v>
      </c>
      <c r="G1070" t="s">
        <v>2161</v>
      </c>
      <c r="H1070" t="s">
        <v>2162</v>
      </c>
      <c r="I1070" t="s">
        <v>57</v>
      </c>
      <c r="J1070">
        <v>28954</v>
      </c>
      <c r="K1070">
        <v>379</v>
      </c>
      <c r="L1070" t="s">
        <v>29</v>
      </c>
      <c r="M1070" s="1">
        <v>44818</v>
      </c>
      <c r="N1070" t="s">
        <v>37</v>
      </c>
      <c r="O1070" t="s">
        <v>31</v>
      </c>
      <c r="P1070" t="str">
        <f t="shared" si="356"/>
        <v>P1069</v>
      </c>
      <c r="Q1070" t="str">
        <f t="shared" si="352"/>
        <v>Nutrition</v>
      </c>
      <c r="R1070">
        <f t="shared" si="353"/>
        <v>17</v>
      </c>
      <c r="S1070" t="str">
        <f t="shared" ca="1" si="357"/>
        <v>No</v>
      </c>
      <c r="T1070" t="str">
        <f t="shared" ca="1" si="358"/>
        <v>Mild</v>
      </c>
      <c r="U1070" t="str">
        <f t="shared" ca="1" si="359"/>
        <v>ICU</v>
      </c>
      <c r="V1070" t="str">
        <f t="shared" si="360"/>
        <v>BED1069</v>
      </c>
      <c r="W1070" t="str">
        <f t="shared" ca="1" si="361"/>
        <v>General</v>
      </c>
      <c r="X1070" t="str">
        <f t="shared" si="362"/>
        <v>NUR019</v>
      </c>
      <c r="Y1070" t="str">
        <f t="shared" ca="1" si="363"/>
        <v>Night</v>
      </c>
      <c r="Z1070" t="str">
        <f t="shared" ca="1" si="364"/>
        <v>ECG Machine</v>
      </c>
      <c r="AA1070" t="str">
        <f t="shared" ca="1" si="365"/>
        <v>Maintenance</v>
      </c>
      <c r="AB1070" t="str">
        <f t="shared" ca="1" si="366"/>
        <v>Pending</v>
      </c>
      <c r="AC1070" t="str">
        <f t="shared" ca="1" si="367"/>
        <v>Credit Card</v>
      </c>
      <c r="AD1070" t="str">
        <f t="shared" ca="1" si="368"/>
        <v>Yes</v>
      </c>
      <c r="AE1070" t="str">
        <f t="shared" ca="1" si="369"/>
        <v>No</v>
      </c>
      <c r="AF1070" t="str">
        <f t="shared" ca="1" si="370"/>
        <v>Transferred</v>
      </c>
      <c r="AG1070" t="str">
        <f t="shared" ca="1" si="371"/>
        <v>Southwest</v>
      </c>
      <c r="AH1070" t="str">
        <f t="shared" si="354"/>
        <v>August</v>
      </c>
      <c r="AI1070">
        <f t="shared" si="355"/>
        <v>2022</v>
      </c>
      <c r="AJ1070" t="str">
        <f t="shared" ca="1" si="372"/>
        <v>Occupied</v>
      </c>
      <c r="AK1070">
        <f t="shared" ca="1" si="373"/>
        <v>1</v>
      </c>
    </row>
    <row r="1071" spans="1:37" x14ac:dyDescent="0.3">
      <c r="A1071" t="s">
        <v>5481</v>
      </c>
      <c r="B1071">
        <v>26</v>
      </c>
      <c r="C1071" t="s">
        <v>32</v>
      </c>
      <c r="D1071" t="s">
        <v>24</v>
      </c>
      <c r="E1071" t="s">
        <v>39</v>
      </c>
      <c r="F1071" s="1">
        <v>45245</v>
      </c>
      <c r="G1071" t="s">
        <v>2163</v>
      </c>
      <c r="H1071" t="s">
        <v>2164</v>
      </c>
      <c r="I1071" t="s">
        <v>57</v>
      </c>
      <c r="J1071">
        <v>2329</v>
      </c>
      <c r="K1071">
        <v>496</v>
      </c>
      <c r="L1071" t="s">
        <v>21</v>
      </c>
      <c r="M1071" s="1">
        <v>45257</v>
      </c>
      <c r="N1071" t="s">
        <v>67</v>
      </c>
      <c r="O1071" t="s">
        <v>43</v>
      </c>
      <c r="P1071" t="str">
        <f t="shared" si="356"/>
        <v>P1070</v>
      </c>
      <c r="Q1071" t="str">
        <f t="shared" si="352"/>
        <v>Endocrinology</v>
      </c>
      <c r="R1071">
        <f t="shared" si="353"/>
        <v>12</v>
      </c>
      <c r="S1071" t="str">
        <f t="shared" ca="1" si="357"/>
        <v>No</v>
      </c>
      <c r="T1071" t="str">
        <f t="shared" ca="1" si="358"/>
        <v>Critical</v>
      </c>
      <c r="U1071" t="str">
        <f t="shared" ca="1" si="359"/>
        <v>Private Ward</v>
      </c>
      <c r="V1071" t="str">
        <f t="shared" si="360"/>
        <v>BED1070</v>
      </c>
      <c r="W1071" t="str">
        <f t="shared" ca="1" si="361"/>
        <v>General</v>
      </c>
      <c r="X1071" t="str">
        <f t="shared" si="362"/>
        <v>NUR020</v>
      </c>
      <c r="Y1071" t="str">
        <f t="shared" ca="1" si="363"/>
        <v>Evening</v>
      </c>
      <c r="Z1071" t="str">
        <f t="shared" ca="1" si="364"/>
        <v>Ultrasound</v>
      </c>
      <c r="AA1071" t="str">
        <f t="shared" ca="1" si="365"/>
        <v>Maintenance</v>
      </c>
      <c r="AB1071" t="str">
        <f t="shared" ca="1" si="366"/>
        <v>Pending</v>
      </c>
      <c r="AC1071" t="str">
        <f t="shared" ca="1" si="367"/>
        <v>Insurance</v>
      </c>
      <c r="AD1071" t="str">
        <f t="shared" ca="1" si="368"/>
        <v>No</v>
      </c>
      <c r="AE1071" t="str">
        <f t="shared" ca="1" si="369"/>
        <v>No</v>
      </c>
      <c r="AF1071" t="str">
        <f t="shared" ca="1" si="370"/>
        <v>Transferred</v>
      </c>
      <c r="AG1071" t="str">
        <f t="shared" ca="1" si="371"/>
        <v>Northeast</v>
      </c>
      <c r="AH1071" t="str">
        <f t="shared" si="354"/>
        <v>November</v>
      </c>
      <c r="AI1071">
        <f t="shared" si="355"/>
        <v>2023</v>
      </c>
      <c r="AJ1071" t="str">
        <f t="shared" ca="1" si="372"/>
        <v>Occupied</v>
      </c>
      <c r="AK1071">
        <f t="shared" ca="1" si="373"/>
        <v>2</v>
      </c>
    </row>
    <row r="1072" spans="1:37" x14ac:dyDescent="0.3">
      <c r="A1072" t="s">
        <v>5482</v>
      </c>
      <c r="B1072">
        <v>56</v>
      </c>
      <c r="C1072" t="s">
        <v>15</v>
      </c>
      <c r="D1072" t="s">
        <v>44</v>
      </c>
      <c r="E1072" t="s">
        <v>25</v>
      </c>
      <c r="F1072" s="1">
        <v>45010</v>
      </c>
      <c r="G1072" t="s">
        <v>2165</v>
      </c>
      <c r="H1072" t="s">
        <v>541</v>
      </c>
      <c r="I1072" t="s">
        <v>51</v>
      </c>
      <c r="J1072">
        <v>17328</v>
      </c>
      <c r="K1072">
        <v>480</v>
      </c>
      <c r="L1072" t="s">
        <v>21</v>
      </c>
      <c r="M1072" s="1">
        <v>45011</v>
      </c>
      <c r="N1072" t="s">
        <v>47</v>
      </c>
      <c r="O1072" t="s">
        <v>43</v>
      </c>
      <c r="P1072" t="str">
        <f t="shared" si="356"/>
        <v>P1071</v>
      </c>
      <c r="Q1072" t="str">
        <f t="shared" si="352"/>
        <v>Nutrition</v>
      </c>
      <c r="R1072">
        <f t="shared" si="353"/>
        <v>1</v>
      </c>
      <c r="S1072" t="str">
        <f t="shared" ca="1" si="357"/>
        <v>No</v>
      </c>
      <c r="T1072" t="str">
        <f t="shared" ca="1" si="358"/>
        <v>Severe</v>
      </c>
      <c r="U1072" t="str">
        <f t="shared" ca="1" si="359"/>
        <v>Emergency</v>
      </c>
      <c r="V1072" t="str">
        <f t="shared" si="360"/>
        <v>BED1071</v>
      </c>
      <c r="W1072" t="str">
        <f t="shared" ca="1" si="361"/>
        <v>ICU</v>
      </c>
      <c r="X1072" t="str">
        <f t="shared" si="362"/>
        <v>NUR021</v>
      </c>
      <c r="Y1072" t="str">
        <f t="shared" ca="1" si="363"/>
        <v>Night</v>
      </c>
      <c r="Z1072" t="str">
        <f t="shared" ca="1" si="364"/>
        <v>CT Scanner</v>
      </c>
      <c r="AA1072" t="str">
        <f t="shared" ca="1" si="365"/>
        <v>In Use</v>
      </c>
      <c r="AB1072" t="str">
        <f t="shared" ca="1" si="366"/>
        <v>Pending</v>
      </c>
      <c r="AC1072" t="str">
        <f t="shared" ca="1" si="367"/>
        <v>Bank Transfer</v>
      </c>
      <c r="AD1072" t="str">
        <f t="shared" ca="1" si="368"/>
        <v>No</v>
      </c>
      <c r="AE1072" t="str">
        <f t="shared" ca="1" si="369"/>
        <v>No</v>
      </c>
      <c r="AF1072" t="str">
        <f t="shared" ca="1" si="370"/>
        <v>Transferred</v>
      </c>
      <c r="AG1072" t="str">
        <f t="shared" ca="1" si="371"/>
        <v>Midwest</v>
      </c>
      <c r="AH1072" t="str">
        <f t="shared" si="354"/>
        <v>March</v>
      </c>
      <c r="AI1072">
        <f t="shared" si="355"/>
        <v>2023</v>
      </c>
      <c r="AJ1072" t="str">
        <f t="shared" ca="1" si="372"/>
        <v>Occupied</v>
      </c>
      <c r="AK1072">
        <f t="shared" ca="1" si="373"/>
        <v>2</v>
      </c>
    </row>
    <row r="1073" spans="1:37" x14ac:dyDescent="0.3">
      <c r="A1073" t="s">
        <v>5483</v>
      </c>
      <c r="B1073">
        <v>53</v>
      </c>
      <c r="C1073" t="s">
        <v>32</v>
      </c>
      <c r="D1073" t="s">
        <v>24</v>
      </c>
      <c r="E1073" t="s">
        <v>25</v>
      </c>
      <c r="F1073" s="1">
        <v>44255</v>
      </c>
      <c r="G1073" t="s">
        <v>2166</v>
      </c>
      <c r="H1073" t="s">
        <v>2167</v>
      </c>
      <c r="I1073" t="s">
        <v>57</v>
      </c>
      <c r="J1073">
        <v>22476</v>
      </c>
      <c r="K1073">
        <v>479</v>
      </c>
      <c r="L1073" t="s">
        <v>29</v>
      </c>
      <c r="M1073" s="1">
        <v>44284</v>
      </c>
      <c r="N1073" t="s">
        <v>30</v>
      </c>
      <c r="O1073" t="s">
        <v>43</v>
      </c>
      <c r="P1073" t="str">
        <f t="shared" si="356"/>
        <v>P1072</v>
      </c>
      <c r="Q1073" t="str">
        <f t="shared" si="352"/>
        <v>Nutrition</v>
      </c>
      <c r="R1073">
        <f t="shared" si="353"/>
        <v>29</v>
      </c>
      <c r="S1073" t="str">
        <f t="shared" ca="1" si="357"/>
        <v>No</v>
      </c>
      <c r="T1073" t="str">
        <f t="shared" ca="1" si="358"/>
        <v>Mild</v>
      </c>
      <c r="U1073" t="str">
        <f t="shared" ca="1" si="359"/>
        <v>Semi-Private</v>
      </c>
      <c r="V1073" t="str">
        <f t="shared" si="360"/>
        <v>BED1072</v>
      </c>
      <c r="W1073" t="str">
        <f t="shared" ca="1" si="361"/>
        <v>Private</v>
      </c>
      <c r="X1073" t="str">
        <f t="shared" si="362"/>
        <v>NUR022</v>
      </c>
      <c r="Y1073" t="str">
        <f t="shared" ca="1" si="363"/>
        <v>Morning</v>
      </c>
      <c r="Z1073" t="str">
        <f t="shared" ca="1" si="364"/>
        <v>CT Scanner</v>
      </c>
      <c r="AA1073" t="str">
        <f t="shared" ca="1" si="365"/>
        <v>In Use</v>
      </c>
      <c r="AB1073" t="str">
        <f t="shared" ca="1" si="366"/>
        <v>Pending</v>
      </c>
      <c r="AC1073" t="str">
        <f t="shared" ca="1" si="367"/>
        <v>Bank Transfer</v>
      </c>
      <c r="AD1073" t="str">
        <f t="shared" ca="1" si="368"/>
        <v>No</v>
      </c>
      <c r="AE1073" t="str">
        <f t="shared" ca="1" si="369"/>
        <v>Yes</v>
      </c>
      <c r="AF1073" t="str">
        <f t="shared" ca="1" si="370"/>
        <v>Transferred</v>
      </c>
      <c r="AG1073" t="str">
        <f t="shared" ca="1" si="371"/>
        <v>Southwest</v>
      </c>
      <c r="AH1073" t="str">
        <f t="shared" si="354"/>
        <v>February</v>
      </c>
      <c r="AI1073">
        <f t="shared" si="355"/>
        <v>2021</v>
      </c>
      <c r="AJ1073" t="str">
        <f t="shared" ca="1" si="372"/>
        <v>Occupied</v>
      </c>
      <c r="AK1073">
        <f t="shared" ca="1" si="373"/>
        <v>4</v>
      </c>
    </row>
    <row r="1074" spans="1:37" x14ac:dyDescent="0.3">
      <c r="A1074" t="s">
        <v>5484</v>
      </c>
      <c r="B1074">
        <v>73</v>
      </c>
      <c r="C1074" t="s">
        <v>32</v>
      </c>
      <c r="D1074" t="s">
        <v>83</v>
      </c>
      <c r="E1074" t="s">
        <v>39</v>
      </c>
      <c r="F1074" s="1">
        <v>44330</v>
      </c>
      <c r="G1074" t="s">
        <v>2168</v>
      </c>
      <c r="H1074" t="s">
        <v>2169</v>
      </c>
      <c r="I1074" t="s">
        <v>20</v>
      </c>
      <c r="J1074">
        <v>32774</v>
      </c>
      <c r="K1074">
        <v>430</v>
      </c>
      <c r="L1074" t="s">
        <v>29</v>
      </c>
      <c r="M1074" s="1">
        <v>44333</v>
      </c>
      <c r="N1074" t="s">
        <v>67</v>
      </c>
      <c r="O1074" t="s">
        <v>43</v>
      </c>
      <c r="P1074" t="str">
        <f t="shared" si="356"/>
        <v>P1073</v>
      </c>
      <c r="Q1074" t="str">
        <f t="shared" si="352"/>
        <v>Endocrinology</v>
      </c>
      <c r="R1074">
        <f t="shared" si="353"/>
        <v>3</v>
      </c>
      <c r="S1074" t="str">
        <f t="shared" ca="1" si="357"/>
        <v>No</v>
      </c>
      <c r="T1074" t="str">
        <f t="shared" ca="1" si="358"/>
        <v>Severe</v>
      </c>
      <c r="U1074" t="str">
        <f t="shared" ca="1" si="359"/>
        <v>Emergency</v>
      </c>
      <c r="V1074" t="str">
        <f t="shared" si="360"/>
        <v>BED1073</v>
      </c>
      <c r="W1074" t="str">
        <f t="shared" ca="1" si="361"/>
        <v>Private</v>
      </c>
      <c r="X1074" t="str">
        <f t="shared" si="362"/>
        <v>NUR023</v>
      </c>
      <c r="Y1074" t="str">
        <f t="shared" ca="1" si="363"/>
        <v>Evening</v>
      </c>
      <c r="Z1074" t="str">
        <f t="shared" ca="1" si="364"/>
        <v>Ventilator</v>
      </c>
      <c r="AA1074" t="str">
        <f t="shared" ca="1" si="365"/>
        <v>Available</v>
      </c>
      <c r="AB1074" t="str">
        <f t="shared" ca="1" si="366"/>
        <v>Partially Paid</v>
      </c>
      <c r="AC1074" t="str">
        <f t="shared" ca="1" si="367"/>
        <v>Credit Card</v>
      </c>
      <c r="AD1074" t="str">
        <f t="shared" ca="1" si="368"/>
        <v>No</v>
      </c>
      <c r="AE1074" t="str">
        <f t="shared" ca="1" si="369"/>
        <v>No</v>
      </c>
      <c r="AF1074" t="str">
        <f t="shared" ca="1" si="370"/>
        <v>Recovered</v>
      </c>
      <c r="AG1074" t="str">
        <f t="shared" ca="1" si="371"/>
        <v>West Coast</v>
      </c>
      <c r="AH1074" t="str">
        <f t="shared" si="354"/>
        <v>May</v>
      </c>
      <c r="AI1074">
        <f t="shared" si="355"/>
        <v>2021</v>
      </c>
      <c r="AJ1074" t="str">
        <f t="shared" ca="1" si="372"/>
        <v>Vacant</v>
      </c>
      <c r="AK1074">
        <f t="shared" ca="1" si="373"/>
        <v>1</v>
      </c>
    </row>
    <row r="1075" spans="1:37" x14ac:dyDescent="0.3">
      <c r="A1075" t="s">
        <v>5485</v>
      </c>
      <c r="B1075">
        <v>38</v>
      </c>
      <c r="C1075" t="s">
        <v>15</v>
      </c>
      <c r="D1075" t="s">
        <v>83</v>
      </c>
      <c r="E1075" t="s">
        <v>25</v>
      </c>
      <c r="F1075" s="1">
        <v>43940</v>
      </c>
      <c r="G1075" t="s">
        <v>2170</v>
      </c>
      <c r="H1075" t="s">
        <v>2171</v>
      </c>
      <c r="I1075" t="s">
        <v>36</v>
      </c>
      <c r="J1075">
        <v>17202</v>
      </c>
      <c r="K1075">
        <v>488</v>
      </c>
      <c r="L1075" t="s">
        <v>21</v>
      </c>
      <c r="M1075" s="1">
        <v>43963</v>
      </c>
      <c r="N1075" t="s">
        <v>37</v>
      </c>
      <c r="O1075" t="s">
        <v>23</v>
      </c>
      <c r="P1075" t="str">
        <f t="shared" si="356"/>
        <v>P1074</v>
      </c>
      <c r="Q1075" t="str">
        <f t="shared" si="352"/>
        <v>Nutrition</v>
      </c>
      <c r="R1075">
        <f t="shared" si="353"/>
        <v>23</v>
      </c>
      <c r="S1075" t="str">
        <f t="shared" ca="1" si="357"/>
        <v>No</v>
      </c>
      <c r="T1075" t="str">
        <f t="shared" ca="1" si="358"/>
        <v>Severe</v>
      </c>
      <c r="U1075" t="str">
        <f t="shared" ca="1" si="359"/>
        <v>Semi-Private</v>
      </c>
      <c r="V1075" t="str">
        <f t="shared" si="360"/>
        <v>BED1074</v>
      </c>
      <c r="W1075" t="str">
        <f t="shared" ca="1" si="361"/>
        <v>General</v>
      </c>
      <c r="X1075" t="str">
        <f t="shared" si="362"/>
        <v>NUR024</v>
      </c>
      <c r="Y1075" t="str">
        <f t="shared" ca="1" si="363"/>
        <v>Night</v>
      </c>
      <c r="Z1075" t="str">
        <f t="shared" ca="1" si="364"/>
        <v>Ultrasound</v>
      </c>
      <c r="AA1075" t="str">
        <f t="shared" ca="1" si="365"/>
        <v>In Use</v>
      </c>
      <c r="AB1075" t="str">
        <f t="shared" ca="1" si="366"/>
        <v>Partially Paid</v>
      </c>
      <c r="AC1075" t="str">
        <f t="shared" ca="1" si="367"/>
        <v>Bank Transfer</v>
      </c>
      <c r="AD1075" t="str">
        <f t="shared" ca="1" si="368"/>
        <v>No</v>
      </c>
      <c r="AE1075" t="str">
        <f t="shared" ca="1" si="369"/>
        <v>No</v>
      </c>
      <c r="AF1075" t="str">
        <f t="shared" ca="1" si="370"/>
        <v>Under Observation</v>
      </c>
      <c r="AG1075" t="str">
        <f t="shared" ca="1" si="371"/>
        <v>Midwest</v>
      </c>
      <c r="AH1075" t="str">
        <f t="shared" si="354"/>
        <v>April</v>
      </c>
      <c r="AI1075">
        <f t="shared" si="355"/>
        <v>2020</v>
      </c>
      <c r="AJ1075" t="str">
        <f t="shared" ca="1" si="372"/>
        <v>Occupied</v>
      </c>
      <c r="AK1075">
        <f t="shared" ca="1" si="373"/>
        <v>2</v>
      </c>
    </row>
    <row r="1076" spans="1:37" x14ac:dyDescent="0.3">
      <c r="A1076" t="s">
        <v>5486</v>
      </c>
      <c r="B1076">
        <v>73</v>
      </c>
      <c r="C1076" t="s">
        <v>32</v>
      </c>
      <c r="D1076" t="s">
        <v>33</v>
      </c>
      <c r="E1076" t="s">
        <v>17</v>
      </c>
      <c r="F1076" s="1">
        <v>45309</v>
      </c>
      <c r="G1076" t="s">
        <v>2172</v>
      </c>
      <c r="H1076" t="s">
        <v>2173</v>
      </c>
      <c r="I1076" t="s">
        <v>28</v>
      </c>
      <c r="J1076">
        <v>43802</v>
      </c>
      <c r="K1076">
        <v>232</v>
      </c>
      <c r="L1076" t="s">
        <v>29</v>
      </c>
      <c r="M1076" s="1">
        <v>45330</v>
      </c>
      <c r="N1076" t="s">
        <v>67</v>
      </c>
      <c r="O1076" t="s">
        <v>43</v>
      </c>
      <c r="P1076" t="str">
        <f t="shared" si="356"/>
        <v>P1075</v>
      </c>
      <c r="Q1076" t="str">
        <f t="shared" si="352"/>
        <v>Oncology</v>
      </c>
      <c r="R1076">
        <f t="shared" si="353"/>
        <v>21</v>
      </c>
      <c r="S1076" t="str">
        <f t="shared" ca="1" si="357"/>
        <v>No</v>
      </c>
      <c r="T1076" t="str">
        <f t="shared" ca="1" si="358"/>
        <v>Critical</v>
      </c>
      <c r="U1076" t="str">
        <f t="shared" ca="1" si="359"/>
        <v>Semi-Private</v>
      </c>
      <c r="V1076" t="str">
        <f t="shared" si="360"/>
        <v>BED1075</v>
      </c>
      <c r="W1076" t="str">
        <f t="shared" ca="1" si="361"/>
        <v>ICU</v>
      </c>
      <c r="X1076" t="str">
        <f t="shared" si="362"/>
        <v>NUR025</v>
      </c>
      <c r="Y1076" t="str">
        <f t="shared" ca="1" si="363"/>
        <v>Morning</v>
      </c>
      <c r="Z1076" t="str">
        <f t="shared" ca="1" si="364"/>
        <v>MRI Scanner</v>
      </c>
      <c r="AA1076" t="str">
        <f t="shared" ca="1" si="365"/>
        <v>Available</v>
      </c>
      <c r="AB1076" t="str">
        <f t="shared" ca="1" si="366"/>
        <v>Paid</v>
      </c>
      <c r="AC1076" t="str">
        <f t="shared" ca="1" si="367"/>
        <v>Debit Card</v>
      </c>
      <c r="AD1076" t="str">
        <f t="shared" ca="1" si="368"/>
        <v>No</v>
      </c>
      <c r="AE1076" t="str">
        <f t="shared" ca="1" si="369"/>
        <v>No</v>
      </c>
      <c r="AF1076" t="str">
        <f t="shared" ca="1" si="370"/>
        <v>Transferred</v>
      </c>
      <c r="AG1076" t="str">
        <f t="shared" ca="1" si="371"/>
        <v>West Coast</v>
      </c>
      <c r="AH1076" t="str">
        <f t="shared" si="354"/>
        <v>January</v>
      </c>
      <c r="AI1076">
        <f t="shared" si="355"/>
        <v>2024</v>
      </c>
      <c r="AJ1076" t="str">
        <f t="shared" ca="1" si="372"/>
        <v>Occupied</v>
      </c>
      <c r="AK1076">
        <f t="shared" ca="1" si="373"/>
        <v>2</v>
      </c>
    </row>
    <row r="1077" spans="1:37" x14ac:dyDescent="0.3">
      <c r="A1077" t="s">
        <v>5487</v>
      </c>
      <c r="B1077">
        <v>20</v>
      </c>
      <c r="C1077" t="s">
        <v>32</v>
      </c>
      <c r="D1077" t="s">
        <v>16</v>
      </c>
      <c r="E1077" t="s">
        <v>76</v>
      </c>
      <c r="F1077" s="1">
        <v>44321</v>
      </c>
      <c r="G1077" t="s">
        <v>2174</v>
      </c>
      <c r="H1077" t="s">
        <v>2175</v>
      </c>
      <c r="I1077" t="s">
        <v>28</v>
      </c>
      <c r="J1077">
        <v>8043</v>
      </c>
      <c r="K1077">
        <v>434</v>
      </c>
      <c r="L1077" t="s">
        <v>29</v>
      </c>
      <c r="M1077" s="1">
        <v>44336</v>
      </c>
      <c r="N1077" t="s">
        <v>67</v>
      </c>
      <c r="O1077" t="s">
        <v>31</v>
      </c>
      <c r="P1077" t="str">
        <f t="shared" si="356"/>
        <v>P1076</v>
      </c>
      <c r="Q1077" t="str">
        <f t="shared" si="352"/>
        <v>Orthopedics</v>
      </c>
      <c r="R1077">
        <f t="shared" si="353"/>
        <v>15</v>
      </c>
      <c r="S1077" t="str">
        <f t="shared" ca="1" si="357"/>
        <v>No</v>
      </c>
      <c r="T1077" t="str">
        <f t="shared" ca="1" si="358"/>
        <v>Moderate</v>
      </c>
      <c r="U1077" t="str">
        <f t="shared" ca="1" si="359"/>
        <v>Private Ward</v>
      </c>
      <c r="V1077" t="str">
        <f t="shared" si="360"/>
        <v>BED1076</v>
      </c>
      <c r="W1077" t="str">
        <f t="shared" ca="1" si="361"/>
        <v>ICU</v>
      </c>
      <c r="X1077" t="str">
        <f t="shared" si="362"/>
        <v>NUR026</v>
      </c>
      <c r="Y1077" t="str">
        <f t="shared" ca="1" si="363"/>
        <v>Evening</v>
      </c>
      <c r="Z1077" t="str">
        <f t="shared" ca="1" si="364"/>
        <v>Ventilator</v>
      </c>
      <c r="AA1077" t="str">
        <f t="shared" ca="1" si="365"/>
        <v>In Use</v>
      </c>
      <c r="AB1077" t="str">
        <f t="shared" ca="1" si="366"/>
        <v>Paid</v>
      </c>
      <c r="AC1077" t="str">
        <f t="shared" ca="1" si="367"/>
        <v>Cash</v>
      </c>
      <c r="AD1077" t="str">
        <f t="shared" ca="1" si="368"/>
        <v>No</v>
      </c>
      <c r="AE1077" t="str">
        <f t="shared" ca="1" si="369"/>
        <v>No</v>
      </c>
      <c r="AF1077" t="str">
        <f t="shared" ca="1" si="370"/>
        <v>Under Observation</v>
      </c>
      <c r="AG1077" t="str">
        <f t="shared" ca="1" si="371"/>
        <v>Northeast</v>
      </c>
      <c r="AH1077" t="str">
        <f t="shared" si="354"/>
        <v>May</v>
      </c>
      <c r="AI1077">
        <f t="shared" si="355"/>
        <v>2021</v>
      </c>
      <c r="AJ1077" t="str">
        <f t="shared" ca="1" si="372"/>
        <v>Occupied</v>
      </c>
      <c r="AK1077">
        <f t="shared" ca="1" si="373"/>
        <v>2</v>
      </c>
    </row>
    <row r="1078" spans="1:37" x14ac:dyDescent="0.3">
      <c r="A1078" t="s">
        <v>245</v>
      </c>
      <c r="B1078">
        <v>19</v>
      </c>
      <c r="C1078" t="s">
        <v>15</v>
      </c>
      <c r="D1078" t="s">
        <v>24</v>
      </c>
      <c r="E1078" t="s">
        <v>64</v>
      </c>
      <c r="F1078" s="1">
        <v>44009</v>
      </c>
      <c r="G1078" t="s">
        <v>2176</v>
      </c>
      <c r="H1078" t="s">
        <v>2177</v>
      </c>
      <c r="I1078" t="s">
        <v>28</v>
      </c>
      <c r="J1078">
        <v>26660</v>
      </c>
      <c r="K1078">
        <v>109</v>
      </c>
      <c r="L1078" t="s">
        <v>21</v>
      </c>
      <c r="M1078" s="1">
        <v>44035</v>
      </c>
      <c r="N1078" t="s">
        <v>37</v>
      </c>
      <c r="O1078" t="s">
        <v>23</v>
      </c>
      <c r="P1078" t="str">
        <f t="shared" si="356"/>
        <v>P1077</v>
      </c>
      <c r="Q1078" t="str">
        <f t="shared" si="352"/>
        <v>Cardiology</v>
      </c>
      <c r="R1078">
        <f t="shared" si="353"/>
        <v>26</v>
      </c>
      <c r="S1078" t="str">
        <f t="shared" ca="1" si="357"/>
        <v>No</v>
      </c>
      <c r="T1078" t="str">
        <f t="shared" ca="1" si="358"/>
        <v>Moderate</v>
      </c>
      <c r="U1078" t="str">
        <f t="shared" ca="1" si="359"/>
        <v>Emergency</v>
      </c>
      <c r="V1078" t="str">
        <f t="shared" si="360"/>
        <v>BED1077</v>
      </c>
      <c r="W1078" t="str">
        <f t="shared" ca="1" si="361"/>
        <v>General</v>
      </c>
      <c r="X1078" t="str">
        <f t="shared" si="362"/>
        <v>NUR027</v>
      </c>
      <c r="Y1078" t="str">
        <f t="shared" ca="1" si="363"/>
        <v>Night</v>
      </c>
      <c r="Z1078" t="str">
        <f t="shared" ca="1" si="364"/>
        <v>ECG Machine</v>
      </c>
      <c r="AA1078" t="str">
        <f t="shared" ca="1" si="365"/>
        <v>Maintenance</v>
      </c>
      <c r="AB1078" t="str">
        <f t="shared" ca="1" si="366"/>
        <v>Partially Paid</v>
      </c>
      <c r="AC1078" t="str">
        <f t="shared" ca="1" si="367"/>
        <v>Debit Card</v>
      </c>
      <c r="AD1078" t="str">
        <f t="shared" ca="1" si="368"/>
        <v>No</v>
      </c>
      <c r="AE1078" t="str">
        <f t="shared" ca="1" si="369"/>
        <v>No</v>
      </c>
      <c r="AF1078" t="str">
        <f t="shared" ca="1" si="370"/>
        <v>Transferred</v>
      </c>
      <c r="AG1078" t="str">
        <f t="shared" ca="1" si="371"/>
        <v>Midwest</v>
      </c>
      <c r="AH1078" t="str">
        <f t="shared" si="354"/>
        <v>June</v>
      </c>
      <c r="AI1078">
        <f t="shared" si="355"/>
        <v>2020</v>
      </c>
      <c r="AJ1078" t="str">
        <f t="shared" ca="1" si="372"/>
        <v>Occupied</v>
      </c>
      <c r="AK1078">
        <f t="shared" ca="1" si="373"/>
        <v>1</v>
      </c>
    </row>
    <row r="1079" spans="1:37" x14ac:dyDescent="0.3">
      <c r="A1079" t="s">
        <v>5488</v>
      </c>
      <c r="B1079">
        <v>79</v>
      </c>
      <c r="C1079" t="s">
        <v>32</v>
      </c>
      <c r="D1079" t="s">
        <v>24</v>
      </c>
      <c r="E1079" t="s">
        <v>25</v>
      </c>
      <c r="F1079" s="1">
        <v>44569</v>
      </c>
      <c r="G1079" t="s">
        <v>2178</v>
      </c>
      <c r="H1079" t="s">
        <v>2179</v>
      </c>
      <c r="I1079" t="s">
        <v>28</v>
      </c>
      <c r="J1079">
        <v>33071</v>
      </c>
      <c r="K1079">
        <v>328</v>
      </c>
      <c r="L1079" t="s">
        <v>29</v>
      </c>
      <c r="M1079" s="1">
        <v>44592</v>
      </c>
      <c r="N1079" t="s">
        <v>47</v>
      </c>
      <c r="O1079" t="s">
        <v>43</v>
      </c>
      <c r="P1079" t="str">
        <f t="shared" si="356"/>
        <v>P1078</v>
      </c>
      <c r="Q1079" t="str">
        <f t="shared" si="352"/>
        <v>Nutrition</v>
      </c>
      <c r="R1079">
        <f t="shared" si="353"/>
        <v>23</v>
      </c>
      <c r="S1079" t="str">
        <f t="shared" ca="1" si="357"/>
        <v>No</v>
      </c>
      <c r="T1079" t="str">
        <f t="shared" ca="1" si="358"/>
        <v>Severe</v>
      </c>
      <c r="U1079" t="str">
        <f t="shared" ca="1" si="359"/>
        <v>Private Ward</v>
      </c>
      <c r="V1079" t="str">
        <f t="shared" si="360"/>
        <v>BED1078</v>
      </c>
      <c r="W1079" t="str">
        <f t="shared" ca="1" si="361"/>
        <v>Semi-Private</v>
      </c>
      <c r="X1079" t="str">
        <f t="shared" si="362"/>
        <v>NUR028</v>
      </c>
      <c r="Y1079" t="str">
        <f t="shared" ca="1" si="363"/>
        <v>Morning</v>
      </c>
      <c r="Z1079" t="str">
        <f t="shared" ca="1" si="364"/>
        <v>MRI Scanner</v>
      </c>
      <c r="AA1079" t="str">
        <f t="shared" ca="1" si="365"/>
        <v>In Use</v>
      </c>
      <c r="AB1079" t="str">
        <f t="shared" ca="1" si="366"/>
        <v>Partially Paid</v>
      </c>
      <c r="AC1079" t="str">
        <f t="shared" ca="1" si="367"/>
        <v>Insurance</v>
      </c>
      <c r="AD1079" t="str">
        <f t="shared" ca="1" si="368"/>
        <v>No</v>
      </c>
      <c r="AE1079" t="str">
        <f t="shared" ca="1" si="369"/>
        <v>Yes</v>
      </c>
      <c r="AF1079" t="str">
        <f t="shared" ca="1" si="370"/>
        <v>Transferred</v>
      </c>
      <c r="AG1079" t="str">
        <f t="shared" ca="1" si="371"/>
        <v>Southwest</v>
      </c>
      <c r="AH1079" t="str">
        <f t="shared" si="354"/>
        <v>January</v>
      </c>
      <c r="AI1079">
        <f t="shared" si="355"/>
        <v>2022</v>
      </c>
      <c r="AJ1079" t="str">
        <f t="shared" ca="1" si="372"/>
        <v>Occupied</v>
      </c>
      <c r="AK1079">
        <f t="shared" ca="1" si="373"/>
        <v>1</v>
      </c>
    </row>
    <row r="1080" spans="1:37" x14ac:dyDescent="0.3">
      <c r="A1080" t="s">
        <v>5489</v>
      </c>
      <c r="B1080">
        <v>56</v>
      </c>
      <c r="C1080" t="s">
        <v>32</v>
      </c>
      <c r="D1080" t="s">
        <v>24</v>
      </c>
      <c r="E1080" t="s">
        <v>76</v>
      </c>
      <c r="F1080" s="1">
        <v>43709</v>
      </c>
      <c r="G1080" t="s">
        <v>2180</v>
      </c>
      <c r="H1080" t="s">
        <v>2181</v>
      </c>
      <c r="I1080" t="s">
        <v>28</v>
      </c>
      <c r="J1080">
        <v>36924</v>
      </c>
      <c r="K1080">
        <v>387</v>
      </c>
      <c r="L1080" t="s">
        <v>29</v>
      </c>
      <c r="M1080" s="1">
        <v>43739</v>
      </c>
      <c r="N1080" t="s">
        <v>67</v>
      </c>
      <c r="O1080" t="s">
        <v>43</v>
      </c>
      <c r="P1080" t="str">
        <f t="shared" si="356"/>
        <v>P1079</v>
      </c>
      <c r="Q1080" t="str">
        <f t="shared" si="352"/>
        <v>Orthopedics</v>
      </c>
      <c r="R1080">
        <f t="shared" si="353"/>
        <v>30</v>
      </c>
      <c r="S1080" t="str">
        <f t="shared" ca="1" si="357"/>
        <v>No</v>
      </c>
      <c r="T1080" t="str">
        <f t="shared" ca="1" si="358"/>
        <v>Critical</v>
      </c>
      <c r="U1080" t="str">
        <f t="shared" ca="1" si="359"/>
        <v>Private Ward</v>
      </c>
      <c r="V1080" t="str">
        <f t="shared" si="360"/>
        <v>BED1079</v>
      </c>
      <c r="W1080" t="str">
        <f t="shared" ca="1" si="361"/>
        <v>ICU</v>
      </c>
      <c r="X1080" t="str">
        <f t="shared" si="362"/>
        <v>NUR029</v>
      </c>
      <c r="Y1080" t="str">
        <f t="shared" ca="1" si="363"/>
        <v>Morning</v>
      </c>
      <c r="Z1080" t="str">
        <f t="shared" ca="1" si="364"/>
        <v>MRI Scanner</v>
      </c>
      <c r="AA1080" t="str">
        <f t="shared" ca="1" si="365"/>
        <v>Maintenance</v>
      </c>
      <c r="AB1080" t="str">
        <f t="shared" ca="1" si="366"/>
        <v>Partially Paid</v>
      </c>
      <c r="AC1080" t="str">
        <f t="shared" ca="1" si="367"/>
        <v>Credit Card</v>
      </c>
      <c r="AD1080" t="str">
        <f t="shared" ca="1" si="368"/>
        <v>No</v>
      </c>
      <c r="AE1080" t="str">
        <f t="shared" ca="1" si="369"/>
        <v>No</v>
      </c>
      <c r="AF1080" t="str">
        <f t="shared" ca="1" si="370"/>
        <v>Transferred</v>
      </c>
      <c r="AG1080" t="str">
        <f t="shared" ca="1" si="371"/>
        <v>Midwest</v>
      </c>
      <c r="AH1080" t="str">
        <f t="shared" si="354"/>
        <v>September</v>
      </c>
      <c r="AI1080">
        <f t="shared" si="355"/>
        <v>2019</v>
      </c>
      <c r="AJ1080" t="str">
        <f t="shared" ca="1" si="372"/>
        <v>Occupied</v>
      </c>
      <c r="AK1080">
        <f t="shared" ca="1" si="373"/>
        <v>4</v>
      </c>
    </row>
    <row r="1081" spans="1:37" x14ac:dyDescent="0.3">
      <c r="A1081" t="s">
        <v>5490</v>
      </c>
      <c r="B1081">
        <v>54</v>
      </c>
      <c r="C1081" t="s">
        <v>32</v>
      </c>
      <c r="D1081" t="s">
        <v>98</v>
      </c>
      <c r="E1081" t="s">
        <v>76</v>
      </c>
      <c r="F1081" s="1">
        <v>43878</v>
      </c>
      <c r="G1081" t="s">
        <v>2182</v>
      </c>
      <c r="H1081" t="s">
        <v>2183</v>
      </c>
      <c r="I1081" t="s">
        <v>51</v>
      </c>
      <c r="J1081">
        <v>34455</v>
      </c>
      <c r="K1081">
        <v>102</v>
      </c>
      <c r="L1081" t="s">
        <v>21</v>
      </c>
      <c r="M1081" s="1">
        <v>43882</v>
      </c>
      <c r="N1081" t="s">
        <v>47</v>
      </c>
      <c r="O1081" t="s">
        <v>23</v>
      </c>
      <c r="P1081" t="str">
        <f t="shared" si="356"/>
        <v>P1080</v>
      </c>
      <c r="Q1081" t="str">
        <f t="shared" si="352"/>
        <v>Orthopedics</v>
      </c>
      <c r="R1081">
        <f t="shared" si="353"/>
        <v>4</v>
      </c>
      <c r="S1081" t="str">
        <f t="shared" ca="1" si="357"/>
        <v>No</v>
      </c>
      <c r="T1081" t="str">
        <f t="shared" ca="1" si="358"/>
        <v>Moderate</v>
      </c>
      <c r="U1081" t="str">
        <f t="shared" ca="1" si="359"/>
        <v>Emergency</v>
      </c>
      <c r="V1081" t="str">
        <f t="shared" si="360"/>
        <v>BED1080</v>
      </c>
      <c r="W1081" t="str">
        <f t="shared" ca="1" si="361"/>
        <v>Semi-Private</v>
      </c>
      <c r="X1081" t="str">
        <f t="shared" si="362"/>
        <v>NUR030</v>
      </c>
      <c r="Y1081" t="str">
        <f t="shared" ca="1" si="363"/>
        <v>Morning</v>
      </c>
      <c r="Z1081" t="str">
        <f t="shared" ca="1" si="364"/>
        <v>Ultrasound</v>
      </c>
      <c r="AA1081" t="str">
        <f t="shared" ca="1" si="365"/>
        <v>In Use</v>
      </c>
      <c r="AB1081" t="str">
        <f t="shared" ca="1" si="366"/>
        <v>Partially Paid</v>
      </c>
      <c r="AC1081" t="str">
        <f t="shared" ca="1" si="367"/>
        <v>Cash</v>
      </c>
      <c r="AD1081" t="str">
        <f t="shared" ca="1" si="368"/>
        <v>No</v>
      </c>
      <c r="AE1081" t="str">
        <f t="shared" ca="1" si="369"/>
        <v>No</v>
      </c>
      <c r="AF1081" t="str">
        <f t="shared" ca="1" si="370"/>
        <v>Recovered</v>
      </c>
      <c r="AG1081" t="str">
        <f t="shared" ca="1" si="371"/>
        <v>Southwest</v>
      </c>
      <c r="AH1081" t="str">
        <f t="shared" si="354"/>
        <v>February</v>
      </c>
      <c r="AI1081">
        <f t="shared" si="355"/>
        <v>2020</v>
      </c>
      <c r="AJ1081" t="str">
        <f t="shared" ca="1" si="372"/>
        <v>Vacant</v>
      </c>
      <c r="AK1081">
        <f t="shared" ca="1" si="373"/>
        <v>4</v>
      </c>
    </row>
    <row r="1082" spans="1:37" x14ac:dyDescent="0.3">
      <c r="A1082" t="s">
        <v>5491</v>
      </c>
      <c r="B1082">
        <v>37</v>
      </c>
      <c r="C1082" t="s">
        <v>32</v>
      </c>
      <c r="D1082" t="s">
        <v>98</v>
      </c>
      <c r="E1082" t="s">
        <v>76</v>
      </c>
      <c r="F1082" s="1">
        <v>44291</v>
      </c>
      <c r="G1082" t="s">
        <v>2184</v>
      </c>
      <c r="H1082" t="s">
        <v>2185</v>
      </c>
      <c r="I1082" t="s">
        <v>51</v>
      </c>
      <c r="J1082">
        <v>29993</v>
      </c>
      <c r="K1082">
        <v>205</v>
      </c>
      <c r="L1082" t="s">
        <v>42</v>
      </c>
      <c r="M1082" s="1">
        <v>44295</v>
      </c>
      <c r="N1082" t="s">
        <v>22</v>
      </c>
      <c r="O1082" t="s">
        <v>31</v>
      </c>
      <c r="P1082" t="str">
        <f t="shared" si="356"/>
        <v>P1081</v>
      </c>
      <c r="Q1082" t="str">
        <f t="shared" si="352"/>
        <v>Orthopedics</v>
      </c>
      <c r="R1082">
        <f t="shared" si="353"/>
        <v>4</v>
      </c>
      <c r="S1082" t="str">
        <f t="shared" ca="1" si="357"/>
        <v>No</v>
      </c>
      <c r="T1082" t="str">
        <f t="shared" ca="1" si="358"/>
        <v>Critical</v>
      </c>
      <c r="U1082" t="str">
        <f t="shared" ca="1" si="359"/>
        <v>Semi-Private</v>
      </c>
      <c r="V1082" t="str">
        <f t="shared" si="360"/>
        <v>BED1081</v>
      </c>
      <c r="W1082" t="str">
        <f t="shared" ca="1" si="361"/>
        <v>General</v>
      </c>
      <c r="X1082" t="str">
        <f t="shared" si="362"/>
        <v>NUR031</v>
      </c>
      <c r="Y1082" t="str">
        <f t="shared" ca="1" si="363"/>
        <v>Morning</v>
      </c>
      <c r="Z1082" t="str">
        <f t="shared" ca="1" si="364"/>
        <v>Ultrasound</v>
      </c>
      <c r="AA1082" t="str">
        <f t="shared" ca="1" si="365"/>
        <v>Available</v>
      </c>
      <c r="AB1082" t="str">
        <f t="shared" ca="1" si="366"/>
        <v>Pending</v>
      </c>
      <c r="AC1082" t="str">
        <f t="shared" ca="1" si="367"/>
        <v>Insurance</v>
      </c>
      <c r="AD1082" t="str">
        <f t="shared" ca="1" si="368"/>
        <v>No</v>
      </c>
      <c r="AE1082" t="str">
        <f t="shared" ca="1" si="369"/>
        <v>No</v>
      </c>
      <c r="AF1082" t="str">
        <f t="shared" ca="1" si="370"/>
        <v>Transferred</v>
      </c>
      <c r="AG1082" t="str">
        <f t="shared" ca="1" si="371"/>
        <v>Southwest</v>
      </c>
      <c r="AH1082" t="str">
        <f t="shared" si="354"/>
        <v>April</v>
      </c>
      <c r="AI1082">
        <f t="shared" si="355"/>
        <v>2021</v>
      </c>
      <c r="AJ1082" t="str">
        <f t="shared" ca="1" si="372"/>
        <v>Vacant</v>
      </c>
      <c r="AK1082">
        <f t="shared" ca="1" si="373"/>
        <v>4</v>
      </c>
    </row>
    <row r="1083" spans="1:37" x14ac:dyDescent="0.3">
      <c r="A1083" t="s">
        <v>5492</v>
      </c>
      <c r="B1083">
        <v>23</v>
      </c>
      <c r="C1083" t="s">
        <v>15</v>
      </c>
      <c r="D1083" t="s">
        <v>83</v>
      </c>
      <c r="E1083" t="s">
        <v>39</v>
      </c>
      <c r="F1083" s="1">
        <v>45121</v>
      </c>
      <c r="G1083" t="s">
        <v>2186</v>
      </c>
      <c r="H1083" t="s">
        <v>2187</v>
      </c>
      <c r="I1083" t="s">
        <v>20</v>
      </c>
      <c r="J1083">
        <v>9736</v>
      </c>
      <c r="K1083">
        <v>391</v>
      </c>
      <c r="L1083" t="s">
        <v>21</v>
      </c>
      <c r="M1083" s="1">
        <v>45125</v>
      </c>
      <c r="N1083" t="s">
        <v>67</v>
      </c>
      <c r="O1083" t="s">
        <v>43</v>
      </c>
      <c r="P1083" t="str">
        <f t="shared" si="356"/>
        <v>P1082</v>
      </c>
      <c r="Q1083" t="str">
        <f t="shared" si="352"/>
        <v>Endocrinology</v>
      </c>
      <c r="R1083">
        <f t="shared" si="353"/>
        <v>4</v>
      </c>
      <c r="S1083" t="str">
        <f t="shared" ca="1" si="357"/>
        <v>No</v>
      </c>
      <c r="T1083" t="str">
        <f t="shared" ca="1" si="358"/>
        <v>Mild</v>
      </c>
      <c r="U1083" t="str">
        <f t="shared" ca="1" si="359"/>
        <v>ICU</v>
      </c>
      <c r="V1083" t="str">
        <f t="shared" si="360"/>
        <v>BED1082</v>
      </c>
      <c r="W1083" t="str">
        <f t="shared" ca="1" si="361"/>
        <v>Semi-Private</v>
      </c>
      <c r="X1083" t="str">
        <f t="shared" si="362"/>
        <v>NUR032</v>
      </c>
      <c r="Y1083" t="str">
        <f t="shared" ca="1" si="363"/>
        <v>Night</v>
      </c>
      <c r="Z1083" t="str">
        <f t="shared" ca="1" si="364"/>
        <v>MRI Scanner</v>
      </c>
      <c r="AA1083" t="str">
        <f t="shared" ca="1" si="365"/>
        <v>In Use</v>
      </c>
      <c r="AB1083" t="str">
        <f t="shared" ca="1" si="366"/>
        <v>Pending</v>
      </c>
      <c r="AC1083" t="str">
        <f t="shared" ca="1" si="367"/>
        <v>Debit Card</v>
      </c>
      <c r="AD1083" t="str">
        <f t="shared" ca="1" si="368"/>
        <v>No</v>
      </c>
      <c r="AE1083" t="str">
        <f t="shared" ca="1" si="369"/>
        <v>No</v>
      </c>
      <c r="AF1083" t="str">
        <f t="shared" ca="1" si="370"/>
        <v>Under Observation</v>
      </c>
      <c r="AG1083" t="str">
        <f t="shared" ca="1" si="371"/>
        <v>Southwest</v>
      </c>
      <c r="AH1083" t="str">
        <f t="shared" si="354"/>
        <v>July</v>
      </c>
      <c r="AI1083">
        <f t="shared" si="355"/>
        <v>2023</v>
      </c>
      <c r="AJ1083" t="str">
        <f t="shared" ca="1" si="372"/>
        <v>Occupied</v>
      </c>
      <c r="AK1083">
        <f t="shared" ca="1" si="373"/>
        <v>1</v>
      </c>
    </row>
    <row r="1084" spans="1:37" x14ac:dyDescent="0.3">
      <c r="A1084" t="s">
        <v>5493</v>
      </c>
      <c r="B1084">
        <v>35</v>
      </c>
      <c r="C1084" t="s">
        <v>15</v>
      </c>
      <c r="D1084" t="s">
        <v>24</v>
      </c>
      <c r="E1084" t="s">
        <v>17</v>
      </c>
      <c r="F1084" s="1">
        <v>44202</v>
      </c>
      <c r="G1084" t="s">
        <v>2188</v>
      </c>
      <c r="H1084" t="s">
        <v>2189</v>
      </c>
      <c r="I1084" t="s">
        <v>20</v>
      </c>
      <c r="J1084">
        <v>43626</v>
      </c>
      <c r="K1084">
        <v>167</v>
      </c>
      <c r="L1084" t="s">
        <v>29</v>
      </c>
      <c r="M1084" s="1">
        <v>44221</v>
      </c>
      <c r="N1084" t="s">
        <v>47</v>
      </c>
      <c r="O1084" t="s">
        <v>43</v>
      </c>
      <c r="P1084" t="str">
        <f t="shared" si="356"/>
        <v>P1083</v>
      </c>
      <c r="Q1084" t="str">
        <f t="shared" si="352"/>
        <v>Oncology</v>
      </c>
      <c r="R1084">
        <f t="shared" si="353"/>
        <v>19</v>
      </c>
      <c r="S1084" t="str">
        <f t="shared" ca="1" si="357"/>
        <v>No</v>
      </c>
      <c r="T1084" t="str">
        <f t="shared" ca="1" si="358"/>
        <v>Severe</v>
      </c>
      <c r="U1084" t="str">
        <f t="shared" ca="1" si="359"/>
        <v>Emergency</v>
      </c>
      <c r="V1084" t="str">
        <f t="shared" si="360"/>
        <v>BED1083</v>
      </c>
      <c r="W1084" t="str">
        <f t="shared" ca="1" si="361"/>
        <v>ICU</v>
      </c>
      <c r="X1084" t="str">
        <f t="shared" si="362"/>
        <v>NUR033</v>
      </c>
      <c r="Y1084" t="str">
        <f t="shared" ca="1" si="363"/>
        <v>Evening</v>
      </c>
      <c r="Z1084" t="str">
        <f t="shared" ca="1" si="364"/>
        <v>ECG Machine</v>
      </c>
      <c r="AA1084" t="str">
        <f t="shared" ca="1" si="365"/>
        <v>In Use</v>
      </c>
      <c r="AB1084" t="str">
        <f t="shared" ca="1" si="366"/>
        <v>Paid</v>
      </c>
      <c r="AC1084" t="str">
        <f t="shared" ca="1" si="367"/>
        <v>Bank Transfer</v>
      </c>
      <c r="AD1084" t="str">
        <f t="shared" ca="1" si="368"/>
        <v>No</v>
      </c>
      <c r="AE1084" t="str">
        <f t="shared" ca="1" si="369"/>
        <v>No</v>
      </c>
      <c r="AF1084" t="str">
        <f t="shared" ca="1" si="370"/>
        <v>Transferred</v>
      </c>
      <c r="AG1084" t="str">
        <f t="shared" ca="1" si="371"/>
        <v>Northeast</v>
      </c>
      <c r="AH1084" t="str">
        <f t="shared" si="354"/>
        <v>January</v>
      </c>
      <c r="AI1084">
        <f t="shared" si="355"/>
        <v>2021</v>
      </c>
      <c r="AJ1084" t="str">
        <f t="shared" ca="1" si="372"/>
        <v>Occupied</v>
      </c>
      <c r="AK1084">
        <f t="shared" ca="1" si="373"/>
        <v>1</v>
      </c>
    </row>
    <row r="1085" spans="1:37" x14ac:dyDescent="0.3">
      <c r="A1085" t="s">
        <v>5494</v>
      </c>
      <c r="B1085">
        <v>52</v>
      </c>
      <c r="C1085" t="s">
        <v>15</v>
      </c>
      <c r="D1085" t="s">
        <v>33</v>
      </c>
      <c r="E1085" t="s">
        <v>17</v>
      </c>
      <c r="F1085" s="1">
        <v>45051</v>
      </c>
      <c r="G1085" t="s">
        <v>2190</v>
      </c>
      <c r="H1085" t="s">
        <v>2191</v>
      </c>
      <c r="I1085" t="s">
        <v>57</v>
      </c>
      <c r="J1085">
        <v>33865</v>
      </c>
      <c r="K1085">
        <v>429</v>
      </c>
      <c r="L1085" t="s">
        <v>42</v>
      </c>
      <c r="M1085" s="1">
        <v>45060</v>
      </c>
      <c r="N1085" t="s">
        <v>30</v>
      </c>
      <c r="O1085" t="s">
        <v>43</v>
      </c>
      <c r="P1085" t="str">
        <f t="shared" si="356"/>
        <v>P1084</v>
      </c>
      <c r="Q1085" t="str">
        <f t="shared" si="352"/>
        <v>Oncology</v>
      </c>
      <c r="R1085">
        <f t="shared" si="353"/>
        <v>9</v>
      </c>
      <c r="S1085" t="str">
        <f t="shared" ca="1" si="357"/>
        <v>No</v>
      </c>
      <c r="T1085" t="str">
        <f t="shared" ca="1" si="358"/>
        <v>Severe</v>
      </c>
      <c r="U1085" t="str">
        <f t="shared" ca="1" si="359"/>
        <v>Emergency</v>
      </c>
      <c r="V1085" t="str">
        <f t="shared" si="360"/>
        <v>BED1084</v>
      </c>
      <c r="W1085" t="str">
        <f t="shared" ca="1" si="361"/>
        <v>ICU</v>
      </c>
      <c r="X1085" t="str">
        <f t="shared" si="362"/>
        <v>NUR034</v>
      </c>
      <c r="Y1085" t="str">
        <f t="shared" ca="1" si="363"/>
        <v>Night</v>
      </c>
      <c r="Z1085" t="str">
        <f t="shared" ca="1" si="364"/>
        <v>X-Ray</v>
      </c>
      <c r="AA1085" t="str">
        <f t="shared" ca="1" si="365"/>
        <v>Available</v>
      </c>
      <c r="AB1085" t="str">
        <f t="shared" ca="1" si="366"/>
        <v>Paid</v>
      </c>
      <c r="AC1085" t="str">
        <f t="shared" ca="1" si="367"/>
        <v>Credit Card</v>
      </c>
      <c r="AD1085" t="str">
        <f t="shared" ca="1" si="368"/>
        <v>No</v>
      </c>
      <c r="AE1085" t="str">
        <f t="shared" ca="1" si="369"/>
        <v>No</v>
      </c>
      <c r="AF1085" t="str">
        <f t="shared" ca="1" si="370"/>
        <v>Transferred</v>
      </c>
      <c r="AG1085" t="str">
        <f t="shared" ca="1" si="371"/>
        <v>Midwest</v>
      </c>
      <c r="AH1085" t="str">
        <f t="shared" si="354"/>
        <v>May</v>
      </c>
      <c r="AI1085">
        <f t="shared" si="355"/>
        <v>2023</v>
      </c>
      <c r="AJ1085" t="str">
        <f t="shared" ca="1" si="372"/>
        <v>Occupied</v>
      </c>
      <c r="AK1085">
        <f t="shared" ca="1" si="373"/>
        <v>2</v>
      </c>
    </row>
    <row r="1086" spans="1:37" x14ac:dyDescent="0.3">
      <c r="A1086" t="s">
        <v>5495</v>
      </c>
      <c r="B1086">
        <v>58</v>
      </c>
      <c r="C1086" t="s">
        <v>15</v>
      </c>
      <c r="D1086" t="s">
        <v>38</v>
      </c>
      <c r="E1086" t="s">
        <v>48</v>
      </c>
      <c r="F1086" s="1">
        <v>43878</v>
      </c>
      <c r="G1086" t="s">
        <v>2192</v>
      </c>
      <c r="H1086" t="s">
        <v>2193</v>
      </c>
      <c r="I1086" t="s">
        <v>51</v>
      </c>
      <c r="J1086">
        <v>12004</v>
      </c>
      <c r="K1086">
        <v>135</v>
      </c>
      <c r="L1086" t="s">
        <v>42</v>
      </c>
      <c r="M1086" s="1">
        <v>43896</v>
      </c>
      <c r="N1086" t="s">
        <v>22</v>
      </c>
      <c r="O1086" t="s">
        <v>23</v>
      </c>
      <c r="P1086" t="str">
        <f t="shared" si="356"/>
        <v>P1085</v>
      </c>
      <c r="Q1086" t="str">
        <f t="shared" si="352"/>
        <v>Pulmonology</v>
      </c>
      <c r="R1086">
        <f t="shared" si="353"/>
        <v>18</v>
      </c>
      <c r="S1086" t="str">
        <f t="shared" ca="1" si="357"/>
        <v>No</v>
      </c>
      <c r="T1086" t="str">
        <f t="shared" ca="1" si="358"/>
        <v>Critical</v>
      </c>
      <c r="U1086" t="str">
        <f t="shared" ca="1" si="359"/>
        <v>ICU</v>
      </c>
      <c r="V1086" t="str">
        <f t="shared" si="360"/>
        <v>BED1085</v>
      </c>
      <c r="W1086" t="str">
        <f t="shared" ca="1" si="361"/>
        <v>Semi-Private</v>
      </c>
      <c r="X1086" t="str">
        <f t="shared" si="362"/>
        <v>NUR035</v>
      </c>
      <c r="Y1086" t="str">
        <f t="shared" ca="1" si="363"/>
        <v>Night</v>
      </c>
      <c r="Z1086" t="str">
        <f t="shared" ca="1" si="364"/>
        <v>ECG Machine</v>
      </c>
      <c r="AA1086" t="str">
        <f t="shared" ca="1" si="365"/>
        <v>Available</v>
      </c>
      <c r="AB1086" t="str">
        <f t="shared" ca="1" si="366"/>
        <v>Partially Paid</v>
      </c>
      <c r="AC1086" t="str">
        <f t="shared" ca="1" si="367"/>
        <v>Credit Card</v>
      </c>
      <c r="AD1086" t="str">
        <f t="shared" ca="1" si="368"/>
        <v>No</v>
      </c>
      <c r="AE1086" t="str">
        <f t="shared" ca="1" si="369"/>
        <v>No</v>
      </c>
      <c r="AF1086" t="str">
        <f t="shared" ca="1" si="370"/>
        <v>Recovered</v>
      </c>
      <c r="AG1086" t="str">
        <f t="shared" ca="1" si="371"/>
        <v>Northeast</v>
      </c>
      <c r="AH1086" t="str">
        <f t="shared" si="354"/>
        <v>February</v>
      </c>
      <c r="AI1086">
        <f t="shared" si="355"/>
        <v>2020</v>
      </c>
      <c r="AJ1086" t="str">
        <f t="shared" ca="1" si="372"/>
        <v>Occupied</v>
      </c>
      <c r="AK1086">
        <f t="shared" ca="1" si="373"/>
        <v>1</v>
      </c>
    </row>
    <row r="1087" spans="1:37" x14ac:dyDescent="0.3">
      <c r="A1087" t="s">
        <v>5496</v>
      </c>
      <c r="B1087">
        <v>28</v>
      </c>
      <c r="C1087" t="s">
        <v>15</v>
      </c>
      <c r="D1087" t="s">
        <v>83</v>
      </c>
      <c r="E1087" t="s">
        <v>76</v>
      </c>
      <c r="F1087" s="1">
        <v>44800</v>
      </c>
      <c r="G1087" t="s">
        <v>2194</v>
      </c>
      <c r="H1087" t="s">
        <v>2195</v>
      </c>
      <c r="I1087" t="s">
        <v>20</v>
      </c>
      <c r="J1087">
        <v>1911</v>
      </c>
      <c r="K1087">
        <v>150</v>
      </c>
      <c r="L1087" t="s">
        <v>21</v>
      </c>
      <c r="M1087" s="1">
        <v>44811</v>
      </c>
      <c r="N1087" t="s">
        <v>22</v>
      </c>
      <c r="O1087" t="s">
        <v>43</v>
      </c>
      <c r="P1087" t="str">
        <f t="shared" si="356"/>
        <v>P1086</v>
      </c>
      <c r="Q1087" t="str">
        <f t="shared" si="352"/>
        <v>Orthopedics</v>
      </c>
      <c r="R1087">
        <f t="shared" si="353"/>
        <v>11</v>
      </c>
      <c r="S1087" t="str">
        <f t="shared" ca="1" si="357"/>
        <v>No</v>
      </c>
      <c r="T1087" t="str">
        <f t="shared" ca="1" si="358"/>
        <v>Severe</v>
      </c>
      <c r="U1087" t="str">
        <f t="shared" ca="1" si="359"/>
        <v>General Ward</v>
      </c>
      <c r="V1087" t="str">
        <f t="shared" si="360"/>
        <v>BED1086</v>
      </c>
      <c r="W1087" t="str">
        <f t="shared" ca="1" si="361"/>
        <v>Semi-Private</v>
      </c>
      <c r="X1087" t="str">
        <f t="shared" si="362"/>
        <v>NUR036</v>
      </c>
      <c r="Y1087" t="str">
        <f t="shared" ca="1" si="363"/>
        <v>Evening</v>
      </c>
      <c r="Z1087" t="str">
        <f t="shared" ca="1" si="364"/>
        <v>CT Scanner</v>
      </c>
      <c r="AA1087" t="str">
        <f t="shared" ca="1" si="365"/>
        <v>In Use</v>
      </c>
      <c r="AB1087" t="str">
        <f t="shared" ca="1" si="366"/>
        <v>Paid</v>
      </c>
      <c r="AC1087" t="str">
        <f t="shared" ca="1" si="367"/>
        <v>Insurance</v>
      </c>
      <c r="AD1087" t="str">
        <f t="shared" ca="1" si="368"/>
        <v>Yes</v>
      </c>
      <c r="AE1087" t="str">
        <f t="shared" ca="1" si="369"/>
        <v>No</v>
      </c>
      <c r="AF1087" t="str">
        <f t="shared" ca="1" si="370"/>
        <v>Under Observation</v>
      </c>
      <c r="AG1087" t="str">
        <f t="shared" ca="1" si="371"/>
        <v>Southwest</v>
      </c>
      <c r="AH1087" t="str">
        <f t="shared" si="354"/>
        <v>August</v>
      </c>
      <c r="AI1087">
        <f t="shared" si="355"/>
        <v>2022</v>
      </c>
      <c r="AJ1087" t="str">
        <f t="shared" ca="1" si="372"/>
        <v>Occupied</v>
      </c>
      <c r="AK1087">
        <f t="shared" ca="1" si="373"/>
        <v>4</v>
      </c>
    </row>
    <row r="1088" spans="1:37" x14ac:dyDescent="0.3">
      <c r="A1088" t="s">
        <v>5497</v>
      </c>
      <c r="B1088">
        <v>47</v>
      </c>
      <c r="C1088" t="s">
        <v>32</v>
      </c>
      <c r="D1088" t="s">
        <v>33</v>
      </c>
      <c r="E1088" t="s">
        <v>39</v>
      </c>
      <c r="F1088" s="1">
        <v>43747</v>
      </c>
      <c r="G1088" t="s">
        <v>2196</v>
      </c>
      <c r="H1088" t="s">
        <v>2197</v>
      </c>
      <c r="I1088" t="s">
        <v>20</v>
      </c>
      <c r="J1088">
        <v>9595</v>
      </c>
      <c r="K1088">
        <v>312</v>
      </c>
      <c r="L1088" t="s">
        <v>29</v>
      </c>
      <c r="M1088" s="1">
        <v>43776</v>
      </c>
      <c r="N1088" t="s">
        <v>22</v>
      </c>
      <c r="O1088" t="s">
        <v>23</v>
      </c>
      <c r="P1088" t="str">
        <f t="shared" si="356"/>
        <v>P1087</v>
      </c>
      <c r="Q1088" t="str">
        <f t="shared" si="352"/>
        <v>Endocrinology</v>
      </c>
      <c r="R1088">
        <f t="shared" si="353"/>
        <v>29</v>
      </c>
      <c r="S1088" t="str">
        <f t="shared" ca="1" si="357"/>
        <v>No</v>
      </c>
      <c r="T1088" t="str">
        <f t="shared" ca="1" si="358"/>
        <v>Severe</v>
      </c>
      <c r="U1088" t="str">
        <f t="shared" ca="1" si="359"/>
        <v>General Ward</v>
      </c>
      <c r="V1088" t="str">
        <f t="shared" si="360"/>
        <v>BED1087</v>
      </c>
      <c r="W1088" t="str">
        <f t="shared" ca="1" si="361"/>
        <v>General</v>
      </c>
      <c r="X1088" t="str">
        <f t="shared" si="362"/>
        <v>NUR037</v>
      </c>
      <c r="Y1088" t="str">
        <f t="shared" ca="1" si="363"/>
        <v>Evening</v>
      </c>
      <c r="Z1088" t="str">
        <f t="shared" ca="1" si="364"/>
        <v>CT Scanner</v>
      </c>
      <c r="AA1088" t="str">
        <f t="shared" ca="1" si="365"/>
        <v>Available</v>
      </c>
      <c r="AB1088" t="str">
        <f t="shared" ca="1" si="366"/>
        <v>Pending</v>
      </c>
      <c r="AC1088" t="str">
        <f t="shared" ca="1" si="367"/>
        <v>Cash</v>
      </c>
      <c r="AD1088" t="str">
        <f t="shared" ca="1" si="368"/>
        <v>No</v>
      </c>
      <c r="AE1088" t="str">
        <f t="shared" ca="1" si="369"/>
        <v>No</v>
      </c>
      <c r="AF1088" t="str">
        <f t="shared" ca="1" si="370"/>
        <v>Under Observation</v>
      </c>
      <c r="AG1088" t="str">
        <f t="shared" ca="1" si="371"/>
        <v>Southwest</v>
      </c>
      <c r="AH1088" t="str">
        <f t="shared" si="354"/>
        <v>October</v>
      </c>
      <c r="AI1088">
        <f t="shared" si="355"/>
        <v>2019</v>
      </c>
      <c r="AJ1088" t="str">
        <f t="shared" ca="1" si="372"/>
        <v>Occupied</v>
      </c>
      <c r="AK1088">
        <f t="shared" ca="1" si="373"/>
        <v>4</v>
      </c>
    </row>
    <row r="1089" spans="1:37" x14ac:dyDescent="0.3">
      <c r="A1089" t="s">
        <v>5498</v>
      </c>
      <c r="B1089">
        <v>68</v>
      </c>
      <c r="C1089" t="s">
        <v>32</v>
      </c>
      <c r="D1089" t="s">
        <v>83</v>
      </c>
      <c r="E1089" t="s">
        <v>76</v>
      </c>
      <c r="F1089" s="1">
        <v>44687</v>
      </c>
      <c r="G1089" t="s">
        <v>2198</v>
      </c>
      <c r="H1089" t="s">
        <v>2199</v>
      </c>
      <c r="I1089" t="s">
        <v>28</v>
      </c>
      <c r="J1089">
        <v>3771</v>
      </c>
      <c r="K1089">
        <v>356</v>
      </c>
      <c r="L1089" t="s">
        <v>29</v>
      </c>
      <c r="M1089" s="1">
        <v>44695</v>
      </c>
      <c r="N1089" t="s">
        <v>22</v>
      </c>
      <c r="O1089" t="s">
        <v>31</v>
      </c>
      <c r="P1089" t="str">
        <f t="shared" si="356"/>
        <v>P1088</v>
      </c>
      <c r="Q1089" t="str">
        <f t="shared" si="352"/>
        <v>Orthopedics</v>
      </c>
      <c r="R1089">
        <f t="shared" si="353"/>
        <v>8</v>
      </c>
      <c r="S1089" t="str">
        <f t="shared" ca="1" si="357"/>
        <v>No</v>
      </c>
      <c r="T1089" t="str">
        <f t="shared" ca="1" si="358"/>
        <v>Critical</v>
      </c>
      <c r="U1089" t="str">
        <f t="shared" ca="1" si="359"/>
        <v>General Ward</v>
      </c>
      <c r="V1089" t="str">
        <f t="shared" si="360"/>
        <v>BED1088</v>
      </c>
      <c r="W1089" t="str">
        <f t="shared" ca="1" si="361"/>
        <v>Private</v>
      </c>
      <c r="X1089" t="str">
        <f t="shared" si="362"/>
        <v>NUR038</v>
      </c>
      <c r="Y1089" t="str">
        <f t="shared" ca="1" si="363"/>
        <v>Evening</v>
      </c>
      <c r="Z1089" t="str">
        <f t="shared" ca="1" si="364"/>
        <v>Ventilator</v>
      </c>
      <c r="AA1089" t="str">
        <f t="shared" ca="1" si="365"/>
        <v>In Use</v>
      </c>
      <c r="AB1089" t="str">
        <f t="shared" ca="1" si="366"/>
        <v>Paid</v>
      </c>
      <c r="AC1089" t="str">
        <f t="shared" ca="1" si="367"/>
        <v>Insurance</v>
      </c>
      <c r="AD1089" t="str">
        <f t="shared" ca="1" si="368"/>
        <v>No</v>
      </c>
      <c r="AE1089" t="str">
        <f t="shared" ca="1" si="369"/>
        <v>No</v>
      </c>
      <c r="AF1089" t="str">
        <f t="shared" ca="1" si="370"/>
        <v>Recovered</v>
      </c>
      <c r="AG1089" t="str">
        <f t="shared" ca="1" si="371"/>
        <v>Southeast</v>
      </c>
      <c r="AH1089" t="str">
        <f t="shared" si="354"/>
        <v>May</v>
      </c>
      <c r="AI1089">
        <f t="shared" si="355"/>
        <v>2022</v>
      </c>
      <c r="AJ1089" t="str">
        <f t="shared" ca="1" si="372"/>
        <v>Occupied</v>
      </c>
      <c r="AK1089">
        <f t="shared" ca="1" si="373"/>
        <v>2</v>
      </c>
    </row>
    <row r="1090" spans="1:37" x14ac:dyDescent="0.3">
      <c r="A1090" t="s">
        <v>5499</v>
      </c>
      <c r="B1090">
        <v>25</v>
      </c>
      <c r="C1090" t="s">
        <v>32</v>
      </c>
      <c r="D1090" t="s">
        <v>83</v>
      </c>
      <c r="E1090" t="s">
        <v>17</v>
      </c>
      <c r="F1090" s="1">
        <v>43654</v>
      </c>
      <c r="G1090" t="s">
        <v>2200</v>
      </c>
      <c r="H1090" t="s">
        <v>2201</v>
      </c>
      <c r="I1090" t="s">
        <v>36</v>
      </c>
      <c r="J1090">
        <v>12951</v>
      </c>
      <c r="K1090">
        <v>333</v>
      </c>
      <c r="L1090" t="s">
        <v>29</v>
      </c>
      <c r="M1090" s="1">
        <v>43660</v>
      </c>
      <c r="N1090" t="s">
        <v>22</v>
      </c>
      <c r="O1090" t="s">
        <v>31</v>
      </c>
      <c r="P1090" t="str">
        <f t="shared" si="356"/>
        <v>P1089</v>
      </c>
      <c r="Q1090" t="str">
        <f t="shared" ref="Q1090:Q1153" si="374">IF(E1090="Cancer","Oncology",IF(E1090="Obesity","Nutrition",IF(E1090="Diabetes","Endocrinology",IF(E1090="Asthma","Pulmonology",IF(E1090="Arthritis","Orthopedics",IF(E1090="Hypertension","Cardiology","General Medicine"))))))</f>
        <v>Oncology</v>
      </c>
      <c r="R1090">
        <f t="shared" ref="R1090:R1153" si="375">M1090-F1090</f>
        <v>6</v>
      </c>
      <c r="S1090" t="str">
        <f t="shared" ca="1" si="357"/>
        <v>No</v>
      </c>
      <c r="T1090" t="str">
        <f t="shared" ca="1" si="358"/>
        <v>Critical</v>
      </c>
      <c r="U1090" t="str">
        <f t="shared" ca="1" si="359"/>
        <v>Semi-Private</v>
      </c>
      <c r="V1090" t="str">
        <f t="shared" si="360"/>
        <v>BED1089</v>
      </c>
      <c r="W1090" t="str">
        <f t="shared" ca="1" si="361"/>
        <v>ICU</v>
      </c>
      <c r="X1090" t="str">
        <f t="shared" si="362"/>
        <v>NUR039</v>
      </c>
      <c r="Y1090" t="str">
        <f t="shared" ca="1" si="363"/>
        <v>Morning</v>
      </c>
      <c r="Z1090" t="str">
        <f t="shared" ca="1" si="364"/>
        <v>X-Ray</v>
      </c>
      <c r="AA1090" t="str">
        <f t="shared" ca="1" si="365"/>
        <v>Available</v>
      </c>
      <c r="AB1090" t="str">
        <f t="shared" ca="1" si="366"/>
        <v>Partially Paid</v>
      </c>
      <c r="AC1090" t="str">
        <f t="shared" ca="1" si="367"/>
        <v>Credit Card</v>
      </c>
      <c r="AD1090" t="str">
        <f t="shared" ca="1" si="368"/>
        <v>No</v>
      </c>
      <c r="AE1090" t="str">
        <f t="shared" ca="1" si="369"/>
        <v>No</v>
      </c>
      <c r="AF1090" t="str">
        <f t="shared" ca="1" si="370"/>
        <v>Recovered</v>
      </c>
      <c r="AG1090" t="str">
        <f t="shared" ca="1" si="371"/>
        <v>Southwest</v>
      </c>
      <c r="AH1090" t="str">
        <f t="shared" ref="AH1090:AH1153" si="376">TEXT(F1090,"MMMM")</f>
        <v>July</v>
      </c>
      <c r="AI1090">
        <f t="shared" ref="AI1090:AI1153" si="377">YEAR(F1090)</f>
        <v>2019</v>
      </c>
      <c r="AJ1090" t="str">
        <f t="shared" ca="1" si="372"/>
        <v>Occupied</v>
      </c>
      <c r="AK1090">
        <f t="shared" ca="1" si="373"/>
        <v>1</v>
      </c>
    </row>
    <row r="1091" spans="1:37" x14ac:dyDescent="0.3">
      <c r="A1091" t="s">
        <v>5500</v>
      </c>
      <c r="B1091">
        <v>71</v>
      </c>
      <c r="C1091" t="s">
        <v>32</v>
      </c>
      <c r="D1091" t="s">
        <v>38</v>
      </c>
      <c r="E1091" t="s">
        <v>76</v>
      </c>
      <c r="F1091" s="1">
        <v>44086</v>
      </c>
      <c r="G1091" t="s">
        <v>2202</v>
      </c>
      <c r="H1091" t="s">
        <v>2203</v>
      </c>
      <c r="I1091" t="s">
        <v>36</v>
      </c>
      <c r="J1091">
        <v>14565</v>
      </c>
      <c r="K1091">
        <v>446</v>
      </c>
      <c r="L1091" t="s">
        <v>29</v>
      </c>
      <c r="M1091" s="1">
        <v>44092</v>
      </c>
      <c r="N1091" t="s">
        <v>22</v>
      </c>
      <c r="O1091" t="s">
        <v>23</v>
      </c>
      <c r="P1091" t="str">
        <f t="shared" ref="P1091:P1154" si="378">"P"&amp;TEXT(ROW()-1,"0000")</f>
        <v>P1090</v>
      </c>
      <c r="Q1091" t="str">
        <f t="shared" si="374"/>
        <v>Orthopedics</v>
      </c>
      <c r="R1091">
        <f t="shared" si="375"/>
        <v>6</v>
      </c>
      <c r="S1091" t="str">
        <f t="shared" ref="S1091:S1154" ca="1" si="379">IF(RAND()&lt;0.1,"Yes","No")</f>
        <v>No</v>
      </c>
      <c r="T1091" t="str">
        <f t="shared" ref="T1091:T1154" ca="1" si="380">CHOOSE(RANDBETWEEN(1,4),"Mild","Moderate","Severe","Critical")</f>
        <v>Mild</v>
      </c>
      <c r="U1091" t="str">
        <f t="shared" ref="U1091:U1154" ca="1" si="381">CHOOSE(RANDBETWEEN(1,5),"General Ward","ICU","Emergency","Private Ward","Semi-Private")</f>
        <v>General Ward</v>
      </c>
      <c r="V1091" t="str">
        <f t="shared" ref="V1091:V1154" si="382">"BED"&amp;TEXT(ROW()-1,"0000")</f>
        <v>BED1090</v>
      </c>
      <c r="W1091" t="str">
        <f t="shared" ref="W1091:W1154" ca="1" si="383">CHOOSE(RANDBETWEEN(1,4),"General","Private","Semi-Private","ICU")</f>
        <v>ICU</v>
      </c>
      <c r="X1091" t="str">
        <f t="shared" ref="X1091:X1154" si="384">"NUR"&amp;TEXT(MOD(ROW()-2,50)+1,"000")</f>
        <v>NUR040</v>
      </c>
      <c r="Y1091" t="str">
        <f t="shared" ref="Y1091:Y1154" ca="1" si="385">CHOOSE(RANDBETWEEN(1,3),"Morning","Evening","Night")</f>
        <v>Morning</v>
      </c>
      <c r="Z1091" t="str">
        <f t="shared" ref="Z1091:Z1154" ca="1" si="386">CHOOSE(RANDBETWEEN(1,6),"MRI Scanner","CT Scanner","Ventilator","X-Ray","ECG Machine","Ultrasound")</f>
        <v>Ultrasound</v>
      </c>
      <c r="AA1091" t="str">
        <f t="shared" ref="AA1091:AA1154" ca="1" si="387">CHOOSE(RANDBETWEEN(1,3),"Available","In Use","Maintenance")</f>
        <v>Available</v>
      </c>
      <c r="AB1091" t="str">
        <f t="shared" ref="AB1091:AB1154" ca="1" si="388">CHOOSE(RANDBETWEEN(1,3),"Paid","Pending","Partially Paid")</f>
        <v>Partially Paid</v>
      </c>
      <c r="AC1091" t="str">
        <f t="shared" ref="AC1091:AC1154" ca="1" si="389">CHOOSE(RANDBETWEEN(1,5),"Cash","Credit Card","Debit Card","Insurance","Bank Transfer")</f>
        <v>Debit Card</v>
      </c>
      <c r="AD1091" t="str">
        <f t="shared" ref="AD1091:AD1154" ca="1" si="390">IF(RAND()&lt;0.2,"Yes","No")</f>
        <v>No</v>
      </c>
      <c r="AE1091" t="str">
        <f t="shared" ref="AE1091:AE1154" ca="1" si="391">IF(RAND()&lt;0.15,"Yes","No")</f>
        <v>No</v>
      </c>
      <c r="AF1091" t="str">
        <f t="shared" ref="AF1091:AF1154" ca="1" si="392">CHOOSE(RANDBETWEEN(1,3),"Recovered","Transferred","Under Observation")</f>
        <v>Under Observation</v>
      </c>
      <c r="AG1091" t="str">
        <f t="shared" ref="AG1091:AG1154" ca="1" si="393">CHOOSE(RANDBETWEEN(1,5),"Northeast","Southeast","Midwest","Southwest","West Coast")</f>
        <v>Southeast</v>
      </c>
      <c r="AH1091" t="str">
        <f t="shared" si="376"/>
        <v>September</v>
      </c>
      <c r="AI1091">
        <f t="shared" si="377"/>
        <v>2020</v>
      </c>
      <c r="AJ1091" t="str">
        <f t="shared" ref="AJ1091:AJ1154" ca="1" si="394">IF(RANDBETWEEN(1,100)&lt;=80,"Occupied","Vacant")</f>
        <v>Vacant</v>
      </c>
      <c r="AK1091">
        <f t="shared" ref="AK1091:AK1154" ca="1" si="395">CHOOSE(RANDBETWEEN(1,3),1,2,4)</f>
        <v>4</v>
      </c>
    </row>
    <row r="1092" spans="1:37" x14ac:dyDescent="0.3">
      <c r="A1092" t="s">
        <v>5501</v>
      </c>
      <c r="B1092">
        <v>36</v>
      </c>
      <c r="C1092" t="s">
        <v>32</v>
      </c>
      <c r="D1092" t="s">
        <v>83</v>
      </c>
      <c r="E1092" t="s">
        <v>39</v>
      </c>
      <c r="F1092" s="1">
        <v>44532</v>
      </c>
      <c r="G1092" t="s">
        <v>2204</v>
      </c>
      <c r="H1092" t="s">
        <v>2205</v>
      </c>
      <c r="I1092" t="s">
        <v>20</v>
      </c>
      <c r="J1092">
        <v>38276</v>
      </c>
      <c r="K1092">
        <v>253</v>
      </c>
      <c r="L1092" t="s">
        <v>29</v>
      </c>
      <c r="M1092" s="1">
        <v>44546</v>
      </c>
      <c r="N1092" t="s">
        <v>67</v>
      </c>
      <c r="O1092" t="s">
        <v>23</v>
      </c>
      <c r="P1092" t="str">
        <f t="shared" si="378"/>
        <v>P1091</v>
      </c>
      <c r="Q1092" t="str">
        <f t="shared" si="374"/>
        <v>Endocrinology</v>
      </c>
      <c r="R1092">
        <f t="shared" si="375"/>
        <v>14</v>
      </c>
      <c r="S1092" t="str">
        <f t="shared" ca="1" si="379"/>
        <v>No</v>
      </c>
      <c r="T1092" t="str">
        <f t="shared" ca="1" si="380"/>
        <v>Mild</v>
      </c>
      <c r="U1092" t="str">
        <f t="shared" ca="1" si="381"/>
        <v>General Ward</v>
      </c>
      <c r="V1092" t="str">
        <f t="shared" si="382"/>
        <v>BED1091</v>
      </c>
      <c r="W1092" t="str">
        <f t="shared" ca="1" si="383"/>
        <v>Semi-Private</v>
      </c>
      <c r="X1092" t="str">
        <f t="shared" si="384"/>
        <v>NUR041</v>
      </c>
      <c r="Y1092" t="str">
        <f t="shared" ca="1" si="385"/>
        <v>Night</v>
      </c>
      <c r="Z1092" t="str">
        <f t="shared" ca="1" si="386"/>
        <v>X-Ray</v>
      </c>
      <c r="AA1092" t="str">
        <f t="shared" ca="1" si="387"/>
        <v>In Use</v>
      </c>
      <c r="AB1092" t="str">
        <f t="shared" ca="1" si="388"/>
        <v>Partially Paid</v>
      </c>
      <c r="AC1092" t="str">
        <f t="shared" ca="1" si="389"/>
        <v>Cash</v>
      </c>
      <c r="AD1092" t="str">
        <f t="shared" ca="1" si="390"/>
        <v>No</v>
      </c>
      <c r="AE1092" t="str">
        <f t="shared" ca="1" si="391"/>
        <v>No</v>
      </c>
      <c r="AF1092" t="str">
        <f t="shared" ca="1" si="392"/>
        <v>Transferred</v>
      </c>
      <c r="AG1092" t="str">
        <f t="shared" ca="1" si="393"/>
        <v>Northeast</v>
      </c>
      <c r="AH1092" t="str">
        <f t="shared" si="376"/>
        <v>December</v>
      </c>
      <c r="AI1092">
        <f t="shared" si="377"/>
        <v>2021</v>
      </c>
      <c r="AJ1092" t="str">
        <f t="shared" ca="1" si="394"/>
        <v>Occupied</v>
      </c>
      <c r="AK1092">
        <f t="shared" ca="1" si="395"/>
        <v>4</v>
      </c>
    </row>
    <row r="1093" spans="1:37" x14ac:dyDescent="0.3">
      <c r="A1093" t="s">
        <v>5502</v>
      </c>
      <c r="B1093">
        <v>34</v>
      </c>
      <c r="C1093" t="s">
        <v>15</v>
      </c>
      <c r="D1093" t="s">
        <v>24</v>
      </c>
      <c r="E1093" t="s">
        <v>39</v>
      </c>
      <c r="F1093" s="1">
        <v>44812</v>
      </c>
      <c r="G1093" t="s">
        <v>2206</v>
      </c>
      <c r="H1093" t="s">
        <v>2207</v>
      </c>
      <c r="I1093" t="s">
        <v>28</v>
      </c>
      <c r="J1093">
        <v>12586</v>
      </c>
      <c r="K1093">
        <v>234</v>
      </c>
      <c r="L1093" t="s">
        <v>21</v>
      </c>
      <c r="M1093" s="1">
        <v>44825</v>
      </c>
      <c r="N1093" t="s">
        <v>47</v>
      </c>
      <c r="O1093" t="s">
        <v>23</v>
      </c>
      <c r="P1093" t="str">
        <f t="shared" si="378"/>
        <v>P1092</v>
      </c>
      <c r="Q1093" t="str">
        <f t="shared" si="374"/>
        <v>Endocrinology</v>
      </c>
      <c r="R1093">
        <f t="shared" si="375"/>
        <v>13</v>
      </c>
      <c r="S1093" t="str">
        <f t="shared" ca="1" si="379"/>
        <v>No</v>
      </c>
      <c r="T1093" t="str">
        <f t="shared" ca="1" si="380"/>
        <v>Mild</v>
      </c>
      <c r="U1093" t="str">
        <f t="shared" ca="1" si="381"/>
        <v>General Ward</v>
      </c>
      <c r="V1093" t="str">
        <f t="shared" si="382"/>
        <v>BED1092</v>
      </c>
      <c r="W1093" t="str">
        <f t="shared" ca="1" si="383"/>
        <v>Private</v>
      </c>
      <c r="X1093" t="str">
        <f t="shared" si="384"/>
        <v>NUR042</v>
      </c>
      <c r="Y1093" t="str">
        <f t="shared" ca="1" si="385"/>
        <v>Night</v>
      </c>
      <c r="Z1093" t="str">
        <f t="shared" ca="1" si="386"/>
        <v>Ventilator</v>
      </c>
      <c r="AA1093" t="str">
        <f t="shared" ca="1" si="387"/>
        <v>In Use</v>
      </c>
      <c r="AB1093" t="str">
        <f t="shared" ca="1" si="388"/>
        <v>Paid</v>
      </c>
      <c r="AC1093" t="str">
        <f t="shared" ca="1" si="389"/>
        <v>Cash</v>
      </c>
      <c r="AD1093" t="str">
        <f t="shared" ca="1" si="390"/>
        <v>No</v>
      </c>
      <c r="AE1093" t="str">
        <f t="shared" ca="1" si="391"/>
        <v>No</v>
      </c>
      <c r="AF1093" t="str">
        <f t="shared" ca="1" si="392"/>
        <v>Recovered</v>
      </c>
      <c r="AG1093" t="str">
        <f t="shared" ca="1" si="393"/>
        <v>Midwest</v>
      </c>
      <c r="AH1093" t="str">
        <f t="shared" si="376"/>
        <v>September</v>
      </c>
      <c r="AI1093">
        <f t="shared" si="377"/>
        <v>2022</v>
      </c>
      <c r="AJ1093" t="str">
        <f t="shared" ca="1" si="394"/>
        <v>Occupied</v>
      </c>
      <c r="AK1093">
        <f t="shared" ca="1" si="395"/>
        <v>4</v>
      </c>
    </row>
    <row r="1094" spans="1:37" x14ac:dyDescent="0.3">
      <c r="A1094" t="s">
        <v>5503</v>
      </c>
      <c r="B1094">
        <v>23</v>
      </c>
      <c r="C1094" t="s">
        <v>32</v>
      </c>
      <c r="D1094" t="s">
        <v>24</v>
      </c>
      <c r="E1094" t="s">
        <v>17</v>
      </c>
      <c r="F1094" s="1">
        <v>44226</v>
      </c>
      <c r="G1094" t="s">
        <v>2208</v>
      </c>
      <c r="H1094" t="s">
        <v>2209</v>
      </c>
      <c r="I1094" t="s">
        <v>28</v>
      </c>
      <c r="J1094">
        <v>34251</v>
      </c>
      <c r="K1094">
        <v>197</v>
      </c>
      <c r="L1094" t="s">
        <v>42</v>
      </c>
      <c r="M1094" s="1">
        <v>44246</v>
      </c>
      <c r="N1094" t="s">
        <v>47</v>
      </c>
      <c r="O1094" t="s">
        <v>23</v>
      </c>
      <c r="P1094" t="str">
        <f t="shared" si="378"/>
        <v>P1093</v>
      </c>
      <c r="Q1094" t="str">
        <f t="shared" si="374"/>
        <v>Oncology</v>
      </c>
      <c r="R1094">
        <f t="shared" si="375"/>
        <v>20</v>
      </c>
      <c r="S1094" t="str">
        <f t="shared" ca="1" si="379"/>
        <v>No</v>
      </c>
      <c r="T1094" t="str">
        <f t="shared" ca="1" si="380"/>
        <v>Severe</v>
      </c>
      <c r="U1094" t="str">
        <f t="shared" ca="1" si="381"/>
        <v>General Ward</v>
      </c>
      <c r="V1094" t="str">
        <f t="shared" si="382"/>
        <v>BED1093</v>
      </c>
      <c r="W1094" t="str">
        <f t="shared" ca="1" si="383"/>
        <v>Private</v>
      </c>
      <c r="X1094" t="str">
        <f t="shared" si="384"/>
        <v>NUR043</v>
      </c>
      <c r="Y1094" t="str">
        <f t="shared" ca="1" si="385"/>
        <v>Evening</v>
      </c>
      <c r="Z1094" t="str">
        <f t="shared" ca="1" si="386"/>
        <v>CT Scanner</v>
      </c>
      <c r="AA1094" t="str">
        <f t="shared" ca="1" si="387"/>
        <v>In Use</v>
      </c>
      <c r="AB1094" t="str">
        <f t="shared" ca="1" si="388"/>
        <v>Paid</v>
      </c>
      <c r="AC1094" t="str">
        <f t="shared" ca="1" si="389"/>
        <v>Cash</v>
      </c>
      <c r="AD1094" t="str">
        <f t="shared" ca="1" si="390"/>
        <v>No</v>
      </c>
      <c r="AE1094" t="str">
        <f t="shared" ca="1" si="391"/>
        <v>No</v>
      </c>
      <c r="AF1094" t="str">
        <f t="shared" ca="1" si="392"/>
        <v>Recovered</v>
      </c>
      <c r="AG1094" t="str">
        <f t="shared" ca="1" si="393"/>
        <v>Southeast</v>
      </c>
      <c r="AH1094" t="str">
        <f t="shared" si="376"/>
        <v>January</v>
      </c>
      <c r="AI1094">
        <f t="shared" si="377"/>
        <v>2021</v>
      </c>
      <c r="AJ1094" t="str">
        <f t="shared" ca="1" si="394"/>
        <v>Vacant</v>
      </c>
      <c r="AK1094">
        <f t="shared" ca="1" si="395"/>
        <v>4</v>
      </c>
    </row>
    <row r="1095" spans="1:37" x14ac:dyDescent="0.3">
      <c r="A1095" t="s">
        <v>5504</v>
      </c>
      <c r="B1095">
        <v>66</v>
      </c>
      <c r="C1095" t="s">
        <v>15</v>
      </c>
      <c r="D1095" t="s">
        <v>38</v>
      </c>
      <c r="E1095" t="s">
        <v>39</v>
      </c>
      <c r="F1095" s="1">
        <v>43924</v>
      </c>
      <c r="G1095" t="s">
        <v>2210</v>
      </c>
      <c r="H1095" t="s">
        <v>2211</v>
      </c>
      <c r="I1095" t="s">
        <v>28</v>
      </c>
      <c r="J1095">
        <v>23812</v>
      </c>
      <c r="K1095">
        <v>380</v>
      </c>
      <c r="L1095" t="s">
        <v>29</v>
      </c>
      <c r="M1095" s="1">
        <v>43951</v>
      </c>
      <c r="N1095" t="s">
        <v>67</v>
      </c>
      <c r="O1095" t="s">
        <v>23</v>
      </c>
      <c r="P1095" t="str">
        <f t="shared" si="378"/>
        <v>P1094</v>
      </c>
      <c r="Q1095" t="str">
        <f t="shared" si="374"/>
        <v>Endocrinology</v>
      </c>
      <c r="R1095">
        <f t="shared" si="375"/>
        <v>27</v>
      </c>
      <c r="S1095" t="str">
        <f t="shared" ca="1" si="379"/>
        <v>No</v>
      </c>
      <c r="T1095" t="str">
        <f t="shared" ca="1" si="380"/>
        <v>Mild</v>
      </c>
      <c r="U1095" t="str">
        <f t="shared" ca="1" si="381"/>
        <v>Private Ward</v>
      </c>
      <c r="V1095" t="str">
        <f t="shared" si="382"/>
        <v>BED1094</v>
      </c>
      <c r="W1095" t="str">
        <f t="shared" ca="1" si="383"/>
        <v>ICU</v>
      </c>
      <c r="X1095" t="str">
        <f t="shared" si="384"/>
        <v>NUR044</v>
      </c>
      <c r="Y1095" t="str">
        <f t="shared" ca="1" si="385"/>
        <v>Morning</v>
      </c>
      <c r="Z1095" t="str">
        <f t="shared" ca="1" si="386"/>
        <v>X-Ray</v>
      </c>
      <c r="AA1095" t="str">
        <f t="shared" ca="1" si="387"/>
        <v>Maintenance</v>
      </c>
      <c r="AB1095" t="str">
        <f t="shared" ca="1" si="388"/>
        <v>Partially Paid</v>
      </c>
      <c r="AC1095" t="str">
        <f t="shared" ca="1" si="389"/>
        <v>Bank Transfer</v>
      </c>
      <c r="AD1095" t="str">
        <f t="shared" ca="1" si="390"/>
        <v>No</v>
      </c>
      <c r="AE1095" t="str">
        <f t="shared" ca="1" si="391"/>
        <v>No</v>
      </c>
      <c r="AF1095" t="str">
        <f t="shared" ca="1" si="392"/>
        <v>Transferred</v>
      </c>
      <c r="AG1095" t="str">
        <f t="shared" ca="1" si="393"/>
        <v>Southwest</v>
      </c>
      <c r="AH1095" t="str">
        <f t="shared" si="376"/>
        <v>April</v>
      </c>
      <c r="AI1095">
        <f t="shared" si="377"/>
        <v>2020</v>
      </c>
      <c r="AJ1095" t="str">
        <f t="shared" ca="1" si="394"/>
        <v>Occupied</v>
      </c>
      <c r="AK1095">
        <f t="shared" ca="1" si="395"/>
        <v>4</v>
      </c>
    </row>
    <row r="1096" spans="1:37" x14ac:dyDescent="0.3">
      <c r="A1096" t="s">
        <v>5505</v>
      </c>
      <c r="B1096">
        <v>57</v>
      </c>
      <c r="C1096" t="s">
        <v>15</v>
      </c>
      <c r="D1096" t="s">
        <v>16</v>
      </c>
      <c r="E1096" t="s">
        <v>25</v>
      </c>
      <c r="F1096" s="1">
        <v>44787</v>
      </c>
      <c r="G1096" t="s">
        <v>2212</v>
      </c>
      <c r="H1096" t="s">
        <v>2213</v>
      </c>
      <c r="I1096" t="s">
        <v>36</v>
      </c>
      <c r="J1096">
        <v>26379</v>
      </c>
      <c r="K1096">
        <v>357</v>
      </c>
      <c r="L1096" t="s">
        <v>21</v>
      </c>
      <c r="M1096" s="1">
        <v>44817</v>
      </c>
      <c r="N1096" t="s">
        <v>30</v>
      </c>
      <c r="O1096" t="s">
        <v>31</v>
      </c>
      <c r="P1096" t="str">
        <f t="shared" si="378"/>
        <v>P1095</v>
      </c>
      <c r="Q1096" t="str">
        <f t="shared" si="374"/>
        <v>Nutrition</v>
      </c>
      <c r="R1096">
        <f t="shared" si="375"/>
        <v>30</v>
      </c>
      <c r="S1096" t="str">
        <f t="shared" ca="1" si="379"/>
        <v>No</v>
      </c>
      <c r="T1096" t="str">
        <f t="shared" ca="1" si="380"/>
        <v>Severe</v>
      </c>
      <c r="U1096" t="str">
        <f t="shared" ca="1" si="381"/>
        <v>Semi-Private</v>
      </c>
      <c r="V1096" t="str">
        <f t="shared" si="382"/>
        <v>BED1095</v>
      </c>
      <c r="W1096" t="str">
        <f t="shared" ca="1" si="383"/>
        <v>Private</v>
      </c>
      <c r="X1096" t="str">
        <f t="shared" si="384"/>
        <v>NUR045</v>
      </c>
      <c r="Y1096" t="str">
        <f t="shared" ca="1" si="385"/>
        <v>Night</v>
      </c>
      <c r="Z1096" t="str">
        <f t="shared" ca="1" si="386"/>
        <v>Ultrasound</v>
      </c>
      <c r="AA1096" t="str">
        <f t="shared" ca="1" si="387"/>
        <v>Maintenance</v>
      </c>
      <c r="AB1096" t="str">
        <f t="shared" ca="1" si="388"/>
        <v>Partially Paid</v>
      </c>
      <c r="AC1096" t="str">
        <f t="shared" ca="1" si="389"/>
        <v>Bank Transfer</v>
      </c>
      <c r="AD1096" t="str">
        <f t="shared" ca="1" si="390"/>
        <v>Yes</v>
      </c>
      <c r="AE1096" t="str">
        <f t="shared" ca="1" si="391"/>
        <v>No</v>
      </c>
      <c r="AF1096" t="str">
        <f t="shared" ca="1" si="392"/>
        <v>Under Observation</v>
      </c>
      <c r="AG1096" t="str">
        <f t="shared" ca="1" si="393"/>
        <v>Northeast</v>
      </c>
      <c r="AH1096" t="str">
        <f t="shared" si="376"/>
        <v>August</v>
      </c>
      <c r="AI1096">
        <f t="shared" si="377"/>
        <v>2022</v>
      </c>
      <c r="AJ1096" t="str">
        <f t="shared" ca="1" si="394"/>
        <v>Occupied</v>
      </c>
      <c r="AK1096">
        <f t="shared" ca="1" si="395"/>
        <v>4</v>
      </c>
    </row>
    <row r="1097" spans="1:37" x14ac:dyDescent="0.3">
      <c r="A1097" t="s">
        <v>5506</v>
      </c>
      <c r="B1097">
        <v>73</v>
      </c>
      <c r="C1097" t="s">
        <v>32</v>
      </c>
      <c r="D1097" t="s">
        <v>52</v>
      </c>
      <c r="E1097" t="s">
        <v>48</v>
      </c>
      <c r="F1097" s="1">
        <v>45055</v>
      </c>
      <c r="G1097" t="s">
        <v>2214</v>
      </c>
      <c r="H1097" t="s">
        <v>2215</v>
      </c>
      <c r="I1097" t="s">
        <v>28</v>
      </c>
      <c r="J1097">
        <v>34588</v>
      </c>
      <c r="K1097">
        <v>252</v>
      </c>
      <c r="L1097" t="s">
        <v>21</v>
      </c>
      <c r="M1097" s="1">
        <v>45076</v>
      </c>
      <c r="N1097" t="s">
        <v>67</v>
      </c>
      <c r="O1097" t="s">
        <v>31</v>
      </c>
      <c r="P1097" t="str">
        <f t="shared" si="378"/>
        <v>P1096</v>
      </c>
      <c r="Q1097" t="str">
        <f t="shared" si="374"/>
        <v>Pulmonology</v>
      </c>
      <c r="R1097">
        <f t="shared" si="375"/>
        <v>21</v>
      </c>
      <c r="S1097" t="str">
        <f t="shared" ca="1" si="379"/>
        <v>No</v>
      </c>
      <c r="T1097" t="str">
        <f t="shared" ca="1" si="380"/>
        <v>Severe</v>
      </c>
      <c r="U1097" t="str">
        <f t="shared" ca="1" si="381"/>
        <v>ICU</v>
      </c>
      <c r="V1097" t="str">
        <f t="shared" si="382"/>
        <v>BED1096</v>
      </c>
      <c r="W1097" t="str">
        <f t="shared" ca="1" si="383"/>
        <v>ICU</v>
      </c>
      <c r="X1097" t="str">
        <f t="shared" si="384"/>
        <v>NUR046</v>
      </c>
      <c r="Y1097" t="str">
        <f t="shared" ca="1" si="385"/>
        <v>Evening</v>
      </c>
      <c r="Z1097" t="str">
        <f t="shared" ca="1" si="386"/>
        <v>Ultrasound</v>
      </c>
      <c r="AA1097" t="str">
        <f t="shared" ca="1" si="387"/>
        <v>In Use</v>
      </c>
      <c r="AB1097" t="str">
        <f t="shared" ca="1" si="388"/>
        <v>Pending</v>
      </c>
      <c r="AC1097" t="str">
        <f t="shared" ca="1" si="389"/>
        <v>Insurance</v>
      </c>
      <c r="AD1097" t="str">
        <f t="shared" ca="1" si="390"/>
        <v>No</v>
      </c>
      <c r="AE1097" t="str">
        <f t="shared" ca="1" si="391"/>
        <v>No</v>
      </c>
      <c r="AF1097" t="str">
        <f t="shared" ca="1" si="392"/>
        <v>Transferred</v>
      </c>
      <c r="AG1097" t="str">
        <f t="shared" ca="1" si="393"/>
        <v>Southeast</v>
      </c>
      <c r="AH1097" t="str">
        <f t="shared" si="376"/>
        <v>May</v>
      </c>
      <c r="AI1097">
        <f t="shared" si="377"/>
        <v>2023</v>
      </c>
      <c r="AJ1097" t="str">
        <f t="shared" ca="1" si="394"/>
        <v>Occupied</v>
      </c>
      <c r="AK1097">
        <f t="shared" ca="1" si="395"/>
        <v>4</v>
      </c>
    </row>
    <row r="1098" spans="1:37" x14ac:dyDescent="0.3">
      <c r="A1098" t="s">
        <v>5507</v>
      </c>
      <c r="B1098">
        <v>21</v>
      </c>
      <c r="C1098" t="s">
        <v>32</v>
      </c>
      <c r="D1098" t="s">
        <v>38</v>
      </c>
      <c r="E1098" t="s">
        <v>48</v>
      </c>
      <c r="F1098" s="1">
        <v>43828</v>
      </c>
      <c r="G1098" t="s">
        <v>2216</v>
      </c>
      <c r="H1098" t="s">
        <v>2217</v>
      </c>
      <c r="I1098" t="s">
        <v>36</v>
      </c>
      <c r="J1098">
        <v>14945</v>
      </c>
      <c r="K1098">
        <v>370</v>
      </c>
      <c r="L1098" t="s">
        <v>42</v>
      </c>
      <c r="M1098" s="1">
        <v>43837</v>
      </c>
      <c r="N1098" t="s">
        <v>47</v>
      </c>
      <c r="O1098" t="s">
        <v>23</v>
      </c>
      <c r="P1098" t="str">
        <f t="shared" si="378"/>
        <v>P1097</v>
      </c>
      <c r="Q1098" t="str">
        <f t="shared" si="374"/>
        <v>Pulmonology</v>
      </c>
      <c r="R1098">
        <f t="shared" si="375"/>
        <v>9</v>
      </c>
      <c r="S1098" t="str">
        <f t="shared" ca="1" si="379"/>
        <v>No</v>
      </c>
      <c r="T1098" t="str">
        <f t="shared" ca="1" si="380"/>
        <v>Moderate</v>
      </c>
      <c r="U1098" t="str">
        <f t="shared" ca="1" si="381"/>
        <v>Semi-Private</v>
      </c>
      <c r="V1098" t="str">
        <f t="shared" si="382"/>
        <v>BED1097</v>
      </c>
      <c r="W1098" t="str">
        <f t="shared" ca="1" si="383"/>
        <v>ICU</v>
      </c>
      <c r="X1098" t="str">
        <f t="shared" si="384"/>
        <v>NUR047</v>
      </c>
      <c r="Y1098" t="str">
        <f t="shared" ca="1" si="385"/>
        <v>Evening</v>
      </c>
      <c r="Z1098" t="str">
        <f t="shared" ca="1" si="386"/>
        <v>ECG Machine</v>
      </c>
      <c r="AA1098" t="str">
        <f t="shared" ca="1" si="387"/>
        <v>Maintenance</v>
      </c>
      <c r="AB1098" t="str">
        <f t="shared" ca="1" si="388"/>
        <v>Partially Paid</v>
      </c>
      <c r="AC1098" t="str">
        <f t="shared" ca="1" si="389"/>
        <v>Cash</v>
      </c>
      <c r="AD1098" t="str">
        <f t="shared" ca="1" si="390"/>
        <v>Yes</v>
      </c>
      <c r="AE1098" t="str">
        <f t="shared" ca="1" si="391"/>
        <v>No</v>
      </c>
      <c r="AF1098" t="str">
        <f t="shared" ca="1" si="392"/>
        <v>Under Observation</v>
      </c>
      <c r="AG1098" t="str">
        <f t="shared" ca="1" si="393"/>
        <v>Northeast</v>
      </c>
      <c r="AH1098" t="str">
        <f t="shared" si="376"/>
        <v>December</v>
      </c>
      <c r="AI1098">
        <f t="shared" si="377"/>
        <v>2019</v>
      </c>
      <c r="AJ1098" t="str">
        <f t="shared" ca="1" si="394"/>
        <v>Occupied</v>
      </c>
      <c r="AK1098">
        <f t="shared" ca="1" si="395"/>
        <v>1</v>
      </c>
    </row>
    <row r="1099" spans="1:37" x14ac:dyDescent="0.3">
      <c r="A1099" t="s">
        <v>5508</v>
      </c>
      <c r="B1099">
        <v>27</v>
      </c>
      <c r="C1099" t="s">
        <v>15</v>
      </c>
      <c r="D1099" t="s">
        <v>33</v>
      </c>
      <c r="E1099" t="s">
        <v>25</v>
      </c>
      <c r="F1099" s="1">
        <v>43931</v>
      </c>
      <c r="G1099" t="s">
        <v>2218</v>
      </c>
      <c r="H1099" t="s">
        <v>2219</v>
      </c>
      <c r="I1099" t="s">
        <v>57</v>
      </c>
      <c r="J1099">
        <v>11023</v>
      </c>
      <c r="K1099">
        <v>142</v>
      </c>
      <c r="L1099" t="s">
        <v>21</v>
      </c>
      <c r="M1099" s="1">
        <v>43961</v>
      </c>
      <c r="N1099" t="s">
        <v>22</v>
      </c>
      <c r="O1099" t="s">
        <v>43</v>
      </c>
      <c r="P1099" t="str">
        <f t="shared" si="378"/>
        <v>P1098</v>
      </c>
      <c r="Q1099" t="str">
        <f t="shared" si="374"/>
        <v>Nutrition</v>
      </c>
      <c r="R1099">
        <f t="shared" si="375"/>
        <v>30</v>
      </c>
      <c r="S1099" t="str">
        <f t="shared" ca="1" si="379"/>
        <v>No</v>
      </c>
      <c r="T1099" t="str">
        <f t="shared" ca="1" si="380"/>
        <v>Severe</v>
      </c>
      <c r="U1099" t="str">
        <f t="shared" ca="1" si="381"/>
        <v>Semi-Private</v>
      </c>
      <c r="V1099" t="str">
        <f t="shared" si="382"/>
        <v>BED1098</v>
      </c>
      <c r="W1099" t="str">
        <f t="shared" ca="1" si="383"/>
        <v>ICU</v>
      </c>
      <c r="X1099" t="str">
        <f t="shared" si="384"/>
        <v>NUR048</v>
      </c>
      <c r="Y1099" t="str">
        <f t="shared" ca="1" si="385"/>
        <v>Morning</v>
      </c>
      <c r="Z1099" t="str">
        <f t="shared" ca="1" si="386"/>
        <v>X-Ray</v>
      </c>
      <c r="AA1099" t="str">
        <f t="shared" ca="1" si="387"/>
        <v>In Use</v>
      </c>
      <c r="AB1099" t="str">
        <f t="shared" ca="1" si="388"/>
        <v>Pending</v>
      </c>
      <c r="AC1099" t="str">
        <f t="shared" ca="1" si="389"/>
        <v>Bank Transfer</v>
      </c>
      <c r="AD1099" t="str">
        <f t="shared" ca="1" si="390"/>
        <v>No</v>
      </c>
      <c r="AE1099" t="str">
        <f t="shared" ca="1" si="391"/>
        <v>No</v>
      </c>
      <c r="AF1099" t="str">
        <f t="shared" ca="1" si="392"/>
        <v>Under Observation</v>
      </c>
      <c r="AG1099" t="str">
        <f t="shared" ca="1" si="393"/>
        <v>Midwest</v>
      </c>
      <c r="AH1099" t="str">
        <f t="shared" si="376"/>
        <v>April</v>
      </c>
      <c r="AI1099">
        <f t="shared" si="377"/>
        <v>2020</v>
      </c>
      <c r="AJ1099" t="str">
        <f t="shared" ca="1" si="394"/>
        <v>Occupied</v>
      </c>
      <c r="AK1099">
        <f t="shared" ca="1" si="395"/>
        <v>1</v>
      </c>
    </row>
    <row r="1100" spans="1:37" x14ac:dyDescent="0.3">
      <c r="A1100" t="s">
        <v>5509</v>
      </c>
      <c r="B1100">
        <v>58</v>
      </c>
      <c r="C1100" t="s">
        <v>32</v>
      </c>
      <c r="D1100" t="s">
        <v>98</v>
      </c>
      <c r="E1100" t="s">
        <v>64</v>
      </c>
      <c r="F1100" s="1">
        <v>44884</v>
      </c>
      <c r="G1100" t="s">
        <v>2220</v>
      </c>
      <c r="H1100" t="s">
        <v>2221</v>
      </c>
      <c r="I1100" t="s">
        <v>28</v>
      </c>
      <c r="J1100">
        <v>36842</v>
      </c>
      <c r="K1100">
        <v>387</v>
      </c>
      <c r="L1100" t="s">
        <v>42</v>
      </c>
      <c r="M1100" s="1">
        <v>44910</v>
      </c>
      <c r="N1100" t="s">
        <v>67</v>
      </c>
      <c r="O1100" t="s">
        <v>43</v>
      </c>
      <c r="P1100" t="str">
        <f t="shared" si="378"/>
        <v>P1099</v>
      </c>
      <c r="Q1100" t="str">
        <f t="shared" si="374"/>
        <v>Cardiology</v>
      </c>
      <c r="R1100">
        <f t="shared" si="375"/>
        <v>26</v>
      </c>
      <c r="S1100" t="str">
        <f t="shared" ca="1" si="379"/>
        <v>No</v>
      </c>
      <c r="T1100" t="str">
        <f t="shared" ca="1" si="380"/>
        <v>Severe</v>
      </c>
      <c r="U1100" t="str">
        <f t="shared" ca="1" si="381"/>
        <v>General Ward</v>
      </c>
      <c r="V1100" t="str">
        <f t="shared" si="382"/>
        <v>BED1099</v>
      </c>
      <c r="W1100" t="str">
        <f t="shared" ca="1" si="383"/>
        <v>General</v>
      </c>
      <c r="X1100" t="str">
        <f t="shared" si="384"/>
        <v>NUR049</v>
      </c>
      <c r="Y1100" t="str">
        <f t="shared" ca="1" si="385"/>
        <v>Night</v>
      </c>
      <c r="Z1100" t="str">
        <f t="shared" ca="1" si="386"/>
        <v>ECG Machine</v>
      </c>
      <c r="AA1100" t="str">
        <f t="shared" ca="1" si="387"/>
        <v>Maintenance</v>
      </c>
      <c r="AB1100" t="str">
        <f t="shared" ca="1" si="388"/>
        <v>Pending</v>
      </c>
      <c r="AC1100" t="str">
        <f t="shared" ca="1" si="389"/>
        <v>Debit Card</v>
      </c>
      <c r="AD1100" t="str">
        <f t="shared" ca="1" si="390"/>
        <v>No</v>
      </c>
      <c r="AE1100" t="str">
        <f t="shared" ca="1" si="391"/>
        <v>No</v>
      </c>
      <c r="AF1100" t="str">
        <f t="shared" ca="1" si="392"/>
        <v>Under Observation</v>
      </c>
      <c r="AG1100" t="str">
        <f t="shared" ca="1" si="393"/>
        <v>Southwest</v>
      </c>
      <c r="AH1100" t="str">
        <f t="shared" si="376"/>
        <v>November</v>
      </c>
      <c r="AI1100">
        <f t="shared" si="377"/>
        <v>2022</v>
      </c>
      <c r="AJ1100" t="str">
        <f t="shared" ca="1" si="394"/>
        <v>Occupied</v>
      </c>
      <c r="AK1100">
        <f t="shared" ca="1" si="395"/>
        <v>4</v>
      </c>
    </row>
    <row r="1101" spans="1:37" x14ac:dyDescent="0.3">
      <c r="A1101" t="s">
        <v>5510</v>
      </c>
      <c r="B1101">
        <v>31</v>
      </c>
      <c r="C1101" t="s">
        <v>32</v>
      </c>
      <c r="D1101" t="s">
        <v>44</v>
      </c>
      <c r="E1101" t="s">
        <v>48</v>
      </c>
      <c r="F1101" s="1">
        <v>43695</v>
      </c>
      <c r="G1101" t="s">
        <v>2222</v>
      </c>
      <c r="H1101" t="s">
        <v>2223</v>
      </c>
      <c r="I1101" t="s">
        <v>36</v>
      </c>
      <c r="J1101">
        <v>25894</v>
      </c>
      <c r="K1101">
        <v>278</v>
      </c>
      <c r="L1101" t="s">
        <v>42</v>
      </c>
      <c r="M1101" s="1">
        <v>43707</v>
      </c>
      <c r="N1101" t="s">
        <v>30</v>
      </c>
      <c r="O1101" t="s">
        <v>23</v>
      </c>
      <c r="P1101" t="str">
        <f t="shared" si="378"/>
        <v>P1100</v>
      </c>
      <c r="Q1101" t="str">
        <f t="shared" si="374"/>
        <v>Pulmonology</v>
      </c>
      <c r="R1101">
        <f t="shared" si="375"/>
        <v>12</v>
      </c>
      <c r="S1101" t="str">
        <f t="shared" ca="1" si="379"/>
        <v>No</v>
      </c>
      <c r="T1101" t="str">
        <f t="shared" ca="1" si="380"/>
        <v>Moderate</v>
      </c>
      <c r="U1101" t="str">
        <f t="shared" ca="1" si="381"/>
        <v>General Ward</v>
      </c>
      <c r="V1101" t="str">
        <f t="shared" si="382"/>
        <v>BED1100</v>
      </c>
      <c r="W1101" t="str">
        <f t="shared" ca="1" si="383"/>
        <v>Semi-Private</v>
      </c>
      <c r="X1101" t="str">
        <f t="shared" si="384"/>
        <v>NUR050</v>
      </c>
      <c r="Y1101" t="str">
        <f t="shared" ca="1" si="385"/>
        <v>Morning</v>
      </c>
      <c r="Z1101" t="str">
        <f t="shared" ca="1" si="386"/>
        <v>CT Scanner</v>
      </c>
      <c r="AA1101" t="str">
        <f t="shared" ca="1" si="387"/>
        <v>Maintenance</v>
      </c>
      <c r="AB1101" t="str">
        <f t="shared" ca="1" si="388"/>
        <v>Paid</v>
      </c>
      <c r="AC1101" t="str">
        <f t="shared" ca="1" si="389"/>
        <v>Insurance</v>
      </c>
      <c r="AD1101" t="str">
        <f t="shared" ca="1" si="390"/>
        <v>No</v>
      </c>
      <c r="AE1101" t="str">
        <f t="shared" ca="1" si="391"/>
        <v>No</v>
      </c>
      <c r="AF1101" t="str">
        <f t="shared" ca="1" si="392"/>
        <v>Under Observation</v>
      </c>
      <c r="AG1101" t="str">
        <f t="shared" ca="1" si="393"/>
        <v>Southwest</v>
      </c>
      <c r="AH1101" t="str">
        <f t="shared" si="376"/>
        <v>August</v>
      </c>
      <c r="AI1101">
        <f t="shared" si="377"/>
        <v>2019</v>
      </c>
      <c r="AJ1101" t="str">
        <f t="shared" ca="1" si="394"/>
        <v>Occupied</v>
      </c>
      <c r="AK1101">
        <f t="shared" ca="1" si="395"/>
        <v>4</v>
      </c>
    </row>
    <row r="1102" spans="1:37" x14ac:dyDescent="0.3">
      <c r="A1102" t="s">
        <v>5511</v>
      </c>
      <c r="B1102">
        <v>64</v>
      </c>
      <c r="C1102" t="s">
        <v>32</v>
      </c>
      <c r="D1102" t="s">
        <v>83</v>
      </c>
      <c r="E1102" t="s">
        <v>17</v>
      </c>
      <c r="F1102" s="1">
        <v>44469</v>
      </c>
      <c r="G1102" t="s">
        <v>2224</v>
      </c>
      <c r="H1102" t="s">
        <v>2225</v>
      </c>
      <c r="I1102" t="s">
        <v>28</v>
      </c>
      <c r="J1102">
        <v>33631</v>
      </c>
      <c r="K1102">
        <v>176</v>
      </c>
      <c r="L1102" t="s">
        <v>21</v>
      </c>
      <c r="M1102" s="1">
        <v>44472</v>
      </c>
      <c r="N1102" t="s">
        <v>67</v>
      </c>
      <c r="O1102" t="s">
        <v>23</v>
      </c>
      <c r="P1102" t="str">
        <f t="shared" si="378"/>
        <v>P1101</v>
      </c>
      <c r="Q1102" t="str">
        <f t="shared" si="374"/>
        <v>Oncology</v>
      </c>
      <c r="R1102">
        <f t="shared" si="375"/>
        <v>3</v>
      </c>
      <c r="S1102" t="str">
        <f t="shared" ca="1" si="379"/>
        <v>No</v>
      </c>
      <c r="T1102" t="str">
        <f t="shared" ca="1" si="380"/>
        <v>Critical</v>
      </c>
      <c r="U1102" t="str">
        <f t="shared" ca="1" si="381"/>
        <v>ICU</v>
      </c>
      <c r="V1102" t="str">
        <f t="shared" si="382"/>
        <v>BED1101</v>
      </c>
      <c r="W1102" t="str">
        <f t="shared" ca="1" si="383"/>
        <v>Private</v>
      </c>
      <c r="X1102" t="str">
        <f t="shared" si="384"/>
        <v>NUR001</v>
      </c>
      <c r="Y1102" t="str">
        <f t="shared" ca="1" si="385"/>
        <v>Night</v>
      </c>
      <c r="Z1102" t="str">
        <f t="shared" ca="1" si="386"/>
        <v>CT Scanner</v>
      </c>
      <c r="AA1102" t="str">
        <f t="shared" ca="1" si="387"/>
        <v>Available</v>
      </c>
      <c r="AB1102" t="str">
        <f t="shared" ca="1" si="388"/>
        <v>Partially Paid</v>
      </c>
      <c r="AC1102" t="str">
        <f t="shared" ca="1" si="389"/>
        <v>Cash</v>
      </c>
      <c r="AD1102" t="str">
        <f t="shared" ca="1" si="390"/>
        <v>No</v>
      </c>
      <c r="AE1102" t="str">
        <f t="shared" ca="1" si="391"/>
        <v>No</v>
      </c>
      <c r="AF1102" t="str">
        <f t="shared" ca="1" si="392"/>
        <v>Transferred</v>
      </c>
      <c r="AG1102" t="str">
        <f t="shared" ca="1" si="393"/>
        <v>Midwest</v>
      </c>
      <c r="AH1102" t="str">
        <f t="shared" si="376"/>
        <v>September</v>
      </c>
      <c r="AI1102">
        <f t="shared" si="377"/>
        <v>2021</v>
      </c>
      <c r="AJ1102" t="str">
        <f t="shared" ca="1" si="394"/>
        <v>Occupied</v>
      </c>
      <c r="AK1102">
        <f t="shared" ca="1" si="395"/>
        <v>2</v>
      </c>
    </row>
    <row r="1103" spans="1:37" x14ac:dyDescent="0.3">
      <c r="A1103" t="s">
        <v>5512</v>
      </c>
      <c r="B1103">
        <v>80</v>
      </c>
      <c r="C1103" t="s">
        <v>32</v>
      </c>
      <c r="D1103" t="s">
        <v>44</v>
      </c>
      <c r="E1103" t="s">
        <v>76</v>
      </c>
      <c r="F1103" s="1">
        <v>43724</v>
      </c>
      <c r="G1103" t="s">
        <v>2226</v>
      </c>
      <c r="H1103" t="s">
        <v>478</v>
      </c>
      <c r="I1103" t="s">
        <v>36</v>
      </c>
      <c r="J1103">
        <v>32879</v>
      </c>
      <c r="K1103">
        <v>361</v>
      </c>
      <c r="L1103" t="s">
        <v>29</v>
      </c>
      <c r="M1103" s="1">
        <v>43735</v>
      </c>
      <c r="N1103" t="s">
        <v>37</v>
      </c>
      <c r="O1103" t="s">
        <v>31</v>
      </c>
      <c r="P1103" t="str">
        <f t="shared" si="378"/>
        <v>P1102</v>
      </c>
      <c r="Q1103" t="str">
        <f t="shared" si="374"/>
        <v>Orthopedics</v>
      </c>
      <c r="R1103">
        <f t="shared" si="375"/>
        <v>11</v>
      </c>
      <c r="S1103" t="str">
        <f t="shared" ca="1" si="379"/>
        <v>No</v>
      </c>
      <c r="T1103" t="str">
        <f t="shared" ca="1" si="380"/>
        <v>Critical</v>
      </c>
      <c r="U1103" t="str">
        <f t="shared" ca="1" si="381"/>
        <v>Emergency</v>
      </c>
      <c r="V1103" t="str">
        <f t="shared" si="382"/>
        <v>BED1102</v>
      </c>
      <c r="W1103" t="str">
        <f t="shared" ca="1" si="383"/>
        <v>ICU</v>
      </c>
      <c r="X1103" t="str">
        <f t="shared" si="384"/>
        <v>NUR002</v>
      </c>
      <c r="Y1103" t="str">
        <f t="shared" ca="1" si="385"/>
        <v>Night</v>
      </c>
      <c r="Z1103" t="str">
        <f t="shared" ca="1" si="386"/>
        <v>MRI Scanner</v>
      </c>
      <c r="AA1103" t="str">
        <f t="shared" ca="1" si="387"/>
        <v>Maintenance</v>
      </c>
      <c r="AB1103" t="str">
        <f t="shared" ca="1" si="388"/>
        <v>Paid</v>
      </c>
      <c r="AC1103" t="str">
        <f t="shared" ca="1" si="389"/>
        <v>Credit Card</v>
      </c>
      <c r="AD1103" t="str">
        <f t="shared" ca="1" si="390"/>
        <v>No</v>
      </c>
      <c r="AE1103" t="str">
        <f t="shared" ca="1" si="391"/>
        <v>No</v>
      </c>
      <c r="AF1103" t="str">
        <f t="shared" ca="1" si="392"/>
        <v>Under Observation</v>
      </c>
      <c r="AG1103" t="str">
        <f t="shared" ca="1" si="393"/>
        <v>Northeast</v>
      </c>
      <c r="AH1103" t="str">
        <f t="shared" si="376"/>
        <v>September</v>
      </c>
      <c r="AI1103">
        <f t="shared" si="377"/>
        <v>2019</v>
      </c>
      <c r="AJ1103" t="str">
        <f t="shared" ca="1" si="394"/>
        <v>Occupied</v>
      </c>
      <c r="AK1103">
        <f t="shared" ca="1" si="395"/>
        <v>2</v>
      </c>
    </row>
    <row r="1104" spans="1:37" x14ac:dyDescent="0.3">
      <c r="A1104" t="s">
        <v>3691</v>
      </c>
      <c r="B1104">
        <v>26</v>
      </c>
      <c r="C1104" t="s">
        <v>32</v>
      </c>
      <c r="D1104" t="s">
        <v>44</v>
      </c>
      <c r="E1104" t="s">
        <v>76</v>
      </c>
      <c r="F1104" s="1">
        <v>44304</v>
      </c>
      <c r="G1104" t="s">
        <v>2227</v>
      </c>
      <c r="H1104" t="s">
        <v>2228</v>
      </c>
      <c r="I1104" t="s">
        <v>20</v>
      </c>
      <c r="J1104">
        <v>30502</v>
      </c>
      <c r="K1104">
        <v>443</v>
      </c>
      <c r="L1104" t="s">
        <v>42</v>
      </c>
      <c r="M1104" s="1">
        <v>44316</v>
      </c>
      <c r="N1104" t="s">
        <v>30</v>
      </c>
      <c r="O1104" t="s">
        <v>43</v>
      </c>
      <c r="P1104" t="str">
        <f t="shared" si="378"/>
        <v>P1103</v>
      </c>
      <c r="Q1104" t="str">
        <f t="shared" si="374"/>
        <v>Orthopedics</v>
      </c>
      <c r="R1104">
        <f t="shared" si="375"/>
        <v>12</v>
      </c>
      <c r="S1104" t="str">
        <f t="shared" ca="1" si="379"/>
        <v>No</v>
      </c>
      <c r="T1104" t="str">
        <f t="shared" ca="1" si="380"/>
        <v>Severe</v>
      </c>
      <c r="U1104" t="str">
        <f t="shared" ca="1" si="381"/>
        <v>Emergency</v>
      </c>
      <c r="V1104" t="str">
        <f t="shared" si="382"/>
        <v>BED1103</v>
      </c>
      <c r="W1104" t="str">
        <f t="shared" ca="1" si="383"/>
        <v>General</v>
      </c>
      <c r="X1104" t="str">
        <f t="shared" si="384"/>
        <v>NUR003</v>
      </c>
      <c r="Y1104" t="str">
        <f t="shared" ca="1" si="385"/>
        <v>Morning</v>
      </c>
      <c r="Z1104" t="str">
        <f t="shared" ca="1" si="386"/>
        <v>MRI Scanner</v>
      </c>
      <c r="AA1104" t="str">
        <f t="shared" ca="1" si="387"/>
        <v>In Use</v>
      </c>
      <c r="AB1104" t="str">
        <f t="shared" ca="1" si="388"/>
        <v>Partially Paid</v>
      </c>
      <c r="AC1104" t="str">
        <f t="shared" ca="1" si="389"/>
        <v>Credit Card</v>
      </c>
      <c r="AD1104" t="str">
        <f t="shared" ca="1" si="390"/>
        <v>No</v>
      </c>
      <c r="AE1104" t="str">
        <f t="shared" ca="1" si="391"/>
        <v>Yes</v>
      </c>
      <c r="AF1104" t="str">
        <f t="shared" ca="1" si="392"/>
        <v>Transferred</v>
      </c>
      <c r="AG1104" t="str">
        <f t="shared" ca="1" si="393"/>
        <v>Northeast</v>
      </c>
      <c r="AH1104" t="str">
        <f t="shared" si="376"/>
        <v>April</v>
      </c>
      <c r="AI1104">
        <f t="shared" si="377"/>
        <v>2021</v>
      </c>
      <c r="AJ1104" t="str">
        <f t="shared" ca="1" si="394"/>
        <v>Occupied</v>
      </c>
      <c r="AK1104">
        <f t="shared" ca="1" si="395"/>
        <v>4</v>
      </c>
    </row>
    <row r="1105" spans="1:37" x14ac:dyDescent="0.3">
      <c r="A1105" t="s">
        <v>5513</v>
      </c>
      <c r="B1105">
        <v>56</v>
      </c>
      <c r="C1105" t="s">
        <v>15</v>
      </c>
      <c r="D1105" t="s">
        <v>44</v>
      </c>
      <c r="E1105" t="s">
        <v>64</v>
      </c>
      <c r="F1105" s="1">
        <v>45335</v>
      </c>
      <c r="G1105" t="s">
        <v>2229</v>
      </c>
      <c r="H1105" t="s">
        <v>2230</v>
      </c>
      <c r="I1105" t="s">
        <v>51</v>
      </c>
      <c r="J1105">
        <v>6576</v>
      </c>
      <c r="K1105">
        <v>396</v>
      </c>
      <c r="L1105" t="s">
        <v>42</v>
      </c>
      <c r="M1105" s="1">
        <v>45346</v>
      </c>
      <c r="N1105" t="s">
        <v>67</v>
      </c>
      <c r="O1105" t="s">
        <v>31</v>
      </c>
      <c r="P1105" t="str">
        <f t="shared" si="378"/>
        <v>P1104</v>
      </c>
      <c r="Q1105" t="str">
        <f t="shared" si="374"/>
        <v>Cardiology</v>
      </c>
      <c r="R1105">
        <f t="shared" si="375"/>
        <v>11</v>
      </c>
      <c r="S1105" t="str">
        <f t="shared" ca="1" si="379"/>
        <v>Yes</v>
      </c>
      <c r="T1105" t="str">
        <f t="shared" ca="1" si="380"/>
        <v>Mild</v>
      </c>
      <c r="U1105" t="str">
        <f t="shared" ca="1" si="381"/>
        <v>General Ward</v>
      </c>
      <c r="V1105" t="str">
        <f t="shared" si="382"/>
        <v>BED1104</v>
      </c>
      <c r="W1105" t="str">
        <f t="shared" ca="1" si="383"/>
        <v>Private</v>
      </c>
      <c r="X1105" t="str">
        <f t="shared" si="384"/>
        <v>NUR004</v>
      </c>
      <c r="Y1105" t="str">
        <f t="shared" ca="1" si="385"/>
        <v>Evening</v>
      </c>
      <c r="Z1105" t="str">
        <f t="shared" ca="1" si="386"/>
        <v>X-Ray</v>
      </c>
      <c r="AA1105" t="str">
        <f t="shared" ca="1" si="387"/>
        <v>Available</v>
      </c>
      <c r="AB1105" t="str">
        <f t="shared" ca="1" si="388"/>
        <v>Partially Paid</v>
      </c>
      <c r="AC1105" t="str">
        <f t="shared" ca="1" si="389"/>
        <v>Cash</v>
      </c>
      <c r="AD1105" t="str">
        <f t="shared" ca="1" si="390"/>
        <v>No</v>
      </c>
      <c r="AE1105" t="str">
        <f t="shared" ca="1" si="391"/>
        <v>No</v>
      </c>
      <c r="AF1105" t="str">
        <f t="shared" ca="1" si="392"/>
        <v>Recovered</v>
      </c>
      <c r="AG1105" t="str">
        <f t="shared" ca="1" si="393"/>
        <v>Southeast</v>
      </c>
      <c r="AH1105" t="str">
        <f t="shared" si="376"/>
        <v>February</v>
      </c>
      <c r="AI1105">
        <f t="shared" si="377"/>
        <v>2024</v>
      </c>
      <c r="AJ1105" t="str">
        <f t="shared" ca="1" si="394"/>
        <v>Occupied</v>
      </c>
      <c r="AK1105">
        <f t="shared" ca="1" si="395"/>
        <v>1</v>
      </c>
    </row>
    <row r="1106" spans="1:37" x14ac:dyDescent="0.3">
      <c r="A1106" t="s">
        <v>5514</v>
      </c>
      <c r="B1106">
        <v>46</v>
      </c>
      <c r="C1106" t="s">
        <v>32</v>
      </c>
      <c r="D1106" t="s">
        <v>24</v>
      </c>
      <c r="E1106" t="s">
        <v>39</v>
      </c>
      <c r="F1106" s="1">
        <v>44109</v>
      </c>
      <c r="G1106" t="s">
        <v>2231</v>
      </c>
      <c r="H1106" t="s">
        <v>2232</v>
      </c>
      <c r="I1106" t="s">
        <v>36</v>
      </c>
      <c r="J1106">
        <v>41393</v>
      </c>
      <c r="K1106">
        <v>331</v>
      </c>
      <c r="L1106" t="s">
        <v>42</v>
      </c>
      <c r="M1106" s="1">
        <v>44111</v>
      </c>
      <c r="N1106" t="s">
        <v>37</v>
      </c>
      <c r="O1106" t="s">
        <v>43</v>
      </c>
      <c r="P1106" t="str">
        <f t="shared" si="378"/>
        <v>P1105</v>
      </c>
      <c r="Q1106" t="str">
        <f t="shared" si="374"/>
        <v>Endocrinology</v>
      </c>
      <c r="R1106">
        <f t="shared" si="375"/>
        <v>2</v>
      </c>
      <c r="S1106" t="str">
        <f t="shared" ca="1" si="379"/>
        <v>No</v>
      </c>
      <c r="T1106" t="str">
        <f t="shared" ca="1" si="380"/>
        <v>Severe</v>
      </c>
      <c r="U1106" t="str">
        <f t="shared" ca="1" si="381"/>
        <v>General Ward</v>
      </c>
      <c r="V1106" t="str">
        <f t="shared" si="382"/>
        <v>BED1105</v>
      </c>
      <c r="W1106" t="str">
        <f t="shared" ca="1" si="383"/>
        <v>General</v>
      </c>
      <c r="X1106" t="str">
        <f t="shared" si="384"/>
        <v>NUR005</v>
      </c>
      <c r="Y1106" t="str">
        <f t="shared" ca="1" si="385"/>
        <v>Night</v>
      </c>
      <c r="Z1106" t="str">
        <f t="shared" ca="1" si="386"/>
        <v>CT Scanner</v>
      </c>
      <c r="AA1106" t="str">
        <f t="shared" ca="1" si="387"/>
        <v>Maintenance</v>
      </c>
      <c r="AB1106" t="str">
        <f t="shared" ca="1" si="388"/>
        <v>Partially Paid</v>
      </c>
      <c r="AC1106" t="str">
        <f t="shared" ca="1" si="389"/>
        <v>Bank Transfer</v>
      </c>
      <c r="AD1106" t="str">
        <f t="shared" ca="1" si="390"/>
        <v>No</v>
      </c>
      <c r="AE1106" t="str">
        <f t="shared" ca="1" si="391"/>
        <v>No</v>
      </c>
      <c r="AF1106" t="str">
        <f t="shared" ca="1" si="392"/>
        <v>Under Observation</v>
      </c>
      <c r="AG1106" t="str">
        <f t="shared" ca="1" si="393"/>
        <v>Midwest</v>
      </c>
      <c r="AH1106" t="str">
        <f t="shared" si="376"/>
        <v>October</v>
      </c>
      <c r="AI1106">
        <f t="shared" si="377"/>
        <v>2020</v>
      </c>
      <c r="AJ1106" t="str">
        <f t="shared" ca="1" si="394"/>
        <v>Occupied</v>
      </c>
      <c r="AK1106">
        <f t="shared" ca="1" si="395"/>
        <v>2</v>
      </c>
    </row>
    <row r="1107" spans="1:37" x14ac:dyDescent="0.3">
      <c r="A1107" t="s">
        <v>5515</v>
      </c>
      <c r="B1107">
        <v>53</v>
      </c>
      <c r="C1107" t="s">
        <v>15</v>
      </c>
      <c r="D1107" t="s">
        <v>16</v>
      </c>
      <c r="E1107" t="s">
        <v>64</v>
      </c>
      <c r="F1107" s="1">
        <v>44410</v>
      </c>
      <c r="G1107" t="s">
        <v>2233</v>
      </c>
      <c r="H1107" t="s">
        <v>2234</v>
      </c>
      <c r="I1107" t="s">
        <v>28</v>
      </c>
      <c r="J1107">
        <v>30715</v>
      </c>
      <c r="K1107">
        <v>149</v>
      </c>
      <c r="L1107" t="s">
        <v>29</v>
      </c>
      <c r="M1107" s="1">
        <v>44434</v>
      </c>
      <c r="N1107" t="s">
        <v>37</v>
      </c>
      <c r="O1107" t="s">
        <v>43</v>
      </c>
      <c r="P1107" t="str">
        <f t="shared" si="378"/>
        <v>P1106</v>
      </c>
      <c r="Q1107" t="str">
        <f t="shared" si="374"/>
        <v>Cardiology</v>
      </c>
      <c r="R1107">
        <f t="shared" si="375"/>
        <v>24</v>
      </c>
      <c r="S1107" t="str">
        <f t="shared" ca="1" si="379"/>
        <v>No</v>
      </c>
      <c r="T1107" t="str">
        <f t="shared" ca="1" si="380"/>
        <v>Critical</v>
      </c>
      <c r="U1107" t="str">
        <f t="shared" ca="1" si="381"/>
        <v>ICU</v>
      </c>
      <c r="V1107" t="str">
        <f t="shared" si="382"/>
        <v>BED1106</v>
      </c>
      <c r="W1107" t="str">
        <f t="shared" ca="1" si="383"/>
        <v>General</v>
      </c>
      <c r="X1107" t="str">
        <f t="shared" si="384"/>
        <v>NUR006</v>
      </c>
      <c r="Y1107" t="str">
        <f t="shared" ca="1" si="385"/>
        <v>Night</v>
      </c>
      <c r="Z1107" t="str">
        <f t="shared" ca="1" si="386"/>
        <v>CT Scanner</v>
      </c>
      <c r="AA1107" t="str">
        <f t="shared" ca="1" si="387"/>
        <v>Available</v>
      </c>
      <c r="AB1107" t="str">
        <f t="shared" ca="1" si="388"/>
        <v>Pending</v>
      </c>
      <c r="AC1107" t="str">
        <f t="shared" ca="1" si="389"/>
        <v>Debit Card</v>
      </c>
      <c r="AD1107" t="str">
        <f t="shared" ca="1" si="390"/>
        <v>Yes</v>
      </c>
      <c r="AE1107" t="str">
        <f t="shared" ca="1" si="391"/>
        <v>No</v>
      </c>
      <c r="AF1107" t="str">
        <f t="shared" ca="1" si="392"/>
        <v>Under Observation</v>
      </c>
      <c r="AG1107" t="str">
        <f t="shared" ca="1" si="393"/>
        <v>Southwest</v>
      </c>
      <c r="AH1107" t="str">
        <f t="shared" si="376"/>
        <v>August</v>
      </c>
      <c r="AI1107">
        <f t="shared" si="377"/>
        <v>2021</v>
      </c>
      <c r="AJ1107" t="str">
        <f t="shared" ca="1" si="394"/>
        <v>Occupied</v>
      </c>
      <c r="AK1107">
        <f t="shared" ca="1" si="395"/>
        <v>1</v>
      </c>
    </row>
    <row r="1108" spans="1:37" x14ac:dyDescent="0.3">
      <c r="A1108" t="s">
        <v>5516</v>
      </c>
      <c r="B1108">
        <v>58</v>
      </c>
      <c r="C1108" t="s">
        <v>15</v>
      </c>
      <c r="D1108" t="s">
        <v>33</v>
      </c>
      <c r="E1108" t="s">
        <v>17</v>
      </c>
      <c r="F1108" s="1">
        <v>44850</v>
      </c>
      <c r="G1108" t="s">
        <v>2235</v>
      </c>
      <c r="H1108" t="s">
        <v>2236</v>
      </c>
      <c r="I1108" t="s">
        <v>36</v>
      </c>
      <c r="J1108">
        <v>30627</v>
      </c>
      <c r="K1108">
        <v>291</v>
      </c>
      <c r="L1108" t="s">
        <v>29</v>
      </c>
      <c r="M1108" s="1">
        <v>44860</v>
      </c>
      <c r="N1108" t="s">
        <v>67</v>
      </c>
      <c r="O1108" t="s">
        <v>43</v>
      </c>
      <c r="P1108" t="str">
        <f t="shared" si="378"/>
        <v>P1107</v>
      </c>
      <c r="Q1108" t="str">
        <f t="shared" si="374"/>
        <v>Oncology</v>
      </c>
      <c r="R1108">
        <f t="shared" si="375"/>
        <v>10</v>
      </c>
      <c r="S1108" t="str">
        <f t="shared" ca="1" si="379"/>
        <v>No</v>
      </c>
      <c r="T1108" t="str">
        <f t="shared" ca="1" si="380"/>
        <v>Moderate</v>
      </c>
      <c r="U1108" t="str">
        <f t="shared" ca="1" si="381"/>
        <v>Semi-Private</v>
      </c>
      <c r="V1108" t="str">
        <f t="shared" si="382"/>
        <v>BED1107</v>
      </c>
      <c r="W1108" t="str">
        <f t="shared" ca="1" si="383"/>
        <v>General</v>
      </c>
      <c r="X1108" t="str">
        <f t="shared" si="384"/>
        <v>NUR007</v>
      </c>
      <c r="Y1108" t="str">
        <f t="shared" ca="1" si="385"/>
        <v>Night</v>
      </c>
      <c r="Z1108" t="str">
        <f t="shared" ca="1" si="386"/>
        <v>CT Scanner</v>
      </c>
      <c r="AA1108" t="str">
        <f t="shared" ca="1" si="387"/>
        <v>Available</v>
      </c>
      <c r="AB1108" t="str">
        <f t="shared" ca="1" si="388"/>
        <v>Partially Paid</v>
      </c>
      <c r="AC1108" t="str">
        <f t="shared" ca="1" si="389"/>
        <v>Credit Card</v>
      </c>
      <c r="AD1108" t="str">
        <f t="shared" ca="1" si="390"/>
        <v>No</v>
      </c>
      <c r="AE1108" t="str">
        <f t="shared" ca="1" si="391"/>
        <v>No</v>
      </c>
      <c r="AF1108" t="str">
        <f t="shared" ca="1" si="392"/>
        <v>Recovered</v>
      </c>
      <c r="AG1108" t="str">
        <f t="shared" ca="1" si="393"/>
        <v>Northeast</v>
      </c>
      <c r="AH1108" t="str">
        <f t="shared" si="376"/>
        <v>October</v>
      </c>
      <c r="AI1108">
        <f t="shared" si="377"/>
        <v>2022</v>
      </c>
      <c r="AJ1108" t="str">
        <f t="shared" ca="1" si="394"/>
        <v>Occupied</v>
      </c>
      <c r="AK1108">
        <f t="shared" ca="1" si="395"/>
        <v>1</v>
      </c>
    </row>
    <row r="1109" spans="1:37" x14ac:dyDescent="0.3">
      <c r="A1109" t="s">
        <v>5517</v>
      </c>
      <c r="B1109">
        <v>40</v>
      </c>
      <c r="C1109" t="s">
        <v>15</v>
      </c>
      <c r="D1109" t="s">
        <v>16</v>
      </c>
      <c r="E1109" t="s">
        <v>17</v>
      </c>
      <c r="F1109" s="1">
        <v>45273</v>
      </c>
      <c r="G1109" t="s">
        <v>2237</v>
      </c>
      <c r="H1109" t="s">
        <v>2238</v>
      </c>
      <c r="I1109" t="s">
        <v>28</v>
      </c>
      <c r="J1109">
        <v>32482</v>
      </c>
      <c r="K1109">
        <v>196</v>
      </c>
      <c r="L1109" t="s">
        <v>29</v>
      </c>
      <c r="M1109" s="1">
        <v>45279</v>
      </c>
      <c r="N1109" t="s">
        <v>37</v>
      </c>
      <c r="O1109" t="s">
        <v>31</v>
      </c>
      <c r="P1109" t="str">
        <f t="shared" si="378"/>
        <v>P1108</v>
      </c>
      <c r="Q1109" t="str">
        <f t="shared" si="374"/>
        <v>Oncology</v>
      </c>
      <c r="R1109">
        <f t="shared" si="375"/>
        <v>6</v>
      </c>
      <c r="S1109" t="str">
        <f t="shared" ca="1" si="379"/>
        <v>No</v>
      </c>
      <c r="T1109" t="str">
        <f t="shared" ca="1" si="380"/>
        <v>Critical</v>
      </c>
      <c r="U1109" t="str">
        <f t="shared" ca="1" si="381"/>
        <v>ICU</v>
      </c>
      <c r="V1109" t="str">
        <f t="shared" si="382"/>
        <v>BED1108</v>
      </c>
      <c r="W1109" t="str">
        <f t="shared" ca="1" si="383"/>
        <v>ICU</v>
      </c>
      <c r="X1109" t="str">
        <f t="shared" si="384"/>
        <v>NUR008</v>
      </c>
      <c r="Y1109" t="str">
        <f t="shared" ca="1" si="385"/>
        <v>Evening</v>
      </c>
      <c r="Z1109" t="str">
        <f t="shared" ca="1" si="386"/>
        <v>X-Ray</v>
      </c>
      <c r="AA1109" t="str">
        <f t="shared" ca="1" si="387"/>
        <v>Available</v>
      </c>
      <c r="AB1109" t="str">
        <f t="shared" ca="1" si="388"/>
        <v>Partially Paid</v>
      </c>
      <c r="AC1109" t="str">
        <f t="shared" ca="1" si="389"/>
        <v>Cash</v>
      </c>
      <c r="AD1109" t="str">
        <f t="shared" ca="1" si="390"/>
        <v>No</v>
      </c>
      <c r="AE1109" t="str">
        <f t="shared" ca="1" si="391"/>
        <v>No</v>
      </c>
      <c r="AF1109" t="str">
        <f t="shared" ca="1" si="392"/>
        <v>Transferred</v>
      </c>
      <c r="AG1109" t="str">
        <f t="shared" ca="1" si="393"/>
        <v>Southwest</v>
      </c>
      <c r="AH1109" t="str">
        <f t="shared" si="376"/>
        <v>December</v>
      </c>
      <c r="AI1109">
        <f t="shared" si="377"/>
        <v>2023</v>
      </c>
      <c r="AJ1109" t="str">
        <f t="shared" ca="1" si="394"/>
        <v>Vacant</v>
      </c>
      <c r="AK1109">
        <f t="shared" ca="1" si="395"/>
        <v>1</v>
      </c>
    </row>
    <row r="1110" spans="1:37" x14ac:dyDescent="0.3">
      <c r="A1110" t="s">
        <v>5518</v>
      </c>
      <c r="B1110">
        <v>84</v>
      </c>
      <c r="C1110" t="s">
        <v>32</v>
      </c>
      <c r="D1110" t="s">
        <v>98</v>
      </c>
      <c r="E1110" t="s">
        <v>25</v>
      </c>
      <c r="F1110" s="1">
        <v>45249</v>
      </c>
      <c r="G1110" t="s">
        <v>2239</v>
      </c>
      <c r="H1110" t="s">
        <v>2240</v>
      </c>
      <c r="I1110" t="s">
        <v>20</v>
      </c>
      <c r="J1110">
        <v>7239</v>
      </c>
      <c r="K1110">
        <v>328</v>
      </c>
      <c r="L1110" t="s">
        <v>21</v>
      </c>
      <c r="M1110" s="1">
        <v>45252</v>
      </c>
      <c r="N1110" t="s">
        <v>67</v>
      </c>
      <c r="O1110" t="s">
        <v>23</v>
      </c>
      <c r="P1110" t="str">
        <f t="shared" si="378"/>
        <v>P1109</v>
      </c>
      <c r="Q1110" t="str">
        <f t="shared" si="374"/>
        <v>Nutrition</v>
      </c>
      <c r="R1110">
        <f t="shared" si="375"/>
        <v>3</v>
      </c>
      <c r="S1110" t="str">
        <f t="shared" ca="1" si="379"/>
        <v>No</v>
      </c>
      <c r="T1110" t="str">
        <f t="shared" ca="1" si="380"/>
        <v>Severe</v>
      </c>
      <c r="U1110" t="str">
        <f t="shared" ca="1" si="381"/>
        <v>ICU</v>
      </c>
      <c r="V1110" t="str">
        <f t="shared" si="382"/>
        <v>BED1109</v>
      </c>
      <c r="W1110" t="str">
        <f t="shared" ca="1" si="383"/>
        <v>General</v>
      </c>
      <c r="X1110" t="str">
        <f t="shared" si="384"/>
        <v>NUR009</v>
      </c>
      <c r="Y1110" t="str">
        <f t="shared" ca="1" si="385"/>
        <v>Evening</v>
      </c>
      <c r="Z1110" t="str">
        <f t="shared" ca="1" si="386"/>
        <v>ECG Machine</v>
      </c>
      <c r="AA1110" t="str">
        <f t="shared" ca="1" si="387"/>
        <v>In Use</v>
      </c>
      <c r="AB1110" t="str">
        <f t="shared" ca="1" si="388"/>
        <v>Partially Paid</v>
      </c>
      <c r="AC1110" t="str">
        <f t="shared" ca="1" si="389"/>
        <v>Debit Card</v>
      </c>
      <c r="AD1110" t="str">
        <f t="shared" ca="1" si="390"/>
        <v>Yes</v>
      </c>
      <c r="AE1110" t="str">
        <f t="shared" ca="1" si="391"/>
        <v>No</v>
      </c>
      <c r="AF1110" t="str">
        <f t="shared" ca="1" si="392"/>
        <v>Recovered</v>
      </c>
      <c r="AG1110" t="str">
        <f t="shared" ca="1" si="393"/>
        <v>West Coast</v>
      </c>
      <c r="AH1110" t="str">
        <f t="shared" si="376"/>
        <v>November</v>
      </c>
      <c r="AI1110">
        <f t="shared" si="377"/>
        <v>2023</v>
      </c>
      <c r="AJ1110" t="str">
        <f t="shared" ca="1" si="394"/>
        <v>Occupied</v>
      </c>
      <c r="AK1110">
        <f t="shared" ca="1" si="395"/>
        <v>2</v>
      </c>
    </row>
    <row r="1111" spans="1:37" x14ac:dyDescent="0.3">
      <c r="A1111" t="s">
        <v>5519</v>
      </c>
      <c r="B1111">
        <v>39</v>
      </c>
      <c r="C1111" t="s">
        <v>32</v>
      </c>
      <c r="D1111" t="s">
        <v>98</v>
      </c>
      <c r="E1111" t="s">
        <v>76</v>
      </c>
      <c r="F1111" s="1">
        <v>44199</v>
      </c>
      <c r="G1111" t="s">
        <v>2241</v>
      </c>
      <c r="H1111" t="s">
        <v>2242</v>
      </c>
      <c r="I1111" t="s">
        <v>51</v>
      </c>
      <c r="J1111">
        <v>41211</v>
      </c>
      <c r="K1111">
        <v>465</v>
      </c>
      <c r="L1111" t="s">
        <v>21</v>
      </c>
      <c r="M1111" s="1">
        <v>44206</v>
      </c>
      <c r="N1111" t="s">
        <v>22</v>
      </c>
      <c r="O1111" t="s">
        <v>23</v>
      </c>
      <c r="P1111" t="str">
        <f t="shared" si="378"/>
        <v>P1110</v>
      </c>
      <c r="Q1111" t="str">
        <f t="shared" si="374"/>
        <v>Orthopedics</v>
      </c>
      <c r="R1111">
        <f t="shared" si="375"/>
        <v>7</v>
      </c>
      <c r="S1111" t="str">
        <f t="shared" ca="1" si="379"/>
        <v>No</v>
      </c>
      <c r="T1111" t="str">
        <f t="shared" ca="1" si="380"/>
        <v>Critical</v>
      </c>
      <c r="U1111" t="str">
        <f t="shared" ca="1" si="381"/>
        <v>Private Ward</v>
      </c>
      <c r="V1111" t="str">
        <f t="shared" si="382"/>
        <v>BED1110</v>
      </c>
      <c r="W1111" t="str">
        <f t="shared" ca="1" si="383"/>
        <v>ICU</v>
      </c>
      <c r="X1111" t="str">
        <f t="shared" si="384"/>
        <v>NUR010</v>
      </c>
      <c r="Y1111" t="str">
        <f t="shared" ca="1" si="385"/>
        <v>Night</v>
      </c>
      <c r="Z1111" t="str">
        <f t="shared" ca="1" si="386"/>
        <v>CT Scanner</v>
      </c>
      <c r="AA1111" t="str">
        <f t="shared" ca="1" si="387"/>
        <v>Maintenance</v>
      </c>
      <c r="AB1111" t="str">
        <f t="shared" ca="1" si="388"/>
        <v>Paid</v>
      </c>
      <c r="AC1111" t="str">
        <f t="shared" ca="1" si="389"/>
        <v>Debit Card</v>
      </c>
      <c r="AD1111" t="str">
        <f t="shared" ca="1" si="390"/>
        <v>No</v>
      </c>
      <c r="AE1111" t="str">
        <f t="shared" ca="1" si="391"/>
        <v>No</v>
      </c>
      <c r="AF1111" t="str">
        <f t="shared" ca="1" si="392"/>
        <v>Recovered</v>
      </c>
      <c r="AG1111" t="str">
        <f t="shared" ca="1" si="393"/>
        <v>West Coast</v>
      </c>
      <c r="AH1111" t="str">
        <f t="shared" si="376"/>
        <v>January</v>
      </c>
      <c r="AI1111">
        <f t="shared" si="377"/>
        <v>2021</v>
      </c>
      <c r="AJ1111" t="str">
        <f t="shared" ca="1" si="394"/>
        <v>Occupied</v>
      </c>
      <c r="AK1111">
        <f t="shared" ca="1" si="395"/>
        <v>1</v>
      </c>
    </row>
    <row r="1112" spans="1:37" x14ac:dyDescent="0.3">
      <c r="A1112" t="s">
        <v>5520</v>
      </c>
      <c r="B1112">
        <v>41</v>
      </c>
      <c r="C1112" t="s">
        <v>15</v>
      </c>
      <c r="D1112" t="s">
        <v>44</v>
      </c>
      <c r="E1112" t="s">
        <v>25</v>
      </c>
      <c r="F1112" s="1">
        <v>44835</v>
      </c>
      <c r="G1112" t="s">
        <v>2243</v>
      </c>
      <c r="H1112" t="s">
        <v>2244</v>
      </c>
      <c r="I1112" t="s">
        <v>57</v>
      </c>
      <c r="J1112">
        <v>1114</v>
      </c>
      <c r="K1112">
        <v>150</v>
      </c>
      <c r="L1112" t="s">
        <v>29</v>
      </c>
      <c r="M1112" s="1">
        <v>44854</v>
      </c>
      <c r="N1112" t="s">
        <v>22</v>
      </c>
      <c r="O1112" t="s">
        <v>31</v>
      </c>
      <c r="P1112" t="str">
        <f t="shared" si="378"/>
        <v>P1111</v>
      </c>
      <c r="Q1112" t="str">
        <f t="shared" si="374"/>
        <v>Nutrition</v>
      </c>
      <c r="R1112">
        <f t="shared" si="375"/>
        <v>19</v>
      </c>
      <c r="S1112" t="str">
        <f t="shared" ca="1" si="379"/>
        <v>Yes</v>
      </c>
      <c r="T1112" t="str">
        <f t="shared" ca="1" si="380"/>
        <v>Severe</v>
      </c>
      <c r="U1112" t="str">
        <f t="shared" ca="1" si="381"/>
        <v>Emergency</v>
      </c>
      <c r="V1112" t="str">
        <f t="shared" si="382"/>
        <v>BED1111</v>
      </c>
      <c r="W1112" t="str">
        <f t="shared" ca="1" si="383"/>
        <v>Private</v>
      </c>
      <c r="X1112" t="str">
        <f t="shared" si="384"/>
        <v>NUR011</v>
      </c>
      <c r="Y1112" t="str">
        <f t="shared" ca="1" si="385"/>
        <v>Evening</v>
      </c>
      <c r="Z1112" t="str">
        <f t="shared" ca="1" si="386"/>
        <v>MRI Scanner</v>
      </c>
      <c r="AA1112" t="str">
        <f t="shared" ca="1" si="387"/>
        <v>In Use</v>
      </c>
      <c r="AB1112" t="str">
        <f t="shared" ca="1" si="388"/>
        <v>Pending</v>
      </c>
      <c r="AC1112" t="str">
        <f t="shared" ca="1" si="389"/>
        <v>Insurance</v>
      </c>
      <c r="AD1112" t="str">
        <f t="shared" ca="1" si="390"/>
        <v>No</v>
      </c>
      <c r="AE1112" t="str">
        <f t="shared" ca="1" si="391"/>
        <v>No</v>
      </c>
      <c r="AF1112" t="str">
        <f t="shared" ca="1" si="392"/>
        <v>Under Observation</v>
      </c>
      <c r="AG1112" t="str">
        <f t="shared" ca="1" si="393"/>
        <v>Northeast</v>
      </c>
      <c r="AH1112" t="str">
        <f t="shared" si="376"/>
        <v>October</v>
      </c>
      <c r="AI1112">
        <f t="shared" si="377"/>
        <v>2022</v>
      </c>
      <c r="AJ1112" t="str">
        <f t="shared" ca="1" si="394"/>
        <v>Occupied</v>
      </c>
      <c r="AK1112">
        <f t="shared" ca="1" si="395"/>
        <v>1</v>
      </c>
    </row>
    <row r="1113" spans="1:37" x14ac:dyDescent="0.3">
      <c r="A1113" t="s">
        <v>5521</v>
      </c>
      <c r="B1113">
        <v>74</v>
      </c>
      <c r="C1113" t="s">
        <v>15</v>
      </c>
      <c r="D1113" t="s">
        <v>83</v>
      </c>
      <c r="E1113" t="s">
        <v>17</v>
      </c>
      <c r="F1113" s="1">
        <v>43609</v>
      </c>
      <c r="G1113" t="s">
        <v>2245</v>
      </c>
      <c r="H1113" t="s">
        <v>2246</v>
      </c>
      <c r="I1113" t="s">
        <v>51</v>
      </c>
      <c r="J1113">
        <v>11162</v>
      </c>
      <c r="K1113">
        <v>455</v>
      </c>
      <c r="L1113" t="s">
        <v>29</v>
      </c>
      <c r="M1113" s="1">
        <v>43633</v>
      </c>
      <c r="N1113" t="s">
        <v>37</v>
      </c>
      <c r="O1113" t="s">
        <v>23</v>
      </c>
      <c r="P1113" t="str">
        <f t="shared" si="378"/>
        <v>P1112</v>
      </c>
      <c r="Q1113" t="str">
        <f t="shared" si="374"/>
        <v>Oncology</v>
      </c>
      <c r="R1113">
        <f t="shared" si="375"/>
        <v>24</v>
      </c>
      <c r="S1113" t="str">
        <f t="shared" ca="1" si="379"/>
        <v>Yes</v>
      </c>
      <c r="T1113" t="str">
        <f t="shared" ca="1" si="380"/>
        <v>Critical</v>
      </c>
      <c r="U1113" t="str">
        <f t="shared" ca="1" si="381"/>
        <v>General Ward</v>
      </c>
      <c r="V1113" t="str">
        <f t="shared" si="382"/>
        <v>BED1112</v>
      </c>
      <c r="W1113" t="str">
        <f t="shared" ca="1" si="383"/>
        <v>General</v>
      </c>
      <c r="X1113" t="str">
        <f t="shared" si="384"/>
        <v>NUR012</v>
      </c>
      <c r="Y1113" t="str">
        <f t="shared" ca="1" si="385"/>
        <v>Morning</v>
      </c>
      <c r="Z1113" t="str">
        <f t="shared" ca="1" si="386"/>
        <v>Ultrasound</v>
      </c>
      <c r="AA1113" t="str">
        <f t="shared" ca="1" si="387"/>
        <v>Available</v>
      </c>
      <c r="AB1113" t="str">
        <f t="shared" ca="1" si="388"/>
        <v>Pending</v>
      </c>
      <c r="AC1113" t="str">
        <f t="shared" ca="1" si="389"/>
        <v>Credit Card</v>
      </c>
      <c r="AD1113" t="str">
        <f t="shared" ca="1" si="390"/>
        <v>No</v>
      </c>
      <c r="AE1113" t="str">
        <f t="shared" ca="1" si="391"/>
        <v>No</v>
      </c>
      <c r="AF1113" t="str">
        <f t="shared" ca="1" si="392"/>
        <v>Recovered</v>
      </c>
      <c r="AG1113" t="str">
        <f t="shared" ca="1" si="393"/>
        <v>Southwest</v>
      </c>
      <c r="AH1113" t="str">
        <f t="shared" si="376"/>
        <v>May</v>
      </c>
      <c r="AI1113">
        <f t="shared" si="377"/>
        <v>2019</v>
      </c>
      <c r="AJ1113" t="str">
        <f t="shared" ca="1" si="394"/>
        <v>Vacant</v>
      </c>
      <c r="AK1113">
        <f t="shared" ca="1" si="395"/>
        <v>2</v>
      </c>
    </row>
    <row r="1114" spans="1:37" x14ac:dyDescent="0.3">
      <c r="A1114" t="s">
        <v>5522</v>
      </c>
      <c r="B1114">
        <v>84</v>
      </c>
      <c r="C1114" t="s">
        <v>32</v>
      </c>
      <c r="D1114" t="s">
        <v>98</v>
      </c>
      <c r="E1114" t="s">
        <v>25</v>
      </c>
      <c r="F1114" s="1">
        <v>44347</v>
      </c>
      <c r="G1114" t="s">
        <v>2247</v>
      </c>
      <c r="H1114" t="s">
        <v>2248</v>
      </c>
      <c r="I1114" t="s">
        <v>51</v>
      </c>
      <c r="J1114">
        <v>1990</v>
      </c>
      <c r="K1114">
        <v>488</v>
      </c>
      <c r="L1114" t="s">
        <v>21</v>
      </c>
      <c r="M1114" s="1">
        <v>44350</v>
      </c>
      <c r="N1114" t="s">
        <v>67</v>
      </c>
      <c r="O1114" t="s">
        <v>23</v>
      </c>
      <c r="P1114" t="str">
        <f t="shared" si="378"/>
        <v>P1113</v>
      </c>
      <c r="Q1114" t="str">
        <f t="shared" si="374"/>
        <v>Nutrition</v>
      </c>
      <c r="R1114">
        <f t="shared" si="375"/>
        <v>3</v>
      </c>
      <c r="S1114" t="str">
        <f t="shared" ca="1" si="379"/>
        <v>No</v>
      </c>
      <c r="T1114" t="str">
        <f t="shared" ca="1" si="380"/>
        <v>Moderate</v>
      </c>
      <c r="U1114" t="str">
        <f t="shared" ca="1" si="381"/>
        <v>Emergency</v>
      </c>
      <c r="V1114" t="str">
        <f t="shared" si="382"/>
        <v>BED1113</v>
      </c>
      <c r="W1114" t="str">
        <f t="shared" ca="1" si="383"/>
        <v>Semi-Private</v>
      </c>
      <c r="X1114" t="str">
        <f t="shared" si="384"/>
        <v>NUR013</v>
      </c>
      <c r="Y1114" t="str">
        <f t="shared" ca="1" si="385"/>
        <v>Morning</v>
      </c>
      <c r="Z1114" t="str">
        <f t="shared" ca="1" si="386"/>
        <v>X-Ray</v>
      </c>
      <c r="AA1114" t="str">
        <f t="shared" ca="1" si="387"/>
        <v>In Use</v>
      </c>
      <c r="AB1114" t="str">
        <f t="shared" ca="1" si="388"/>
        <v>Paid</v>
      </c>
      <c r="AC1114" t="str">
        <f t="shared" ca="1" si="389"/>
        <v>Debit Card</v>
      </c>
      <c r="AD1114" t="str">
        <f t="shared" ca="1" si="390"/>
        <v>No</v>
      </c>
      <c r="AE1114" t="str">
        <f t="shared" ca="1" si="391"/>
        <v>No</v>
      </c>
      <c r="AF1114" t="str">
        <f t="shared" ca="1" si="392"/>
        <v>Recovered</v>
      </c>
      <c r="AG1114" t="str">
        <f t="shared" ca="1" si="393"/>
        <v>Southeast</v>
      </c>
      <c r="AH1114" t="str">
        <f t="shared" si="376"/>
        <v>May</v>
      </c>
      <c r="AI1114">
        <f t="shared" si="377"/>
        <v>2021</v>
      </c>
      <c r="AJ1114" t="str">
        <f t="shared" ca="1" si="394"/>
        <v>Vacant</v>
      </c>
      <c r="AK1114">
        <f t="shared" ca="1" si="395"/>
        <v>1</v>
      </c>
    </row>
    <row r="1115" spans="1:37" x14ac:dyDescent="0.3">
      <c r="A1115" t="s">
        <v>5523</v>
      </c>
      <c r="B1115">
        <v>67</v>
      </c>
      <c r="C1115" t="s">
        <v>32</v>
      </c>
      <c r="D1115" t="s">
        <v>83</v>
      </c>
      <c r="E1115" t="s">
        <v>25</v>
      </c>
      <c r="F1115" s="1">
        <v>43648</v>
      </c>
      <c r="G1115" t="s">
        <v>2249</v>
      </c>
      <c r="H1115" t="s">
        <v>2250</v>
      </c>
      <c r="I1115" t="s">
        <v>28</v>
      </c>
      <c r="J1115">
        <v>32364</v>
      </c>
      <c r="K1115">
        <v>161</v>
      </c>
      <c r="L1115" t="s">
        <v>42</v>
      </c>
      <c r="M1115" s="1">
        <v>43659</v>
      </c>
      <c r="N1115" t="s">
        <v>47</v>
      </c>
      <c r="O1115" t="s">
        <v>31</v>
      </c>
      <c r="P1115" t="str">
        <f t="shared" si="378"/>
        <v>P1114</v>
      </c>
      <c r="Q1115" t="str">
        <f t="shared" si="374"/>
        <v>Nutrition</v>
      </c>
      <c r="R1115">
        <f t="shared" si="375"/>
        <v>11</v>
      </c>
      <c r="S1115" t="str">
        <f t="shared" ca="1" si="379"/>
        <v>No</v>
      </c>
      <c r="T1115" t="str">
        <f t="shared" ca="1" si="380"/>
        <v>Severe</v>
      </c>
      <c r="U1115" t="str">
        <f t="shared" ca="1" si="381"/>
        <v>ICU</v>
      </c>
      <c r="V1115" t="str">
        <f t="shared" si="382"/>
        <v>BED1114</v>
      </c>
      <c r="W1115" t="str">
        <f t="shared" ca="1" si="383"/>
        <v>General</v>
      </c>
      <c r="X1115" t="str">
        <f t="shared" si="384"/>
        <v>NUR014</v>
      </c>
      <c r="Y1115" t="str">
        <f t="shared" ca="1" si="385"/>
        <v>Morning</v>
      </c>
      <c r="Z1115" t="str">
        <f t="shared" ca="1" si="386"/>
        <v>CT Scanner</v>
      </c>
      <c r="AA1115" t="str">
        <f t="shared" ca="1" si="387"/>
        <v>In Use</v>
      </c>
      <c r="AB1115" t="str">
        <f t="shared" ca="1" si="388"/>
        <v>Partially Paid</v>
      </c>
      <c r="AC1115" t="str">
        <f t="shared" ca="1" si="389"/>
        <v>Bank Transfer</v>
      </c>
      <c r="AD1115" t="str">
        <f t="shared" ca="1" si="390"/>
        <v>Yes</v>
      </c>
      <c r="AE1115" t="str">
        <f t="shared" ca="1" si="391"/>
        <v>No</v>
      </c>
      <c r="AF1115" t="str">
        <f t="shared" ca="1" si="392"/>
        <v>Under Observation</v>
      </c>
      <c r="AG1115" t="str">
        <f t="shared" ca="1" si="393"/>
        <v>West Coast</v>
      </c>
      <c r="AH1115" t="str">
        <f t="shared" si="376"/>
        <v>July</v>
      </c>
      <c r="AI1115">
        <f t="shared" si="377"/>
        <v>2019</v>
      </c>
      <c r="AJ1115" t="str">
        <f t="shared" ca="1" si="394"/>
        <v>Occupied</v>
      </c>
      <c r="AK1115">
        <f t="shared" ca="1" si="395"/>
        <v>2</v>
      </c>
    </row>
    <row r="1116" spans="1:37" x14ac:dyDescent="0.3">
      <c r="A1116" t="s">
        <v>4117</v>
      </c>
      <c r="B1116">
        <v>55</v>
      </c>
      <c r="C1116" t="s">
        <v>32</v>
      </c>
      <c r="D1116" t="s">
        <v>16</v>
      </c>
      <c r="E1116" t="s">
        <v>17</v>
      </c>
      <c r="F1116" s="1">
        <v>44896</v>
      </c>
      <c r="G1116" t="s">
        <v>2251</v>
      </c>
      <c r="H1116" t="s">
        <v>2252</v>
      </c>
      <c r="I1116" t="s">
        <v>20</v>
      </c>
      <c r="J1116">
        <v>7949</v>
      </c>
      <c r="K1116">
        <v>331</v>
      </c>
      <c r="L1116" t="s">
        <v>29</v>
      </c>
      <c r="M1116" s="1">
        <v>44898</v>
      </c>
      <c r="N1116" t="s">
        <v>30</v>
      </c>
      <c r="O1116" t="s">
        <v>31</v>
      </c>
      <c r="P1116" t="str">
        <f t="shared" si="378"/>
        <v>P1115</v>
      </c>
      <c r="Q1116" t="str">
        <f t="shared" si="374"/>
        <v>Oncology</v>
      </c>
      <c r="R1116">
        <f t="shared" si="375"/>
        <v>2</v>
      </c>
      <c r="S1116" t="str">
        <f t="shared" ca="1" si="379"/>
        <v>No</v>
      </c>
      <c r="T1116" t="str">
        <f t="shared" ca="1" si="380"/>
        <v>Severe</v>
      </c>
      <c r="U1116" t="str">
        <f t="shared" ca="1" si="381"/>
        <v>Private Ward</v>
      </c>
      <c r="V1116" t="str">
        <f t="shared" si="382"/>
        <v>BED1115</v>
      </c>
      <c r="W1116" t="str">
        <f t="shared" ca="1" si="383"/>
        <v>ICU</v>
      </c>
      <c r="X1116" t="str">
        <f t="shared" si="384"/>
        <v>NUR015</v>
      </c>
      <c r="Y1116" t="str">
        <f t="shared" ca="1" si="385"/>
        <v>Evening</v>
      </c>
      <c r="Z1116" t="str">
        <f t="shared" ca="1" si="386"/>
        <v>Ultrasound</v>
      </c>
      <c r="AA1116" t="str">
        <f t="shared" ca="1" si="387"/>
        <v>In Use</v>
      </c>
      <c r="AB1116" t="str">
        <f t="shared" ca="1" si="388"/>
        <v>Pending</v>
      </c>
      <c r="AC1116" t="str">
        <f t="shared" ca="1" si="389"/>
        <v>Bank Transfer</v>
      </c>
      <c r="AD1116" t="str">
        <f t="shared" ca="1" si="390"/>
        <v>No</v>
      </c>
      <c r="AE1116" t="str">
        <f t="shared" ca="1" si="391"/>
        <v>No</v>
      </c>
      <c r="AF1116" t="str">
        <f t="shared" ca="1" si="392"/>
        <v>Under Observation</v>
      </c>
      <c r="AG1116" t="str">
        <f t="shared" ca="1" si="393"/>
        <v>Midwest</v>
      </c>
      <c r="AH1116" t="str">
        <f t="shared" si="376"/>
        <v>December</v>
      </c>
      <c r="AI1116">
        <f t="shared" si="377"/>
        <v>2022</v>
      </c>
      <c r="AJ1116" t="str">
        <f t="shared" ca="1" si="394"/>
        <v>Vacant</v>
      </c>
      <c r="AK1116">
        <f t="shared" ca="1" si="395"/>
        <v>4</v>
      </c>
    </row>
    <row r="1117" spans="1:37" x14ac:dyDescent="0.3">
      <c r="A1117" t="s">
        <v>5524</v>
      </c>
      <c r="B1117">
        <v>84</v>
      </c>
      <c r="C1117" t="s">
        <v>32</v>
      </c>
      <c r="D1117" t="s">
        <v>83</v>
      </c>
      <c r="E1117" t="s">
        <v>25</v>
      </c>
      <c r="F1117" s="1">
        <v>43642</v>
      </c>
      <c r="G1117" t="s">
        <v>2253</v>
      </c>
      <c r="H1117" t="s">
        <v>2254</v>
      </c>
      <c r="I1117" t="s">
        <v>20</v>
      </c>
      <c r="J1117">
        <v>36760</v>
      </c>
      <c r="K1117">
        <v>442</v>
      </c>
      <c r="L1117" t="s">
        <v>42</v>
      </c>
      <c r="M1117" s="1">
        <v>43646</v>
      </c>
      <c r="N1117" t="s">
        <v>67</v>
      </c>
      <c r="O1117" t="s">
        <v>43</v>
      </c>
      <c r="P1117" t="str">
        <f t="shared" si="378"/>
        <v>P1116</v>
      </c>
      <c r="Q1117" t="str">
        <f t="shared" si="374"/>
        <v>Nutrition</v>
      </c>
      <c r="R1117">
        <f t="shared" si="375"/>
        <v>4</v>
      </c>
      <c r="S1117" t="str">
        <f t="shared" ca="1" si="379"/>
        <v>No</v>
      </c>
      <c r="T1117" t="str">
        <f t="shared" ca="1" si="380"/>
        <v>Severe</v>
      </c>
      <c r="U1117" t="str">
        <f t="shared" ca="1" si="381"/>
        <v>General Ward</v>
      </c>
      <c r="V1117" t="str">
        <f t="shared" si="382"/>
        <v>BED1116</v>
      </c>
      <c r="W1117" t="str">
        <f t="shared" ca="1" si="383"/>
        <v>ICU</v>
      </c>
      <c r="X1117" t="str">
        <f t="shared" si="384"/>
        <v>NUR016</v>
      </c>
      <c r="Y1117" t="str">
        <f t="shared" ca="1" si="385"/>
        <v>Night</v>
      </c>
      <c r="Z1117" t="str">
        <f t="shared" ca="1" si="386"/>
        <v>CT Scanner</v>
      </c>
      <c r="AA1117" t="str">
        <f t="shared" ca="1" si="387"/>
        <v>Available</v>
      </c>
      <c r="AB1117" t="str">
        <f t="shared" ca="1" si="388"/>
        <v>Pending</v>
      </c>
      <c r="AC1117" t="str">
        <f t="shared" ca="1" si="389"/>
        <v>Insurance</v>
      </c>
      <c r="AD1117" t="str">
        <f t="shared" ca="1" si="390"/>
        <v>No</v>
      </c>
      <c r="AE1117" t="str">
        <f t="shared" ca="1" si="391"/>
        <v>No</v>
      </c>
      <c r="AF1117" t="str">
        <f t="shared" ca="1" si="392"/>
        <v>Transferred</v>
      </c>
      <c r="AG1117" t="str">
        <f t="shared" ca="1" si="393"/>
        <v>Midwest</v>
      </c>
      <c r="AH1117" t="str">
        <f t="shared" si="376"/>
        <v>June</v>
      </c>
      <c r="AI1117">
        <f t="shared" si="377"/>
        <v>2019</v>
      </c>
      <c r="AJ1117" t="str">
        <f t="shared" ca="1" si="394"/>
        <v>Occupied</v>
      </c>
      <c r="AK1117">
        <f t="shared" ca="1" si="395"/>
        <v>1</v>
      </c>
    </row>
    <row r="1118" spans="1:37" x14ac:dyDescent="0.3">
      <c r="A1118" t="s">
        <v>5525</v>
      </c>
      <c r="B1118">
        <v>28</v>
      </c>
      <c r="C1118" t="s">
        <v>15</v>
      </c>
      <c r="D1118" t="s">
        <v>24</v>
      </c>
      <c r="E1118" t="s">
        <v>25</v>
      </c>
      <c r="F1118" s="1">
        <v>44976</v>
      </c>
      <c r="G1118" t="s">
        <v>2255</v>
      </c>
      <c r="H1118" t="s">
        <v>2256</v>
      </c>
      <c r="I1118" t="s">
        <v>57</v>
      </c>
      <c r="J1118">
        <v>24416</v>
      </c>
      <c r="K1118">
        <v>110</v>
      </c>
      <c r="L1118" t="s">
        <v>29</v>
      </c>
      <c r="M1118" s="1">
        <v>44998</v>
      </c>
      <c r="N1118" t="s">
        <v>22</v>
      </c>
      <c r="O1118" t="s">
        <v>23</v>
      </c>
      <c r="P1118" t="str">
        <f t="shared" si="378"/>
        <v>P1117</v>
      </c>
      <c r="Q1118" t="str">
        <f t="shared" si="374"/>
        <v>Nutrition</v>
      </c>
      <c r="R1118">
        <f t="shared" si="375"/>
        <v>22</v>
      </c>
      <c r="S1118" t="str">
        <f t="shared" ca="1" si="379"/>
        <v>No</v>
      </c>
      <c r="T1118" t="str">
        <f t="shared" ca="1" si="380"/>
        <v>Critical</v>
      </c>
      <c r="U1118" t="str">
        <f t="shared" ca="1" si="381"/>
        <v>General Ward</v>
      </c>
      <c r="V1118" t="str">
        <f t="shared" si="382"/>
        <v>BED1117</v>
      </c>
      <c r="W1118" t="str">
        <f t="shared" ca="1" si="383"/>
        <v>Private</v>
      </c>
      <c r="X1118" t="str">
        <f t="shared" si="384"/>
        <v>NUR017</v>
      </c>
      <c r="Y1118" t="str">
        <f t="shared" ca="1" si="385"/>
        <v>Morning</v>
      </c>
      <c r="Z1118" t="str">
        <f t="shared" ca="1" si="386"/>
        <v>CT Scanner</v>
      </c>
      <c r="AA1118" t="str">
        <f t="shared" ca="1" si="387"/>
        <v>In Use</v>
      </c>
      <c r="AB1118" t="str">
        <f t="shared" ca="1" si="388"/>
        <v>Paid</v>
      </c>
      <c r="AC1118" t="str">
        <f t="shared" ca="1" si="389"/>
        <v>Credit Card</v>
      </c>
      <c r="AD1118" t="str">
        <f t="shared" ca="1" si="390"/>
        <v>Yes</v>
      </c>
      <c r="AE1118" t="str">
        <f t="shared" ca="1" si="391"/>
        <v>No</v>
      </c>
      <c r="AF1118" t="str">
        <f t="shared" ca="1" si="392"/>
        <v>Recovered</v>
      </c>
      <c r="AG1118" t="str">
        <f t="shared" ca="1" si="393"/>
        <v>Southeast</v>
      </c>
      <c r="AH1118" t="str">
        <f t="shared" si="376"/>
        <v>February</v>
      </c>
      <c r="AI1118">
        <f t="shared" si="377"/>
        <v>2023</v>
      </c>
      <c r="AJ1118" t="str">
        <f t="shared" ca="1" si="394"/>
        <v>Occupied</v>
      </c>
      <c r="AK1118">
        <f t="shared" ca="1" si="395"/>
        <v>1</v>
      </c>
    </row>
    <row r="1119" spans="1:37" x14ac:dyDescent="0.3">
      <c r="A1119" t="s">
        <v>5526</v>
      </c>
      <c r="B1119">
        <v>57</v>
      </c>
      <c r="C1119" t="s">
        <v>32</v>
      </c>
      <c r="D1119" t="s">
        <v>33</v>
      </c>
      <c r="E1119" t="s">
        <v>39</v>
      </c>
      <c r="F1119" s="1">
        <v>43985</v>
      </c>
      <c r="G1119" t="s">
        <v>2257</v>
      </c>
      <c r="H1119" t="s">
        <v>2258</v>
      </c>
      <c r="I1119" t="s">
        <v>36</v>
      </c>
      <c r="J1119">
        <v>25821</v>
      </c>
      <c r="K1119">
        <v>105</v>
      </c>
      <c r="L1119" t="s">
        <v>42</v>
      </c>
      <c r="M1119" s="1">
        <v>43993</v>
      </c>
      <c r="N1119" t="s">
        <v>22</v>
      </c>
      <c r="O1119" t="s">
        <v>43</v>
      </c>
      <c r="P1119" t="str">
        <f t="shared" si="378"/>
        <v>P1118</v>
      </c>
      <c r="Q1119" t="str">
        <f t="shared" si="374"/>
        <v>Endocrinology</v>
      </c>
      <c r="R1119">
        <f t="shared" si="375"/>
        <v>8</v>
      </c>
      <c r="S1119" t="str">
        <f t="shared" ca="1" si="379"/>
        <v>No</v>
      </c>
      <c r="T1119" t="str">
        <f t="shared" ca="1" si="380"/>
        <v>Critical</v>
      </c>
      <c r="U1119" t="str">
        <f t="shared" ca="1" si="381"/>
        <v>Emergency</v>
      </c>
      <c r="V1119" t="str">
        <f t="shared" si="382"/>
        <v>BED1118</v>
      </c>
      <c r="W1119" t="str">
        <f t="shared" ca="1" si="383"/>
        <v>Semi-Private</v>
      </c>
      <c r="X1119" t="str">
        <f t="shared" si="384"/>
        <v>NUR018</v>
      </c>
      <c r="Y1119" t="str">
        <f t="shared" ca="1" si="385"/>
        <v>Morning</v>
      </c>
      <c r="Z1119" t="str">
        <f t="shared" ca="1" si="386"/>
        <v>MRI Scanner</v>
      </c>
      <c r="AA1119" t="str">
        <f t="shared" ca="1" si="387"/>
        <v>In Use</v>
      </c>
      <c r="AB1119" t="str">
        <f t="shared" ca="1" si="388"/>
        <v>Paid</v>
      </c>
      <c r="AC1119" t="str">
        <f t="shared" ca="1" si="389"/>
        <v>Credit Card</v>
      </c>
      <c r="AD1119" t="str">
        <f t="shared" ca="1" si="390"/>
        <v>No</v>
      </c>
      <c r="AE1119" t="str">
        <f t="shared" ca="1" si="391"/>
        <v>No</v>
      </c>
      <c r="AF1119" t="str">
        <f t="shared" ca="1" si="392"/>
        <v>Transferred</v>
      </c>
      <c r="AG1119" t="str">
        <f t="shared" ca="1" si="393"/>
        <v>Southeast</v>
      </c>
      <c r="AH1119" t="str">
        <f t="shared" si="376"/>
        <v>June</v>
      </c>
      <c r="AI1119">
        <f t="shared" si="377"/>
        <v>2020</v>
      </c>
      <c r="AJ1119" t="str">
        <f t="shared" ca="1" si="394"/>
        <v>Occupied</v>
      </c>
      <c r="AK1119">
        <f t="shared" ca="1" si="395"/>
        <v>2</v>
      </c>
    </row>
    <row r="1120" spans="1:37" x14ac:dyDescent="0.3">
      <c r="A1120" t="s">
        <v>5527</v>
      </c>
      <c r="B1120">
        <v>55</v>
      </c>
      <c r="C1120" t="s">
        <v>15</v>
      </c>
      <c r="D1120" t="s">
        <v>38</v>
      </c>
      <c r="E1120" t="s">
        <v>39</v>
      </c>
      <c r="F1120" s="1">
        <v>44322</v>
      </c>
      <c r="G1120" t="s">
        <v>2259</v>
      </c>
      <c r="H1120" t="s">
        <v>2260</v>
      </c>
      <c r="I1120" t="s">
        <v>57</v>
      </c>
      <c r="J1120">
        <v>29428</v>
      </c>
      <c r="K1120">
        <v>286</v>
      </c>
      <c r="L1120" t="s">
        <v>21</v>
      </c>
      <c r="M1120" s="1">
        <v>44330</v>
      </c>
      <c r="N1120" t="s">
        <v>67</v>
      </c>
      <c r="O1120" t="s">
        <v>23</v>
      </c>
      <c r="P1120" t="str">
        <f t="shared" si="378"/>
        <v>P1119</v>
      </c>
      <c r="Q1120" t="str">
        <f t="shared" si="374"/>
        <v>Endocrinology</v>
      </c>
      <c r="R1120">
        <f t="shared" si="375"/>
        <v>8</v>
      </c>
      <c r="S1120" t="str">
        <f t="shared" ca="1" si="379"/>
        <v>No</v>
      </c>
      <c r="T1120" t="str">
        <f t="shared" ca="1" si="380"/>
        <v>Mild</v>
      </c>
      <c r="U1120" t="str">
        <f t="shared" ca="1" si="381"/>
        <v>Private Ward</v>
      </c>
      <c r="V1120" t="str">
        <f t="shared" si="382"/>
        <v>BED1119</v>
      </c>
      <c r="W1120" t="str">
        <f t="shared" ca="1" si="383"/>
        <v>ICU</v>
      </c>
      <c r="X1120" t="str">
        <f t="shared" si="384"/>
        <v>NUR019</v>
      </c>
      <c r="Y1120" t="str">
        <f t="shared" ca="1" si="385"/>
        <v>Night</v>
      </c>
      <c r="Z1120" t="str">
        <f t="shared" ca="1" si="386"/>
        <v>ECG Machine</v>
      </c>
      <c r="AA1120" t="str">
        <f t="shared" ca="1" si="387"/>
        <v>Maintenance</v>
      </c>
      <c r="AB1120" t="str">
        <f t="shared" ca="1" si="388"/>
        <v>Paid</v>
      </c>
      <c r="AC1120" t="str">
        <f t="shared" ca="1" si="389"/>
        <v>Bank Transfer</v>
      </c>
      <c r="AD1120" t="str">
        <f t="shared" ca="1" si="390"/>
        <v>No</v>
      </c>
      <c r="AE1120" t="str">
        <f t="shared" ca="1" si="391"/>
        <v>No</v>
      </c>
      <c r="AF1120" t="str">
        <f t="shared" ca="1" si="392"/>
        <v>Recovered</v>
      </c>
      <c r="AG1120" t="str">
        <f t="shared" ca="1" si="393"/>
        <v>West Coast</v>
      </c>
      <c r="AH1120" t="str">
        <f t="shared" si="376"/>
        <v>May</v>
      </c>
      <c r="AI1120">
        <f t="shared" si="377"/>
        <v>2021</v>
      </c>
      <c r="AJ1120" t="str">
        <f t="shared" ca="1" si="394"/>
        <v>Occupied</v>
      </c>
      <c r="AK1120">
        <f t="shared" ca="1" si="395"/>
        <v>2</v>
      </c>
    </row>
    <row r="1121" spans="1:37" x14ac:dyDescent="0.3">
      <c r="A1121" t="s">
        <v>5528</v>
      </c>
      <c r="B1121">
        <v>22</v>
      </c>
      <c r="C1121" t="s">
        <v>32</v>
      </c>
      <c r="D1121" t="s">
        <v>16</v>
      </c>
      <c r="E1121" t="s">
        <v>64</v>
      </c>
      <c r="F1121" s="1">
        <v>44157</v>
      </c>
      <c r="G1121" t="s">
        <v>2261</v>
      </c>
      <c r="H1121" t="s">
        <v>2262</v>
      </c>
      <c r="I1121" t="s">
        <v>20</v>
      </c>
      <c r="J1121">
        <v>13764</v>
      </c>
      <c r="K1121">
        <v>232</v>
      </c>
      <c r="L1121" t="s">
        <v>42</v>
      </c>
      <c r="M1121" s="1">
        <v>44162</v>
      </c>
      <c r="N1121" t="s">
        <v>67</v>
      </c>
      <c r="O1121" t="s">
        <v>23</v>
      </c>
      <c r="P1121" t="str">
        <f t="shared" si="378"/>
        <v>P1120</v>
      </c>
      <c r="Q1121" t="str">
        <f t="shared" si="374"/>
        <v>Cardiology</v>
      </c>
      <c r="R1121">
        <f t="shared" si="375"/>
        <v>5</v>
      </c>
      <c r="S1121" t="str">
        <f t="shared" ca="1" si="379"/>
        <v>No</v>
      </c>
      <c r="T1121" t="str">
        <f t="shared" ca="1" si="380"/>
        <v>Moderate</v>
      </c>
      <c r="U1121" t="str">
        <f t="shared" ca="1" si="381"/>
        <v>ICU</v>
      </c>
      <c r="V1121" t="str">
        <f t="shared" si="382"/>
        <v>BED1120</v>
      </c>
      <c r="W1121" t="str">
        <f t="shared" ca="1" si="383"/>
        <v>Private</v>
      </c>
      <c r="X1121" t="str">
        <f t="shared" si="384"/>
        <v>NUR020</v>
      </c>
      <c r="Y1121" t="str">
        <f t="shared" ca="1" si="385"/>
        <v>Night</v>
      </c>
      <c r="Z1121" t="str">
        <f t="shared" ca="1" si="386"/>
        <v>MRI Scanner</v>
      </c>
      <c r="AA1121" t="str">
        <f t="shared" ca="1" si="387"/>
        <v>Available</v>
      </c>
      <c r="AB1121" t="str">
        <f t="shared" ca="1" si="388"/>
        <v>Paid</v>
      </c>
      <c r="AC1121" t="str">
        <f t="shared" ca="1" si="389"/>
        <v>Cash</v>
      </c>
      <c r="AD1121" t="str">
        <f t="shared" ca="1" si="390"/>
        <v>No</v>
      </c>
      <c r="AE1121" t="str">
        <f t="shared" ca="1" si="391"/>
        <v>No</v>
      </c>
      <c r="AF1121" t="str">
        <f t="shared" ca="1" si="392"/>
        <v>Under Observation</v>
      </c>
      <c r="AG1121" t="str">
        <f t="shared" ca="1" si="393"/>
        <v>Southwest</v>
      </c>
      <c r="AH1121" t="str">
        <f t="shared" si="376"/>
        <v>November</v>
      </c>
      <c r="AI1121">
        <f t="shared" si="377"/>
        <v>2020</v>
      </c>
      <c r="AJ1121" t="str">
        <f t="shared" ca="1" si="394"/>
        <v>Occupied</v>
      </c>
      <c r="AK1121">
        <f t="shared" ca="1" si="395"/>
        <v>1</v>
      </c>
    </row>
    <row r="1122" spans="1:37" x14ac:dyDescent="0.3">
      <c r="A1122" t="s">
        <v>5529</v>
      </c>
      <c r="B1122">
        <v>46</v>
      </c>
      <c r="C1122" t="s">
        <v>32</v>
      </c>
      <c r="D1122" t="s">
        <v>44</v>
      </c>
      <c r="E1122" t="s">
        <v>64</v>
      </c>
      <c r="F1122" s="1">
        <v>44241</v>
      </c>
      <c r="G1122" t="s">
        <v>2263</v>
      </c>
      <c r="H1122" t="s">
        <v>2264</v>
      </c>
      <c r="I1122" t="s">
        <v>51</v>
      </c>
      <c r="J1122">
        <v>36135</v>
      </c>
      <c r="K1122">
        <v>175</v>
      </c>
      <c r="L1122" t="s">
        <v>42</v>
      </c>
      <c r="M1122" s="1">
        <v>44257</v>
      </c>
      <c r="N1122" t="s">
        <v>22</v>
      </c>
      <c r="O1122" t="s">
        <v>23</v>
      </c>
      <c r="P1122" t="str">
        <f t="shared" si="378"/>
        <v>P1121</v>
      </c>
      <c r="Q1122" t="str">
        <f t="shared" si="374"/>
        <v>Cardiology</v>
      </c>
      <c r="R1122">
        <f t="shared" si="375"/>
        <v>16</v>
      </c>
      <c r="S1122" t="str">
        <f t="shared" ca="1" si="379"/>
        <v>Yes</v>
      </c>
      <c r="T1122" t="str">
        <f t="shared" ca="1" si="380"/>
        <v>Mild</v>
      </c>
      <c r="U1122" t="str">
        <f t="shared" ca="1" si="381"/>
        <v>Private Ward</v>
      </c>
      <c r="V1122" t="str">
        <f t="shared" si="382"/>
        <v>BED1121</v>
      </c>
      <c r="W1122" t="str">
        <f t="shared" ca="1" si="383"/>
        <v>ICU</v>
      </c>
      <c r="X1122" t="str">
        <f t="shared" si="384"/>
        <v>NUR021</v>
      </c>
      <c r="Y1122" t="str">
        <f t="shared" ca="1" si="385"/>
        <v>Evening</v>
      </c>
      <c r="Z1122" t="str">
        <f t="shared" ca="1" si="386"/>
        <v>ECG Machine</v>
      </c>
      <c r="AA1122" t="str">
        <f t="shared" ca="1" si="387"/>
        <v>Available</v>
      </c>
      <c r="AB1122" t="str">
        <f t="shared" ca="1" si="388"/>
        <v>Partially Paid</v>
      </c>
      <c r="AC1122" t="str">
        <f t="shared" ca="1" si="389"/>
        <v>Credit Card</v>
      </c>
      <c r="AD1122" t="str">
        <f t="shared" ca="1" si="390"/>
        <v>No</v>
      </c>
      <c r="AE1122" t="str">
        <f t="shared" ca="1" si="391"/>
        <v>No</v>
      </c>
      <c r="AF1122" t="str">
        <f t="shared" ca="1" si="392"/>
        <v>Recovered</v>
      </c>
      <c r="AG1122" t="str">
        <f t="shared" ca="1" si="393"/>
        <v>Northeast</v>
      </c>
      <c r="AH1122" t="str">
        <f t="shared" si="376"/>
        <v>February</v>
      </c>
      <c r="AI1122">
        <f t="shared" si="377"/>
        <v>2021</v>
      </c>
      <c r="AJ1122" t="str">
        <f t="shared" ca="1" si="394"/>
        <v>Occupied</v>
      </c>
      <c r="AK1122">
        <f t="shared" ca="1" si="395"/>
        <v>1</v>
      </c>
    </row>
    <row r="1123" spans="1:37" x14ac:dyDescent="0.3">
      <c r="A1123" t="s">
        <v>5530</v>
      </c>
      <c r="B1123">
        <v>55</v>
      </c>
      <c r="C1123" t="s">
        <v>15</v>
      </c>
      <c r="D1123" t="s">
        <v>52</v>
      </c>
      <c r="E1123" t="s">
        <v>39</v>
      </c>
      <c r="F1123" s="1">
        <v>44785</v>
      </c>
      <c r="G1123" t="s">
        <v>2265</v>
      </c>
      <c r="H1123" t="s">
        <v>2266</v>
      </c>
      <c r="I1123" t="s">
        <v>36</v>
      </c>
      <c r="J1123">
        <v>1933</v>
      </c>
      <c r="K1123">
        <v>112</v>
      </c>
      <c r="L1123" t="s">
        <v>42</v>
      </c>
      <c r="M1123" s="1">
        <v>44789</v>
      </c>
      <c r="N1123" t="s">
        <v>37</v>
      </c>
      <c r="O1123" t="s">
        <v>23</v>
      </c>
      <c r="P1123" t="str">
        <f t="shared" si="378"/>
        <v>P1122</v>
      </c>
      <c r="Q1123" t="str">
        <f t="shared" si="374"/>
        <v>Endocrinology</v>
      </c>
      <c r="R1123">
        <f t="shared" si="375"/>
        <v>4</v>
      </c>
      <c r="S1123" t="str">
        <f t="shared" ca="1" si="379"/>
        <v>Yes</v>
      </c>
      <c r="T1123" t="str">
        <f t="shared" ca="1" si="380"/>
        <v>Moderate</v>
      </c>
      <c r="U1123" t="str">
        <f t="shared" ca="1" si="381"/>
        <v>Private Ward</v>
      </c>
      <c r="V1123" t="str">
        <f t="shared" si="382"/>
        <v>BED1122</v>
      </c>
      <c r="W1123" t="str">
        <f t="shared" ca="1" si="383"/>
        <v>Semi-Private</v>
      </c>
      <c r="X1123" t="str">
        <f t="shared" si="384"/>
        <v>NUR022</v>
      </c>
      <c r="Y1123" t="str">
        <f t="shared" ca="1" si="385"/>
        <v>Night</v>
      </c>
      <c r="Z1123" t="str">
        <f t="shared" ca="1" si="386"/>
        <v>Ventilator</v>
      </c>
      <c r="AA1123" t="str">
        <f t="shared" ca="1" si="387"/>
        <v>In Use</v>
      </c>
      <c r="AB1123" t="str">
        <f t="shared" ca="1" si="388"/>
        <v>Pending</v>
      </c>
      <c r="AC1123" t="str">
        <f t="shared" ca="1" si="389"/>
        <v>Credit Card</v>
      </c>
      <c r="AD1123" t="str">
        <f t="shared" ca="1" si="390"/>
        <v>No</v>
      </c>
      <c r="AE1123" t="str">
        <f t="shared" ca="1" si="391"/>
        <v>No</v>
      </c>
      <c r="AF1123" t="str">
        <f t="shared" ca="1" si="392"/>
        <v>Recovered</v>
      </c>
      <c r="AG1123" t="str">
        <f t="shared" ca="1" si="393"/>
        <v>West Coast</v>
      </c>
      <c r="AH1123" t="str">
        <f t="shared" si="376"/>
        <v>August</v>
      </c>
      <c r="AI1123">
        <f t="shared" si="377"/>
        <v>2022</v>
      </c>
      <c r="AJ1123" t="str">
        <f t="shared" ca="1" si="394"/>
        <v>Occupied</v>
      </c>
      <c r="AK1123">
        <f t="shared" ca="1" si="395"/>
        <v>4</v>
      </c>
    </row>
    <row r="1124" spans="1:37" x14ac:dyDescent="0.3">
      <c r="A1124" t="s">
        <v>5531</v>
      </c>
      <c r="B1124">
        <v>51</v>
      </c>
      <c r="C1124" t="s">
        <v>32</v>
      </c>
      <c r="D1124" t="s">
        <v>83</v>
      </c>
      <c r="E1124" t="s">
        <v>48</v>
      </c>
      <c r="F1124" s="1">
        <v>44963</v>
      </c>
      <c r="G1124" t="s">
        <v>2267</v>
      </c>
      <c r="H1124" t="s">
        <v>2268</v>
      </c>
      <c r="I1124" t="s">
        <v>28</v>
      </c>
      <c r="J1124">
        <v>48724</v>
      </c>
      <c r="K1124">
        <v>297</v>
      </c>
      <c r="L1124" t="s">
        <v>29</v>
      </c>
      <c r="M1124" s="1">
        <v>44987</v>
      </c>
      <c r="N1124" t="s">
        <v>47</v>
      </c>
      <c r="O1124" t="s">
        <v>43</v>
      </c>
      <c r="P1124" t="str">
        <f t="shared" si="378"/>
        <v>P1123</v>
      </c>
      <c r="Q1124" t="str">
        <f t="shared" si="374"/>
        <v>Pulmonology</v>
      </c>
      <c r="R1124">
        <f t="shared" si="375"/>
        <v>24</v>
      </c>
      <c r="S1124" t="str">
        <f t="shared" ca="1" si="379"/>
        <v>No</v>
      </c>
      <c r="T1124" t="str">
        <f t="shared" ca="1" si="380"/>
        <v>Severe</v>
      </c>
      <c r="U1124" t="str">
        <f t="shared" ca="1" si="381"/>
        <v>Semi-Private</v>
      </c>
      <c r="V1124" t="str">
        <f t="shared" si="382"/>
        <v>BED1123</v>
      </c>
      <c r="W1124" t="str">
        <f t="shared" ca="1" si="383"/>
        <v>ICU</v>
      </c>
      <c r="X1124" t="str">
        <f t="shared" si="384"/>
        <v>NUR023</v>
      </c>
      <c r="Y1124" t="str">
        <f t="shared" ca="1" si="385"/>
        <v>Morning</v>
      </c>
      <c r="Z1124" t="str">
        <f t="shared" ca="1" si="386"/>
        <v>Ultrasound</v>
      </c>
      <c r="AA1124" t="str">
        <f t="shared" ca="1" si="387"/>
        <v>In Use</v>
      </c>
      <c r="AB1124" t="str">
        <f t="shared" ca="1" si="388"/>
        <v>Pending</v>
      </c>
      <c r="AC1124" t="str">
        <f t="shared" ca="1" si="389"/>
        <v>Bank Transfer</v>
      </c>
      <c r="AD1124" t="str">
        <f t="shared" ca="1" si="390"/>
        <v>Yes</v>
      </c>
      <c r="AE1124" t="str">
        <f t="shared" ca="1" si="391"/>
        <v>No</v>
      </c>
      <c r="AF1124" t="str">
        <f t="shared" ca="1" si="392"/>
        <v>Recovered</v>
      </c>
      <c r="AG1124" t="str">
        <f t="shared" ca="1" si="393"/>
        <v>West Coast</v>
      </c>
      <c r="AH1124" t="str">
        <f t="shared" si="376"/>
        <v>February</v>
      </c>
      <c r="AI1124">
        <f t="shared" si="377"/>
        <v>2023</v>
      </c>
      <c r="AJ1124" t="str">
        <f t="shared" ca="1" si="394"/>
        <v>Occupied</v>
      </c>
      <c r="AK1124">
        <f t="shared" ca="1" si="395"/>
        <v>4</v>
      </c>
    </row>
    <row r="1125" spans="1:37" x14ac:dyDescent="0.3">
      <c r="A1125" t="s">
        <v>5532</v>
      </c>
      <c r="B1125">
        <v>80</v>
      </c>
      <c r="C1125" t="s">
        <v>32</v>
      </c>
      <c r="D1125" t="s">
        <v>83</v>
      </c>
      <c r="E1125" t="s">
        <v>76</v>
      </c>
      <c r="F1125" s="1">
        <v>44412</v>
      </c>
      <c r="G1125" t="s">
        <v>2269</v>
      </c>
      <c r="H1125" t="s">
        <v>2270</v>
      </c>
      <c r="I1125" t="s">
        <v>57</v>
      </c>
      <c r="J1125">
        <v>37114</v>
      </c>
      <c r="K1125">
        <v>143</v>
      </c>
      <c r="L1125" t="s">
        <v>21</v>
      </c>
      <c r="M1125" s="1">
        <v>44438</v>
      </c>
      <c r="N1125" t="s">
        <v>22</v>
      </c>
      <c r="O1125" t="s">
        <v>23</v>
      </c>
      <c r="P1125" t="str">
        <f t="shared" si="378"/>
        <v>P1124</v>
      </c>
      <c r="Q1125" t="str">
        <f t="shared" si="374"/>
        <v>Orthopedics</v>
      </c>
      <c r="R1125">
        <f t="shared" si="375"/>
        <v>26</v>
      </c>
      <c r="S1125" t="str">
        <f t="shared" ca="1" si="379"/>
        <v>No</v>
      </c>
      <c r="T1125" t="str">
        <f t="shared" ca="1" si="380"/>
        <v>Moderate</v>
      </c>
      <c r="U1125" t="str">
        <f t="shared" ca="1" si="381"/>
        <v>Semi-Private</v>
      </c>
      <c r="V1125" t="str">
        <f t="shared" si="382"/>
        <v>BED1124</v>
      </c>
      <c r="W1125" t="str">
        <f t="shared" ca="1" si="383"/>
        <v>Semi-Private</v>
      </c>
      <c r="X1125" t="str">
        <f t="shared" si="384"/>
        <v>NUR024</v>
      </c>
      <c r="Y1125" t="str">
        <f t="shared" ca="1" si="385"/>
        <v>Evening</v>
      </c>
      <c r="Z1125" t="str">
        <f t="shared" ca="1" si="386"/>
        <v>MRI Scanner</v>
      </c>
      <c r="AA1125" t="str">
        <f t="shared" ca="1" si="387"/>
        <v>In Use</v>
      </c>
      <c r="AB1125" t="str">
        <f t="shared" ca="1" si="388"/>
        <v>Partially Paid</v>
      </c>
      <c r="AC1125" t="str">
        <f t="shared" ca="1" si="389"/>
        <v>Credit Card</v>
      </c>
      <c r="AD1125" t="str">
        <f t="shared" ca="1" si="390"/>
        <v>No</v>
      </c>
      <c r="AE1125" t="str">
        <f t="shared" ca="1" si="391"/>
        <v>No</v>
      </c>
      <c r="AF1125" t="str">
        <f t="shared" ca="1" si="392"/>
        <v>Under Observation</v>
      </c>
      <c r="AG1125" t="str">
        <f t="shared" ca="1" si="393"/>
        <v>West Coast</v>
      </c>
      <c r="AH1125" t="str">
        <f t="shared" si="376"/>
        <v>August</v>
      </c>
      <c r="AI1125">
        <f t="shared" si="377"/>
        <v>2021</v>
      </c>
      <c r="AJ1125" t="str">
        <f t="shared" ca="1" si="394"/>
        <v>Vacant</v>
      </c>
      <c r="AK1125">
        <f t="shared" ca="1" si="395"/>
        <v>2</v>
      </c>
    </row>
    <row r="1126" spans="1:37" x14ac:dyDescent="0.3">
      <c r="A1126" t="s">
        <v>5533</v>
      </c>
      <c r="B1126">
        <v>67</v>
      </c>
      <c r="C1126" t="s">
        <v>32</v>
      </c>
      <c r="D1126" t="s">
        <v>24</v>
      </c>
      <c r="E1126" t="s">
        <v>48</v>
      </c>
      <c r="F1126" s="1">
        <v>44946</v>
      </c>
      <c r="G1126" t="s">
        <v>2271</v>
      </c>
      <c r="H1126" t="s">
        <v>2272</v>
      </c>
      <c r="I1126" t="s">
        <v>36</v>
      </c>
      <c r="J1126">
        <v>19190</v>
      </c>
      <c r="K1126">
        <v>415</v>
      </c>
      <c r="L1126" t="s">
        <v>42</v>
      </c>
      <c r="M1126" s="1">
        <v>44959</v>
      </c>
      <c r="N1126" t="s">
        <v>30</v>
      </c>
      <c r="O1126" t="s">
        <v>43</v>
      </c>
      <c r="P1126" t="str">
        <f t="shared" si="378"/>
        <v>P1125</v>
      </c>
      <c r="Q1126" t="str">
        <f t="shared" si="374"/>
        <v>Pulmonology</v>
      </c>
      <c r="R1126">
        <f t="shared" si="375"/>
        <v>13</v>
      </c>
      <c r="S1126" t="str">
        <f t="shared" ca="1" si="379"/>
        <v>No</v>
      </c>
      <c r="T1126" t="str">
        <f t="shared" ca="1" si="380"/>
        <v>Severe</v>
      </c>
      <c r="U1126" t="str">
        <f t="shared" ca="1" si="381"/>
        <v>Semi-Private</v>
      </c>
      <c r="V1126" t="str">
        <f t="shared" si="382"/>
        <v>BED1125</v>
      </c>
      <c r="W1126" t="str">
        <f t="shared" ca="1" si="383"/>
        <v>ICU</v>
      </c>
      <c r="X1126" t="str">
        <f t="shared" si="384"/>
        <v>NUR025</v>
      </c>
      <c r="Y1126" t="str">
        <f t="shared" ca="1" si="385"/>
        <v>Morning</v>
      </c>
      <c r="Z1126" t="str">
        <f t="shared" ca="1" si="386"/>
        <v>CT Scanner</v>
      </c>
      <c r="AA1126" t="str">
        <f t="shared" ca="1" si="387"/>
        <v>Available</v>
      </c>
      <c r="AB1126" t="str">
        <f t="shared" ca="1" si="388"/>
        <v>Partially Paid</v>
      </c>
      <c r="AC1126" t="str">
        <f t="shared" ca="1" si="389"/>
        <v>Cash</v>
      </c>
      <c r="AD1126" t="str">
        <f t="shared" ca="1" si="390"/>
        <v>No</v>
      </c>
      <c r="AE1126" t="str">
        <f t="shared" ca="1" si="391"/>
        <v>No</v>
      </c>
      <c r="AF1126" t="str">
        <f t="shared" ca="1" si="392"/>
        <v>Recovered</v>
      </c>
      <c r="AG1126" t="str">
        <f t="shared" ca="1" si="393"/>
        <v>Midwest</v>
      </c>
      <c r="AH1126" t="str">
        <f t="shared" si="376"/>
        <v>January</v>
      </c>
      <c r="AI1126">
        <f t="shared" si="377"/>
        <v>2023</v>
      </c>
      <c r="AJ1126" t="str">
        <f t="shared" ca="1" si="394"/>
        <v>Occupied</v>
      </c>
      <c r="AK1126">
        <f t="shared" ca="1" si="395"/>
        <v>1</v>
      </c>
    </row>
    <row r="1127" spans="1:37" x14ac:dyDescent="0.3">
      <c r="A1127" t="s">
        <v>5534</v>
      </c>
      <c r="B1127">
        <v>21</v>
      </c>
      <c r="C1127" t="s">
        <v>32</v>
      </c>
      <c r="D1127" t="s">
        <v>98</v>
      </c>
      <c r="E1127" t="s">
        <v>76</v>
      </c>
      <c r="F1127" s="1">
        <v>44267</v>
      </c>
      <c r="G1127" t="s">
        <v>2273</v>
      </c>
      <c r="H1127" t="s">
        <v>2274</v>
      </c>
      <c r="I1127" t="s">
        <v>57</v>
      </c>
      <c r="J1127">
        <v>42247</v>
      </c>
      <c r="K1127">
        <v>334</v>
      </c>
      <c r="L1127" t="s">
        <v>21</v>
      </c>
      <c r="M1127" s="1">
        <v>44297</v>
      </c>
      <c r="N1127" t="s">
        <v>47</v>
      </c>
      <c r="O1127" t="s">
        <v>31</v>
      </c>
      <c r="P1127" t="str">
        <f t="shared" si="378"/>
        <v>P1126</v>
      </c>
      <c r="Q1127" t="str">
        <f t="shared" si="374"/>
        <v>Orthopedics</v>
      </c>
      <c r="R1127">
        <f t="shared" si="375"/>
        <v>30</v>
      </c>
      <c r="S1127" t="str">
        <f t="shared" ca="1" si="379"/>
        <v>No</v>
      </c>
      <c r="T1127" t="str">
        <f t="shared" ca="1" si="380"/>
        <v>Severe</v>
      </c>
      <c r="U1127" t="str">
        <f t="shared" ca="1" si="381"/>
        <v>General Ward</v>
      </c>
      <c r="V1127" t="str">
        <f t="shared" si="382"/>
        <v>BED1126</v>
      </c>
      <c r="W1127" t="str">
        <f t="shared" ca="1" si="383"/>
        <v>Semi-Private</v>
      </c>
      <c r="X1127" t="str">
        <f t="shared" si="384"/>
        <v>NUR026</v>
      </c>
      <c r="Y1127" t="str">
        <f t="shared" ca="1" si="385"/>
        <v>Evening</v>
      </c>
      <c r="Z1127" t="str">
        <f t="shared" ca="1" si="386"/>
        <v>Ventilator</v>
      </c>
      <c r="AA1127" t="str">
        <f t="shared" ca="1" si="387"/>
        <v>Maintenance</v>
      </c>
      <c r="AB1127" t="str">
        <f t="shared" ca="1" si="388"/>
        <v>Pending</v>
      </c>
      <c r="AC1127" t="str">
        <f t="shared" ca="1" si="389"/>
        <v>Cash</v>
      </c>
      <c r="AD1127" t="str">
        <f t="shared" ca="1" si="390"/>
        <v>No</v>
      </c>
      <c r="AE1127" t="str">
        <f t="shared" ca="1" si="391"/>
        <v>No</v>
      </c>
      <c r="AF1127" t="str">
        <f t="shared" ca="1" si="392"/>
        <v>Transferred</v>
      </c>
      <c r="AG1127" t="str">
        <f t="shared" ca="1" si="393"/>
        <v>West Coast</v>
      </c>
      <c r="AH1127" t="str">
        <f t="shared" si="376"/>
        <v>March</v>
      </c>
      <c r="AI1127">
        <f t="shared" si="377"/>
        <v>2021</v>
      </c>
      <c r="AJ1127" t="str">
        <f t="shared" ca="1" si="394"/>
        <v>Occupied</v>
      </c>
      <c r="AK1127">
        <f t="shared" ca="1" si="395"/>
        <v>4</v>
      </c>
    </row>
    <row r="1128" spans="1:37" x14ac:dyDescent="0.3">
      <c r="A1128" t="s">
        <v>5535</v>
      </c>
      <c r="B1128">
        <v>71</v>
      </c>
      <c r="C1128" t="s">
        <v>15</v>
      </c>
      <c r="D1128" t="s">
        <v>98</v>
      </c>
      <c r="E1128" t="s">
        <v>76</v>
      </c>
      <c r="F1128" s="1">
        <v>44604</v>
      </c>
      <c r="G1128" t="s">
        <v>2275</v>
      </c>
      <c r="H1128" t="s">
        <v>2276</v>
      </c>
      <c r="I1128" t="s">
        <v>57</v>
      </c>
      <c r="J1128">
        <v>12069</v>
      </c>
      <c r="K1128">
        <v>472</v>
      </c>
      <c r="L1128" t="s">
        <v>29</v>
      </c>
      <c r="M1128" s="1">
        <v>44617</v>
      </c>
      <c r="N1128" t="s">
        <v>30</v>
      </c>
      <c r="O1128" t="s">
        <v>43</v>
      </c>
      <c r="P1128" t="str">
        <f t="shared" si="378"/>
        <v>P1127</v>
      </c>
      <c r="Q1128" t="str">
        <f t="shared" si="374"/>
        <v>Orthopedics</v>
      </c>
      <c r="R1128">
        <f t="shared" si="375"/>
        <v>13</v>
      </c>
      <c r="S1128" t="str">
        <f t="shared" ca="1" si="379"/>
        <v>No</v>
      </c>
      <c r="T1128" t="str">
        <f t="shared" ca="1" si="380"/>
        <v>Moderate</v>
      </c>
      <c r="U1128" t="str">
        <f t="shared" ca="1" si="381"/>
        <v>Private Ward</v>
      </c>
      <c r="V1128" t="str">
        <f t="shared" si="382"/>
        <v>BED1127</v>
      </c>
      <c r="W1128" t="str">
        <f t="shared" ca="1" si="383"/>
        <v>Semi-Private</v>
      </c>
      <c r="X1128" t="str">
        <f t="shared" si="384"/>
        <v>NUR027</v>
      </c>
      <c r="Y1128" t="str">
        <f t="shared" ca="1" si="385"/>
        <v>Evening</v>
      </c>
      <c r="Z1128" t="str">
        <f t="shared" ca="1" si="386"/>
        <v>X-Ray</v>
      </c>
      <c r="AA1128" t="str">
        <f t="shared" ca="1" si="387"/>
        <v>In Use</v>
      </c>
      <c r="AB1128" t="str">
        <f t="shared" ca="1" si="388"/>
        <v>Paid</v>
      </c>
      <c r="AC1128" t="str">
        <f t="shared" ca="1" si="389"/>
        <v>Bank Transfer</v>
      </c>
      <c r="AD1128" t="str">
        <f t="shared" ca="1" si="390"/>
        <v>Yes</v>
      </c>
      <c r="AE1128" t="str">
        <f t="shared" ca="1" si="391"/>
        <v>No</v>
      </c>
      <c r="AF1128" t="str">
        <f t="shared" ca="1" si="392"/>
        <v>Under Observation</v>
      </c>
      <c r="AG1128" t="str">
        <f t="shared" ca="1" si="393"/>
        <v>Northeast</v>
      </c>
      <c r="AH1128" t="str">
        <f t="shared" si="376"/>
        <v>February</v>
      </c>
      <c r="AI1128">
        <f t="shared" si="377"/>
        <v>2022</v>
      </c>
      <c r="AJ1128" t="str">
        <f t="shared" ca="1" si="394"/>
        <v>Occupied</v>
      </c>
      <c r="AK1128">
        <f t="shared" ca="1" si="395"/>
        <v>4</v>
      </c>
    </row>
    <row r="1129" spans="1:37" x14ac:dyDescent="0.3">
      <c r="A1129" t="s">
        <v>5536</v>
      </c>
      <c r="B1129">
        <v>54</v>
      </c>
      <c r="C1129" t="s">
        <v>32</v>
      </c>
      <c r="D1129" t="s">
        <v>24</v>
      </c>
      <c r="E1129" t="s">
        <v>64</v>
      </c>
      <c r="F1129" s="1">
        <v>44728</v>
      </c>
      <c r="G1129" t="s">
        <v>2277</v>
      </c>
      <c r="H1129" t="s">
        <v>2278</v>
      </c>
      <c r="I1129" t="s">
        <v>51</v>
      </c>
      <c r="J1129">
        <v>33835</v>
      </c>
      <c r="K1129">
        <v>472</v>
      </c>
      <c r="L1129" t="s">
        <v>29</v>
      </c>
      <c r="M1129" s="1">
        <v>44744</v>
      </c>
      <c r="N1129" t="s">
        <v>30</v>
      </c>
      <c r="O1129" t="s">
        <v>31</v>
      </c>
      <c r="P1129" t="str">
        <f t="shared" si="378"/>
        <v>P1128</v>
      </c>
      <c r="Q1129" t="str">
        <f t="shared" si="374"/>
        <v>Cardiology</v>
      </c>
      <c r="R1129">
        <f t="shared" si="375"/>
        <v>16</v>
      </c>
      <c r="S1129" t="str">
        <f t="shared" ca="1" si="379"/>
        <v>No</v>
      </c>
      <c r="T1129" t="str">
        <f t="shared" ca="1" si="380"/>
        <v>Moderate</v>
      </c>
      <c r="U1129" t="str">
        <f t="shared" ca="1" si="381"/>
        <v>Semi-Private</v>
      </c>
      <c r="V1129" t="str">
        <f t="shared" si="382"/>
        <v>BED1128</v>
      </c>
      <c r="W1129" t="str">
        <f t="shared" ca="1" si="383"/>
        <v>Private</v>
      </c>
      <c r="X1129" t="str">
        <f t="shared" si="384"/>
        <v>NUR028</v>
      </c>
      <c r="Y1129" t="str">
        <f t="shared" ca="1" si="385"/>
        <v>Night</v>
      </c>
      <c r="Z1129" t="str">
        <f t="shared" ca="1" si="386"/>
        <v>MRI Scanner</v>
      </c>
      <c r="AA1129" t="str">
        <f t="shared" ca="1" si="387"/>
        <v>In Use</v>
      </c>
      <c r="AB1129" t="str">
        <f t="shared" ca="1" si="388"/>
        <v>Partially Paid</v>
      </c>
      <c r="AC1129" t="str">
        <f t="shared" ca="1" si="389"/>
        <v>Cash</v>
      </c>
      <c r="AD1129" t="str">
        <f t="shared" ca="1" si="390"/>
        <v>No</v>
      </c>
      <c r="AE1129" t="str">
        <f t="shared" ca="1" si="391"/>
        <v>No</v>
      </c>
      <c r="AF1129" t="str">
        <f t="shared" ca="1" si="392"/>
        <v>Under Observation</v>
      </c>
      <c r="AG1129" t="str">
        <f t="shared" ca="1" si="393"/>
        <v>Southwest</v>
      </c>
      <c r="AH1129" t="str">
        <f t="shared" si="376"/>
        <v>June</v>
      </c>
      <c r="AI1129">
        <f t="shared" si="377"/>
        <v>2022</v>
      </c>
      <c r="AJ1129" t="str">
        <f t="shared" ca="1" si="394"/>
        <v>Occupied</v>
      </c>
      <c r="AK1129">
        <f t="shared" ca="1" si="395"/>
        <v>4</v>
      </c>
    </row>
    <row r="1130" spans="1:37" x14ac:dyDescent="0.3">
      <c r="A1130" t="s">
        <v>5537</v>
      </c>
      <c r="B1130">
        <v>85</v>
      </c>
      <c r="C1130" t="s">
        <v>32</v>
      </c>
      <c r="D1130" t="s">
        <v>44</v>
      </c>
      <c r="E1130" t="s">
        <v>64</v>
      </c>
      <c r="F1130" s="1">
        <v>43826</v>
      </c>
      <c r="G1130" t="s">
        <v>2279</v>
      </c>
      <c r="H1130" t="s">
        <v>2280</v>
      </c>
      <c r="I1130" t="s">
        <v>57</v>
      </c>
      <c r="J1130">
        <v>13925</v>
      </c>
      <c r="K1130">
        <v>147</v>
      </c>
      <c r="L1130" t="s">
        <v>42</v>
      </c>
      <c r="M1130" s="1">
        <v>43853</v>
      </c>
      <c r="N1130" t="s">
        <v>67</v>
      </c>
      <c r="O1130" t="s">
        <v>23</v>
      </c>
      <c r="P1130" t="str">
        <f t="shared" si="378"/>
        <v>P1129</v>
      </c>
      <c r="Q1130" t="str">
        <f t="shared" si="374"/>
        <v>Cardiology</v>
      </c>
      <c r="R1130">
        <f t="shared" si="375"/>
        <v>27</v>
      </c>
      <c r="S1130" t="str">
        <f t="shared" ca="1" si="379"/>
        <v>Yes</v>
      </c>
      <c r="T1130" t="str">
        <f t="shared" ca="1" si="380"/>
        <v>Critical</v>
      </c>
      <c r="U1130" t="str">
        <f t="shared" ca="1" si="381"/>
        <v>ICU</v>
      </c>
      <c r="V1130" t="str">
        <f t="shared" si="382"/>
        <v>BED1129</v>
      </c>
      <c r="W1130" t="str">
        <f t="shared" ca="1" si="383"/>
        <v>Private</v>
      </c>
      <c r="X1130" t="str">
        <f t="shared" si="384"/>
        <v>NUR029</v>
      </c>
      <c r="Y1130" t="str">
        <f t="shared" ca="1" si="385"/>
        <v>Night</v>
      </c>
      <c r="Z1130" t="str">
        <f t="shared" ca="1" si="386"/>
        <v>CT Scanner</v>
      </c>
      <c r="AA1130" t="str">
        <f t="shared" ca="1" si="387"/>
        <v>Available</v>
      </c>
      <c r="AB1130" t="str">
        <f t="shared" ca="1" si="388"/>
        <v>Partially Paid</v>
      </c>
      <c r="AC1130" t="str">
        <f t="shared" ca="1" si="389"/>
        <v>Bank Transfer</v>
      </c>
      <c r="AD1130" t="str">
        <f t="shared" ca="1" si="390"/>
        <v>No</v>
      </c>
      <c r="AE1130" t="str">
        <f t="shared" ca="1" si="391"/>
        <v>Yes</v>
      </c>
      <c r="AF1130" t="str">
        <f t="shared" ca="1" si="392"/>
        <v>Transferred</v>
      </c>
      <c r="AG1130" t="str">
        <f t="shared" ca="1" si="393"/>
        <v>West Coast</v>
      </c>
      <c r="AH1130" t="str">
        <f t="shared" si="376"/>
        <v>December</v>
      </c>
      <c r="AI1130">
        <f t="shared" si="377"/>
        <v>2019</v>
      </c>
      <c r="AJ1130" t="str">
        <f t="shared" ca="1" si="394"/>
        <v>Occupied</v>
      </c>
      <c r="AK1130">
        <f t="shared" ca="1" si="395"/>
        <v>1</v>
      </c>
    </row>
    <row r="1131" spans="1:37" x14ac:dyDescent="0.3">
      <c r="A1131" t="s">
        <v>5538</v>
      </c>
      <c r="B1131">
        <v>73</v>
      </c>
      <c r="C1131" t="s">
        <v>15</v>
      </c>
      <c r="D1131" t="s">
        <v>33</v>
      </c>
      <c r="E1131" t="s">
        <v>76</v>
      </c>
      <c r="F1131" s="1">
        <v>44581</v>
      </c>
      <c r="G1131" t="s">
        <v>2281</v>
      </c>
      <c r="H1131" t="s">
        <v>2282</v>
      </c>
      <c r="I1131" t="s">
        <v>28</v>
      </c>
      <c r="J1131">
        <v>37323</v>
      </c>
      <c r="K1131">
        <v>390</v>
      </c>
      <c r="L1131" t="s">
        <v>42</v>
      </c>
      <c r="M1131" s="1">
        <v>44594</v>
      </c>
      <c r="N1131" t="s">
        <v>67</v>
      </c>
      <c r="O1131" t="s">
        <v>43</v>
      </c>
      <c r="P1131" t="str">
        <f t="shared" si="378"/>
        <v>P1130</v>
      </c>
      <c r="Q1131" t="str">
        <f t="shared" si="374"/>
        <v>Orthopedics</v>
      </c>
      <c r="R1131">
        <f t="shared" si="375"/>
        <v>13</v>
      </c>
      <c r="S1131" t="str">
        <f t="shared" ca="1" si="379"/>
        <v>No</v>
      </c>
      <c r="T1131" t="str">
        <f t="shared" ca="1" si="380"/>
        <v>Critical</v>
      </c>
      <c r="U1131" t="str">
        <f t="shared" ca="1" si="381"/>
        <v>Private Ward</v>
      </c>
      <c r="V1131" t="str">
        <f t="shared" si="382"/>
        <v>BED1130</v>
      </c>
      <c r="W1131" t="str">
        <f t="shared" ca="1" si="383"/>
        <v>Semi-Private</v>
      </c>
      <c r="X1131" t="str">
        <f t="shared" si="384"/>
        <v>NUR030</v>
      </c>
      <c r="Y1131" t="str">
        <f t="shared" ca="1" si="385"/>
        <v>Evening</v>
      </c>
      <c r="Z1131" t="str">
        <f t="shared" ca="1" si="386"/>
        <v>CT Scanner</v>
      </c>
      <c r="AA1131" t="str">
        <f t="shared" ca="1" si="387"/>
        <v>In Use</v>
      </c>
      <c r="AB1131" t="str">
        <f t="shared" ca="1" si="388"/>
        <v>Partially Paid</v>
      </c>
      <c r="AC1131" t="str">
        <f t="shared" ca="1" si="389"/>
        <v>Insurance</v>
      </c>
      <c r="AD1131" t="str">
        <f t="shared" ca="1" si="390"/>
        <v>Yes</v>
      </c>
      <c r="AE1131" t="str">
        <f t="shared" ca="1" si="391"/>
        <v>No</v>
      </c>
      <c r="AF1131" t="str">
        <f t="shared" ca="1" si="392"/>
        <v>Transferred</v>
      </c>
      <c r="AG1131" t="str">
        <f t="shared" ca="1" si="393"/>
        <v>Southwest</v>
      </c>
      <c r="AH1131" t="str">
        <f t="shared" si="376"/>
        <v>January</v>
      </c>
      <c r="AI1131">
        <f t="shared" si="377"/>
        <v>2022</v>
      </c>
      <c r="AJ1131" t="str">
        <f t="shared" ca="1" si="394"/>
        <v>Vacant</v>
      </c>
      <c r="AK1131">
        <f t="shared" ca="1" si="395"/>
        <v>4</v>
      </c>
    </row>
    <row r="1132" spans="1:37" x14ac:dyDescent="0.3">
      <c r="A1132" t="s">
        <v>5539</v>
      </c>
      <c r="B1132">
        <v>21</v>
      </c>
      <c r="C1132" t="s">
        <v>15</v>
      </c>
      <c r="D1132" t="s">
        <v>24</v>
      </c>
      <c r="E1132" t="s">
        <v>17</v>
      </c>
      <c r="F1132" s="1">
        <v>44816</v>
      </c>
      <c r="G1132" t="s">
        <v>2283</v>
      </c>
      <c r="H1132" t="s">
        <v>2284</v>
      </c>
      <c r="I1132" t="s">
        <v>57</v>
      </c>
      <c r="J1132">
        <v>32541</v>
      </c>
      <c r="K1132">
        <v>305</v>
      </c>
      <c r="L1132" t="s">
        <v>29</v>
      </c>
      <c r="M1132" s="1">
        <v>44823</v>
      </c>
      <c r="N1132" t="s">
        <v>30</v>
      </c>
      <c r="O1132" t="s">
        <v>43</v>
      </c>
      <c r="P1132" t="str">
        <f t="shared" si="378"/>
        <v>P1131</v>
      </c>
      <c r="Q1132" t="str">
        <f t="shared" si="374"/>
        <v>Oncology</v>
      </c>
      <c r="R1132">
        <f t="shared" si="375"/>
        <v>7</v>
      </c>
      <c r="S1132" t="str">
        <f t="shared" ca="1" si="379"/>
        <v>No</v>
      </c>
      <c r="T1132" t="str">
        <f t="shared" ca="1" si="380"/>
        <v>Critical</v>
      </c>
      <c r="U1132" t="str">
        <f t="shared" ca="1" si="381"/>
        <v>Emergency</v>
      </c>
      <c r="V1132" t="str">
        <f t="shared" si="382"/>
        <v>BED1131</v>
      </c>
      <c r="W1132" t="str">
        <f t="shared" ca="1" si="383"/>
        <v>Semi-Private</v>
      </c>
      <c r="X1132" t="str">
        <f t="shared" si="384"/>
        <v>NUR031</v>
      </c>
      <c r="Y1132" t="str">
        <f t="shared" ca="1" si="385"/>
        <v>Morning</v>
      </c>
      <c r="Z1132" t="str">
        <f t="shared" ca="1" si="386"/>
        <v>Ultrasound</v>
      </c>
      <c r="AA1132" t="str">
        <f t="shared" ca="1" si="387"/>
        <v>Available</v>
      </c>
      <c r="AB1132" t="str">
        <f t="shared" ca="1" si="388"/>
        <v>Pending</v>
      </c>
      <c r="AC1132" t="str">
        <f t="shared" ca="1" si="389"/>
        <v>Cash</v>
      </c>
      <c r="AD1132" t="str">
        <f t="shared" ca="1" si="390"/>
        <v>No</v>
      </c>
      <c r="AE1132" t="str">
        <f t="shared" ca="1" si="391"/>
        <v>No</v>
      </c>
      <c r="AF1132" t="str">
        <f t="shared" ca="1" si="392"/>
        <v>Transferred</v>
      </c>
      <c r="AG1132" t="str">
        <f t="shared" ca="1" si="393"/>
        <v>West Coast</v>
      </c>
      <c r="AH1132" t="str">
        <f t="shared" si="376"/>
        <v>September</v>
      </c>
      <c r="AI1132">
        <f t="shared" si="377"/>
        <v>2022</v>
      </c>
      <c r="AJ1132" t="str">
        <f t="shared" ca="1" si="394"/>
        <v>Occupied</v>
      </c>
      <c r="AK1132">
        <f t="shared" ca="1" si="395"/>
        <v>2</v>
      </c>
    </row>
    <row r="1133" spans="1:37" x14ac:dyDescent="0.3">
      <c r="A1133" t="s">
        <v>5540</v>
      </c>
      <c r="B1133">
        <v>41</v>
      </c>
      <c r="C1133" t="s">
        <v>15</v>
      </c>
      <c r="D1133" t="s">
        <v>44</v>
      </c>
      <c r="E1133" t="s">
        <v>64</v>
      </c>
      <c r="F1133" s="1">
        <v>44182</v>
      </c>
      <c r="G1133" t="s">
        <v>2285</v>
      </c>
      <c r="H1133" t="s">
        <v>2286</v>
      </c>
      <c r="I1133" t="s">
        <v>20</v>
      </c>
      <c r="J1133">
        <v>1538</v>
      </c>
      <c r="K1133">
        <v>258</v>
      </c>
      <c r="L1133" t="s">
        <v>29</v>
      </c>
      <c r="M1133" s="1">
        <v>44185</v>
      </c>
      <c r="N1133" t="s">
        <v>67</v>
      </c>
      <c r="O1133" t="s">
        <v>23</v>
      </c>
      <c r="P1133" t="str">
        <f t="shared" si="378"/>
        <v>P1132</v>
      </c>
      <c r="Q1133" t="str">
        <f t="shared" si="374"/>
        <v>Cardiology</v>
      </c>
      <c r="R1133">
        <f t="shared" si="375"/>
        <v>3</v>
      </c>
      <c r="S1133" t="str">
        <f t="shared" ca="1" si="379"/>
        <v>No</v>
      </c>
      <c r="T1133" t="str">
        <f t="shared" ca="1" si="380"/>
        <v>Moderate</v>
      </c>
      <c r="U1133" t="str">
        <f t="shared" ca="1" si="381"/>
        <v>Semi-Private</v>
      </c>
      <c r="V1133" t="str">
        <f t="shared" si="382"/>
        <v>BED1132</v>
      </c>
      <c r="W1133" t="str">
        <f t="shared" ca="1" si="383"/>
        <v>General</v>
      </c>
      <c r="X1133" t="str">
        <f t="shared" si="384"/>
        <v>NUR032</v>
      </c>
      <c r="Y1133" t="str">
        <f t="shared" ca="1" si="385"/>
        <v>Evening</v>
      </c>
      <c r="Z1133" t="str">
        <f t="shared" ca="1" si="386"/>
        <v>Ultrasound</v>
      </c>
      <c r="AA1133" t="str">
        <f t="shared" ca="1" si="387"/>
        <v>Available</v>
      </c>
      <c r="AB1133" t="str">
        <f t="shared" ca="1" si="388"/>
        <v>Pending</v>
      </c>
      <c r="AC1133" t="str">
        <f t="shared" ca="1" si="389"/>
        <v>Debit Card</v>
      </c>
      <c r="AD1133" t="str">
        <f t="shared" ca="1" si="390"/>
        <v>No</v>
      </c>
      <c r="AE1133" t="str">
        <f t="shared" ca="1" si="391"/>
        <v>No</v>
      </c>
      <c r="AF1133" t="str">
        <f t="shared" ca="1" si="392"/>
        <v>Recovered</v>
      </c>
      <c r="AG1133" t="str">
        <f t="shared" ca="1" si="393"/>
        <v>Northeast</v>
      </c>
      <c r="AH1133" t="str">
        <f t="shared" si="376"/>
        <v>December</v>
      </c>
      <c r="AI1133">
        <f t="shared" si="377"/>
        <v>2020</v>
      </c>
      <c r="AJ1133" t="str">
        <f t="shared" ca="1" si="394"/>
        <v>Occupied</v>
      </c>
      <c r="AK1133">
        <f t="shared" ca="1" si="395"/>
        <v>1</v>
      </c>
    </row>
    <row r="1134" spans="1:37" x14ac:dyDescent="0.3">
      <c r="A1134" t="s">
        <v>5541</v>
      </c>
      <c r="B1134">
        <v>63</v>
      </c>
      <c r="C1134" t="s">
        <v>15</v>
      </c>
      <c r="D1134" t="s">
        <v>24</v>
      </c>
      <c r="E1134" t="s">
        <v>25</v>
      </c>
      <c r="F1134" s="1">
        <v>44571</v>
      </c>
      <c r="G1134" t="s">
        <v>2287</v>
      </c>
      <c r="H1134" t="s">
        <v>2288</v>
      </c>
      <c r="I1134" t="s">
        <v>57</v>
      </c>
      <c r="J1134">
        <v>33450</v>
      </c>
      <c r="K1134">
        <v>301</v>
      </c>
      <c r="L1134" t="s">
        <v>42</v>
      </c>
      <c r="M1134" s="1">
        <v>44573</v>
      </c>
      <c r="N1134" t="s">
        <v>37</v>
      </c>
      <c r="O1134" t="s">
        <v>23</v>
      </c>
      <c r="P1134" t="str">
        <f t="shared" si="378"/>
        <v>P1133</v>
      </c>
      <c r="Q1134" t="str">
        <f t="shared" si="374"/>
        <v>Nutrition</v>
      </c>
      <c r="R1134">
        <f t="shared" si="375"/>
        <v>2</v>
      </c>
      <c r="S1134" t="str">
        <f t="shared" ca="1" si="379"/>
        <v>No</v>
      </c>
      <c r="T1134" t="str">
        <f t="shared" ca="1" si="380"/>
        <v>Moderate</v>
      </c>
      <c r="U1134" t="str">
        <f t="shared" ca="1" si="381"/>
        <v>ICU</v>
      </c>
      <c r="V1134" t="str">
        <f t="shared" si="382"/>
        <v>BED1133</v>
      </c>
      <c r="W1134" t="str">
        <f t="shared" ca="1" si="383"/>
        <v>ICU</v>
      </c>
      <c r="X1134" t="str">
        <f t="shared" si="384"/>
        <v>NUR033</v>
      </c>
      <c r="Y1134" t="str">
        <f t="shared" ca="1" si="385"/>
        <v>Night</v>
      </c>
      <c r="Z1134" t="str">
        <f t="shared" ca="1" si="386"/>
        <v>CT Scanner</v>
      </c>
      <c r="AA1134" t="str">
        <f t="shared" ca="1" si="387"/>
        <v>In Use</v>
      </c>
      <c r="AB1134" t="str">
        <f t="shared" ca="1" si="388"/>
        <v>Pending</v>
      </c>
      <c r="AC1134" t="str">
        <f t="shared" ca="1" si="389"/>
        <v>Bank Transfer</v>
      </c>
      <c r="AD1134" t="str">
        <f t="shared" ca="1" si="390"/>
        <v>Yes</v>
      </c>
      <c r="AE1134" t="str">
        <f t="shared" ca="1" si="391"/>
        <v>No</v>
      </c>
      <c r="AF1134" t="str">
        <f t="shared" ca="1" si="392"/>
        <v>Under Observation</v>
      </c>
      <c r="AG1134" t="str">
        <f t="shared" ca="1" si="393"/>
        <v>Midwest</v>
      </c>
      <c r="AH1134" t="str">
        <f t="shared" si="376"/>
        <v>January</v>
      </c>
      <c r="AI1134">
        <f t="shared" si="377"/>
        <v>2022</v>
      </c>
      <c r="AJ1134" t="str">
        <f t="shared" ca="1" si="394"/>
        <v>Vacant</v>
      </c>
      <c r="AK1134">
        <f t="shared" ca="1" si="395"/>
        <v>4</v>
      </c>
    </row>
    <row r="1135" spans="1:37" x14ac:dyDescent="0.3">
      <c r="A1135" t="s">
        <v>5542</v>
      </c>
      <c r="B1135">
        <v>21</v>
      </c>
      <c r="C1135" t="s">
        <v>32</v>
      </c>
      <c r="D1135" t="s">
        <v>16</v>
      </c>
      <c r="E1135" t="s">
        <v>48</v>
      </c>
      <c r="F1135" s="1">
        <v>45306</v>
      </c>
      <c r="G1135" t="s">
        <v>2289</v>
      </c>
      <c r="H1135" t="s">
        <v>2290</v>
      </c>
      <c r="I1135" t="s">
        <v>20</v>
      </c>
      <c r="J1135">
        <v>18188</v>
      </c>
      <c r="K1135">
        <v>494</v>
      </c>
      <c r="L1135" t="s">
        <v>29</v>
      </c>
      <c r="M1135" s="1">
        <v>45328</v>
      </c>
      <c r="N1135" t="s">
        <v>30</v>
      </c>
      <c r="O1135" t="s">
        <v>31</v>
      </c>
      <c r="P1135" t="str">
        <f t="shared" si="378"/>
        <v>P1134</v>
      </c>
      <c r="Q1135" t="str">
        <f t="shared" si="374"/>
        <v>Pulmonology</v>
      </c>
      <c r="R1135">
        <f t="shared" si="375"/>
        <v>22</v>
      </c>
      <c r="S1135" t="str">
        <f t="shared" ca="1" si="379"/>
        <v>No</v>
      </c>
      <c r="T1135" t="str">
        <f t="shared" ca="1" si="380"/>
        <v>Moderate</v>
      </c>
      <c r="U1135" t="str">
        <f t="shared" ca="1" si="381"/>
        <v>Semi-Private</v>
      </c>
      <c r="V1135" t="str">
        <f t="shared" si="382"/>
        <v>BED1134</v>
      </c>
      <c r="W1135" t="str">
        <f t="shared" ca="1" si="383"/>
        <v>Semi-Private</v>
      </c>
      <c r="X1135" t="str">
        <f t="shared" si="384"/>
        <v>NUR034</v>
      </c>
      <c r="Y1135" t="str">
        <f t="shared" ca="1" si="385"/>
        <v>Evening</v>
      </c>
      <c r="Z1135" t="str">
        <f t="shared" ca="1" si="386"/>
        <v>X-Ray</v>
      </c>
      <c r="AA1135" t="str">
        <f t="shared" ca="1" si="387"/>
        <v>Available</v>
      </c>
      <c r="AB1135" t="str">
        <f t="shared" ca="1" si="388"/>
        <v>Pending</v>
      </c>
      <c r="AC1135" t="str">
        <f t="shared" ca="1" si="389"/>
        <v>Credit Card</v>
      </c>
      <c r="AD1135" t="str">
        <f t="shared" ca="1" si="390"/>
        <v>No</v>
      </c>
      <c r="AE1135" t="str">
        <f t="shared" ca="1" si="391"/>
        <v>No</v>
      </c>
      <c r="AF1135" t="str">
        <f t="shared" ca="1" si="392"/>
        <v>Transferred</v>
      </c>
      <c r="AG1135" t="str">
        <f t="shared" ca="1" si="393"/>
        <v>West Coast</v>
      </c>
      <c r="AH1135" t="str">
        <f t="shared" si="376"/>
        <v>January</v>
      </c>
      <c r="AI1135">
        <f t="shared" si="377"/>
        <v>2024</v>
      </c>
      <c r="AJ1135" t="str">
        <f t="shared" ca="1" si="394"/>
        <v>Occupied</v>
      </c>
      <c r="AK1135">
        <f t="shared" ca="1" si="395"/>
        <v>1</v>
      </c>
    </row>
    <row r="1136" spans="1:37" x14ac:dyDescent="0.3">
      <c r="A1136" t="s">
        <v>5543</v>
      </c>
      <c r="B1136">
        <v>70</v>
      </c>
      <c r="C1136" t="s">
        <v>15</v>
      </c>
      <c r="D1136" t="s">
        <v>24</v>
      </c>
      <c r="E1136" t="s">
        <v>64</v>
      </c>
      <c r="F1136" s="1">
        <v>44539</v>
      </c>
      <c r="G1136" t="s">
        <v>2291</v>
      </c>
      <c r="H1136" t="s">
        <v>2292</v>
      </c>
      <c r="I1136" t="s">
        <v>28</v>
      </c>
      <c r="J1136">
        <v>943</v>
      </c>
      <c r="K1136">
        <v>469</v>
      </c>
      <c r="L1136" t="s">
        <v>42</v>
      </c>
      <c r="M1136" s="1">
        <v>44569</v>
      </c>
      <c r="N1136" t="s">
        <v>67</v>
      </c>
      <c r="O1136" t="s">
        <v>43</v>
      </c>
      <c r="P1136" t="str">
        <f t="shared" si="378"/>
        <v>P1135</v>
      </c>
      <c r="Q1136" t="str">
        <f t="shared" si="374"/>
        <v>Cardiology</v>
      </c>
      <c r="R1136">
        <f t="shared" si="375"/>
        <v>30</v>
      </c>
      <c r="S1136" t="str">
        <f t="shared" ca="1" si="379"/>
        <v>No</v>
      </c>
      <c r="T1136" t="str">
        <f t="shared" ca="1" si="380"/>
        <v>Mild</v>
      </c>
      <c r="U1136" t="str">
        <f t="shared" ca="1" si="381"/>
        <v>Semi-Private</v>
      </c>
      <c r="V1136" t="str">
        <f t="shared" si="382"/>
        <v>BED1135</v>
      </c>
      <c r="W1136" t="str">
        <f t="shared" ca="1" si="383"/>
        <v>General</v>
      </c>
      <c r="X1136" t="str">
        <f t="shared" si="384"/>
        <v>NUR035</v>
      </c>
      <c r="Y1136" t="str">
        <f t="shared" ca="1" si="385"/>
        <v>Night</v>
      </c>
      <c r="Z1136" t="str">
        <f t="shared" ca="1" si="386"/>
        <v>X-Ray</v>
      </c>
      <c r="AA1136" t="str">
        <f t="shared" ca="1" si="387"/>
        <v>Available</v>
      </c>
      <c r="AB1136" t="str">
        <f t="shared" ca="1" si="388"/>
        <v>Paid</v>
      </c>
      <c r="AC1136" t="str">
        <f t="shared" ca="1" si="389"/>
        <v>Debit Card</v>
      </c>
      <c r="AD1136" t="str">
        <f t="shared" ca="1" si="390"/>
        <v>No</v>
      </c>
      <c r="AE1136" t="str">
        <f t="shared" ca="1" si="391"/>
        <v>Yes</v>
      </c>
      <c r="AF1136" t="str">
        <f t="shared" ca="1" si="392"/>
        <v>Under Observation</v>
      </c>
      <c r="AG1136" t="str">
        <f t="shared" ca="1" si="393"/>
        <v>Midwest</v>
      </c>
      <c r="AH1136" t="str">
        <f t="shared" si="376"/>
        <v>December</v>
      </c>
      <c r="AI1136">
        <f t="shared" si="377"/>
        <v>2021</v>
      </c>
      <c r="AJ1136" t="str">
        <f t="shared" ca="1" si="394"/>
        <v>Occupied</v>
      </c>
      <c r="AK1136">
        <f t="shared" ca="1" si="395"/>
        <v>1</v>
      </c>
    </row>
    <row r="1137" spans="1:37" x14ac:dyDescent="0.3">
      <c r="A1137" t="s">
        <v>5544</v>
      </c>
      <c r="B1137">
        <v>49</v>
      </c>
      <c r="C1137" t="s">
        <v>15</v>
      </c>
      <c r="D1137" t="s">
        <v>52</v>
      </c>
      <c r="E1137" t="s">
        <v>25</v>
      </c>
      <c r="F1137" s="1">
        <v>43682</v>
      </c>
      <c r="G1137" t="s">
        <v>2293</v>
      </c>
      <c r="H1137" t="s">
        <v>2294</v>
      </c>
      <c r="I1137" t="s">
        <v>57</v>
      </c>
      <c r="J1137">
        <v>45777</v>
      </c>
      <c r="K1137">
        <v>178</v>
      </c>
      <c r="L1137" t="s">
        <v>42</v>
      </c>
      <c r="M1137" s="1">
        <v>43685</v>
      </c>
      <c r="N1137" t="s">
        <v>47</v>
      </c>
      <c r="O1137" t="s">
        <v>23</v>
      </c>
      <c r="P1137" t="str">
        <f t="shared" si="378"/>
        <v>P1136</v>
      </c>
      <c r="Q1137" t="str">
        <f t="shared" si="374"/>
        <v>Nutrition</v>
      </c>
      <c r="R1137">
        <f t="shared" si="375"/>
        <v>3</v>
      </c>
      <c r="S1137" t="str">
        <f t="shared" ca="1" si="379"/>
        <v>No</v>
      </c>
      <c r="T1137" t="str">
        <f t="shared" ca="1" si="380"/>
        <v>Severe</v>
      </c>
      <c r="U1137" t="str">
        <f t="shared" ca="1" si="381"/>
        <v>Emergency</v>
      </c>
      <c r="V1137" t="str">
        <f t="shared" si="382"/>
        <v>BED1136</v>
      </c>
      <c r="W1137" t="str">
        <f t="shared" ca="1" si="383"/>
        <v>ICU</v>
      </c>
      <c r="X1137" t="str">
        <f t="shared" si="384"/>
        <v>NUR036</v>
      </c>
      <c r="Y1137" t="str">
        <f t="shared" ca="1" si="385"/>
        <v>Night</v>
      </c>
      <c r="Z1137" t="str">
        <f t="shared" ca="1" si="386"/>
        <v>X-Ray</v>
      </c>
      <c r="AA1137" t="str">
        <f t="shared" ca="1" si="387"/>
        <v>Available</v>
      </c>
      <c r="AB1137" t="str">
        <f t="shared" ca="1" si="388"/>
        <v>Partially Paid</v>
      </c>
      <c r="AC1137" t="str">
        <f t="shared" ca="1" si="389"/>
        <v>Insurance</v>
      </c>
      <c r="AD1137" t="str">
        <f t="shared" ca="1" si="390"/>
        <v>No</v>
      </c>
      <c r="AE1137" t="str">
        <f t="shared" ca="1" si="391"/>
        <v>No</v>
      </c>
      <c r="AF1137" t="str">
        <f t="shared" ca="1" si="392"/>
        <v>Under Observation</v>
      </c>
      <c r="AG1137" t="str">
        <f t="shared" ca="1" si="393"/>
        <v>Southwest</v>
      </c>
      <c r="AH1137" t="str">
        <f t="shared" si="376"/>
        <v>August</v>
      </c>
      <c r="AI1137">
        <f t="shared" si="377"/>
        <v>2019</v>
      </c>
      <c r="AJ1137" t="str">
        <f t="shared" ca="1" si="394"/>
        <v>Occupied</v>
      </c>
      <c r="AK1137">
        <f t="shared" ca="1" si="395"/>
        <v>1</v>
      </c>
    </row>
    <row r="1138" spans="1:37" x14ac:dyDescent="0.3">
      <c r="A1138" t="s">
        <v>5545</v>
      </c>
      <c r="B1138">
        <v>60</v>
      </c>
      <c r="C1138" t="s">
        <v>32</v>
      </c>
      <c r="D1138" t="s">
        <v>52</v>
      </c>
      <c r="E1138" t="s">
        <v>17</v>
      </c>
      <c r="F1138" s="1">
        <v>44244</v>
      </c>
      <c r="G1138" t="s">
        <v>2295</v>
      </c>
      <c r="H1138" t="s">
        <v>2296</v>
      </c>
      <c r="I1138" t="s">
        <v>57</v>
      </c>
      <c r="J1138">
        <v>20840</v>
      </c>
      <c r="K1138">
        <v>146</v>
      </c>
      <c r="L1138" t="s">
        <v>21</v>
      </c>
      <c r="M1138" s="1">
        <v>44269</v>
      </c>
      <c r="N1138" t="s">
        <v>67</v>
      </c>
      <c r="O1138" t="s">
        <v>31</v>
      </c>
      <c r="P1138" t="str">
        <f t="shared" si="378"/>
        <v>P1137</v>
      </c>
      <c r="Q1138" t="str">
        <f t="shared" si="374"/>
        <v>Oncology</v>
      </c>
      <c r="R1138">
        <f t="shared" si="375"/>
        <v>25</v>
      </c>
      <c r="S1138" t="str">
        <f t="shared" ca="1" si="379"/>
        <v>No</v>
      </c>
      <c r="T1138" t="str">
        <f t="shared" ca="1" si="380"/>
        <v>Severe</v>
      </c>
      <c r="U1138" t="str">
        <f t="shared" ca="1" si="381"/>
        <v>ICU</v>
      </c>
      <c r="V1138" t="str">
        <f t="shared" si="382"/>
        <v>BED1137</v>
      </c>
      <c r="W1138" t="str">
        <f t="shared" ca="1" si="383"/>
        <v>ICU</v>
      </c>
      <c r="X1138" t="str">
        <f t="shared" si="384"/>
        <v>NUR037</v>
      </c>
      <c r="Y1138" t="str">
        <f t="shared" ca="1" si="385"/>
        <v>Night</v>
      </c>
      <c r="Z1138" t="str">
        <f t="shared" ca="1" si="386"/>
        <v>Ultrasound</v>
      </c>
      <c r="AA1138" t="str">
        <f t="shared" ca="1" si="387"/>
        <v>Available</v>
      </c>
      <c r="AB1138" t="str">
        <f t="shared" ca="1" si="388"/>
        <v>Paid</v>
      </c>
      <c r="AC1138" t="str">
        <f t="shared" ca="1" si="389"/>
        <v>Debit Card</v>
      </c>
      <c r="AD1138" t="str">
        <f t="shared" ca="1" si="390"/>
        <v>No</v>
      </c>
      <c r="AE1138" t="str">
        <f t="shared" ca="1" si="391"/>
        <v>No</v>
      </c>
      <c r="AF1138" t="str">
        <f t="shared" ca="1" si="392"/>
        <v>Under Observation</v>
      </c>
      <c r="AG1138" t="str">
        <f t="shared" ca="1" si="393"/>
        <v>Northeast</v>
      </c>
      <c r="AH1138" t="str">
        <f t="shared" si="376"/>
        <v>February</v>
      </c>
      <c r="AI1138">
        <f t="shared" si="377"/>
        <v>2021</v>
      </c>
      <c r="AJ1138" t="str">
        <f t="shared" ca="1" si="394"/>
        <v>Occupied</v>
      </c>
      <c r="AK1138">
        <f t="shared" ca="1" si="395"/>
        <v>2</v>
      </c>
    </row>
    <row r="1139" spans="1:37" x14ac:dyDescent="0.3">
      <c r="A1139" t="s">
        <v>5546</v>
      </c>
      <c r="B1139">
        <v>29</v>
      </c>
      <c r="C1139" t="s">
        <v>15</v>
      </c>
      <c r="D1139" t="s">
        <v>38</v>
      </c>
      <c r="E1139" t="s">
        <v>39</v>
      </c>
      <c r="F1139" s="1">
        <v>43614</v>
      </c>
      <c r="G1139" t="s">
        <v>2297</v>
      </c>
      <c r="H1139" t="s">
        <v>2298</v>
      </c>
      <c r="I1139" t="s">
        <v>36</v>
      </c>
      <c r="J1139">
        <v>38626</v>
      </c>
      <c r="K1139">
        <v>117</v>
      </c>
      <c r="L1139" t="s">
        <v>21</v>
      </c>
      <c r="M1139" s="1">
        <v>43642</v>
      </c>
      <c r="N1139" t="s">
        <v>47</v>
      </c>
      <c r="O1139" t="s">
        <v>23</v>
      </c>
      <c r="P1139" t="str">
        <f t="shared" si="378"/>
        <v>P1138</v>
      </c>
      <c r="Q1139" t="str">
        <f t="shared" si="374"/>
        <v>Endocrinology</v>
      </c>
      <c r="R1139">
        <f t="shared" si="375"/>
        <v>28</v>
      </c>
      <c r="S1139" t="str">
        <f t="shared" ca="1" si="379"/>
        <v>No</v>
      </c>
      <c r="T1139" t="str">
        <f t="shared" ca="1" si="380"/>
        <v>Critical</v>
      </c>
      <c r="U1139" t="str">
        <f t="shared" ca="1" si="381"/>
        <v>ICU</v>
      </c>
      <c r="V1139" t="str">
        <f t="shared" si="382"/>
        <v>BED1138</v>
      </c>
      <c r="W1139" t="str">
        <f t="shared" ca="1" si="383"/>
        <v>ICU</v>
      </c>
      <c r="X1139" t="str">
        <f t="shared" si="384"/>
        <v>NUR038</v>
      </c>
      <c r="Y1139" t="str">
        <f t="shared" ca="1" si="385"/>
        <v>Night</v>
      </c>
      <c r="Z1139" t="str">
        <f t="shared" ca="1" si="386"/>
        <v>CT Scanner</v>
      </c>
      <c r="AA1139" t="str">
        <f t="shared" ca="1" si="387"/>
        <v>Maintenance</v>
      </c>
      <c r="AB1139" t="str">
        <f t="shared" ca="1" si="388"/>
        <v>Partially Paid</v>
      </c>
      <c r="AC1139" t="str">
        <f t="shared" ca="1" si="389"/>
        <v>Insurance</v>
      </c>
      <c r="AD1139" t="str">
        <f t="shared" ca="1" si="390"/>
        <v>No</v>
      </c>
      <c r="AE1139" t="str">
        <f t="shared" ca="1" si="391"/>
        <v>Yes</v>
      </c>
      <c r="AF1139" t="str">
        <f t="shared" ca="1" si="392"/>
        <v>Transferred</v>
      </c>
      <c r="AG1139" t="str">
        <f t="shared" ca="1" si="393"/>
        <v>Midwest</v>
      </c>
      <c r="AH1139" t="str">
        <f t="shared" si="376"/>
        <v>May</v>
      </c>
      <c r="AI1139">
        <f t="shared" si="377"/>
        <v>2019</v>
      </c>
      <c r="AJ1139" t="str">
        <f t="shared" ca="1" si="394"/>
        <v>Occupied</v>
      </c>
      <c r="AK1139">
        <f t="shared" ca="1" si="395"/>
        <v>1</v>
      </c>
    </row>
    <row r="1140" spans="1:37" x14ac:dyDescent="0.3">
      <c r="A1140" t="s">
        <v>5547</v>
      </c>
      <c r="B1140">
        <v>46</v>
      </c>
      <c r="C1140" t="s">
        <v>15</v>
      </c>
      <c r="D1140" t="s">
        <v>24</v>
      </c>
      <c r="E1140" t="s">
        <v>17</v>
      </c>
      <c r="F1140" s="1">
        <v>43705</v>
      </c>
      <c r="G1140" t="s">
        <v>2299</v>
      </c>
      <c r="H1140" t="s">
        <v>2300</v>
      </c>
      <c r="I1140" t="s">
        <v>51</v>
      </c>
      <c r="J1140">
        <v>7838</v>
      </c>
      <c r="K1140">
        <v>377</v>
      </c>
      <c r="L1140" t="s">
        <v>42</v>
      </c>
      <c r="M1140" s="1">
        <v>43728</v>
      </c>
      <c r="N1140" t="s">
        <v>47</v>
      </c>
      <c r="O1140" t="s">
        <v>23</v>
      </c>
      <c r="P1140" t="str">
        <f t="shared" si="378"/>
        <v>P1139</v>
      </c>
      <c r="Q1140" t="str">
        <f t="shared" si="374"/>
        <v>Oncology</v>
      </c>
      <c r="R1140">
        <f t="shared" si="375"/>
        <v>23</v>
      </c>
      <c r="S1140" t="str">
        <f t="shared" ca="1" si="379"/>
        <v>Yes</v>
      </c>
      <c r="T1140" t="str">
        <f t="shared" ca="1" si="380"/>
        <v>Severe</v>
      </c>
      <c r="U1140" t="str">
        <f t="shared" ca="1" si="381"/>
        <v>Private Ward</v>
      </c>
      <c r="V1140" t="str">
        <f t="shared" si="382"/>
        <v>BED1139</v>
      </c>
      <c r="W1140" t="str">
        <f t="shared" ca="1" si="383"/>
        <v>General</v>
      </c>
      <c r="X1140" t="str">
        <f t="shared" si="384"/>
        <v>NUR039</v>
      </c>
      <c r="Y1140" t="str">
        <f t="shared" ca="1" si="385"/>
        <v>Evening</v>
      </c>
      <c r="Z1140" t="str">
        <f t="shared" ca="1" si="386"/>
        <v>ECG Machine</v>
      </c>
      <c r="AA1140" t="str">
        <f t="shared" ca="1" si="387"/>
        <v>Available</v>
      </c>
      <c r="AB1140" t="str">
        <f t="shared" ca="1" si="388"/>
        <v>Paid</v>
      </c>
      <c r="AC1140" t="str">
        <f t="shared" ca="1" si="389"/>
        <v>Insurance</v>
      </c>
      <c r="AD1140" t="str">
        <f t="shared" ca="1" si="390"/>
        <v>Yes</v>
      </c>
      <c r="AE1140" t="str">
        <f t="shared" ca="1" si="391"/>
        <v>Yes</v>
      </c>
      <c r="AF1140" t="str">
        <f t="shared" ca="1" si="392"/>
        <v>Recovered</v>
      </c>
      <c r="AG1140" t="str">
        <f t="shared" ca="1" si="393"/>
        <v>Midwest</v>
      </c>
      <c r="AH1140" t="str">
        <f t="shared" si="376"/>
        <v>August</v>
      </c>
      <c r="AI1140">
        <f t="shared" si="377"/>
        <v>2019</v>
      </c>
      <c r="AJ1140" t="str">
        <f t="shared" ca="1" si="394"/>
        <v>Occupied</v>
      </c>
      <c r="AK1140">
        <f t="shared" ca="1" si="395"/>
        <v>4</v>
      </c>
    </row>
    <row r="1141" spans="1:37" x14ac:dyDescent="0.3">
      <c r="A1141" t="s">
        <v>5548</v>
      </c>
      <c r="B1141">
        <v>55</v>
      </c>
      <c r="C1141" t="s">
        <v>15</v>
      </c>
      <c r="D1141" t="s">
        <v>52</v>
      </c>
      <c r="E1141" t="s">
        <v>76</v>
      </c>
      <c r="F1141" s="1">
        <v>45000</v>
      </c>
      <c r="G1141" t="s">
        <v>2301</v>
      </c>
      <c r="H1141" t="s">
        <v>2302</v>
      </c>
      <c r="I1141" t="s">
        <v>51</v>
      </c>
      <c r="J1141">
        <v>30299</v>
      </c>
      <c r="K1141">
        <v>281</v>
      </c>
      <c r="L1141" t="s">
        <v>29</v>
      </c>
      <c r="M1141" s="1">
        <v>45006</v>
      </c>
      <c r="N1141" t="s">
        <v>22</v>
      </c>
      <c r="O1141" t="s">
        <v>23</v>
      </c>
      <c r="P1141" t="str">
        <f t="shared" si="378"/>
        <v>P1140</v>
      </c>
      <c r="Q1141" t="str">
        <f t="shared" si="374"/>
        <v>Orthopedics</v>
      </c>
      <c r="R1141">
        <f t="shared" si="375"/>
        <v>6</v>
      </c>
      <c r="S1141" t="str">
        <f t="shared" ca="1" si="379"/>
        <v>No</v>
      </c>
      <c r="T1141" t="str">
        <f t="shared" ca="1" si="380"/>
        <v>Moderate</v>
      </c>
      <c r="U1141" t="str">
        <f t="shared" ca="1" si="381"/>
        <v>Semi-Private</v>
      </c>
      <c r="V1141" t="str">
        <f t="shared" si="382"/>
        <v>BED1140</v>
      </c>
      <c r="W1141" t="str">
        <f t="shared" ca="1" si="383"/>
        <v>Private</v>
      </c>
      <c r="X1141" t="str">
        <f t="shared" si="384"/>
        <v>NUR040</v>
      </c>
      <c r="Y1141" t="str">
        <f t="shared" ca="1" si="385"/>
        <v>Evening</v>
      </c>
      <c r="Z1141" t="str">
        <f t="shared" ca="1" si="386"/>
        <v>Ultrasound</v>
      </c>
      <c r="AA1141" t="str">
        <f t="shared" ca="1" si="387"/>
        <v>Maintenance</v>
      </c>
      <c r="AB1141" t="str">
        <f t="shared" ca="1" si="388"/>
        <v>Pending</v>
      </c>
      <c r="AC1141" t="str">
        <f t="shared" ca="1" si="389"/>
        <v>Insurance</v>
      </c>
      <c r="AD1141" t="str">
        <f t="shared" ca="1" si="390"/>
        <v>No</v>
      </c>
      <c r="AE1141" t="str">
        <f t="shared" ca="1" si="391"/>
        <v>No</v>
      </c>
      <c r="AF1141" t="str">
        <f t="shared" ca="1" si="392"/>
        <v>Under Observation</v>
      </c>
      <c r="AG1141" t="str">
        <f t="shared" ca="1" si="393"/>
        <v>Northeast</v>
      </c>
      <c r="AH1141" t="str">
        <f t="shared" si="376"/>
        <v>March</v>
      </c>
      <c r="AI1141">
        <f t="shared" si="377"/>
        <v>2023</v>
      </c>
      <c r="AJ1141" t="str">
        <f t="shared" ca="1" si="394"/>
        <v>Occupied</v>
      </c>
      <c r="AK1141">
        <f t="shared" ca="1" si="395"/>
        <v>1</v>
      </c>
    </row>
    <row r="1142" spans="1:37" x14ac:dyDescent="0.3">
      <c r="A1142" t="s">
        <v>5549</v>
      </c>
      <c r="B1142">
        <v>62</v>
      </c>
      <c r="C1142" t="s">
        <v>15</v>
      </c>
      <c r="D1142" t="s">
        <v>44</v>
      </c>
      <c r="E1142" t="s">
        <v>25</v>
      </c>
      <c r="F1142" s="1">
        <v>44962</v>
      </c>
      <c r="G1142" t="s">
        <v>2303</v>
      </c>
      <c r="H1142" t="s">
        <v>2304</v>
      </c>
      <c r="I1142" t="s">
        <v>20</v>
      </c>
      <c r="J1142">
        <v>13795</v>
      </c>
      <c r="K1142">
        <v>206</v>
      </c>
      <c r="L1142" t="s">
        <v>21</v>
      </c>
      <c r="M1142" s="1">
        <v>44980</v>
      </c>
      <c r="N1142" t="s">
        <v>22</v>
      </c>
      <c r="O1142" t="s">
        <v>31</v>
      </c>
      <c r="P1142" t="str">
        <f t="shared" si="378"/>
        <v>P1141</v>
      </c>
      <c r="Q1142" t="str">
        <f t="shared" si="374"/>
        <v>Nutrition</v>
      </c>
      <c r="R1142">
        <f t="shared" si="375"/>
        <v>18</v>
      </c>
      <c r="S1142" t="str">
        <f t="shared" ca="1" si="379"/>
        <v>No</v>
      </c>
      <c r="T1142" t="str">
        <f t="shared" ca="1" si="380"/>
        <v>Critical</v>
      </c>
      <c r="U1142" t="str">
        <f t="shared" ca="1" si="381"/>
        <v>Semi-Private</v>
      </c>
      <c r="V1142" t="str">
        <f t="shared" si="382"/>
        <v>BED1141</v>
      </c>
      <c r="W1142" t="str">
        <f t="shared" ca="1" si="383"/>
        <v>Semi-Private</v>
      </c>
      <c r="X1142" t="str">
        <f t="shared" si="384"/>
        <v>NUR041</v>
      </c>
      <c r="Y1142" t="str">
        <f t="shared" ca="1" si="385"/>
        <v>Morning</v>
      </c>
      <c r="Z1142" t="str">
        <f t="shared" ca="1" si="386"/>
        <v>Ultrasound</v>
      </c>
      <c r="AA1142" t="str">
        <f t="shared" ca="1" si="387"/>
        <v>Maintenance</v>
      </c>
      <c r="AB1142" t="str">
        <f t="shared" ca="1" si="388"/>
        <v>Pending</v>
      </c>
      <c r="AC1142" t="str">
        <f t="shared" ca="1" si="389"/>
        <v>Insurance</v>
      </c>
      <c r="AD1142" t="str">
        <f t="shared" ca="1" si="390"/>
        <v>No</v>
      </c>
      <c r="AE1142" t="str">
        <f t="shared" ca="1" si="391"/>
        <v>No</v>
      </c>
      <c r="AF1142" t="str">
        <f t="shared" ca="1" si="392"/>
        <v>Recovered</v>
      </c>
      <c r="AG1142" t="str">
        <f t="shared" ca="1" si="393"/>
        <v>Southwest</v>
      </c>
      <c r="AH1142" t="str">
        <f t="shared" si="376"/>
        <v>February</v>
      </c>
      <c r="AI1142">
        <f t="shared" si="377"/>
        <v>2023</v>
      </c>
      <c r="AJ1142" t="str">
        <f t="shared" ca="1" si="394"/>
        <v>Occupied</v>
      </c>
      <c r="AK1142">
        <f t="shared" ca="1" si="395"/>
        <v>4</v>
      </c>
    </row>
    <row r="1143" spans="1:37" x14ac:dyDescent="0.3">
      <c r="A1143" t="s">
        <v>5550</v>
      </c>
      <c r="B1143">
        <v>71</v>
      </c>
      <c r="C1143" t="s">
        <v>32</v>
      </c>
      <c r="D1143" t="s">
        <v>38</v>
      </c>
      <c r="E1143" t="s">
        <v>64</v>
      </c>
      <c r="F1143" s="1">
        <v>45315</v>
      </c>
      <c r="G1143" t="s">
        <v>2305</v>
      </c>
      <c r="H1143" t="s">
        <v>2306</v>
      </c>
      <c r="I1143" t="s">
        <v>20</v>
      </c>
      <c r="J1143">
        <v>15646</v>
      </c>
      <c r="K1143">
        <v>335</v>
      </c>
      <c r="L1143" t="s">
        <v>42</v>
      </c>
      <c r="M1143" s="1">
        <v>45333</v>
      </c>
      <c r="N1143" t="s">
        <v>22</v>
      </c>
      <c r="O1143" t="s">
        <v>43</v>
      </c>
      <c r="P1143" t="str">
        <f t="shared" si="378"/>
        <v>P1142</v>
      </c>
      <c r="Q1143" t="str">
        <f t="shared" si="374"/>
        <v>Cardiology</v>
      </c>
      <c r="R1143">
        <f t="shared" si="375"/>
        <v>18</v>
      </c>
      <c r="S1143" t="str">
        <f t="shared" ca="1" si="379"/>
        <v>No</v>
      </c>
      <c r="T1143" t="str">
        <f t="shared" ca="1" si="380"/>
        <v>Critical</v>
      </c>
      <c r="U1143" t="str">
        <f t="shared" ca="1" si="381"/>
        <v>Private Ward</v>
      </c>
      <c r="V1143" t="str">
        <f t="shared" si="382"/>
        <v>BED1142</v>
      </c>
      <c r="W1143" t="str">
        <f t="shared" ca="1" si="383"/>
        <v>General</v>
      </c>
      <c r="X1143" t="str">
        <f t="shared" si="384"/>
        <v>NUR042</v>
      </c>
      <c r="Y1143" t="str">
        <f t="shared" ca="1" si="385"/>
        <v>Morning</v>
      </c>
      <c r="Z1143" t="str">
        <f t="shared" ca="1" si="386"/>
        <v>CT Scanner</v>
      </c>
      <c r="AA1143" t="str">
        <f t="shared" ca="1" si="387"/>
        <v>Available</v>
      </c>
      <c r="AB1143" t="str">
        <f t="shared" ca="1" si="388"/>
        <v>Partially Paid</v>
      </c>
      <c r="AC1143" t="str">
        <f t="shared" ca="1" si="389"/>
        <v>Credit Card</v>
      </c>
      <c r="AD1143" t="str">
        <f t="shared" ca="1" si="390"/>
        <v>No</v>
      </c>
      <c r="AE1143" t="str">
        <f t="shared" ca="1" si="391"/>
        <v>No</v>
      </c>
      <c r="AF1143" t="str">
        <f t="shared" ca="1" si="392"/>
        <v>Recovered</v>
      </c>
      <c r="AG1143" t="str">
        <f t="shared" ca="1" si="393"/>
        <v>Midwest</v>
      </c>
      <c r="AH1143" t="str">
        <f t="shared" si="376"/>
        <v>January</v>
      </c>
      <c r="AI1143">
        <f t="shared" si="377"/>
        <v>2024</v>
      </c>
      <c r="AJ1143" t="str">
        <f t="shared" ca="1" si="394"/>
        <v>Occupied</v>
      </c>
      <c r="AK1143">
        <f t="shared" ca="1" si="395"/>
        <v>2</v>
      </c>
    </row>
    <row r="1144" spans="1:37" x14ac:dyDescent="0.3">
      <c r="A1144" t="s">
        <v>5551</v>
      </c>
      <c r="B1144">
        <v>18</v>
      </c>
      <c r="C1144" t="s">
        <v>32</v>
      </c>
      <c r="D1144" t="s">
        <v>33</v>
      </c>
      <c r="E1144" t="s">
        <v>17</v>
      </c>
      <c r="F1144" s="1">
        <v>44198</v>
      </c>
      <c r="G1144" t="s">
        <v>2307</v>
      </c>
      <c r="H1144" t="s">
        <v>2308</v>
      </c>
      <c r="I1144" t="s">
        <v>57</v>
      </c>
      <c r="J1144">
        <v>47560</v>
      </c>
      <c r="K1144">
        <v>369</v>
      </c>
      <c r="L1144" t="s">
        <v>42</v>
      </c>
      <c r="M1144" s="1">
        <v>44206</v>
      </c>
      <c r="N1144" t="s">
        <v>67</v>
      </c>
      <c r="O1144" t="s">
        <v>31</v>
      </c>
      <c r="P1144" t="str">
        <f t="shared" si="378"/>
        <v>P1143</v>
      </c>
      <c r="Q1144" t="str">
        <f t="shared" si="374"/>
        <v>Oncology</v>
      </c>
      <c r="R1144">
        <f t="shared" si="375"/>
        <v>8</v>
      </c>
      <c r="S1144" t="str">
        <f t="shared" ca="1" si="379"/>
        <v>No</v>
      </c>
      <c r="T1144" t="str">
        <f t="shared" ca="1" si="380"/>
        <v>Severe</v>
      </c>
      <c r="U1144" t="str">
        <f t="shared" ca="1" si="381"/>
        <v>Semi-Private</v>
      </c>
      <c r="V1144" t="str">
        <f t="shared" si="382"/>
        <v>BED1143</v>
      </c>
      <c r="W1144" t="str">
        <f t="shared" ca="1" si="383"/>
        <v>ICU</v>
      </c>
      <c r="X1144" t="str">
        <f t="shared" si="384"/>
        <v>NUR043</v>
      </c>
      <c r="Y1144" t="str">
        <f t="shared" ca="1" si="385"/>
        <v>Evening</v>
      </c>
      <c r="Z1144" t="str">
        <f t="shared" ca="1" si="386"/>
        <v>ECG Machine</v>
      </c>
      <c r="AA1144" t="str">
        <f t="shared" ca="1" si="387"/>
        <v>Available</v>
      </c>
      <c r="AB1144" t="str">
        <f t="shared" ca="1" si="388"/>
        <v>Paid</v>
      </c>
      <c r="AC1144" t="str">
        <f t="shared" ca="1" si="389"/>
        <v>Bank Transfer</v>
      </c>
      <c r="AD1144" t="str">
        <f t="shared" ca="1" si="390"/>
        <v>No</v>
      </c>
      <c r="AE1144" t="str">
        <f t="shared" ca="1" si="391"/>
        <v>No</v>
      </c>
      <c r="AF1144" t="str">
        <f t="shared" ca="1" si="392"/>
        <v>Under Observation</v>
      </c>
      <c r="AG1144" t="str">
        <f t="shared" ca="1" si="393"/>
        <v>Northeast</v>
      </c>
      <c r="AH1144" t="str">
        <f t="shared" si="376"/>
        <v>January</v>
      </c>
      <c r="AI1144">
        <f t="shared" si="377"/>
        <v>2021</v>
      </c>
      <c r="AJ1144" t="str">
        <f t="shared" ca="1" si="394"/>
        <v>Occupied</v>
      </c>
      <c r="AK1144">
        <f t="shared" ca="1" si="395"/>
        <v>4</v>
      </c>
    </row>
    <row r="1145" spans="1:37" x14ac:dyDescent="0.3">
      <c r="A1145" t="s">
        <v>5552</v>
      </c>
      <c r="B1145">
        <v>23</v>
      </c>
      <c r="C1145" t="s">
        <v>15</v>
      </c>
      <c r="D1145" t="s">
        <v>52</v>
      </c>
      <c r="E1145" t="s">
        <v>25</v>
      </c>
      <c r="F1145" s="1">
        <v>43658</v>
      </c>
      <c r="G1145" t="s">
        <v>2309</v>
      </c>
      <c r="H1145" t="s">
        <v>2310</v>
      </c>
      <c r="I1145" t="s">
        <v>51</v>
      </c>
      <c r="J1145">
        <v>33991</v>
      </c>
      <c r="K1145">
        <v>138</v>
      </c>
      <c r="L1145" t="s">
        <v>21</v>
      </c>
      <c r="M1145" s="1">
        <v>43671</v>
      </c>
      <c r="N1145" t="s">
        <v>22</v>
      </c>
      <c r="O1145" t="s">
        <v>23</v>
      </c>
      <c r="P1145" t="str">
        <f t="shared" si="378"/>
        <v>P1144</v>
      </c>
      <c r="Q1145" t="str">
        <f t="shared" si="374"/>
        <v>Nutrition</v>
      </c>
      <c r="R1145">
        <f t="shared" si="375"/>
        <v>13</v>
      </c>
      <c r="S1145" t="str">
        <f t="shared" ca="1" si="379"/>
        <v>Yes</v>
      </c>
      <c r="T1145" t="str">
        <f t="shared" ca="1" si="380"/>
        <v>Severe</v>
      </c>
      <c r="U1145" t="str">
        <f t="shared" ca="1" si="381"/>
        <v>General Ward</v>
      </c>
      <c r="V1145" t="str">
        <f t="shared" si="382"/>
        <v>BED1144</v>
      </c>
      <c r="W1145" t="str">
        <f t="shared" ca="1" si="383"/>
        <v>ICU</v>
      </c>
      <c r="X1145" t="str">
        <f t="shared" si="384"/>
        <v>NUR044</v>
      </c>
      <c r="Y1145" t="str">
        <f t="shared" ca="1" si="385"/>
        <v>Morning</v>
      </c>
      <c r="Z1145" t="str">
        <f t="shared" ca="1" si="386"/>
        <v>CT Scanner</v>
      </c>
      <c r="AA1145" t="str">
        <f t="shared" ca="1" si="387"/>
        <v>In Use</v>
      </c>
      <c r="AB1145" t="str">
        <f t="shared" ca="1" si="388"/>
        <v>Pending</v>
      </c>
      <c r="AC1145" t="str">
        <f t="shared" ca="1" si="389"/>
        <v>Cash</v>
      </c>
      <c r="AD1145" t="str">
        <f t="shared" ca="1" si="390"/>
        <v>No</v>
      </c>
      <c r="AE1145" t="str">
        <f t="shared" ca="1" si="391"/>
        <v>Yes</v>
      </c>
      <c r="AF1145" t="str">
        <f t="shared" ca="1" si="392"/>
        <v>Under Observation</v>
      </c>
      <c r="AG1145" t="str">
        <f t="shared" ca="1" si="393"/>
        <v>West Coast</v>
      </c>
      <c r="AH1145" t="str">
        <f t="shared" si="376"/>
        <v>July</v>
      </c>
      <c r="AI1145">
        <f t="shared" si="377"/>
        <v>2019</v>
      </c>
      <c r="AJ1145" t="str">
        <f t="shared" ca="1" si="394"/>
        <v>Occupied</v>
      </c>
      <c r="AK1145">
        <f t="shared" ca="1" si="395"/>
        <v>1</v>
      </c>
    </row>
    <row r="1146" spans="1:37" x14ac:dyDescent="0.3">
      <c r="A1146" t="s">
        <v>5553</v>
      </c>
      <c r="B1146">
        <v>38</v>
      </c>
      <c r="C1146" t="s">
        <v>15</v>
      </c>
      <c r="D1146" t="s">
        <v>38</v>
      </c>
      <c r="E1146" t="s">
        <v>64</v>
      </c>
      <c r="F1146" s="1">
        <v>43735</v>
      </c>
      <c r="G1146" t="s">
        <v>2311</v>
      </c>
      <c r="H1146" t="s">
        <v>2312</v>
      </c>
      <c r="I1146" t="s">
        <v>28</v>
      </c>
      <c r="J1146">
        <v>48438</v>
      </c>
      <c r="K1146">
        <v>136</v>
      </c>
      <c r="L1146" t="s">
        <v>21</v>
      </c>
      <c r="M1146" s="1">
        <v>43738</v>
      </c>
      <c r="N1146" t="s">
        <v>30</v>
      </c>
      <c r="O1146" t="s">
        <v>31</v>
      </c>
      <c r="P1146" t="str">
        <f t="shared" si="378"/>
        <v>P1145</v>
      </c>
      <c r="Q1146" t="str">
        <f t="shared" si="374"/>
        <v>Cardiology</v>
      </c>
      <c r="R1146">
        <f t="shared" si="375"/>
        <v>3</v>
      </c>
      <c r="S1146" t="str">
        <f t="shared" ca="1" si="379"/>
        <v>No</v>
      </c>
      <c r="T1146" t="str">
        <f t="shared" ca="1" si="380"/>
        <v>Severe</v>
      </c>
      <c r="U1146" t="str">
        <f t="shared" ca="1" si="381"/>
        <v>Private Ward</v>
      </c>
      <c r="V1146" t="str">
        <f t="shared" si="382"/>
        <v>BED1145</v>
      </c>
      <c r="W1146" t="str">
        <f t="shared" ca="1" si="383"/>
        <v>Semi-Private</v>
      </c>
      <c r="X1146" t="str">
        <f t="shared" si="384"/>
        <v>NUR045</v>
      </c>
      <c r="Y1146" t="str">
        <f t="shared" ca="1" si="385"/>
        <v>Morning</v>
      </c>
      <c r="Z1146" t="str">
        <f t="shared" ca="1" si="386"/>
        <v>ECG Machine</v>
      </c>
      <c r="AA1146" t="str">
        <f t="shared" ca="1" si="387"/>
        <v>Maintenance</v>
      </c>
      <c r="AB1146" t="str">
        <f t="shared" ca="1" si="388"/>
        <v>Pending</v>
      </c>
      <c r="AC1146" t="str">
        <f t="shared" ca="1" si="389"/>
        <v>Bank Transfer</v>
      </c>
      <c r="AD1146" t="str">
        <f t="shared" ca="1" si="390"/>
        <v>No</v>
      </c>
      <c r="AE1146" t="str">
        <f t="shared" ca="1" si="391"/>
        <v>No</v>
      </c>
      <c r="AF1146" t="str">
        <f t="shared" ca="1" si="392"/>
        <v>Under Observation</v>
      </c>
      <c r="AG1146" t="str">
        <f t="shared" ca="1" si="393"/>
        <v>Northeast</v>
      </c>
      <c r="AH1146" t="str">
        <f t="shared" si="376"/>
        <v>September</v>
      </c>
      <c r="AI1146">
        <f t="shared" si="377"/>
        <v>2019</v>
      </c>
      <c r="AJ1146" t="str">
        <f t="shared" ca="1" si="394"/>
        <v>Occupied</v>
      </c>
      <c r="AK1146">
        <f t="shared" ca="1" si="395"/>
        <v>1</v>
      </c>
    </row>
    <row r="1147" spans="1:37" x14ac:dyDescent="0.3">
      <c r="A1147" t="s">
        <v>5554</v>
      </c>
      <c r="B1147">
        <v>30</v>
      </c>
      <c r="C1147" t="s">
        <v>15</v>
      </c>
      <c r="D1147" t="s">
        <v>83</v>
      </c>
      <c r="E1147" t="s">
        <v>25</v>
      </c>
      <c r="F1147" s="1">
        <v>43634</v>
      </c>
      <c r="G1147" t="s">
        <v>2313</v>
      </c>
      <c r="H1147" t="s">
        <v>2314</v>
      </c>
      <c r="I1147" t="s">
        <v>28</v>
      </c>
      <c r="J1147">
        <v>20070</v>
      </c>
      <c r="K1147">
        <v>305</v>
      </c>
      <c r="L1147" t="s">
        <v>21</v>
      </c>
      <c r="M1147" s="1">
        <v>43662</v>
      </c>
      <c r="N1147" t="s">
        <v>67</v>
      </c>
      <c r="O1147" t="s">
        <v>43</v>
      </c>
      <c r="P1147" t="str">
        <f t="shared" si="378"/>
        <v>P1146</v>
      </c>
      <c r="Q1147" t="str">
        <f t="shared" si="374"/>
        <v>Nutrition</v>
      </c>
      <c r="R1147">
        <f t="shared" si="375"/>
        <v>28</v>
      </c>
      <c r="S1147" t="str">
        <f t="shared" ca="1" si="379"/>
        <v>Yes</v>
      </c>
      <c r="T1147" t="str">
        <f t="shared" ca="1" si="380"/>
        <v>Severe</v>
      </c>
      <c r="U1147" t="str">
        <f t="shared" ca="1" si="381"/>
        <v>General Ward</v>
      </c>
      <c r="V1147" t="str">
        <f t="shared" si="382"/>
        <v>BED1146</v>
      </c>
      <c r="W1147" t="str">
        <f t="shared" ca="1" si="383"/>
        <v>ICU</v>
      </c>
      <c r="X1147" t="str">
        <f t="shared" si="384"/>
        <v>NUR046</v>
      </c>
      <c r="Y1147" t="str">
        <f t="shared" ca="1" si="385"/>
        <v>Night</v>
      </c>
      <c r="Z1147" t="str">
        <f t="shared" ca="1" si="386"/>
        <v>Ventilator</v>
      </c>
      <c r="AA1147" t="str">
        <f t="shared" ca="1" si="387"/>
        <v>Available</v>
      </c>
      <c r="AB1147" t="str">
        <f t="shared" ca="1" si="388"/>
        <v>Partially Paid</v>
      </c>
      <c r="AC1147" t="str">
        <f t="shared" ca="1" si="389"/>
        <v>Cash</v>
      </c>
      <c r="AD1147" t="str">
        <f t="shared" ca="1" si="390"/>
        <v>No</v>
      </c>
      <c r="AE1147" t="str">
        <f t="shared" ca="1" si="391"/>
        <v>No</v>
      </c>
      <c r="AF1147" t="str">
        <f t="shared" ca="1" si="392"/>
        <v>Recovered</v>
      </c>
      <c r="AG1147" t="str">
        <f t="shared" ca="1" si="393"/>
        <v>Northeast</v>
      </c>
      <c r="AH1147" t="str">
        <f t="shared" si="376"/>
        <v>June</v>
      </c>
      <c r="AI1147">
        <f t="shared" si="377"/>
        <v>2019</v>
      </c>
      <c r="AJ1147" t="str">
        <f t="shared" ca="1" si="394"/>
        <v>Occupied</v>
      </c>
      <c r="AK1147">
        <f t="shared" ca="1" si="395"/>
        <v>4</v>
      </c>
    </row>
    <row r="1148" spans="1:37" x14ac:dyDescent="0.3">
      <c r="A1148" t="s">
        <v>5555</v>
      </c>
      <c r="B1148">
        <v>39</v>
      </c>
      <c r="C1148" t="s">
        <v>15</v>
      </c>
      <c r="D1148" t="s">
        <v>33</v>
      </c>
      <c r="E1148" t="s">
        <v>39</v>
      </c>
      <c r="F1148" s="1">
        <v>44673</v>
      </c>
      <c r="G1148" t="s">
        <v>2315</v>
      </c>
      <c r="H1148" t="s">
        <v>2316</v>
      </c>
      <c r="I1148" t="s">
        <v>20</v>
      </c>
      <c r="J1148">
        <v>39180</v>
      </c>
      <c r="K1148">
        <v>118</v>
      </c>
      <c r="L1148" t="s">
        <v>42</v>
      </c>
      <c r="M1148" s="1">
        <v>44689</v>
      </c>
      <c r="N1148" t="s">
        <v>30</v>
      </c>
      <c r="O1148" t="s">
        <v>31</v>
      </c>
      <c r="P1148" t="str">
        <f t="shared" si="378"/>
        <v>P1147</v>
      </c>
      <c r="Q1148" t="str">
        <f t="shared" si="374"/>
        <v>Endocrinology</v>
      </c>
      <c r="R1148">
        <f t="shared" si="375"/>
        <v>16</v>
      </c>
      <c r="S1148" t="str">
        <f t="shared" ca="1" si="379"/>
        <v>No</v>
      </c>
      <c r="T1148" t="str">
        <f t="shared" ca="1" si="380"/>
        <v>Mild</v>
      </c>
      <c r="U1148" t="str">
        <f t="shared" ca="1" si="381"/>
        <v>General Ward</v>
      </c>
      <c r="V1148" t="str">
        <f t="shared" si="382"/>
        <v>BED1147</v>
      </c>
      <c r="W1148" t="str">
        <f t="shared" ca="1" si="383"/>
        <v>Semi-Private</v>
      </c>
      <c r="X1148" t="str">
        <f t="shared" si="384"/>
        <v>NUR047</v>
      </c>
      <c r="Y1148" t="str">
        <f t="shared" ca="1" si="385"/>
        <v>Morning</v>
      </c>
      <c r="Z1148" t="str">
        <f t="shared" ca="1" si="386"/>
        <v>ECG Machine</v>
      </c>
      <c r="AA1148" t="str">
        <f t="shared" ca="1" si="387"/>
        <v>Available</v>
      </c>
      <c r="AB1148" t="str">
        <f t="shared" ca="1" si="388"/>
        <v>Paid</v>
      </c>
      <c r="AC1148" t="str">
        <f t="shared" ca="1" si="389"/>
        <v>Debit Card</v>
      </c>
      <c r="AD1148" t="str">
        <f t="shared" ca="1" si="390"/>
        <v>No</v>
      </c>
      <c r="AE1148" t="str">
        <f t="shared" ca="1" si="391"/>
        <v>No</v>
      </c>
      <c r="AF1148" t="str">
        <f t="shared" ca="1" si="392"/>
        <v>Recovered</v>
      </c>
      <c r="AG1148" t="str">
        <f t="shared" ca="1" si="393"/>
        <v>Southeast</v>
      </c>
      <c r="AH1148" t="str">
        <f t="shared" si="376"/>
        <v>April</v>
      </c>
      <c r="AI1148">
        <f t="shared" si="377"/>
        <v>2022</v>
      </c>
      <c r="AJ1148" t="str">
        <f t="shared" ca="1" si="394"/>
        <v>Occupied</v>
      </c>
      <c r="AK1148">
        <f t="shared" ca="1" si="395"/>
        <v>1</v>
      </c>
    </row>
    <row r="1149" spans="1:37" x14ac:dyDescent="0.3">
      <c r="A1149" t="s">
        <v>5556</v>
      </c>
      <c r="B1149">
        <v>55</v>
      </c>
      <c r="C1149" t="s">
        <v>32</v>
      </c>
      <c r="D1149" t="s">
        <v>52</v>
      </c>
      <c r="E1149" t="s">
        <v>76</v>
      </c>
      <c r="F1149" s="1">
        <v>43982</v>
      </c>
      <c r="G1149" t="s">
        <v>2317</v>
      </c>
      <c r="H1149" t="s">
        <v>2318</v>
      </c>
      <c r="I1149" t="s">
        <v>57</v>
      </c>
      <c r="J1149">
        <v>25475</v>
      </c>
      <c r="K1149">
        <v>220</v>
      </c>
      <c r="L1149" t="s">
        <v>21</v>
      </c>
      <c r="M1149" s="1">
        <v>44000</v>
      </c>
      <c r="N1149" t="s">
        <v>22</v>
      </c>
      <c r="O1149" t="s">
        <v>43</v>
      </c>
      <c r="P1149" t="str">
        <f t="shared" si="378"/>
        <v>P1148</v>
      </c>
      <c r="Q1149" t="str">
        <f t="shared" si="374"/>
        <v>Orthopedics</v>
      </c>
      <c r="R1149">
        <f t="shared" si="375"/>
        <v>18</v>
      </c>
      <c r="S1149" t="str">
        <f t="shared" ca="1" si="379"/>
        <v>No</v>
      </c>
      <c r="T1149" t="str">
        <f t="shared" ca="1" si="380"/>
        <v>Severe</v>
      </c>
      <c r="U1149" t="str">
        <f t="shared" ca="1" si="381"/>
        <v>General Ward</v>
      </c>
      <c r="V1149" t="str">
        <f t="shared" si="382"/>
        <v>BED1148</v>
      </c>
      <c r="W1149" t="str">
        <f t="shared" ca="1" si="383"/>
        <v>ICU</v>
      </c>
      <c r="X1149" t="str">
        <f t="shared" si="384"/>
        <v>NUR048</v>
      </c>
      <c r="Y1149" t="str">
        <f t="shared" ca="1" si="385"/>
        <v>Morning</v>
      </c>
      <c r="Z1149" t="str">
        <f t="shared" ca="1" si="386"/>
        <v>MRI Scanner</v>
      </c>
      <c r="AA1149" t="str">
        <f t="shared" ca="1" si="387"/>
        <v>In Use</v>
      </c>
      <c r="AB1149" t="str">
        <f t="shared" ca="1" si="388"/>
        <v>Pending</v>
      </c>
      <c r="AC1149" t="str">
        <f t="shared" ca="1" si="389"/>
        <v>Insurance</v>
      </c>
      <c r="AD1149" t="str">
        <f t="shared" ca="1" si="390"/>
        <v>No</v>
      </c>
      <c r="AE1149" t="str">
        <f t="shared" ca="1" si="391"/>
        <v>No</v>
      </c>
      <c r="AF1149" t="str">
        <f t="shared" ca="1" si="392"/>
        <v>Recovered</v>
      </c>
      <c r="AG1149" t="str">
        <f t="shared" ca="1" si="393"/>
        <v>Midwest</v>
      </c>
      <c r="AH1149" t="str">
        <f t="shared" si="376"/>
        <v>May</v>
      </c>
      <c r="AI1149">
        <f t="shared" si="377"/>
        <v>2020</v>
      </c>
      <c r="AJ1149" t="str">
        <f t="shared" ca="1" si="394"/>
        <v>Occupied</v>
      </c>
      <c r="AK1149">
        <f t="shared" ca="1" si="395"/>
        <v>2</v>
      </c>
    </row>
    <row r="1150" spans="1:37" x14ac:dyDescent="0.3">
      <c r="A1150" t="s">
        <v>5557</v>
      </c>
      <c r="B1150">
        <v>38</v>
      </c>
      <c r="C1150" t="s">
        <v>15</v>
      </c>
      <c r="D1150" t="s">
        <v>98</v>
      </c>
      <c r="E1150" t="s">
        <v>48</v>
      </c>
      <c r="F1150" s="1">
        <v>44545</v>
      </c>
      <c r="G1150" t="s">
        <v>2319</v>
      </c>
      <c r="H1150" t="s">
        <v>2320</v>
      </c>
      <c r="I1150" t="s">
        <v>51</v>
      </c>
      <c r="J1150">
        <v>18510</v>
      </c>
      <c r="K1150">
        <v>217</v>
      </c>
      <c r="L1150" t="s">
        <v>42</v>
      </c>
      <c r="M1150" s="1">
        <v>44574</v>
      </c>
      <c r="N1150" t="s">
        <v>67</v>
      </c>
      <c r="O1150" t="s">
        <v>23</v>
      </c>
      <c r="P1150" t="str">
        <f t="shared" si="378"/>
        <v>P1149</v>
      </c>
      <c r="Q1150" t="str">
        <f t="shared" si="374"/>
        <v>Pulmonology</v>
      </c>
      <c r="R1150">
        <f t="shared" si="375"/>
        <v>29</v>
      </c>
      <c r="S1150" t="str">
        <f t="shared" ca="1" si="379"/>
        <v>No</v>
      </c>
      <c r="T1150" t="str">
        <f t="shared" ca="1" si="380"/>
        <v>Critical</v>
      </c>
      <c r="U1150" t="str">
        <f t="shared" ca="1" si="381"/>
        <v>General Ward</v>
      </c>
      <c r="V1150" t="str">
        <f t="shared" si="382"/>
        <v>BED1149</v>
      </c>
      <c r="W1150" t="str">
        <f t="shared" ca="1" si="383"/>
        <v>Semi-Private</v>
      </c>
      <c r="X1150" t="str">
        <f t="shared" si="384"/>
        <v>NUR049</v>
      </c>
      <c r="Y1150" t="str">
        <f t="shared" ca="1" si="385"/>
        <v>Night</v>
      </c>
      <c r="Z1150" t="str">
        <f t="shared" ca="1" si="386"/>
        <v>MRI Scanner</v>
      </c>
      <c r="AA1150" t="str">
        <f t="shared" ca="1" si="387"/>
        <v>In Use</v>
      </c>
      <c r="AB1150" t="str">
        <f t="shared" ca="1" si="388"/>
        <v>Pending</v>
      </c>
      <c r="AC1150" t="str">
        <f t="shared" ca="1" si="389"/>
        <v>Insurance</v>
      </c>
      <c r="AD1150" t="str">
        <f t="shared" ca="1" si="390"/>
        <v>No</v>
      </c>
      <c r="AE1150" t="str">
        <f t="shared" ca="1" si="391"/>
        <v>No</v>
      </c>
      <c r="AF1150" t="str">
        <f t="shared" ca="1" si="392"/>
        <v>Recovered</v>
      </c>
      <c r="AG1150" t="str">
        <f t="shared" ca="1" si="393"/>
        <v>Midwest</v>
      </c>
      <c r="AH1150" t="str">
        <f t="shared" si="376"/>
        <v>December</v>
      </c>
      <c r="AI1150">
        <f t="shared" si="377"/>
        <v>2021</v>
      </c>
      <c r="AJ1150" t="str">
        <f t="shared" ca="1" si="394"/>
        <v>Occupied</v>
      </c>
      <c r="AK1150">
        <f t="shared" ca="1" si="395"/>
        <v>2</v>
      </c>
    </row>
    <row r="1151" spans="1:37" x14ac:dyDescent="0.3">
      <c r="A1151" t="s">
        <v>5558</v>
      </c>
      <c r="B1151">
        <v>48</v>
      </c>
      <c r="C1151" t="s">
        <v>32</v>
      </c>
      <c r="D1151" t="s">
        <v>83</v>
      </c>
      <c r="E1151" t="s">
        <v>39</v>
      </c>
      <c r="F1151" s="1">
        <v>44272</v>
      </c>
      <c r="G1151" t="s">
        <v>2321</v>
      </c>
      <c r="H1151" t="s">
        <v>2322</v>
      </c>
      <c r="I1151" t="s">
        <v>28</v>
      </c>
      <c r="J1151">
        <v>11884</v>
      </c>
      <c r="K1151">
        <v>264</v>
      </c>
      <c r="L1151" t="s">
        <v>42</v>
      </c>
      <c r="M1151" s="1">
        <v>44299</v>
      </c>
      <c r="N1151" t="s">
        <v>22</v>
      </c>
      <c r="O1151" t="s">
        <v>23</v>
      </c>
      <c r="P1151" t="str">
        <f t="shared" si="378"/>
        <v>P1150</v>
      </c>
      <c r="Q1151" t="str">
        <f t="shared" si="374"/>
        <v>Endocrinology</v>
      </c>
      <c r="R1151">
        <f t="shared" si="375"/>
        <v>27</v>
      </c>
      <c r="S1151" t="str">
        <f t="shared" ca="1" si="379"/>
        <v>No</v>
      </c>
      <c r="T1151" t="str">
        <f t="shared" ca="1" si="380"/>
        <v>Mild</v>
      </c>
      <c r="U1151" t="str">
        <f t="shared" ca="1" si="381"/>
        <v>Semi-Private</v>
      </c>
      <c r="V1151" t="str">
        <f t="shared" si="382"/>
        <v>BED1150</v>
      </c>
      <c r="W1151" t="str">
        <f t="shared" ca="1" si="383"/>
        <v>General</v>
      </c>
      <c r="X1151" t="str">
        <f t="shared" si="384"/>
        <v>NUR050</v>
      </c>
      <c r="Y1151" t="str">
        <f t="shared" ca="1" si="385"/>
        <v>Night</v>
      </c>
      <c r="Z1151" t="str">
        <f t="shared" ca="1" si="386"/>
        <v>Ventilator</v>
      </c>
      <c r="AA1151" t="str">
        <f t="shared" ca="1" si="387"/>
        <v>Maintenance</v>
      </c>
      <c r="AB1151" t="str">
        <f t="shared" ca="1" si="388"/>
        <v>Partially Paid</v>
      </c>
      <c r="AC1151" t="str">
        <f t="shared" ca="1" si="389"/>
        <v>Cash</v>
      </c>
      <c r="AD1151" t="str">
        <f t="shared" ca="1" si="390"/>
        <v>No</v>
      </c>
      <c r="AE1151" t="str">
        <f t="shared" ca="1" si="391"/>
        <v>No</v>
      </c>
      <c r="AF1151" t="str">
        <f t="shared" ca="1" si="392"/>
        <v>Recovered</v>
      </c>
      <c r="AG1151" t="str">
        <f t="shared" ca="1" si="393"/>
        <v>Southwest</v>
      </c>
      <c r="AH1151" t="str">
        <f t="shared" si="376"/>
        <v>March</v>
      </c>
      <c r="AI1151">
        <f t="shared" si="377"/>
        <v>2021</v>
      </c>
      <c r="AJ1151" t="str">
        <f t="shared" ca="1" si="394"/>
        <v>Occupied</v>
      </c>
      <c r="AK1151">
        <f t="shared" ca="1" si="395"/>
        <v>4</v>
      </c>
    </row>
    <row r="1152" spans="1:37" x14ac:dyDescent="0.3">
      <c r="A1152" t="s">
        <v>5559</v>
      </c>
      <c r="B1152">
        <v>26</v>
      </c>
      <c r="C1152" t="s">
        <v>32</v>
      </c>
      <c r="D1152" t="s">
        <v>83</v>
      </c>
      <c r="E1152" t="s">
        <v>48</v>
      </c>
      <c r="F1152" s="1">
        <v>45204</v>
      </c>
      <c r="G1152" t="s">
        <v>2323</v>
      </c>
      <c r="H1152" t="s">
        <v>1108</v>
      </c>
      <c r="I1152" t="s">
        <v>57</v>
      </c>
      <c r="J1152">
        <v>3573</v>
      </c>
      <c r="K1152">
        <v>119</v>
      </c>
      <c r="L1152" t="s">
        <v>29</v>
      </c>
      <c r="M1152" s="1">
        <v>45217</v>
      </c>
      <c r="N1152" t="s">
        <v>37</v>
      </c>
      <c r="O1152" t="s">
        <v>23</v>
      </c>
      <c r="P1152" t="str">
        <f t="shared" si="378"/>
        <v>P1151</v>
      </c>
      <c r="Q1152" t="str">
        <f t="shared" si="374"/>
        <v>Pulmonology</v>
      </c>
      <c r="R1152">
        <f t="shared" si="375"/>
        <v>13</v>
      </c>
      <c r="S1152" t="str">
        <f t="shared" ca="1" si="379"/>
        <v>No</v>
      </c>
      <c r="T1152" t="str">
        <f t="shared" ca="1" si="380"/>
        <v>Mild</v>
      </c>
      <c r="U1152" t="str">
        <f t="shared" ca="1" si="381"/>
        <v>Emergency</v>
      </c>
      <c r="V1152" t="str">
        <f t="shared" si="382"/>
        <v>BED1151</v>
      </c>
      <c r="W1152" t="str">
        <f t="shared" ca="1" si="383"/>
        <v>General</v>
      </c>
      <c r="X1152" t="str">
        <f t="shared" si="384"/>
        <v>NUR001</v>
      </c>
      <c r="Y1152" t="str">
        <f t="shared" ca="1" si="385"/>
        <v>Morning</v>
      </c>
      <c r="Z1152" t="str">
        <f t="shared" ca="1" si="386"/>
        <v>X-Ray</v>
      </c>
      <c r="AA1152" t="str">
        <f t="shared" ca="1" si="387"/>
        <v>In Use</v>
      </c>
      <c r="AB1152" t="str">
        <f t="shared" ca="1" si="388"/>
        <v>Pending</v>
      </c>
      <c r="AC1152" t="str">
        <f t="shared" ca="1" si="389"/>
        <v>Cash</v>
      </c>
      <c r="AD1152" t="str">
        <f t="shared" ca="1" si="390"/>
        <v>No</v>
      </c>
      <c r="AE1152" t="str">
        <f t="shared" ca="1" si="391"/>
        <v>Yes</v>
      </c>
      <c r="AF1152" t="str">
        <f t="shared" ca="1" si="392"/>
        <v>Recovered</v>
      </c>
      <c r="AG1152" t="str">
        <f t="shared" ca="1" si="393"/>
        <v>Midwest</v>
      </c>
      <c r="AH1152" t="str">
        <f t="shared" si="376"/>
        <v>October</v>
      </c>
      <c r="AI1152">
        <f t="shared" si="377"/>
        <v>2023</v>
      </c>
      <c r="AJ1152" t="str">
        <f t="shared" ca="1" si="394"/>
        <v>Vacant</v>
      </c>
      <c r="AK1152">
        <f t="shared" ca="1" si="395"/>
        <v>4</v>
      </c>
    </row>
    <row r="1153" spans="1:37" x14ac:dyDescent="0.3">
      <c r="A1153" t="s">
        <v>5560</v>
      </c>
      <c r="B1153">
        <v>68</v>
      </c>
      <c r="C1153" t="s">
        <v>32</v>
      </c>
      <c r="D1153" t="s">
        <v>38</v>
      </c>
      <c r="E1153" t="s">
        <v>25</v>
      </c>
      <c r="F1153" s="1">
        <v>44880</v>
      </c>
      <c r="G1153" t="s">
        <v>2324</v>
      </c>
      <c r="H1153" t="s">
        <v>2325</v>
      </c>
      <c r="I1153" t="s">
        <v>20</v>
      </c>
      <c r="J1153">
        <v>4085</v>
      </c>
      <c r="K1153">
        <v>435</v>
      </c>
      <c r="L1153" t="s">
        <v>42</v>
      </c>
      <c r="M1153" s="1">
        <v>44909</v>
      </c>
      <c r="N1153" t="s">
        <v>67</v>
      </c>
      <c r="O1153" t="s">
        <v>31</v>
      </c>
      <c r="P1153" t="str">
        <f t="shared" si="378"/>
        <v>P1152</v>
      </c>
      <c r="Q1153" t="str">
        <f t="shared" si="374"/>
        <v>Nutrition</v>
      </c>
      <c r="R1153">
        <f t="shared" si="375"/>
        <v>29</v>
      </c>
      <c r="S1153" t="str">
        <f t="shared" ca="1" si="379"/>
        <v>No</v>
      </c>
      <c r="T1153" t="str">
        <f t="shared" ca="1" si="380"/>
        <v>Severe</v>
      </c>
      <c r="U1153" t="str">
        <f t="shared" ca="1" si="381"/>
        <v>Semi-Private</v>
      </c>
      <c r="V1153" t="str">
        <f t="shared" si="382"/>
        <v>BED1152</v>
      </c>
      <c r="W1153" t="str">
        <f t="shared" ca="1" si="383"/>
        <v>ICU</v>
      </c>
      <c r="X1153" t="str">
        <f t="shared" si="384"/>
        <v>NUR002</v>
      </c>
      <c r="Y1153" t="str">
        <f t="shared" ca="1" si="385"/>
        <v>Night</v>
      </c>
      <c r="Z1153" t="str">
        <f t="shared" ca="1" si="386"/>
        <v>Ultrasound</v>
      </c>
      <c r="AA1153" t="str">
        <f t="shared" ca="1" si="387"/>
        <v>In Use</v>
      </c>
      <c r="AB1153" t="str">
        <f t="shared" ca="1" si="388"/>
        <v>Partially Paid</v>
      </c>
      <c r="AC1153" t="str">
        <f t="shared" ca="1" si="389"/>
        <v>Credit Card</v>
      </c>
      <c r="AD1153" t="str">
        <f t="shared" ca="1" si="390"/>
        <v>No</v>
      </c>
      <c r="AE1153" t="str">
        <f t="shared" ca="1" si="391"/>
        <v>No</v>
      </c>
      <c r="AF1153" t="str">
        <f t="shared" ca="1" si="392"/>
        <v>Transferred</v>
      </c>
      <c r="AG1153" t="str">
        <f t="shared" ca="1" si="393"/>
        <v>Northeast</v>
      </c>
      <c r="AH1153" t="str">
        <f t="shared" si="376"/>
        <v>November</v>
      </c>
      <c r="AI1153">
        <f t="shared" si="377"/>
        <v>2022</v>
      </c>
      <c r="AJ1153" t="str">
        <f t="shared" ca="1" si="394"/>
        <v>Occupied</v>
      </c>
      <c r="AK1153">
        <f t="shared" ca="1" si="395"/>
        <v>4</v>
      </c>
    </row>
    <row r="1154" spans="1:37" x14ac:dyDescent="0.3">
      <c r="A1154" t="s">
        <v>5561</v>
      </c>
      <c r="B1154">
        <v>60</v>
      </c>
      <c r="C1154" t="s">
        <v>32</v>
      </c>
      <c r="D1154" t="s">
        <v>24</v>
      </c>
      <c r="E1154" t="s">
        <v>25</v>
      </c>
      <c r="F1154" s="1">
        <v>44553</v>
      </c>
      <c r="G1154" t="s">
        <v>2326</v>
      </c>
      <c r="H1154" t="s">
        <v>2327</v>
      </c>
      <c r="I1154" t="s">
        <v>57</v>
      </c>
      <c r="J1154">
        <v>10649</v>
      </c>
      <c r="K1154">
        <v>236</v>
      </c>
      <c r="L1154" t="s">
        <v>21</v>
      </c>
      <c r="M1154" s="1">
        <v>44560</v>
      </c>
      <c r="N1154" t="s">
        <v>47</v>
      </c>
      <c r="O1154" t="s">
        <v>31</v>
      </c>
      <c r="P1154" t="str">
        <f t="shared" si="378"/>
        <v>P1153</v>
      </c>
      <c r="Q1154" t="str">
        <f t="shared" ref="Q1154:Q1217" si="396">IF(E1154="Cancer","Oncology",IF(E1154="Obesity","Nutrition",IF(E1154="Diabetes","Endocrinology",IF(E1154="Asthma","Pulmonology",IF(E1154="Arthritis","Orthopedics",IF(E1154="Hypertension","Cardiology","General Medicine"))))))</f>
        <v>Nutrition</v>
      </c>
      <c r="R1154">
        <f t="shared" ref="R1154:R1217" si="397">M1154-F1154</f>
        <v>7</v>
      </c>
      <c r="S1154" t="str">
        <f t="shared" ca="1" si="379"/>
        <v>No</v>
      </c>
      <c r="T1154" t="str">
        <f t="shared" ca="1" si="380"/>
        <v>Critical</v>
      </c>
      <c r="U1154" t="str">
        <f t="shared" ca="1" si="381"/>
        <v>Private Ward</v>
      </c>
      <c r="V1154" t="str">
        <f t="shared" si="382"/>
        <v>BED1153</v>
      </c>
      <c r="W1154" t="str">
        <f t="shared" ca="1" si="383"/>
        <v>Semi-Private</v>
      </c>
      <c r="X1154" t="str">
        <f t="shared" si="384"/>
        <v>NUR003</v>
      </c>
      <c r="Y1154" t="str">
        <f t="shared" ca="1" si="385"/>
        <v>Morning</v>
      </c>
      <c r="Z1154" t="str">
        <f t="shared" ca="1" si="386"/>
        <v>X-Ray</v>
      </c>
      <c r="AA1154" t="str">
        <f t="shared" ca="1" si="387"/>
        <v>In Use</v>
      </c>
      <c r="AB1154" t="str">
        <f t="shared" ca="1" si="388"/>
        <v>Pending</v>
      </c>
      <c r="AC1154" t="str">
        <f t="shared" ca="1" si="389"/>
        <v>Bank Transfer</v>
      </c>
      <c r="AD1154" t="str">
        <f t="shared" ca="1" si="390"/>
        <v>Yes</v>
      </c>
      <c r="AE1154" t="str">
        <f t="shared" ca="1" si="391"/>
        <v>No</v>
      </c>
      <c r="AF1154" t="str">
        <f t="shared" ca="1" si="392"/>
        <v>Recovered</v>
      </c>
      <c r="AG1154" t="str">
        <f t="shared" ca="1" si="393"/>
        <v>Northeast</v>
      </c>
      <c r="AH1154" t="str">
        <f t="shared" ref="AH1154:AH1217" si="398">TEXT(F1154,"MMMM")</f>
        <v>December</v>
      </c>
      <c r="AI1154">
        <f t="shared" ref="AI1154:AI1217" si="399">YEAR(F1154)</f>
        <v>2021</v>
      </c>
      <c r="AJ1154" t="str">
        <f t="shared" ca="1" si="394"/>
        <v>Occupied</v>
      </c>
      <c r="AK1154">
        <f t="shared" ca="1" si="395"/>
        <v>2</v>
      </c>
    </row>
    <row r="1155" spans="1:37" x14ac:dyDescent="0.3">
      <c r="A1155" t="s">
        <v>5562</v>
      </c>
      <c r="B1155">
        <v>72</v>
      </c>
      <c r="C1155" t="s">
        <v>32</v>
      </c>
      <c r="D1155" t="s">
        <v>83</v>
      </c>
      <c r="E1155" t="s">
        <v>39</v>
      </c>
      <c r="F1155" s="1">
        <v>43871</v>
      </c>
      <c r="G1155" t="s">
        <v>2328</v>
      </c>
      <c r="H1155" t="s">
        <v>2329</v>
      </c>
      <c r="I1155" t="s">
        <v>28</v>
      </c>
      <c r="J1155">
        <v>28756</v>
      </c>
      <c r="K1155">
        <v>205</v>
      </c>
      <c r="L1155" t="s">
        <v>42</v>
      </c>
      <c r="M1155" s="1">
        <v>43877</v>
      </c>
      <c r="N1155" t="s">
        <v>37</v>
      </c>
      <c r="O1155" t="s">
        <v>43</v>
      </c>
      <c r="P1155" t="str">
        <f t="shared" ref="P1155:P1218" si="400">"P"&amp;TEXT(ROW()-1,"0000")</f>
        <v>P1154</v>
      </c>
      <c r="Q1155" t="str">
        <f t="shared" si="396"/>
        <v>Endocrinology</v>
      </c>
      <c r="R1155">
        <f t="shared" si="397"/>
        <v>6</v>
      </c>
      <c r="S1155" t="str">
        <f t="shared" ref="S1155:S1218" ca="1" si="401">IF(RAND()&lt;0.1,"Yes","No")</f>
        <v>Yes</v>
      </c>
      <c r="T1155" t="str">
        <f t="shared" ref="T1155:T1218" ca="1" si="402">CHOOSE(RANDBETWEEN(1,4),"Mild","Moderate","Severe","Critical")</f>
        <v>Severe</v>
      </c>
      <c r="U1155" t="str">
        <f t="shared" ref="U1155:U1218" ca="1" si="403">CHOOSE(RANDBETWEEN(1,5),"General Ward","ICU","Emergency","Private Ward","Semi-Private")</f>
        <v>Emergency</v>
      </c>
      <c r="V1155" t="str">
        <f t="shared" ref="V1155:V1218" si="404">"BED"&amp;TEXT(ROW()-1,"0000")</f>
        <v>BED1154</v>
      </c>
      <c r="W1155" t="str">
        <f t="shared" ref="W1155:W1218" ca="1" si="405">CHOOSE(RANDBETWEEN(1,4),"General","Private","Semi-Private","ICU")</f>
        <v>General</v>
      </c>
      <c r="X1155" t="str">
        <f t="shared" ref="X1155:X1218" si="406">"NUR"&amp;TEXT(MOD(ROW()-2,50)+1,"000")</f>
        <v>NUR004</v>
      </c>
      <c r="Y1155" t="str">
        <f t="shared" ref="Y1155:Y1218" ca="1" si="407">CHOOSE(RANDBETWEEN(1,3),"Morning","Evening","Night")</f>
        <v>Evening</v>
      </c>
      <c r="Z1155" t="str">
        <f t="shared" ref="Z1155:Z1218" ca="1" si="408">CHOOSE(RANDBETWEEN(1,6),"MRI Scanner","CT Scanner","Ventilator","X-Ray","ECG Machine","Ultrasound")</f>
        <v>Ultrasound</v>
      </c>
      <c r="AA1155" t="str">
        <f t="shared" ref="AA1155:AA1218" ca="1" si="409">CHOOSE(RANDBETWEEN(1,3),"Available","In Use","Maintenance")</f>
        <v>Maintenance</v>
      </c>
      <c r="AB1155" t="str">
        <f t="shared" ref="AB1155:AB1218" ca="1" si="410">CHOOSE(RANDBETWEEN(1,3),"Paid","Pending","Partially Paid")</f>
        <v>Partially Paid</v>
      </c>
      <c r="AC1155" t="str">
        <f t="shared" ref="AC1155:AC1218" ca="1" si="411">CHOOSE(RANDBETWEEN(1,5),"Cash","Credit Card","Debit Card","Insurance","Bank Transfer")</f>
        <v>Debit Card</v>
      </c>
      <c r="AD1155" t="str">
        <f t="shared" ref="AD1155:AD1218" ca="1" si="412">IF(RAND()&lt;0.2,"Yes","No")</f>
        <v>No</v>
      </c>
      <c r="AE1155" t="str">
        <f t="shared" ref="AE1155:AE1218" ca="1" si="413">IF(RAND()&lt;0.15,"Yes","No")</f>
        <v>Yes</v>
      </c>
      <c r="AF1155" t="str">
        <f t="shared" ref="AF1155:AF1218" ca="1" si="414">CHOOSE(RANDBETWEEN(1,3),"Recovered","Transferred","Under Observation")</f>
        <v>Under Observation</v>
      </c>
      <c r="AG1155" t="str">
        <f t="shared" ref="AG1155:AG1218" ca="1" si="415">CHOOSE(RANDBETWEEN(1,5),"Northeast","Southeast","Midwest","Southwest","West Coast")</f>
        <v>Southeast</v>
      </c>
      <c r="AH1155" t="str">
        <f t="shared" si="398"/>
        <v>February</v>
      </c>
      <c r="AI1155">
        <f t="shared" si="399"/>
        <v>2020</v>
      </c>
      <c r="AJ1155" t="str">
        <f t="shared" ref="AJ1155:AJ1218" ca="1" si="416">IF(RANDBETWEEN(1,100)&lt;=80,"Occupied","Vacant")</f>
        <v>Occupied</v>
      </c>
      <c r="AK1155">
        <f t="shared" ref="AK1155:AK1218" ca="1" si="417">CHOOSE(RANDBETWEEN(1,3),1,2,4)</f>
        <v>4</v>
      </c>
    </row>
    <row r="1156" spans="1:37" x14ac:dyDescent="0.3">
      <c r="A1156" t="s">
        <v>5563</v>
      </c>
      <c r="B1156">
        <v>23</v>
      </c>
      <c r="C1156" t="s">
        <v>32</v>
      </c>
      <c r="D1156" t="s">
        <v>38</v>
      </c>
      <c r="E1156" t="s">
        <v>17</v>
      </c>
      <c r="F1156" s="1">
        <v>44358</v>
      </c>
      <c r="G1156" t="s">
        <v>2330</v>
      </c>
      <c r="H1156" t="s">
        <v>2331</v>
      </c>
      <c r="I1156" t="s">
        <v>20</v>
      </c>
      <c r="J1156">
        <v>26424</v>
      </c>
      <c r="K1156">
        <v>274</v>
      </c>
      <c r="L1156" t="s">
        <v>21</v>
      </c>
      <c r="M1156" s="1">
        <v>44364</v>
      </c>
      <c r="N1156" t="s">
        <v>67</v>
      </c>
      <c r="O1156" t="s">
        <v>23</v>
      </c>
      <c r="P1156" t="str">
        <f t="shared" si="400"/>
        <v>P1155</v>
      </c>
      <c r="Q1156" t="str">
        <f t="shared" si="396"/>
        <v>Oncology</v>
      </c>
      <c r="R1156">
        <f t="shared" si="397"/>
        <v>6</v>
      </c>
      <c r="S1156" t="str">
        <f t="shared" ca="1" si="401"/>
        <v>No</v>
      </c>
      <c r="T1156" t="str">
        <f t="shared" ca="1" si="402"/>
        <v>Severe</v>
      </c>
      <c r="U1156" t="str">
        <f t="shared" ca="1" si="403"/>
        <v>Private Ward</v>
      </c>
      <c r="V1156" t="str">
        <f t="shared" si="404"/>
        <v>BED1155</v>
      </c>
      <c r="W1156" t="str">
        <f t="shared" ca="1" si="405"/>
        <v>General</v>
      </c>
      <c r="X1156" t="str">
        <f t="shared" si="406"/>
        <v>NUR005</v>
      </c>
      <c r="Y1156" t="str">
        <f t="shared" ca="1" si="407"/>
        <v>Evening</v>
      </c>
      <c r="Z1156" t="str">
        <f t="shared" ca="1" si="408"/>
        <v>X-Ray</v>
      </c>
      <c r="AA1156" t="str">
        <f t="shared" ca="1" si="409"/>
        <v>Maintenance</v>
      </c>
      <c r="AB1156" t="str">
        <f t="shared" ca="1" si="410"/>
        <v>Paid</v>
      </c>
      <c r="AC1156" t="str">
        <f t="shared" ca="1" si="411"/>
        <v>Debit Card</v>
      </c>
      <c r="AD1156" t="str">
        <f t="shared" ca="1" si="412"/>
        <v>Yes</v>
      </c>
      <c r="AE1156" t="str">
        <f t="shared" ca="1" si="413"/>
        <v>No</v>
      </c>
      <c r="AF1156" t="str">
        <f t="shared" ca="1" si="414"/>
        <v>Under Observation</v>
      </c>
      <c r="AG1156" t="str">
        <f t="shared" ca="1" si="415"/>
        <v>Southwest</v>
      </c>
      <c r="AH1156" t="str">
        <f t="shared" si="398"/>
        <v>June</v>
      </c>
      <c r="AI1156">
        <f t="shared" si="399"/>
        <v>2021</v>
      </c>
      <c r="AJ1156" t="str">
        <f t="shared" ca="1" si="416"/>
        <v>Occupied</v>
      </c>
      <c r="AK1156">
        <f t="shared" ca="1" si="417"/>
        <v>4</v>
      </c>
    </row>
    <row r="1157" spans="1:37" x14ac:dyDescent="0.3">
      <c r="A1157" t="s">
        <v>5564</v>
      </c>
      <c r="B1157">
        <v>55</v>
      </c>
      <c r="C1157" t="s">
        <v>15</v>
      </c>
      <c r="D1157" t="s">
        <v>44</v>
      </c>
      <c r="E1157" t="s">
        <v>76</v>
      </c>
      <c r="F1157" s="1">
        <v>44625</v>
      </c>
      <c r="G1157" t="s">
        <v>2332</v>
      </c>
      <c r="H1157" t="s">
        <v>2333</v>
      </c>
      <c r="I1157" t="s">
        <v>57</v>
      </c>
      <c r="J1157">
        <v>34602</v>
      </c>
      <c r="K1157">
        <v>339</v>
      </c>
      <c r="L1157" t="s">
        <v>42</v>
      </c>
      <c r="M1157" s="1">
        <v>44634</v>
      </c>
      <c r="N1157" t="s">
        <v>22</v>
      </c>
      <c r="O1157" t="s">
        <v>23</v>
      </c>
      <c r="P1157" t="str">
        <f t="shared" si="400"/>
        <v>P1156</v>
      </c>
      <c r="Q1157" t="str">
        <f t="shared" si="396"/>
        <v>Orthopedics</v>
      </c>
      <c r="R1157">
        <f t="shared" si="397"/>
        <v>9</v>
      </c>
      <c r="S1157" t="str">
        <f t="shared" ca="1" si="401"/>
        <v>No</v>
      </c>
      <c r="T1157" t="str">
        <f t="shared" ca="1" si="402"/>
        <v>Moderate</v>
      </c>
      <c r="U1157" t="str">
        <f t="shared" ca="1" si="403"/>
        <v>Semi-Private</v>
      </c>
      <c r="V1157" t="str">
        <f t="shared" si="404"/>
        <v>BED1156</v>
      </c>
      <c r="W1157" t="str">
        <f t="shared" ca="1" si="405"/>
        <v>General</v>
      </c>
      <c r="X1157" t="str">
        <f t="shared" si="406"/>
        <v>NUR006</v>
      </c>
      <c r="Y1157" t="str">
        <f t="shared" ca="1" si="407"/>
        <v>Evening</v>
      </c>
      <c r="Z1157" t="str">
        <f t="shared" ca="1" si="408"/>
        <v>X-Ray</v>
      </c>
      <c r="AA1157" t="str">
        <f t="shared" ca="1" si="409"/>
        <v>Available</v>
      </c>
      <c r="AB1157" t="str">
        <f t="shared" ca="1" si="410"/>
        <v>Pending</v>
      </c>
      <c r="AC1157" t="str">
        <f t="shared" ca="1" si="411"/>
        <v>Insurance</v>
      </c>
      <c r="AD1157" t="str">
        <f t="shared" ca="1" si="412"/>
        <v>No</v>
      </c>
      <c r="AE1157" t="str">
        <f t="shared" ca="1" si="413"/>
        <v>No</v>
      </c>
      <c r="AF1157" t="str">
        <f t="shared" ca="1" si="414"/>
        <v>Under Observation</v>
      </c>
      <c r="AG1157" t="str">
        <f t="shared" ca="1" si="415"/>
        <v>West Coast</v>
      </c>
      <c r="AH1157" t="str">
        <f t="shared" si="398"/>
        <v>March</v>
      </c>
      <c r="AI1157">
        <f t="shared" si="399"/>
        <v>2022</v>
      </c>
      <c r="AJ1157" t="str">
        <f t="shared" ca="1" si="416"/>
        <v>Occupied</v>
      </c>
      <c r="AK1157">
        <f t="shared" ca="1" si="417"/>
        <v>1</v>
      </c>
    </row>
    <row r="1158" spans="1:37" x14ac:dyDescent="0.3">
      <c r="A1158" t="s">
        <v>5565</v>
      </c>
      <c r="B1158">
        <v>59</v>
      </c>
      <c r="C1158" t="s">
        <v>15</v>
      </c>
      <c r="D1158" t="s">
        <v>44</v>
      </c>
      <c r="E1158" t="s">
        <v>39</v>
      </c>
      <c r="F1158" s="1">
        <v>45252</v>
      </c>
      <c r="G1158" t="s">
        <v>2334</v>
      </c>
      <c r="H1158" t="s">
        <v>2335</v>
      </c>
      <c r="I1158" t="s">
        <v>36</v>
      </c>
      <c r="J1158">
        <v>6216</v>
      </c>
      <c r="K1158">
        <v>276</v>
      </c>
      <c r="L1158" t="s">
        <v>29</v>
      </c>
      <c r="M1158" s="1">
        <v>45253</v>
      </c>
      <c r="N1158" t="s">
        <v>22</v>
      </c>
      <c r="O1158" t="s">
        <v>31</v>
      </c>
      <c r="P1158" t="str">
        <f t="shared" si="400"/>
        <v>P1157</v>
      </c>
      <c r="Q1158" t="str">
        <f t="shared" si="396"/>
        <v>Endocrinology</v>
      </c>
      <c r="R1158">
        <f t="shared" si="397"/>
        <v>1</v>
      </c>
      <c r="S1158" t="str">
        <f t="shared" ca="1" si="401"/>
        <v>No</v>
      </c>
      <c r="T1158" t="str">
        <f t="shared" ca="1" si="402"/>
        <v>Critical</v>
      </c>
      <c r="U1158" t="str">
        <f t="shared" ca="1" si="403"/>
        <v>Private Ward</v>
      </c>
      <c r="V1158" t="str">
        <f t="shared" si="404"/>
        <v>BED1157</v>
      </c>
      <c r="W1158" t="str">
        <f t="shared" ca="1" si="405"/>
        <v>Semi-Private</v>
      </c>
      <c r="X1158" t="str">
        <f t="shared" si="406"/>
        <v>NUR007</v>
      </c>
      <c r="Y1158" t="str">
        <f t="shared" ca="1" si="407"/>
        <v>Morning</v>
      </c>
      <c r="Z1158" t="str">
        <f t="shared" ca="1" si="408"/>
        <v>ECG Machine</v>
      </c>
      <c r="AA1158" t="str">
        <f t="shared" ca="1" si="409"/>
        <v>In Use</v>
      </c>
      <c r="AB1158" t="str">
        <f t="shared" ca="1" si="410"/>
        <v>Partially Paid</v>
      </c>
      <c r="AC1158" t="str">
        <f t="shared" ca="1" si="411"/>
        <v>Debit Card</v>
      </c>
      <c r="AD1158" t="str">
        <f t="shared" ca="1" si="412"/>
        <v>No</v>
      </c>
      <c r="AE1158" t="str">
        <f t="shared" ca="1" si="413"/>
        <v>No</v>
      </c>
      <c r="AF1158" t="str">
        <f t="shared" ca="1" si="414"/>
        <v>Transferred</v>
      </c>
      <c r="AG1158" t="str">
        <f t="shared" ca="1" si="415"/>
        <v>Southwest</v>
      </c>
      <c r="AH1158" t="str">
        <f t="shared" si="398"/>
        <v>November</v>
      </c>
      <c r="AI1158">
        <f t="shared" si="399"/>
        <v>2023</v>
      </c>
      <c r="AJ1158" t="str">
        <f t="shared" ca="1" si="416"/>
        <v>Occupied</v>
      </c>
      <c r="AK1158">
        <f t="shared" ca="1" si="417"/>
        <v>4</v>
      </c>
    </row>
    <row r="1159" spans="1:37" x14ac:dyDescent="0.3">
      <c r="A1159" t="s">
        <v>5566</v>
      </c>
      <c r="B1159">
        <v>83</v>
      </c>
      <c r="C1159" t="s">
        <v>15</v>
      </c>
      <c r="D1159" t="s">
        <v>98</v>
      </c>
      <c r="E1159" t="s">
        <v>25</v>
      </c>
      <c r="F1159" s="1">
        <v>44204</v>
      </c>
      <c r="G1159" t="s">
        <v>2336</v>
      </c>
      <c r="H1159" t="s">
        <v>2337</v>
      </c>
      <c r="I1159" t="s">
        <v>28</v>
      </c>
      <c r="J1159">
        <v>34771</v>
      </c>
      <c r="K1159">
        <v>328</v>
      </c>
      <c r="L1159" t="s">
        <v>21</v>
      </c>
      <c r="M1159" s="1">
        <v>44233</v>
      </c>
      <c r="N1159" t="s">
        <v>37</v>
      </c>
      <c r="O1159" t="s">
        <v>23</v>
      </c>
      <c r="P1159" t="str">
        <f t="shared" si="400"/>
        <v>P1158</v>
      </c>
      <c r="Q1159" t="str">
        <f t="shared" si="396"/>
        <v>Nutrition</v>
      </c>
      <c r="R1159">
        <f t="shared" si="397"/>
        <v>29</v>
      </c>
      <c r="S1159" t="str">
        <f t="shared" ca="1" si="401"/>
        <v>No</v>
      </c>
      <c r="T1159" t="str">
        <f t="shared" ca="1" si="402"/>
        <v>Severe</v>
      </c>
      <c r="U1159" t="str">
        <f t="shared" ca="1" si="403"/>
        <v>Private Ward</v>
      </c>
      <c r="V1159" t="str">
        <f t="shared" si="404"/>
        <v>BED1158</v>
      </c>
      <c r="W1159" t="str">
        <f t="shared" ca="1" si="405"/>
        <v>Private</v>
      </c>
      <c r="X1159" t="str">
        <f t="shared" si="406"/>
        <v>NUR008</v>
      </c>
      <c r="Y1159" t="str">
        <f t="shared" ca="1" si="407"/>
        <v>Morning</v>
      </c>
      <c r="Z1159" t="str">
        <f t="shared" ca="1" si="408"/>
        <v>MRI Scanner</v>
      </c>
      <c r="AA1159" t="str">
        <f t="shared" ca="1" si="409"/>
        <v>Maintenance</v>
      </c>
      <c r="AB1159" t="str">
        <f t="shared" ca="1" si="410"/>
        <v>Pending</v>
      </c>
      <c r="AC1159" t="str">
        <f t="shared" ca="1" si="411"/>
        <v>Insurance</v>
      </c>
      <c r="AD1159" t="str">
        <f t="shared" ca="1" si="412"/>
        <v>No</v>
      </c>
      <c r="AE1159" t="str">
        <f t="shared" ca="1" si="413"/>
        <v>No</v>
      </c>
      <c r="AF1159" t="str">
        <f t="shared" ca="1" si="414"/>
        <v>Under Observation</v>
      </c>
      <c r="AG1159" t="str">
        <f t="shared" ca="1" si="415"/>
        <v>Northeast</v>
      </c>
      <c r="AH1159" t="str">
        <f t="shared" si="398"/>
        <v>January</v>
      </c>
      <c r="AI1159">
        <f t="shared" si="399"/>
        <v>2021</v>
      </c>
      <c r="AJ1159" t="str">
        <f t="shared" ca="1" si="416"/>
        <v>Occupied</v>
      </c>
      <c r="AK1159">
        <f t="shared" ca="1" si="417"/>
        <v>4</v>
      </c>
    </row>
    <row r="1160" spans="1:37" x14ac:dyDescent="0.3">
      <c r="A1160" t="s">
        <v>5567</v>
      </c>
      <c r="B1160">
        <v>36</v>
      </c>
      <c r="C1160" t="s">
        <v>32</v>
      </c>
      <c r="D1160" t="s">
        <v>24</v>
      </c>
      <c r="E1160" t="s">
        <v>76</v>
      </c>
      <c r="F1160" s="1">
        <v>45138</v>
      </c>
      <c r="G1160" t="s">
        <v>2338</v>
      </c>
      <c r="H1160" t="s">
        <v>2339</v>
      </c>
      <c r="I1160" t="s">
        <v>57</v>
      </c>
      <c r="J1160">
        <v>27379</v>
      </c>
      <c r="K1160">
        <v>488</v>
      </c>
      <c r="L1160" t="s">
        <v>42</v>
      </c>
      <c r="M1160" s="1">
        <v>45153</v>
      </c>
      <c r="N1160" t="s">
        <v>67</v>
      </c>
      <c r="O1160" t="s">
        <v>31</v>
      </c>
      <c r="P1160" t="str">
        <f t="shared" si="400"/>
        <v>P1159</v>
      </c>
      <c r="Q1160" t="str">
        <f t="shared" si="396"/>
        <v>Orthopedics</v>
      </c>
      <c r="R1160">
        <f t="shared" si="397"/>
        <v>15</v>
      </c>
      <c r="S1160" t="str">
        <f t="shared" ca="1" si="401"/>
        <v>No</v>
      </c>
      <c r="T1160" t="str">
        <f t="shared" ca="1" si="402"/>
        <v>Severe</v>
      </c>
      <c r="U1160" t="str">
        <f t="shared" ca="1" si="403"/>
        <v>Emergency</v>
      </c>
      <c r="V1160" t="str">
        <f t="shared" si="404"/>
        <v>BED1159</v>
      </c>
      <c r="W1160" t="str">
        <f t="shared" ca="1" si="405"/>
        <v>Semi-Private</v>
      </c>
      <c r="X1160" t="str">
        <f t="shared" si="406"/>
        <v>NUR009</v>
      </c>
      <c r="Y1160" t="str">
        <f t="shared" ca="1" si="407"/>
        <v>Night</v>
      </c>
      <c r="Z1160" t="str">
        <f t="shared" ca="1" si="408"/>
        <v>X-Ray</v>
      </c>
      <c r="AA1160" t="str">
        <f t="shared" ca="1" si="409"/>
        <v>Maintenance</v>
      </c>
      <c r="AB1160" t="str">
        <f t="shared" ca="1" si="410"/>
        <v>Pending</v>
      </c>
      <c r="AC1160" t="str">
        <f t="shared" ca="1" si="411"/>
        <v>Credit Card</v>
      </c>
      <c r="AD1160" t="str">
        <f t="shared" ca="1" si="412"/>
        <v>Yes</v>
      </c>
      <c r="AE1160" t="str">
        <f t="shared" ca="1" si="413"/>
        <v>No</v>
      </c>
      <c r="AF1160" t="str">
        <f t="shared" ca="1" si="414"/>
        <v>Transferred</v>
      </c>
      <c r="AG1160" t="str">
        <f t="shared" ca="1" si="415"/>
        <v>West Coast</v>
      </c>
      <c r="AH1160" t="str">
        <f t="shared" si="398"/>
        <v>July</v>
      </c>
      <c r="AI1160">
        <f t="shared" si="399"/>
        <v>2023</v>
      </c>
      <c r="AJ1160" t="str">
        <f t="shared" ca="1" si="416"/>
        <v>Occupied</v>
      </c>
      <c r="AK1160">
        <f t="shared" ca="1" si="417"/>
        <v>2</v>
      </c>
    </row>
    <row r="1161" spans="1:37" x14ac:dyDescent="0.3">
      <c r="A1161" t="s">
        <v>5568</v>
      </c>
      <c r="B1161">
        <v>51</v>
      </c>
      <c r="C1161" t="s">
        <v>15</v>
      </c>
      <c r="D1161" t="s">
        <v>33</v>
      </c>
      <c r="E1161" t="s">
        <v>76</v>
      </c>
      <c r="F1161" s="1">
        <v>43687</v>
      </c>
      <c r="G1161" t="s">
        <v>2340</v>
      </c>
      <c r="H1161" t="s">
        <v>1315</v>
      </c>
      <c r="I1161" t="s">
        <v>51</v>
      </c>
      <c r="J1161">
        <v>12297</v>
      </c>
      <c r="K1161">
        <v>103</v>
      </c>
      <c r="L1161" t="s">
        <v>29</v>
      </c>
      <c r="M1161" s="1">
        <v>43691</v>
      </c>
      <c r="N1161" t="s">
        <v>22</v>
      </c>
      <c r="O1161" t="s">
        <v>43</v>
      </c>
      <c r="P1161" t="str">
        <f t="shared" si="400"/>
        <v>P1160</v>
      </c>
      <c r="Q1161" t="str">
        <f t="shared" si="396"/>
        <v>Orthopedics</v>
      </c>
      <c r="R1161">
        <f t="shared" si="397"/>
        <v>4</v>
      </c>
      <c r="S1161" t="str">
        <f t="shared" ca="1" si="401"/>
        <v>No</v>
      </c>
      <c r="T1161" t="str">
        <f t="shared" ca="1" si="402"/>
        <v>Mild</v>
      </c>
      <c r="U1161" t="str">
        <f t="shared" ca="1" si="403"/>
        <v>Private Ward</v>
      </c>
      <c r="V1161" t="str">
        <f t="shared" si="404"/>
        <v>BED1160</v>
      </c>
      <c r="W1161" t="str">
        <f t="shared" ca="1" si="405"/>
        <v>ICU</v>
      </c>
      <c r="X1161" t="str">
        <f t="shared" si="406"/>
        <v>NUR010</v>
      </c>
      <c r="Y1161" t="str">
        <f t="shared" ca="1" si="407"/>
        <v>Evening</v>
      </c>
      <c r="Z1161" t="str">
        <f t="shared" ca="1" si="408"/>
        <v>X-Ray</v>
      </c>
      <c r="AA1161" t="str">
        <f t="shared" ca="1" si="409"/>
        <v>Maintenance</v>
      </c>
      <c r="AB1161" t="str">
        <f t="shared" ca="1" si="410"/>
        <v>Pending</v>
      </c>
      <c r="AC1161" t="str">
        <f t="shared" ca="1" si="411"/>
        <v>Bank Transfer</v>
      </c>
      <c r="AD1161" t="str">
        <f t="shared" ca="1" si="412"/>
        <v>No</v>
      </c>
      <c r="AE1161" t="str">
        <f t="shared" ca="1" si="413"/>
        <v>No</v>
      </c>
      <c r="AF1161" t="str">
        <f t="shared" ca="1" si="414"/>
        <v>Transferred</v>
      </c>
      <c r="AG1161" t="str">
        <f t="shared" ca="1" si="415"/>
        <v>Southwest</v>
      </c>
      <c r="AH1161" t="str">
        <f t="shared" si="398"/>
        <v>August</v>
      </c>
      <c r="AI1161">
        <f t="shared" si="399"/>
        <v>2019</v>
      </c>
      <c r="AJ1161" t="str">
        <f t="shared" ca="1" si="416"/>
        <v>Occupied</v>
      </c>
      <c r="AK1161">
        <f t="shared" ca="1" si="417"/>
        <v>1</v>
      </c>
    </row>
    <row r="1162" spans="1:37" x14ac:dyDescent="0.3">
      <c r="A1162" t="s">
        <v>5569</v>
      </c>
      <c r="B1162">
        <v>59</v>
      </c>
      <c r="C1162" t="s">
        <v>15</v>
      </c>
      <c r="D1162" t="s">
        <v>83</v>
      </c>
      <c r="E1162" t="s">
        <v>48</v>
      </c>
      <c r="F1162" s="1">
        <v>43885</v>
      </c>
      <c r="G1162" t="s">
        <v>2341</v>
      </c>
      <c r="H1162" t="s">
        <v>2342</v>
      </c>
      <c r="I1162" t="s">
        <v>51</v>
      </c>
      <c r="J1162">
        <v>43863</v>
      </c>
      <c r="K1162">
        <v>408</v>
      </c>
      <c r="L1162" t="s">
        <v>42</v>
      </c>
      <c r="M1162" s="1">
        <v>43912</v>
      </c>
      <c r="N1162" t="s">
        <v>22</v>
      </c>
      <c r="O1162" t="s">
        <v>23</v>
      </c>
      <c r="P1162" t="str">
        <f t="shared" si="400"/>
        <v>P1161</v>
      </c>
      <c r="Q1162" t="str">
        <f t="shared" si="396"/>
        <v>Pulmonology</v>
      </c>
      <c r="R1162">
        <f t="shared" si="397"/>
        <v>27</v>
      </c>
      <c r="S1162" t="str">
        <f t="shared" ca="1" si="401"/>
        <v>No</v>
      </c>
      <c r="T1162" t="str">
        <f t="shared" ca="1" si="402"/>
        <v>Critical</v>
      </c>
      <c r="U1162" t="str">
        <f t="shared" ca="1" si="403"/>
        <v>Semi-Private</v>
      </c>
      <c r="V1162" t="str">
        <f t="shared" si="404"/>
        <v>BED1161</v>
      </c>
      <c r="W1162" t="str">
        <f t="shared" ca="1" si="405"/>
        <v>ICU</v>
      </c>
      <c r="X1162" t="str">
        <f t="shared" si="406"/>
        <v>NUR011</v>
      </c>
      <c r="Y1162" t="str">
        <f t="shared" ca="1" si="407"/>
        <v>Night</v>
      </c>
      <c r="Z1162" t="str">
        <f t="shared" ca="1" si="408"/>
        <v>Ultrasound</v>
      </c>
      <c r="AA1162" t="str">
        <f t="shared" ca="1" si="409"/>
        <v>In Use</v>
      </c>
      <c r="AB1162" t="str">
        <f t="shared" ca="1" si="410"/>
        <v>Pending</v>
      </c>
      <c r="AC1162" t="str">
        <f t="shared" ca="1" si="411"/>
        <v>Cash</v>
      </c>
      <c r="AD1162" t="str">
        <f t="shared" ca="1" si="412"/>
        <v>No</v>
      </c>
      <c r="AE1162" t="str">
        <f t="shared" ca="1" si="413"/>
        <v>No</v>
      </c>
      <c r="AF1162" t="str">
        <f t="shared" ca="1" si="414"/>
        <v>Under Observation</v>
      </c>
      <c r="AG1162" t="str">
        <f t="shared" ca="1" si="415"/>
        <v>Midwest</v>
      </c>
      <c r="AH1162" t="str">
        <f t="shared" si="398"/>
        <v>February</v>
      </c>
      <c r="AI1162">
        <f t="shared" si="399"/>
        <v>2020</v>
      </c>
      <c r="AJ1162" t="str">
        <f t="shared" ca="1" si="416"/>
        <v>Occupied</v>
      </c>
      <c r="AK1162">
        <f t="shared" ca="1" si="417"/>
        <v>1</v>
      </c>
    </row>
    <row r="1163" spans="1:37" x14ac:dyDescent="0.3">
      <c r="A1163" t="s">
        <v>5570</v>
      </c>
      <c r="B1163">
        <v>64</v>
      </c>
      <c r="C1163" t="s">
        <v>32</v>
      </c>
      <c r="D1163" t="s">
        <v>44</v>
      </c>
      <c r="E1163" t="s">
        <v>76</v>
      </c>
      <c r="F1163" s="1">
        <v>44372</v>
      </c>
      <c r="G1163" t="s">
        <v>2343</v>
      </c>
      <c r="H1163" t="s">
        <v>2344</v>
      </c>
      <c r="I1163" t="s">
        <v>20</v>
      </c>
      <c r="J1163">
        <v>21691</v>
      </c>
      <c r="K1163">
        <v>140</v>
      </c>
      <c r="L1163" t="s">
        <v>29</v>
      </c>
      <c r="M1163" s="1">
        <v>44393</v>
      </c>
      <c r="N1163" t="s">
        <v>67</v>
      </c>
      <c r="O1163" t="s">
        <v>43</v>
      </c>
      <c r="P1163" t="str">
        <f t="shared" si="400"/>
        <v>P1162</v>
      </c>
      <c r="Q1163" t="str">
        <f t="shared" si="396"/>
        <v>Orthopedics</v>
      </c>
      <c r="R1163">
        <f t="shared" si="397"/>
        <v>21</v>
      </c>
      <c r="S1163" t="str">
        <f t="shared" ca="1" si="401"/>
        <v>No</v>
      </c>
      <c r="T1163" t="str">
        <f t="shared" ca="1" si="402"/>
        <v>Moderate</v>
      </c>
      <c r="U1163" t="str">
        <f t="shared" ca="1" si="403"/>
        <v>Emergency</v>
      </c>
      <c r="V1163" t="str">
        <f t="shared" si="404"/>
        <v>BED1162</v>
      </c>
      <c r="W1163" t="str">
        <f t="shared" ca="1" si="405"/>
        <v>Semi-Private</v>
      </c>
      <c r="X1163" t="str">
        <f t="shared" si="406"/>
        <v>NUR012</v>
      </c>
      <c r="Y1163" t="str">
        <f t="shared" ca="1" si="407"/>
        <v>Night</v>
      </c>
      <c r="Z1163" t="str">
        <f t="shared" ca="1" si="408"/>
        <v>CT Scanner</v>
      </c>
      <c r="AA1163" t="str">
        <f t="shared" ca="1" si="409"/>
        <v>In Use</v>
      </c>
      <c r="AB1163" t="str">
        <f t="shared" ca="1" si="410"/>
        <v>Paid</v>
      </c>
      <c r="AC1163" t="str">
        <f t="shared" ca="1" si="411"/>
        <v>Cash</v>
      </c>
      <c r="AD1163" t="str">
        <f t="shared" ca="1" si="412"/>
        <v>No</v>
      </c>
      <c r="AE1163" t="str">
        <f t="shared" ca="1" si="413"/>
        <v>No</v>
      </c>
      <c r="AF1163" t="str">
        <f t="shared" ca="1" si="414"/>
        <v>Recovered</v>
      </c>
      <c r="AG1163" t="str">
        <f t="shared" ca="1" si="415"/>
        <v>Northeast</v>
      </c>
      <c r="AH1163" t="str">
        <f t="shared" si="398"/>
        <v>June</v>
      </c>
      <c r="AI1163">
        <f t="shared" si="399"/>
        <v>2021</v>
      </c>
      <c r="AJ1163" t="str">
        <f t="shared" ca="1" si="416"/>
        <v>Occupied</v>
      </c>
      <c r="AK1163">
        <f t="shared" ca="1" si="417"/>
        <v>1</v>
      </c>
    </row>
    <row r="1164" spans="1:37" x14ac:dyDescent="0.3">
      <c r="A1164" t="s">
        <v>5571</v>
      </c>
      <c r="B1164">
        <v>38</v>
      </c>
      <c r="C1164" t="s">
        <v>15</v>
      </c>
      <c r="D1164" t="s">
        <v>16</v>
      </c>
      <c r="E1164" t="s">
        <v>25</v>
      </c>
      <c r="F1164" s="1">
        <v>44661</v>
      </c>
      <c r="G1164" t="s">
        <v>2345</v>
      </c>
      <c r="H1164" t="s">
        <v>2346</v>
      </c>
      <c r="I1164" t="s">
        <v>28</v>
      </c>
      <c r="J1164">
        <v>41135</v>
      </c>
      <c r="K1164">
        <v>494</v>
      </c>
      <c r="L1164" t="s">
        <v>29</v>
      </c>
      <c r="M1164" s="1">
        <v>44679</v>
      </c>
      <c r="N1164" t="s">
        <v>22</v>
      </c>
      <c r="O1164" t="s">
        <v>43</v>
      </c>
      <c r="P1164" t="str">
        <f t="shared" si="400"/>
        <v>P1163</v>
      </c>
      <c r="Q1164" t="str">
        <f t="shared" si="396"/>
        <v>Nutrition</v>
      </c>
      <c r="R1164">
        <f t="shared" si="397"/>
        <v>18</v>
      </c>
      <c r="S1164" t="str">
        <f t="shared" ca="1" si="401"/>
        <v>No</v>
      </c>
      <c r="T1164" t="str">
        <f t="shared" ca="1" si="402"/>
        <v>Mild</v>
      </c>
      <c r="U1164" t="str">
        <f t="shared" ca="1" si="403"/>
        <v>Semi-Private</v>
      </c>
      <c r="V1164" t="str">
        <f t="shared" si="404"/>
        <v>BED1163</v>
      </c>
      <c r="W1164" t="str">
        <f t="shared" ca="1" si="405"/>
        <v>Private</v>
      </c>
      <c r="X1164" t="str">
        <f t="shared" si="406"/>
        <v>NUR013</v>
      </c>
      <c r="Y1164" t="str">
        <f t="shared" ca="1" si="407"/>
        <v>Evening</v>
      </c>
      <c r="Z1164" t="str">
        <f t="shared" ca="1" si="408"/>
        <v>MRI Scanner</v>
      </c>
      <c r="AA1164" t="str">
        <f t="shared" ca="1" si="409"/>
        <v>In Use</v>
      </c>
      <c r="AB1164" t="str">
        <f t="shared" ca="1" si="410"/>
        <v>Partially Paid</v>
      </c>
      <c r="AC1164" t="str">
        <f t="shared" ca="1" si="411"/>
        <v>Insurance</v>
      </c>
      <c r="AD1164" t="str">
        <f t="shared" ca="1" si="412"/>
        <v>No</v>
      </c>
      <c r="AE1164" t="str">
        <f t="shared" ca="1" si="413"/>
        <v>Yes</v>
      </c>
      <c r="AF1164" t="str">
        <f t="shared" ca="1" si="414"/>
        <v>Under Observation</v>
      </c>
      <c r="AG1164" t="str">
        <f t="shared" ca="1" si="415"/>
        <v>Southwest</v>
      </c>
      <c r="AH1164" t="str">
        <f t="shared" si="398"/>
        <v>April</v>
      </c>
      <c r="AI1164">
        <f t="shared" si="399"/>
        <v>2022</v>
      </c>
      <c r="AJ1164" t="str">
        <f t="shared" ca="1" si="416"/>
        <v>Occupied</v>
      </c>
      <c r="AK1164">
        <f t="shared" ca="1" si="417"/>
        <v>4</v>
      </c>
    </row>
    <row r="1165" spans="1:37" x14ac:dyDescent="0.3">
      <c r="A1165" t="s">
        <v>5572</v>
      </c>
      <c r="B1165">
        <v>25</v>
      </c>
      <c r="C1165" t="s">
        <v>32</v>
      </c>
      <c r="D1165" t="s">
        <v>83</v>
      </c>
      <c r="E1165" t="s">
        <v>25</v>
      </c>
      <c r="F1165" s="1">
        <v>43856</v>
      </c>
      <c r="G1165" t="s">
        <v>2347</v>
      </c>
      <c r="H1165" t="s">
        <v>2348</v>
      </c>
      <c r="I1165" t="s">
        <v>51</v>
      </c>
      <c r="J1165">
        <v>4980</v>
      </c>
      <c r="K1165">
        <v>192</v>
      </c>
      <c r="L1165" t="s">
        <v>29</v>
      </c>
      <c r="M1165" s="1">
        <v>43880</v>
      </c>
      <c r="N1165" t="s">
        <v>22</v>
      </c>
      <c r="O1165" t="s">
        <v>23</v>
      </c>
      <c r="P1165" t="str">
        <f t="shared" si="400"/>
        <v>P1164</v>
      </c>
      <c r="Q1165" t="str">
        <f t="shared" si="396"/>
        <v>Nutrition</v>
      </c>
      <c r="R1165">
        <f t="shared" si="397"/>
        <v>24</v>
      </c>
      <c r="S1165" t="str">
        <f t="shared" ca="1" si="401"/>
        <v>No</v>
      </c>
      <c r="T1165" t="str">
        <f t="shared" ca="1" si="402"/>
        <v>Moderate</v>
      </c>
      <c r="U1165" t="str">
        <f t="shared" ca="1" si="403"/>
        <v>General Ward</v>
      </c>
      <c r="V1165" t="str">
        <f t="shared" si="404"/>
        <v>BED1164</v>
      </c>
      <c r="W1165" t="str">
        <f t="shared" ca="1" si="405"/>
        <v>ICU</v>
      </c>
      <c r="X1165" t="str">
        <f t="shared" si="406"/>
        <v>NUR014</v>
      </c>
      <c r="Y1165" t="str">
        <f t="shared" ca="1" si="407"/>
        <v>Evening</v>
      </c>
      <c r="Z1165" t="str">
        <f t="shared" ca="1" si="408"/>
        <v>Ultrasound</v>
      </c>
      <c r="AA1165" t="str">
        <f t="shared" ca="1" si="409"/>
        <v>In Use</v>
      </c>
      <c r="AB1165" t="str">
        <f t="shared" ca="1" si="410"/>
        <v>Paid</v>
      </c>
      <c r="AC1165" t="str">
        <f t="shared" ca="1" si="411"/>
        <v>Insurance</v>
      </c>
      <c r="AD1165" t="str">
        <f t="shared" ca="1" si="412"/>
        <v>No</v>
      </c>
      <c r="AE1165" t="str">
        <f t="shared" ca="1" si="413"/>
        <v>No</v>
      </c>
      <c r="AF1165" t="str">
        <f t="shared" ca="1" si="414"/>
        <v>Recovered</v>
      </c>
      <c r="AG1165" t="str">
        <f t="shared" ca="1" si="415"/>
        <v>Northeast</v>
      </c>
      <c r="AH1165" t="str">
        <f t="shared" si="398"/>
        <v>January</v>
      </c>
      <c r="AI1165">
        <f t="shared" si="399"/>
        <v>2020</v>
      </c>
      <c r="AJ1165" t="str">
        <f t="shared" ca="1" si="416"/>
        <v>Occupied</v>
      </c>
      <c r="AK1165">
        <f t="shared" ca="1" si="417"/>
        <v>4</v>
      </c>
    </row>
    <row r="1166" spans="1:37" x14ac:dyDescent="0.3">
      <c r="A1166" t="s">
        <v>5573</v>
      </c>
      <c r="B1166">
        <v>52</v>
      </c>
      <c r="C1166" t="s">
        <v>15</v>
      </c>
      <c r="D1166" t="s">
        <v>44</v>
      </c>
      <c r="E1166" t="s">
        <v>39</v>
      </c>
      <c r="F1166" s="1">
        <v>44373</v>
      </c>
      <c r="G1166" t="s">
        <v>2349</v>
      </c>
      <c r="H1166" t="s">
        <v>968</v>
      </c>
      <c r="I1166" t="s">
        <v>57</v>
      </c>
      <c r="J1166">
        <v>4153</v>
      </c>
      <c r="K1166">
        <v>293</v>
      </c>
      <c r="L1166" t="s">
        <v>29</v>
      </c>
      <c r="M1166" s="1">
        <v>44374</v>
      </c>
      <c r="N1166" t="s">
        <v>47</v>
      </c>
      <c r="O1166" t="s">
        <v>23</v>
      </c>
      <c r="P1166" t="str">
        <f t="shared" si="400"/>
        <v>P1165</v>
      </c>
      <c r="Q1166" t="str">
        <f t="shared" si="396"/>
        <v>Endocrinology</v>
      </c>
      <c r="R1166">
        <f t="shared" si="397"/>
        <v>1</v>
      </c>
      <c r="S1166" t="str">
        <f t="shared" ca="1" si="401"/>
        <v>No</v>
      </c>
      <c r="T1166" t="str">
        <f t="shared" ca="1" si="402"/>
        <v>Critical</v>
      </c>
      <c r="U1166" t="str">
        <f t="shared" ca="1" si="403"/>
        <v>Private Ward</v>
      </c>
      <c r="V1166" t="str">
        <f t="shared" si="404"/>
        <v>BED1165</v>
      </c>
      <c r="W1166" t="str">
        <f t="shared" ca="1" si="405"/>
        <v>Private</v>
      </c>
      <c r="X1166" t="str">
        <f t="shared" si="406"/>
        <v>NUR015</v>
      </c>
      <c r="Y1166" t="str">
        <f t="shared" ca="1" si="407"/>
        <v>Evening</v>
      </c>
      <c r="Z1166" t="str">
        <f t="shared" ca="1" si="408"/>
        <v>Ultrasound</v>
      </c>
      <c r="AA1166" t="str">
        <f t="shared" ca="1" si="409"/>
        <v>In Use</v>
      </c>
      <c r="AB1166" t="str">
        <f t="shared" ca="1" si="410"/>
        <v>Paid</v>
      </c>
      <c r="AC1166" t="str">
        <f t="shared" ca="1" si="411"/>
        <v>Bank Transfer</v>
      </c>
      <c r="AD1166" t="str">
        <f t="shared" ca="1" si="412"/>
        <v>No</v>
      </c>
      <c r="AE1166" t="str">
        <f t="shared" ca="1" si="413"/>
        <v>No</v>
      </c>
      <c r="AF1166" t="str">
        <f t="shared" ca="1" si="414"/>
        <v>Recovered</v>
      </c>
      <c r="AG1166" t="str">
        <f t="shared" ca="1" si="415"/>
        <v>Midwest</v>
      </c>
      <c r="AH1166" t="str">
        <f t="shared" si="398"/>
        <v>June</v>
      </c>
      <c r="AI1166">
        <f t="shared" si="399"/>
        <v>2021</v>
      </c>
      <c r="AJ1166" t="str">
        <f t="shared" ca="1" si="416"/>
        <v>Occupied</v>
      </c>
      <c r="AK1166">
        <f t="shared" ca="1" si="417"/>
        <v>1</v>
      </c>
    </row>
    <row r="1167" spans="1:37" x14ac:dyDescent="0.3">
      <c r="A1167" t="s">
        <v>5574</v>
      </c>
      <c r="B1167">
        <v>80</v>
      </c>
      <c r="C1167" t="s">
        <v>32</v>
      </c>
      <c r="D1167" t="s">
        <v>33</v>
      </c>
      <c r="E1167" t="s">
        <v>25</v>
      </c>
      <c r="F1167" s="1">
        <v>44641</v>
      </c>
      <c r="G1167" t="s">
        <v>2350</v>
      </c>
      <c r="H1167" t="s">
        <v>2351</v>
      </c>
      <c r="I1167" t="s">
        <v>20</v>
      </c>
      <c r="J1167">
        <v>26459</v>
      </c>
      <c r="K1167">
        <v>387</v>
      </c>
      <c r="L1167" t="s">
        <v>29</v>
      </c>
      <c r="M1167" s="1">
        <v>44650</v>
      </c>
      <c r="N1167" t="s">
        <v>47</v>
      </c>
      <c r="O1167" t="s">
        <v>23</v>
      </c>
      <c r="P1167" t="str">
        <f t="shared" si="400"/>
        <v>P1166</v>
      </c>
      <c r="Q1167" t="str">
        <f t="shared" si="396"/>
        <v>Nutrition</v>
      </c>
      <c r="R1167">
        <f t="shared" si="397"/>
        <v>9</v>
      </c>
      <c r="S1167" t="str">
        <f t="shared" ca="1" si="401"/>
        <v>Yes</v>
      </c>
      <c r="T1167" t="str">
        <f t="shared" ca="1" si="402"/>
        <v>Moderate</v>
      </c>
      <c r="U1167" t="str">
        <f t="shared" ca="1" si="403"/>
        <v>Emergency</v>
      </c>
      <c r="V1167" t="str">
        <f t="shared" si="404"/>
        <v>BED1166</v>
      </c>
      <c r="W1167" t="str">
        <f t="shared" ca="1" si="405"/>
        <v>ICU</v>
      </c>
      <c r="X1167" t="str">
        <f t="shared" si="406"/>
        <v>NUR016</v>
      </c>
      <c r="Y1167" t="str">
        <f t="shared" ca="1" si="407"/>
        <v>Night</v>
      </c>
      <c r="Z1167" t="str">
        <f t="shared" ca="1" si="408"/>
        <v>CT Scanner</v>
      </c>
      <c r="AA1167" t="str">
        <f t="shared" ca="1" si="409"/>
        <v>Available</v>
      </c>
      <c r="AB1167" t="str">
        <f t="shared" ca="1" si="410"/>
        <v>Paid</v>
      </c>
      <c r="AC1167" t="str">
        <f t="shared" ca="1" si="411"/>
        <v>Credit Card</v>
      </c>
      <c r="AD1167" t="str">
        <f t="shared" ca="1" si="412"/>
        <v>No</v>
      </c>
      <c r="AE1167" t="str">
        <f t="shared" ca="1" si="413"/>
        <v>Yes</v>
      </c>
      <c r="AF1167" t="str">
        <f t="shared" ca="1" si="414"/>
        <v>Recovered</v>
      </c>
      <c r="AG1167" t="str">
        <f t="shared" ca="1" si="415"/>
        <v>Northeast</v>
      </c>
      <c r="AH1167" t="str">
        <f t="shared" si="398"/>
        <v>March</v>
      </c>
      <c r="AI1167">
        <f t="shared" si="399"/>
        <v>2022</v>
      </c>
      <c r="AJ1167" t="str">
        <f t="shared" ca="1" si="416"/>
        <v>Occupied</v>
      </c>
      <c r="AK1167">
        <f t="shared" ca="1" si="417"/>
        <v>1</v>
      </c>
    </row>
    <row r="1168" spans="1:37" x14ac:dyDescent="0.3">
      <c r="A1168" t="s">
        <v>5575</v>
      </c>
      <c r="B1168">
        <v>34</v>
      </c>
      <c r="C1168" t="s">
        <v>32</v>
      </c>
      <c r="D1168" t="s">
        <v>24</v>
      </c>
      <c r="E1168" t="s">
        <v>17</v>
      </c>
      <c r="F1168" s="1">
        <v>44866</v>
      </c>
      <c r="G1168" t="s">
        <v>2352</v>
      </c>
      <c r="H1168" t="s">
        <v>2353</v>
      </c>
      <c r="I1168" t="s">
        <v>20</v>
      </c>
      <c r="J1168">
        <v>22549</v>
      </c>
      <c r="K1168">
        <v>207</v>
      </c>
      <c r="L1168" t="s">
        <v>29</v>
      </c>
      <c r="M1168" s="1">
        <v>44883</v>
      </c>
      <c r="N1168" t="s">
        <v>47</v>
      </c>
      <c r="O1168" t="s">
        <v>23</v>
      </c>
      <c r="P1168" t="str">
        <f t="shared" si="400"/>
        <v>P1167</v>
      </c>
      <c r="Q1168" t="str">
        <f t="shared" si="396"/>
        <v>Oncology</v>
      </c>
      <c r="R1168">
        <f t="shared" si="397"/>
        <v>17</v>
      </c>
      <c r="S1168" t="str">
        <f t="shared" ca="1" si="401"/>
        <v>No</v>
      </c>
      <c r="T1168" t="str">
        <f t="shared" ca="1" si="402"/>
        <v>Mild</v>
      </c>
      <c r="U1168" t="str">
        <f t="shared" ca="1" si="403"/>
        <v>ICU</v>
      </c>
      <c r="V1168" t="str">
        <f t="shared" si="404"/>
        <v>BED1167</v>
      </c>
      <c r="W1168" t="str">
        <f t="shared" ca="1" si="405"/>
        <v>Private</v>
      </c>
      <c r="X1168" t="str">
        <f t="shared" si="406"/>
        <v>NUR017</v>
      </c>
      <c r="Y1168" t="str">
        <f t="shared" ca="1" si="407"/>
        <v>Evening</v>
      </c>
      <c r="Z1168" t="str">
        <f t="shared" ca="1" si="408"/>
        <v>X-Ray</v>
      </c>
      <c r="AA1168" t="str">
        <f t="shared" ca="1" si="409"/>
        <v>Available</v>
      </c>
      <c r="AB1168" t="str">
        <f t="shared" ca="1" si="410"/>
        <v>Partially Paid</v>
      </c>
      <c r="AC1168" t="str">
        <f t="shared" ca="1" si="411"/>
        <v>Debit Card</v>
      </c>
      <c r="AD1168" t="str">
        <f t="shared" ca="1" si="412"/>
        <v>No</v>
      </c>
      <c r="AE1168" t="str">
        <f t="shared" ca="1" si="413"/>
        <v>No</v>
      </c>
      <c r="AF1168" t="str">
        <f t="shared" ca="1" si="414"/>
        <v>Transferred</v>
      </c>
      <c r="AG1168" t="str">
        <f t="shared" ca="1" si="415"/>
        <v>Southwest</v>
      </c>
      <c r="AH1168" t="str">
        <f t="shared" si="398"/>
        <v>November</v>
      </c>
      <c r="AI1168">
        <f t="shared" si="399"/>
        <v>2022</v>
      </c>
      <c r="AJ1168" t="str">
        <f t="shared" ca="1" si="416"/>
        <v>Occupied</v>
      </c>
      <c r="AK1168">
        <f t="shared" ca="1" si="417"/>
        <v>1</v>
      </c>
    </row>
    <row r="1169" spans="1:37" x14ac:dyDescent="0.3">
      <c r="A1169" t="s">
        <v>5576</v>
      </c>
      <c r="B1169">
        <v>32</v>
      </c>
      <c r="C1169" t="s">
        <v>32</v>
      </c>
      <c r="D1169" t="s">
        <v>83</v>
      </c>
      <c r="E1169" t="s">
        <v>25</v>
      </c>
      <c r="F1169" s="1">
        <v>44845</v>
      </c>
      <c r="G1169" t="s">
        <v>2354</v>
      </c>
      <c r="H1169" t="s">
        <v>2355</v>
      </c>
      <c r="I1169" t="s">
        <v>57</v>
      </c>
      <c r="J1169">
        <v>45871</v>
      </c>
      <c r="K1169">
        <v>314</v>
      </c>
      <c r="L1169" t="s">
        <v>21</v>
      </c>
      <c r="M1169" s="1">
        <v>44871</v>
      </c>
      <c r="N1169" t="s">
        <v>47</v>
      </c>
      <c r="O1169" t="s">
        <v>43</v>
      </c>
      <c r="P1169" t="str">
        <f t="shared" si="400"/>
        <v>P1168</v>
      </c>
      <c r="Q1169" t="str">
        <f t="shared" si="396"/>
        <v>Nutrition</v>
      </c>
      <c r="R1169">
        <f t="shared" si="397"/>
        <v>26</v>
      </c>
      <c r="S1169" t="str">
        <f t="shared" ca="1" si="401"/>
        <v>No</v>
      </c>
      <c r="T1169" t="str">
        <f t="shared" ca="1" si="402"/>
        <v>Moderate</v>
      </c>
      <c r="U1169" t="str">
        <f t="shared" ca="1" si="403"/>
        <v>General Ward</v>
      </c>
      <c r="V1169" t="str">
        <f t="shared" si="404"/>
        <v>BED1168</v>
      </c>
      <c r="W1169" t="str">
        <f t="shared" ca="1" si="405"/>
        <v>General</v>
      </c>
      <c r="X1169" t="str">
        <f t="shared" si="406"/>
        <v>NUR018</v>
      </c>
      <c r="Y1169" t="str">
        <f t="shared" ca="1" si="407"/>
        <v>Night</v>
      </c>
      <c r="Z1169" t="str">
        <f t="shared" ca="1" si="408"/>
        <v>Ventilator</v>
      </c>
      <c r="AA1169" t="str">
        <f t="shared" ca="1" si="409"/>
        <v>Maintenance</v>
      </c>
      <c r="AB1169" t="str">
        <f t="shared" ca="1" si="410"/>
        <v>Pending</v>
      </c>
      <c r="AC1169" t="str">
        <f t="shared" ca="1" si="411"/>
        <v>Credit Card</v>
      </c>
      <c r="AD1169" t="str">
        <f t="shared" ca="1" si="412"/>
        <v>No</v>
      </c>
      <c r="AE1169" t="str">
        <f t="shared" ca="1" si="413"/>
        <v>No</v>
      </c>
      <c r="AF1169" t="str">
        <f t="shared" ca="1" si="414"/>
        <v>Transferred</v>
      </c>
      <c r="AG1169" t="str">
        <f t="shared" ca="1" si="415"/>
        <v>Northeast</v>
      </c>
      <c r="AH1169" t="str">
        <f t="shared" si="398"/>
        <v>October</v>
      </c>
      <c r="AI1169">
        <f t="shared" si="399"/>
        <v>2022</v>
      </c>
      <c r="AJ1169" t="str">
        <f t="shared" ca="1" si="416"/>
        <v>Occupied</v>
      </c>
      <c r="AK1169">
        <f t="shared" ca="1" si="417"/>
        <v>1</v>
      </c>
    </row>
    <row r="1170" spans="1:37" x14ac:dyDescent="0.3">
      <c r="A1170" t="s">
        <v>1507</v>
      </c>
      <c r="B1170">
        <v>42</v>
      </c>
      <c r="C1170" t="s">
        <v>32</v>
      </c>
      <c r="D1170" t="s">
        <v>83</v>
      </c>
      <c r="E1170" t="s">
        <v>25</v>
      </c>
      <c r="F1170" s="1">
        <v>43629</v>
      </c>
      <c r="G1170" t="s">
        <v>2356</v>
      </c>
      <c r="H1170" t="s">
        <v>2357</v>
      </c>
      <c r="I1170" t="s">
        <v>20</v>
      </c>
      <c r="J1170">
        <v>43131</v>
      </c>
      <c r="K1170">
        <v>382</v>
      </c>
      <c r="L1170" t="s">
        <v>42</v>
      </c>
      <c r="M1170" s="1">
        <v>43658</v>
      </c>
      <c r="N1170" t="s">
        <v>47</v>
      </c>
      <c r="O1170" t="s">
        <v>31</v>
      </c>
      <c r="P1170" t="str">
        <f t="shared" si="400"/>
        <v>P1169</v>
      </c>
      <c r="Q1170" t="str">
        <f t="shared" si="396"/>
        <v>Nutrition</v>
      </c>
      <c r="R1170">
        <f t="shared" si="397"/>
        <v>29</v>
      </c>
      <c r="S1170" t="str">
        <f t="shared" ca="1" si="401"/>
        <v>No</v>
      </c>
      <c r="T1170" t="str">
        <f t="shared" ca="1" si="402"/>
        <v>Mild</v>
      </c>
      <c r="U1170" t="str">
        <f t="shared" ca="1" si="403"/>
        <v>Semi-Private</v>
      </c>
      <c r="V1170" t="str">
        <f t="shared" si="404"/>
        <v>BED1169</v>
      </c>
      <c r="W1170" t="str">
        <f t="shared" ca="1" si="405"/>
        <v>ICU</v>
      </c>
      <c r="X1170" t="str">
        <f t="shared" si="406"/>
        <v>NUR019</v>
      </c>
      <c r="Y1170" t="str">
        <f t="shared" ca="1" si="407"/>
        <v>Morning</v>
      </c>
      <c r="Z1170" t="str">
        <f t="shared" ca="1" si="408"/>
        <v>CT Scanner</v>
      </c>
      <c r="AA1170" t="str">
        <f t="shared" ca="1" si="409"/>
        <v>Maintenance</v>
      </c>
      <c r="AB1170" t="str">
        <f t="shared" ca="1" si="410"/>
        <v>Paid</v>
      </c>
      <c r="AC1170" t="str">
        <f t="shared" ca="1" si="411"/>
        <v>Debit Card</v>
      </c>
      <c r="AD1170" t="str">
        <f t="shared" ca="1" si="412"/>
        <v>No</v>
      </c>
      <c r="AE1170" t="str">
        <f t="shared" ca="1" si="413"/>
        <v>No</v>
      </c>
      <c r="AF1170" t="str">
        <f t="shared" ca="1" si="414"/>
        <v>Recovered</v>
      </c>
      <c r="AG1170" t="str">
        <f t="shared" ca="1" si="415"/>
        <v>West Coast</v>
      </c>
      <c r="AH1170" t="str">
        <f t="shared" si="398"/>
        <v>June</v>
      </c>
      <c r="AI1170">
        <f t="shared" si="399"/>
        <v>2019</v>
      </c>
      <c r="AJ1170" t="str">
        <f t="shared" ca="1" si="416"/>
        <v>Occupied</v>
      </c>
      <c r="AK1170">
        <f t="shared" ca="1" si="417"/>
        <v>4</v>
      </c>
    </row>
    <row r="1171" spans="1:37" x14ac:dyDescent="0.3">
      <c r="A1171" t="s">
        <v>5577</v>
      </c>
      <c r="B1171">
        <v>37</v>
      </c>
      <c r="C1171" t="s">
        <v>32</v>
      </c>
      <c r="D1171" t="s">
        <v>98</v>
      </c>
      <c r="E1171" t="s">
        <v>76</v>
      </c>
      <c r="F1171" s="1">
        <v>44087</v>
      </c>
      <c r="G1171" t="s">
        <v>2358</v>
      </c>
      <c r="H1171" t="s">
        <v>2359</v>
      </c>
      <c r="I1171" t="s">
        <v>20</v>
      </c>
      <c r="J1171">
        <v>16828</v>
      </c>
      <c r="K1171">
        <v>147</v>
      </c>
      <c r="L1171" t="s">
        <v>21</v>
      </c>
      <c r="M1171" s="1">
        <v>44117</v>
      </c>
      <c r="N1171" t="s">
        <v>22</v>
      </c>
      <c r="O1171" t="s">
        <v>31</v>
      </c>
      <c r="P1171" t="str">
        <f t="shared" si="400"/>
        <v>P1170</v>
      </c>
      <c r="Q1171" t="str">
        <f t="shared" si="396"/>
        <v>Orthopedics</v>
      </c>
      <c r="R1171">
        <f t="shared" si="397"/>
        <v>30</v>
      </c>
      <c r="S1171" t="str">
        <f t="shared" ca="1" si="401"/>
        <v>No</v>
      </c>
      <c r="T1171" t="str">
        <f t="shared" ca="1" si="402"/>
        <v>Moderate</v>
      </c>
      <c r="U1171" t="str">
        <f t="shared" ca="1" si="403"/>
        <v>ICU</v>
      </c>
      <c r="V1171" t="str">
        <f t="shared" si="404"/>
        <v>BED1170</v>
      </c>
      <c r="W1171" t="str">
        <f t="shared" ca="1" si="405"/>
        <v>Private</v>
      </c>
      <c r="X1171" t="str">
        <f t="shared" si="406"/>
        <v>NUR020</v>
      </c>
      <c r="Y1171" t="str">
        <f t="shared" ca="1" si="407"/>
        <v>Night</v>
      </c>
      <c r="Z1171" t="str">
        <f t="shared" ca="1" si="408"/>
        <v>X-Ray</v>
      </c>
      <c r="AA1171" t="str">
        <f t="shared" ca="1" si="409"/>
        <v>Available</v>
      </c>
      <c r="AB1171" t="str">
        <f t="shared" ca="1" si="410"/>
        <v>Partially Paid</v>
      </c>
      <c r="AC1171" t="str">
        <f t="shared" ca="1" si="411"/>
        <v>Debit Card</v>
      </c>
      <c r="AD1171" t="str">
        <f t="shared" ca="1" si="412"/>
        <v>No</v>
      </c>
      <c r="AE1171" t="str">
        <f t="shared" ca="1" si="413"/>
        <v>No</v>
      </c>
      <c r="AF1171" t="str">
        <f t="shared" ca="1" si="414"/>
        <v>Transferred</v>
      </c>
      <c r="AG1171" t="str">
        <f t="shared" ca="1" si="415"/>
        <v>Midwest</v>
      </c>
      <c r="AH1171" t="str">
        <f t="shared" si="398"/>
        <v>September</v>
      </c>
      <c r="AI1171">
        <f t="shared" si="399"/>
        <v>2020</v>
      </c>
      <c r="AJ1171" t="str">
        <f t="shared" ca="1" si="416"/>
        <v>Vacant</v>
      </c>
      <c r="AK1171">
        <f t="shared" ca="1" si="417"/>
        <v>2</v>
      </c>
    </row>
    <row r="1172" spans="1:37" x14ac:dyDescent="0.3">
      <c r="A1172" t="s">
        <v>5578</v>
      </c>
      <c r="B1172">
        <v>20</v>
      </c>
      <c r="C1172" t="s">
        <v>15</v>
      </c>
      <c r="D1172" t="s">
        <v>98</v>
      </c>
      <c r="E1172" t="s">
        <v>17</v>
      </c>
      <c r="F1172" s="1">
        <v>44707</v>
      </c>
      <c r="G1172" t="s">
        <v>2360</v>
      </c>
      <c r="H1172" t="s">
        <v>2361</v>
      </c>
      <c r="I1172" t="s">
        <v>36</v>
      </c>
      <c r="J1172">
        <v>38270</v>
      </c>
      <c r="K1172">
        <v>120</v>
      </c>
      <c r="L1172" t="s">
        <v>21</v>
      </c>
      <c r="M1172" s="1">
        <v>44737</v>
      </c>
      <c r="N1172" t="s">
        <v>47</v>
      </c>
      <c r="O1172" t="s">
        <v>43</v>
      </c>
      <c r="P1172" t="str">
        <f t="shared" si="400"/>
        <v>P1171</v>
      </c>
      <c r="Q1172" t="str">
        <f t="shared" si="396"/>
        <v>Oncology</v>
      </c>
      <c r="R1172">
        <f t="shared" si="397"/>
        <v>30</v>
      </c>
      <c r="S1172" t="str">
        <f t="shared" ca="1" si="401"/>
        <v>No</v>
      </c>
      <c r="T1172" t="str">
        <f t="shared" ca="1" si="402"/>
        <v>Mild</v>
      </c>
      <c r="U1172" t="str">
        <f t="shared" ca="1" si="403"/>
        <v>ICU</v>
      </c>
      <c r="V1172" t="str">
        <f t="shared" si="404"/>
        <v>BED1171</v>
      </c>
      <c r="W1172" t="str">
        <f t="shared" ca="1" si="405"/>
        <v>ICU</v>
      </c>
      <c r="X1172" t="str">
        <f t="shared" si="406"/>
        <v>NUR021</v>
      </c>
      <c r="Y1172" t="str">
        <f t="shared" ca="1" si="407"/>
        <v>Morning</v>
      </c>
      <c r="Z1172" t="str">
        <f t="shared" ca="1" si="408"/>
        <v>X-Ray</v>
      </c>
      <c r="AA1172" t="str">
        <f t="shared" ca="1" si="409"/>
        <v>In Use</v>
      </c>
      <c r="AB1172" t="str">
        <f t="shared" ca="1" si="410"/>
        <v>Paid</v>
      </c>
      <c r="AC1172" t="str">
        <f t="shared" ca="1" si="411"/>
        <v>Credit Card</v>
      </c>
      <c r="AD1172" t="str">
        <f t="shared" ca="1" si="412"/>
        <v>Yes</v>
      </c>
      <c r="AE1172" t="str">
        <f t="shared" ca="1" si="413"/>
        <v>No</v>
      </c>
      <c r="AF1172" t="str">
        <f t="shared" ca="1" si="414"/>
        <v>Under Observation</v>
      </c>
      <c r="AG1172" t="str">
        <f t="shared" ca="1" si="415"/>
        <v>Northeast</v>
      </c>
      <c r="AH1172" t="str">
        <f t="shared" si="398"/>
        <v>May</v>
      </c>
      <c r="AI1172">
        <f t="shared" si="399"/>
        <v>2022</v>
      </c>
      <c r="AJ1172" t="str">
        <f t="shared" ca="1" si="416"/>
        <v>Occupied</v>
      </c>
      <c r="AK1172">
        <f t="shared" ca="1" si="417"/>
        <v>4</v>
      </c>
    </row>
    <row r="1173" spans="1:37" x14ac:dyDescent="0.3">
      <c r="A1173" t="s">
        <v>5579</v>
      </c>
      <c r="B1173">
        <v>26</v>
      </c>
      <c r="C1173" t="s">
        <v>32</v>
      </c>
      <c r="D1173" t="s">
        <v>24</v>
      </c>
      <c r="E1173" t="s">
        <v>17</v>
      </c>
      <c r="F1173" s="1">
        <v>44384</v>
      </c>
      <c r="G1173" t="s">
        <v>2362</v>
      </c>
      <c r="H1173" t="s">
        <v>2363</v>
      </c>
      <c r="I1173" t="s">
        <v>36</v>
      </c>
      <c r="J1173">
        <v>40079</v>
      </c>
      <c r="K1173">
        <v>326</v>
      </c>
      <c r="L1173" t="s">
        <v>21</v>
      </c>
      <c r="M1173" s="1">
        <v>44394</v>
      </c>
      <c r="N1173" t="s">
        <v>22</v>
      </c>
      <c r="O1173" t="s">
        <v>31</v>
      </c>
      <c r="P1173" t="str">
        <f t="shared" si="400"/>
        <v>P1172</v>
      </c>
      <c r="Q1173" t="str">
        <f t="shared" si="396"/>
        <v>Oncology</v>
      </c>
      <c r="R1173">
        <f t="shared" si="397"/>
        <v>10</v>
      </c>
      <c r="S1173" t="str">
        <f t="shared" ca="1" si="401"/>
        <v>No</v>
      </c>
      <c r="T1173" t="str">
        <f t="shared" ca="1" si="402"/>
        <v>Mild</v>
      </c>
      <c r="U1173" t="str">
        <f t="shared" ca="1" si="403"/>
        <v>ICU</v>
      </c>
      <c r="V1173" t="str">
        <f t="shared" si="404"/>
        <v>BED1172</v>
      </c>
      <c r="W1173" t="str">
        <f t="shared" ca="1" si="405"/>
        <v>Private</v>
      </c>
      <c r="X1173" t="str">
        <f t="shared" si="406"/>
        <v>NUR022</v>
      </c>
      <c r="Y1173" t="str">
        <f t="shared" ca="1" si="407"/>
        <v>Night</v>
      </c>
      <c r="Z1173" t="str">
        <f t="shared" ca="1" si="408"/>
        <v>MRI Scanner</v>
      </c>
      <c r="AA1173" t="str">
        <f t="shared" ca="1" si="409"/>
        <v>In Use</v>
      </c>
      <c r="AB1173" t="str">
        <f t="shared" ca="1" si="410"/>
        <v>Partially Paid</v>
      </c>
      <c r="AC1173" t="str">
        <f t="shared" ca="1" si="411"/>
        <v>Credit Card</v>
      </c>
      <c r="AD1173" t="str">
        <f t="shared" ca="1" si="412"/>
        <v>Yes</v>
      </c>
      <c r="AE1173" t="str">
        <f t="shared" ca="1" si="413"/>
        <v>No</v>
      </c>
      <c r="AF1173" t="str">
        <f t="shared" ca="1" si="414"/>
        <v>Transferred</v>
      </c>
      <c r="AG1173" t="str">
        <f t="shared" ca="1" si="415"/>
        <v>Southwest</v>
      </c>
      <c r="AH1173" t="str">
        <f t="shared" si="398"/>
        <v>July</v>
      </c>
      <c r="AI1173">
        <f t="shared" si="399"/>
        <v>2021</v>
      </c>
      <c r="AJ1173" t="str">
        <f t="shared" ca="1" si="416"/>
        <v>Occupied</v>
      </c>
      <c r="AK1173">
        <f t="shared" ca="1" si="417"/>
        <v>1</v>
      </c>
    </row>
    <row r="1174" spans="1:37" x14ac:dyDescent="0.3">
      <c r="A1174" t="s">
        <v>5580</v>
      </c>
      <c r="B1174">
        <v>21</v>
      </c>
      <c r="C1174" t="s">
        <v>32</v>
      </c>
      <c r="D1174" t="s">
        <v>83</v>
      </c>
      <c r="E1174" t="s">
        <v>39</v>
      </c>
      <c r="F1174" s="1">
        <v>45281</v>
      </c>
      <c r="G1174" t="s">
        <v>2364</v>
      </c>
      <c r="H1174" t="s">
        <v>2365</v>
      </c>
      <c r="I1174" t="s">
        <v>51</v>
      </c>
      <c r="J1174">
        <v>22758</v>
      </c>
      <c r="K1174">
        <v>407</v>
      </c>
      <c r="L1174" t="s">
        <v>29</v>
      </c>
      <c r="M1174" s="1">
        <v>45302</v>
      </c>
      <c r="N1174" t="s">
        <v>30</v>
      </c>
      <c r="O1174" t="s">
        <v>43</v>
      </c>
      <c r="P1174" t="str">
        <f t="shared" si="400"/>
        <v>P1173</v>
      </c>
      <c r="Q1174" t="str">
        <f t="shared" si="396"/>
        <v>Endocrinology</v>
      </c>
      <c r="R1174">
        <f t="shared" si="397"/>
        <v>21</v>
      </c>
      <c r="S1174" t="str">
        <f t="shared" ca="1" si="401"/>
        <v>No</v>
      </c>
      <c r="T1174" t="str">
        <f t="shared" ca="1" si="402"/>
        <v>Critical</v>
      </c>
      <c r="U1174" t="str">
        <f t="shared" ca="1" si="403"/>
        <v>General Ward</v>
      </c>
      <c r="V1174" t="str">
        <f t="shared" si="404"/>
        <v>BED1173</v>
      </c>
      <c r="W1174" t="str">
        <f t="shared" ca="1" si="405"/>
        <v>General</v>
      </c>
      <c r="X1174" t="str">
        <f t="shared" si="406"/>
        <v>NUR023</v>
      </c>
      <c r="Y1174" t="str">
        <f t="shared" ca="1" si="407"/>
        <v>Evening</v>
      </c>
      <c r="Z1174" t="str">
        <f t="shared" ca="1" si="408"/>
        <v>Ventilator</v>
      </c>
      <c r="AA1174" t="str">
        <f t="shared" ca="1" si="409"/>
        <v>In Use</v>
      </c>
      <c r="AB1174" t="str">
        <f t="shared" ca="1" si="410"/>
        <v>Paid</v>
      </c>
      <c r="AC1174" t="str">
        <f t="shared" ca="1" si="411"/>
        <v>Bank Transfer</v>
      </c>
      <c r="AD1174" t="str">
        <f t="shared" ca="1" si="412"/>
        <v>No</v>
      </c>
      <c r="AE1174" t="str">
        <f t="shared" ca="1" si="413"/>
        <v>No</v>
      </c>
      <c r="AF1174" t="str">
        <f t="shared" ca="1" si="414"/>
        <v>Transferred</v>
      </c>
      <c r="AG1174" t="str">
        <f t="shared" ca="1" si="415"/>
        <v>Southeast</v>
      </c>
      <c r="AH1174" t="str">
        <f t="shared" si="398"/>
        <v>December</v>
      </c>
      <c r="AI1174">
        <f t="shared" si="399"/>
        <v>2023</v>
      </c>
      <c r="AJ1174" t="str">
        <f t="shared" ca="1" si="416"/>
        <v>Occupied</v>
      </c>
      <c r="AK1174">
        <f t="shared" ca="1" si="417"/>
        <v>2</v>
      </c>
    </row>
    <row r="1175" spans="1:37" x14ac:dyDescent="0.3">
      <c r="A1175" t="s">
        <v>5581</v>
      </c>
      <c r="B1175">
        <v>56</v>
      </c>
      <c r="C1175" t="s">
        <v>32</v>
      </c>
      <c r="D1175" t="s">
        <v>38</v>
      </c>
      <c r="E1175" t="s">
        <v>76</v>
      </c>
      <c r="F1175" s="1">
        <v>44226</v>
      </c>
      <c r="G1175" t="s">
        <v>2366</v>
      </c>
      <c r="H1175" t="s">
        <v>2367</v>
      </c>
      <c r="I1175" t="s">
        <v>28</v>
      </c>
      <c r="J1175">
        <v>9029</v>
      </c>
      <c r="K1175">
        <v>102</v>
      </c>
      <c r="L1175" t="s">
        <v>29</v>
      </c>
      <c r="M1175" s="1">
        <v>44253</v>
      </c>
      <c r="N1175" t="s">
        <v>37</v>
      </c>
      <c r="O1175" t="s">
        <v>43</v>
      </c>
      <c r="P1175" t="str">
        <f t="shared" si="400"/>
        <v>P1174</v>
      </c>
      <c r="Q1175" t="str">
        <f t="shared" si="396"/>
        <v>Orthopedics</v>
      </c>
      <c r="R1175">
        <f t="shared" si="397"/>
        <v>27</v>
      </c>
      <c r="S1175" t="str">
        <f t="shared" ca="1" si="401"/>
        <v>No</v>
      </c>
      <c r="T1175" t="str">
        <f t="shared" ca="1" si="402"/>
        <v>Critical</v>
      </c>
      <c r="U1175" t="str">
        <f t="shared" ca="1" si="403"/>
        <v>Semi-Private</v>
      </c>
      <c r="V1175" t="str">
        <f t="shared" si="404"/>
        <v>BED1174</v>
      </c>
      <c r="W1175" t="str">
        <f t="shared" ca="1" si="405"/>
        <v>Private</v>
      </c>
      <c r="X1175" t="str">
        <f t="shared" si="406"/>
        <v>NUR024</v>
      </c>
      <c r="Y1175" t="str">
        <f t="shared" ca="1" si="407"/>
        <v>Evening</v>
      </c>
      <c r="Z1175" t="str">
        <f t="shared" ca="1" si="408"/>
        <v>Ventilator</v>
      </c>
      <c r="AA1175" t="str">
        <f t="shared" ca="1" si="409"/>
        <v>Maintenance</v>
      </c>
      <c r="AB1175" t="str">
        <f t="shared" ca="1" si="410"/>
        <v>Paid</v>
      </c>
      <c r="AC1175" t="str">
        <f t="shared" ca="1" si="411"/>
        <v>Bank Transfer</v>
      </c>
      <c r="AD1175" t="str">
        <f t="shared" ca="1" si="412"/>
        <v>No</v>
      </c>
      <c r="AE1175" t="str">
        <f t="shared" ca="1" si="413"/>
        <v>No</v>
      </c>
      <c r="AF1175" t="str">
        <f t="shared" ca="1" si="414"/>
        <v>Transferred</v>
      </c>
      <c r="AG1175" t="str">
        <f t="shared" ca="1" si="415"/>
        <v>Midwest</v>
      </c>
      <c r="AH1175" t="str">
        <f t="shared" si="398"/>
        <v>January</v>
      </c>
      <c r="AI1175">
        <f t="shared" si="399"/>
        <v>2021</v>
      </c>
      <c r="AJ1175" t="str">
        <f t="shared" ca="1" si="416"/>
        <v>Vacant</v>
      </c>
      <c r="AK1175">
        <f t="shared" ca="1" si="417"/>
        <v>4</v>
      </c>
    </row>
    <row r="1176" spans="1:37" x14ac:dyDescent="0.3">
      <c r="A1176" t="s">
        <v>5582</v>
      </c>
      <c r="B1176">
        <v>20</v>
      </c>
      <c r="C1176" t="s">
        <v>15</v>
      </c>
      <c r="D1176" t="s">
        <v>38</v>
      </c>
      <c r="E1176" t="s">
        <v>39</v>
      </c>
      <c r="F1176" s="1">
        <v>44748</v>
      </c>
      <c r="G1176" t="s">
        <v>2368</v>
      </c>
      <c r="H1176" t="s">
        <v>2369</v>
      </c>
      <c r="I1176" t="s">
        <v>28</v>
      </c>
      <c r="J1176">
        <v>23437</v>
      </c>
      <c r="K1176">
        <v>211</v>
      </c>
      <c r="L1176" t="s">
        <v>21</v>
      </c>
      <c r="M1176" s="1">
        <v>44753</v>
      </c>
      <c r="N1176" t="s">
        <v>37</v>
      </c>
      <c r="O1176" t="s">
        <v>31</v>
      </c>
      <c r="P1176" t="str">
        <f t="shared" si="400"/>
        <v>P1175</v>
      </c>
      <c r="Q1176" t="str">
        <f t="shared" si="396"/>
        <v>Endocrinology</v>
      </c>
      <c r="R1176">
        <f t="shared" si="397"/>
        <v>5</v>
      </c>
      <c r="S1176" t="str">
        <f t="shared" ca="1" si="401"/>
        <v>Yes</v>
      </c>
      <c r="T1176" t="str">
        <f t="shared" ca="1" si="402"/>
        <v>Severe</v>
      </c>
      <c r="U1176" t="str">
        <f t="shared" ca="1" si="403"/>
        <v>ICU</v>
      </c>
      <c r="V1176" t="str">
        <f t="shared" si="404"/>
        <v>BED1175</v>
      </c>
      <c r="W1176" t="str">
        <f t="shared" ca="1" si="405"/>
        <v>Private</v>
      </c>
      <c r="X1176" t="str">
        <f t="shared" si="406"/>
        <v>NUR025</v>
      </c>
      <c r="Y1176" t="str">
        <f t="shared" ca="1" si="407"/>
        <v>Evening</v>
      </c>
      <c r="Z1176" t="str">
        <f t="shared" ca="1" si="408"/>
        <v>Ultrasound</v>
      </c>
      <c r="AA1176" t="str">
        <f t="shared" ca="1" si="409"/>
        <v>Available</v>
      </c>
      <c r="AB1176" t="str">
        <f t="shared" ca="1" si="410"/>
        <v>Partially Paid</v>
      </c>
      <c r="AC1176" t="str">
        <f t="shared" ca="1" si="411"/>
        <v>Insurance</v>
      </c>
      <c r="AD1176" t="str">
        <f t="shared" ca="1" si="412"/>
        <v>No</v>
      </c>
      <c r="AE1176" t="str">
        <f t="shared" ca="1" si="413"/>
        <v>No</v>
      </c>
      <c r="AF1176" t="str">
        <f t="shared" ca="1" si="414"/>
        <v>Recovered</v>
      </c>
      <c r="AG1176" t="str">
        <f t="shared" ca="1" si="415"/>
        <v>West Coast</v>
      </c>
      <c r="AH1176" t="str">
        <f t="shared" si="398"/>
        <v>July</v>
      </c>
      <c r="AI1176">
        <f t="shared" si="399"/>
        <v>2022</v>
      </c>
      <c r="AJ1176" t="str">
        <f t="shared" ca="1" si="416"/>
        <v>Occupied</v>
      </c>
      <c r="AK1176">
        <f t="shared" ca="1" si="417"/>
        <v>4</v>
      </c>
    </row>
    <row r="1177" spans="1:37" x14ac:dyDescent="0.3">
      <c r="A1177" t="s">
        <v>5583</v>
      </c>
      <c r="B1177">
        <v>32</v>
      </c>
      <c r="C1177" t="s">
        <v>15</v>
      </c>
      <c r="D1177" t="s">
        <v>52</v>
      </c>
      <c r="E1177" t="s">
        <v>76</v>
      </c>
      <c r="F1177" s="1">
        <v>44846</v>
      </c>
      <c r="G1177" t="s">
        <v>2370</v>
      </c>
      <c r="H1177" t="s">
        <v>2371</v>
      </c>
      <c r="I1177" t="s">
        <v>57</v>
      </c>
      <c r="J1177">
        <v>45178</v>
      </c>
      <c r="K1177">
        <v>315</v>
      </c>
      <c r="L1177" t="s">
        <v>21</v>
      </c>
      <c r="M1177" s="1">
        <v>44876</v>
      </c>
      <c r="N1177" t="s">
        <v>67</v>
      </c>
      <c r="O1177" t="s">
        <v>43</v>
      </c>
      <c r="P1177" t="str">
        <f t="shared" si="400"/>
        <v>P1176</v>
      </c>
      <c r="Q1177" t="str">
        <f t="shared" si="396"/>
        <v>Orthopedics</v>
      </c>
      <c r="R1177">
        <f t="shared" si="397"/>
        <v>30</v>
      </c>
      <c r="S1177" t="str">
        <f t="shared" ca="1" si="401"/>
        <v>No</v>
      </c>
      <c r="T1177" t="str">
        <f t="shared" ca="1" si="402"/>
        <v>Mild</v>
      </c>
      <c r="U1177" t="str">
        <f t="shared" ca="1" si="403"/>
        <v>Emergency</v>
      </c>
      <c r="V1177" t="str">
        <f t="shared" si="404"/>
        <v>BED1176</v>
      </c>
      <c r="W1177" t="str">
        <f t="shared" ca="1" si="405"/>
        <v>ICU</v>
      </c>
      <c r="X1177" t="str">
        <f t="shared" si="406"/>
        <v>NUR026</v>
      </c>
      <c r="Y1177" t="str">
        <f t="shared" ca="1" si="407"/>
        <v>Evening</v>
      </c>
      <c r="Z1177" t="str">
        <f t="shared" ca="1" si="408"/>
        <v>CT Scanner</v>
      </c>
      <c r="AA1177" t="str">
        <f t="shared" ca="1" si="409"/>
        <v>Maintenance</v>
      </c>
      <c r="AB1177" t="str">
        <f t="shared" ca="1" si="410"/>
        <v>Paid</v>
      </c>
      <c r="AC1177" t="str">
        <f t="shared" ca="1" si="411"/>
        <v>Bank Transfer</v>
      </c>
      <c r="AD1177" t="str">
        <f t="shared" ca="1" si="412"/>
        <v>Yes</v>
      </c>
      <c r="AE1177" t="str">
        <f t="shared" ca="1" si="413"/>
        <v>No</v>
      </c>
      <c r="AF1177" t="str">
        <f t="shared" ca="1" si="414"/>
        <v>Under Observation</v>
      </c>
      <c r="AG1177" t="str">
        <f t="shared" ca="1" si="415"/>
        <v>Southeast</v>
      </c>
      <c r="AH1177" t="str">
        <f t="shared" si="398"/>
        <v>October</v>
      </c>
      <c r="AI1177">
        <f t="shared" si="399"/>
        <v>2022</v>
      </c>
      <c r="AJ1177" t="str">
        <f t="shared" ca="1" si="416"/>
        <v>Occupied</v>
      </c>
      <c r="AK1177">
        <f t="shared" ca="1" si="417"/>
        <v>1</v>
      </c>
    </row>
    <row r="1178" spans="1:37" x14ac:dyDescent="0.3">
      <c r="A1178" t="s">
        <v>5584</v>
      </c>
      <c r="B1178">
        <v>47</v>
      </c>
      <c r="C1178" t="s">
        <v>32</v>
      </c>
      <c r="D1178" t="s">
        <v>83</v>
      </c>
      <c r="E1178" t="s">
        <v>76</v>
      </c>
      <c r="F1178" s="1">
        <v>45042</v>
      </c>
      <c r="G1178" t="s">
        <v>2372</v>
      </c>
      <c r="H1178" t="s">
        <v>2373</v>
      </c>
      <c r="I1178" t="s">
        <v>28</v>
      </c>
      <c r="J1178">
        <v>17354</v>
      </c>
      <c r="K1178">
        <v>192</v>
      </c>
      <c r="L1178" t="s">
        <v>42</v>
      </c>
      <c r="M1178" s="1">
        <v>45062</v>
      </c>
      <c r="N1178" t="s">
        <v>47</v>
      </c>
      <c r="O1178" t="s">
        <v>43</v>
      </c>
      <c r="P1178" t="str">
        <f t="shared" si="400"/>
        <v>P1177</v>
      </c>
      <c r="Q1178" t="str">
        <f t="shared" si="396"/>
        <v>Orthopedics</v>
      </c>
      <c r="R1178">
        <f t="shared" si="397"/>
        <v>20</v>
      </c>
      <c r="S1178" t="str">
        <f t="shared" ca="1" si="401"/>
        <v>No</v>
      </c>
      <c r="T1178" t="str">
        <f t="shared" ca="1" si="402"/>
        <v>Mild</v>
      </c>
      <c r="U1178" t="str">
        <f t="shared" ca="1" si="403"/>
        <v>Private Ward</v>
      </c>
      <c r="V1178" t="str">
        <f t="shared" si="404"/>
        <v>BED1177</v>
      </c>
      <c r="W1178" t="str">
        <f t="shared" ca="1" si="405"/>
        <v>Private</v>
      </c>
      <c r="X1178" t="str">
        <f t="shared" si="406"/>
        <v>NUR027</v>
      </c>
      <c r="Y1178" t="str">
        <f t="shared" ca="1" si="407"/>
        <v>Night</v>
      </c>
      <c r="Z1178" t="str">
        <f t="shared" ca="1" si="408"/>
        <v>Ventilator</v>
      </c>
      <c r="AA1178" t="str">
        <f t="shared" ca="1" si="409"/>
        <v>Maintenance</v>
      </c>
      <c r="AB1178" t="str">
        <f t="shared" ca="1" si="410"/>
        <v>Partially Paid</v>
      </c>
      <c r="AC1178" t="str">
        <f t="shared" ca="1" si="411"/>
        <v>Insurance</v>
      </c>
      <c r="AD1178" t="str">
        <f t="shared" ca="1" si="412"/>
        <v>No</v>
      </c>
      <c r="AE1178" t="str">
        <f t="shared" ca="1" si="413"/>
        <v>No</v>
      </c>
      <c r="AF1178" t="str">
        <f t="shared" ca="1" si="414"/>
        <v>Recovered</v>
      </c>
      <c r="AG1178" t="str">
        <f t="shared" ca="1" si="415"/>
        <v>West Coast</v>
      </c>
      <c r="AH1178" t="str">
        <f t="shared" si="398"/>
        <v>April</v>
      </c>
      <c r="AI1178">
        <f t="shared" si="399"/>
        <v>2023</v>
      </c>
      <c r="AJ1178" t="str">
        <f t="shared" ca="1" si="416"/>
        <v>Vacant</v>
      </c>
      <c r="AK1178">
        <f t="shared" ca="1" si="417"/>
        <v>2</v>
      </c>
    </row>
    <row r="1179" spans="1:37" x14ac:dyDescent="0.3">
      <c r="A1179" t="s">
        <v>5585</v>
      </c>
      <c r="B1179">
        <v>47</v>
      </c>
      <c r="C1179" t="s">
        <v>32</v>
      </c>
      <c r="D1179" t="s">
        <v>16</v>
      </c>
      <c r="E1179" t="s">
        <v>17</v>
      </c>
      <c r="F1179" s="1">
        <v>43867</v>
      </c>
      <c r="G1179" t="s">
        <v>2374</v>
      </c>
      <c r="H1179" t="s">
        <v>2375</v>
      </c>
      <c r="I1179" t="s">
        <v>28</v>
      </c>
      <c r="J1179">
        <v>16670</v>
      </c>
      <c r="K1179">
        <v>107</v>
      </c>
      <c r="L1179" t="s">
        <v>21</v>
      </c>
      <c r="M1179" s="1">
        <v>43875</v>
      </c>
      <c r="N1179" t="s">
        <v>37</v>
      </c>
      <c r="O1179" t="s">
        <v>23</v>
      </c>
      <c r="P1179" t="str">
        <f t="shared" si="400"/>
        <v>P1178</v>
      </c>
      <c r="Q1179" t="str">
        <f t="shared" si="396"/>
        <v>Oncology</v>
      </c>
      <c r="R1179">
        <f t="shared" si="397"/>
        <v>8</v>
      </c>
      <c r="S1179" t="str">
        <f t="shared" ca="1" si="401"/>
        <v>No</v>
      </c>
      <c r="T1179" t="str">
        <f t="shared" ca="1" si="402"/>
        <v>Severe</v>
      </c>
      <c r="U1179" t="str">
        <f t="shared" ca="1" si="403"/>
        <v>General Ward</v>
      </c>
      <c r="V1179" t="str">
        <f t="shared" si="404"/>
        <v>BED1178</v>
      </c>
      <c r="W1179" t="str">
        <f t="shared" ca="1" si="405"/>
        <v>Semi-Private</v>
      </c>
      <c r="X1179" t="str">
        <f t="shared" si="406"/>
        <v>NUR028</v>
      </c>
      <c r="Y1179" t="str">
        <f t="shared" ca="1" si="407"/>
        <v>Morning</v>
      </c>
      <c r="Z1179" t="str">
        <f t="shared" ca="1" si="408"/>
        <v>Ventilator</v>
      </c>
      <c r="AA1179" t="str">
        <f t="shared" ca="1" si="409"/>
        <v>Available</v>
      </c>
      <c r="AB1179" t="str">
        <f t="shared" ca="1" si="410"/>
        <v>Partially Paid</v>
      </c>
      <c r="AC1179" t="str">
        <f t="shared" ca="1" si="411"/>
        <v>Insurance</v>
      </c>
      <c r="AD1179" t="str">
        <f t="shared" ca="1" si="412"/>
        <v>Yes</v>
      </c>
      <c r="AE1179" t="str">
        <f t="shared" ca="1" si="413"/>
        <v>No</v>
      </c>
      <c r="AF1179" t="str">
        <f t="shared" ca="1" si="414"/>
        <v>Recovered</v>
      </c>
      <c r="AG1179" t="str">
        <f t="shared" ca="1" si="415"/>
        <v>Northeast</v>
      </c>
      <c r="AH1179" t="str">
        <f t="shared" si="398"/>
        <v>February</v>
      </c>
      <c r="AI1179">
        <f t="shared" si="399"/>
        <v>2020</v>
      </c>
      <c r="AJ1179" t="str">
        <f t="shared" ca="1" si="416"/>
        <v>Occupied</v>
      </c>
      <c r="AK1179">
        <f t="shared" ca="1" si="417"/>
        <v>2</v>
      </c>
    </row>
    <row r="1180" spans="1:37" x14ac:dyDescent="0.3">
      <c r="A1180" t="s">
        <v>5586</v>
      </c>
      <c r="B1180">
        <v>79</v>
      </c>
      <c r="C1180" t="s">
        <v>32</v>
      </c>
      <c r="D1180" t="s">
        <v>52</v>
      </c>
      <c r="E1180" t="s">
        <v>25</v>
      </c>
      <c r="F1180" s="1">
        <v>43729</v>
      </c>
      <c r="G1180" t="s">
        <v>2376</v>
      </c>
      <c r="H1180" t="s">
        <v>2377</v>
      </c>
      <c r="I1180" t="s">
        <v>36</v>
      </c>
      <c r="J1180">
        <v>22059</v>
      </c>
      <c r="K1180">
        <v>359</v>
      </c>
      <c r="L1180" t="s">
        <v>21</v>
      </c>
      <c r="M1180" s="1">
        <v>43744</v>
      </c>
      <c r="N1180" t="s">
        <v>30</v>
      </c>
      <c r="O1180" t="s">
        <v>31</v>
      </c>
      <c r="P1180" t="str">
        <f t="shared" si="400"/>
        <v>P1179</v>
      </c>
      <c r="Q1180" t="str">
        <f t="shared" si="396"/>
        <v>Nutrition</v>
      </c>
      <c r="R1180">
        <f t="shared" si="397"/>
        <v>15</v>
      </c>
      <c r="S1180" t="str">
        <f t="shared" ca="1" si="401"/>
        <v>No</v>
      </c>
      <c r="T1180" t="str">
        <f t="shared" ca="1" si="402"/>
        <v>Severe</v>
      </c>
      <c r="U1180" t="str">
        <f t="shared" ca="1" si="403"/>
        <v>ICU</v>
      </c>
      <c r="V1180" t="str">
        <f t="shared" si="404"/>
        <v>BED1179</v>
      </c>
      <c r="W1180" t="str">
        <f t="shared" ca="1" si="405"/>
        <v>General</v>
      </c>
      <c r="X1180" t="str">
        <f t="shared" si="406"/>
        <v>NUR029</v>
      </c>
      <c r="Y1180" t="str">
        <f t="shared" ca="1" si="407"/>
        <v>Evening</v>
      </c>
      <c r="Z1180" t="str">
        <f t="shared" ca="1" si="408"/>
        <v>ECG Machine</v>
      </c>
      <c r="AA1180" t="str">
        <f t="shared" ca="1" si="409"/>
        <v>Maintenance</v>
      </c>
      <c r="AB1180" t="str">
        <f t="shared" ca="1" si="410"/>
        <v>Pending</v>
      </c>
      <c r="AC1180" t="str">
        <f t="shared" ca="1" si="411"/>
        <v>Debit Card</v>
      </c>
      <c r="AD1180" t="str">
        <f t="shared" ca="1" si="412"/>
        <v>No</v>
      </c>
      <c r="AE1180" t="str">
        <f t="shared" ca="1" si="413"/>
        <v>No</v>
      </c>
      <c r="AF1180" t="str">
        <f t="shared" ca="1" si="414"/>
        <v>Under Observation</v>
      </c>
      <c r="AG1180" t="str">
        <f t="shared" ca="1" si="415"/>
        <v>Midwest</v>
      </c>
      <c r="AH1180" t="str">
        <f t="shared" si="398"/>
        <v>September</v>
      </c>
      <c r="AI1180">
        <f t="shared" si="399"/>
        <v>2019</v>
      </c>
      <c r="AJ1180" t="str">
        <f t="shared" ca="1" si="416"/>
        <v>Occupied</v>
      </c>
      <c r="AK1180">
        <f t="shared" ca="1" si="417"/>
        <v>1</v>
      </c>
    </row>
    <row r="1181" spans="1:37" x14ac:dyDescent="0.3">
      <c r="A1181" t="s">
        <v>5587</v>
      </c>
      <c r="B1181">
        <v>48</v>
      </c>
      <c r="C1181" t="s">
        <v>32</v>
      </c>
      <c r="D1181" t="s">
        <v>83</v>
      </c>
      <c r="E1181" t="s">
        <v>17</v>
      </c>
      <c r="F1181" s="1">
        <v>43901</v>
      </c>
      <c r="G1181" t="s">
        <v>2378</v>
      </c>
      <c r="H1181" t="s">
        <v>2379</v>
      </c>
      <c r="I1181" t="s">
        <v>36</v>
      </c>
      <c r="J1181">
        <v>34935</v>
      </c>
      <c r="K1181">
        <v>458</v>
      </c>
      <c r="L1181" t="s">
        <v>29</v>
      </c>
      <c r="M1181" s="1">
        <v>43904</v>
      </c>
      <c r="N1181" t="s">
        <v>22</v>
      </c>
      <c r="O1181" t="s">
        <v>43</v>
      </c>
      <c r="P1181" t="str">
        <f t="shared" si="400"/>
        <v>P1180</v>
      </c>
      <c r="Q1181" t="str">
        <f t="shared" si="396"/>
        <v>Oncology</v>
      </c>
      <c r="R1181">
        <f t="shared" si="397"/>
        <v>3</v>
      </c>
      <c r="S1181" t="str">
        <f t="shared" ca="1" si="401"/>
        <v>No</v>
      </c>
      <c r="T1181" t="str">
        <f t="shared" ca="1" si="402"/>
        <v>Moderate</v>
      </c>
      <c r="U1181" t="str">
        <f t="shared" ca="1" si="403"/>
        <v>General Ward</v>
      </c>
      <c r="V1181" t="str">
        <f t="shared" si="404"/>
        <v>BED1180</v>
      </c>
      <c r="W1181" t="str">
        <f t="shared" ca="1" si="405"/>
        <v>ICU</v>
      </c>
      <c r="X1181" t="str">
        <f t="shared" si="406"/>
        <v>NUR030</v>
      </c>
      <c r="Y1181" t="str">
        <f t="shared" ca="1" si="407"/>
        <v>Night</v>
      </c>
      <c r="Z1181" t="str">
        <f t="shared" ca="1" si="408"/>
        <v>Ventilator</v>
      </c>
      <c r="AA1181" t="str">
        <f t="shared" ca="1" si="409"/>
        <v>Available</v>
      </c>
      <c r="AB1181" t="str">
        <f t="shared" ca="1" si="410"/>
        <v>Pending</v>
      </c>
      <c r="AC1181" t="str">
        <f t="shared" ca="1" si="411"/>
        <v>Cash</v>
      </c>
      <c r="AD1181" t="str">
        <f t="shared" ca="1" si="412"/>
        <v>No</v>
      </c>
      <c r="AE1181" t="str">
        <f t="shared" ca="1" si="413"/>
        <v>No</v>
      </c>
      <c r="AF1181" t="str">
        <f t="shared" ca="1" si="414"/>
        <v>Transferred</v>
      </c>
      <c r="AG1181" t="str">
        <f t="shared" ca="1" si="415"/>
        <v>Southwest</v>
      </c>
      <c r="AH1181" t="str">
        <f t="shared" si="398"/>
        <v>March</v>
      </c>
      <c r="AI1181">
        <f t="shared" si="399"/>
        <v>2020</v>
      </c>
      <c r="AJ1181" t="str">
        <f t="shared" ca="1" si="416"/>
        <v>Occupied</v>
      </c>
      <c r="AK1181">
        <f t="shared" ca="1" si="417"/>
        <v>4</v>
      </c>
    </row>
    <row r="1182" spans="1:37" x14ac:dyDescent="0.3">
      <c r="A1182" t="s">
        <v>5588</v>
      </c>
      <c r="B1182">
        <v>44</v>
      </c>
      <c r="C1182" t="s">
        <v>15</v>
      </c>
      <c r="D1182" t="s">
        <v>83</v>
      </c>
      <c r="E1182" t="s">
        <v>17</v>
      </c>
      <c r="F1182" s="1">
        <v>44681</v>
      </c>
      <c r="G1182" t="s">
        <v>2380</v>
      </c>
      <c r="H1182" t="s">
        <v>2381</v>
      </c>
      <c r="I1182" t="s">
        <v>28</v>
      </c>
      <c r="J1182">
        <v>45625</v>
      </c>
      <c r="K1182">
        <v>440</v>
      </c>
      <c r="L1182" t="s">
        <v>21</v>
      </c>
      <c r="M1182" s="1">
        <v>44693</v>
      </c>
      <c r="N1182" t="s">
        <v>30</v>
      </c>
      <c r="O1182" t="s">
        <v>31</v>
      </c>
      <c r="P1182" t="str">
        <f t="shared" si="400"/>
        <v>P1181</v>
      </c>
      <c r="Q1182" t="str">
        <f t="shared" si="396"/>
        <v>Oncology</v>
      </c>
      <c r="R1182">
        <f t="shared" si="397"/>
        <v>12</v>
      </c>
      <c r="S1182" t="str">
        <f t="shared" ca="1" si="401"/>
        <v>No</v>
      </c>
      <c r="T1182" t="str">
        <f t="shared" ca="1" si="402"/>
        <v>Severe</v>
      </c>
      <c r="U1182" t="str">
        <f t="shared" ca="1" si="403"/>
        <v>ICU</v>
      </c>
      <c r="V1182" t="str">
        <f t="shared" si="404"/>
        <v>BED1181</v>
      </c>
      <c r="W1182" t="str">
        <f t="shared" ca="1" si="405"/>
        <v>Private</v>
      </c>
      <c r="X1182" t="str">
        <f t="shared" si="406"/>
        <v>NUR031</v>
      </c>
      <c r="Y1182" t="str">
        <f t="shared" ca="1" si="407"/>
        <v>Evening</v>
      </c>
      <c r="Z1182" t="str">
        <f t="shared" ca="1" si="408"/>
        <v>Ultrasound</v>
      </c>
      <c r="AA1182" t="str">
        <f t="shared" ca="1" si="409"/>
        <v>In Use</v>
      </c>
      <c r="AB1182" t="str">
        <f t="shared" ca="1" si="410"/>
        <v>Pending</v>
      </c>
      <c r="AC1182" t="str">
        <f t="shared" ca="1" si="411"/>
        <v>Credit Card</v>
      </c>
      <c r="AD1182" t="str">
        <f t="shared" ca="1" si="412"/>
        <v>No</v>
      </c>
      <c r="AE1182" t="str">
        <f t="shared" ca="1" si="413"/>
        <v>No</v>
      </c>
      <c r="AF1182" t="str">
        <f t="shared" ca="1" si="414"/>
        <v>Recovered</v>
      </c>
      <c r="AG1182" t="str">
        <f t="shared" ca="1" si="415"/>
        <v>Midwest</v>
      </c>
      <c r="AH1182" t="str">
        <f t="shared" si="398"/>
        <v>April</v>
      </c>
      <c r="AI1182">
        <f t="shared" si="399"/>
        <v>2022</v>
      </c>
      <c r="AJ1182" t="str">
        <f t="shared" ca="1" si="416"/>
        <v>Occupied</v>
      </c>
      <c r="AK1182">
        <f t="shared" ca="1" si="417"/>
        <v>2</v>
      </c>
    </row>
    <row r="1183" spans="1:37" x14ac:dyDescent="0.3">
      <c r="A1183" t="s">
        <v>5589</v>
      </c>
      <c r="B1183">
        <v>42</v>
      </c>
      <c r="C1183" t="s">
        <v>15</v>
      </c>
      <c r="D1183" t="s">
        <v>52</v>
      </c>
      <c r="E1183" t="s">
        <v>76</v>
      </c>
      <c r="F1183" s="1">
        <v>43930</v>
      </c>
      <c r="G1183" t="s">
        <v>2382</v>
      </c>
      <c r="H1183" t="s">
        <v>2383</v>
      </c>
      <c r="I1183" t="s">
        <v>20</v>
      </c>
      <c r="J1183">
        <v>11642</v>
      </c>
      <c r="K1183">
        <v>396</v>
      </c>
      <c r="L1183" t="s">
        <v>29</v>
      </c>
      <c r="M1183" s="1">
        <v>43932</v>
      </c>
      <c r="N1183" t="s">
        <v>47</v>
      </c>
      <c r="O1183" t="s">
        <v>31</v>
      </c>
      <c r="P1183" t="str">
        <f t="shared" si="400"/>
        <v>P1182</v>
      </c>
      <c r="Q1183" t="str">
        <f t="shared" si="396"/>
        <v>Orthopedics</v>
      </c>
      <c r="R1183">
        <f t="shared" si="397"/>
        <v>2</v>
      </c>
      <c r="S1183" t="str">
        <f t="shared" ca="1" si="401"/>
        <v>No</v>
      </c>
      <c r="T1183" t="str">
        <f t="shared" ca="1" si="402"/>
        <v>Mild</v>
      </c>
      <c r="U1183" t="str">
        <f t="shared" ca="1" si="403"/>
        <v>Semi-Private</v>
      </c>
      <c r="V1183" t="str">
        <f t="shared" si="404"/>
        <v>BED1182</v>
      </c>
      <c r="W1183" t="str">
        <f t="shared" ca="1" si="405"/>
        <v>Semi-Private</v>
      </c>
      <c r="X1183" t="str">
        <f t="shared" si="406"/>
        <v>NUR032</v>
      </c>
      <c r="Y1183" t="str">
        <f t="shared" ca="1" si="407"/>
        <v>Evening</v>
      </c>
      <c r="Z1183" t="str">
        <f t="shared" ca="1" si="408"/>
        <v>X-Ray</v>
      </c>
      <c r="AA1183" t="str">
        <f t="shared" ca="1" si="409"/>
        <v>Available</v>
      </c>
      <c r="AB1183" t="str">
        <f t="shared" ca="1" si="410"/>
        <v>Pending</v>
      </c>
      <c r="AC1183" t="str">
        <f t="shared" ca="1" si="411"/>
        <v>Credit Card</v>
      </c>
      <c r="AD1183" t="str">
        <f t="shared" ca="1" si="412"/>
        <v>No</v>
      </c>
      <c r="AE1183" t="str">
        <f t="shared" ca="1" si="413"/>
        <v>Yes</v>
      </c>
      <c r="AF1183" t="str">
        <f t="shared" ca="1" si="414"/>
        <v>Recovered</v>
      </c>
      <c r="AG1183" t="str">
        <f t="shared" ca="1" si="415"/>
        <v>Southwest</v>
      </c>
      <c r="AH1183" t="str">
        <f t="shared" si="398"/>
        <v>April</v>
      </c>
      <c r="AI1183">
        <f t="shared" si="399"/>
        <v>2020</v>
      </c>
      <c r="AJ1183" t="str">
        <f t="shared" ca="1" si="416"/>
        <v>Occupied</v>
      </c>
      <c r="AK1183">
        <f t="shared" ca="1" si="417"/>
        <v>1</v>
      </c>
    </row>
    <row r="1184" spans="1:37" x14ac:dyDescent="0.3">
      <c r="A1184" t="s">
        <v>5590</v>
      </c>
      <c r="B1184">
        <v>78</v>
      </c>
      <c r="C1184" t="s">
        <v>32</v>
      </c>
      <c r="D1184" t="s">
        <v>24</v>
      </c>
      <c r="E1184" t="s">
        <v>39</v>
      </c>
      <c r="F1184" s="1">
        <v>44109</v>
      </c>
      <c r="G1184" t="s">
        <v>2384</v>
      </c>
      <c r="H1184" t="s">
        <v>2385</v>
      </c>
      <c r="I1184" t="s">
        <v>36</v>
      </c>
      <c r="J1184">
        <v>16267</v>
      </c>
      <c r="K1184">
        <v>253</v>
      </c>
      <c r="L1184" t="s">
        <v>42</v>
      </c>
      <c r="M1184" s="1">
        <v>44118</v>
      </c>
      <c r="N1184" t="s">
        <v>22</v>
      </c>
      <c r="O1184" t="s">
        <v>23</v>
      </c>
      <c r="P1184" t="str">
        <f t="shared" si="400"/>
        <v>P1183</v>
      </c>
      <c r="Q1184" t="str">
        <f t="shared" si="396"/>
        <v>Endocrinology</v>
      </c>
      <c r="R1184">
        <f t="shared" si="397"/>
        <v>9</v>
      </c>
      <c r="S1184" t="str">
        <f t="shared" ca="1" si="401"/>
        <v>Yes</v>
      </c>
      <c r="T1184" t="str">
        <f t="shared" ca="1" si="402"/>
        <v>Critical</v>
      </c>
      <c r="U1184" t="str">
        <f t="shared" ca="1" si="403"/>
        <v>ICU</v>
      </c>
      <c r="V1184" t="str">
        <f t="shared" si="404"/>
        <v>BED1183</v>
      </c>
      <c r="W1184" t="str">
        <f t="shared" ca="1" si="405"/>
        <v>ICU</v>
      </c>
      <c r="X1184" t="str">
        <f t="shared" si="406"/>
        <v>NUR033</v>
      </c>
      <c r="Y1184" t="str">
        <f t="shared" ca="1" si="407"/>
        <v>Night</v>
      </c>
      <c r="Z1184" t="str">
        <f t="shared" ca="1" si="408"/>
        <v>ECG Machine</v>
      </c>
      <c r="AA1184" t="str">
        <f t="shared" ca="1" si="409"/>
        <v>Maintenance</v>
      </c>
      <c r="AB1184" t="str">
        <f t="shared" ca="1" si="410"/>
        <v>Pending</v>
      </c>
      <c r="AC1184" t="str">
        <f t="shared" ca="1" si="411"/>
        <v>Cash</v>
      </c>
      <c r="AD1184" t="str">
        <f t="shared" ca="1" si="412"/>
        <v>No</v>
      </c>
      <c r="AE1184" t="str">
        <f t="shared" ca="1" si="413"/>
        <v>Yes</v>
      </c>
      <c r="AF1184" t="str">
        <f t="shared" ca="1" si="414"/>
        <v>Under Observation</v>
      </c>
      <c r="AG1184" t="str">
        <f t="shared" ca="1" si="415"/>
        <v>Northeast</v>
      </c>
      <c r="AH1184" t="str">
        <f t="shared" si="398"/>
        <v>October</v>
      </c>
      <c r="AI1184">
        <f t="shared" si="399"/>
        <v>2020</v>
      </c>
      <c r="AJ1184" t="str">
        <f t="shared" ca="1" si="416"/>
        <v>Occupied</v>
      </c>
      <c r="AK1184">
        <f t="shared" ca="1" si="417"/>
        <v>1</v>
      </c>
    </row>
    <row r="1185" spans="1:37" x14ac:dyDescent="0.3">
      <c r="A1185" t="s">
        <v>5591</v>
      </c>
      <c r="B1185">
        <v>39</v>
      </c>
      <c r="C1185" t="s">
        <v>32</v>
      </c>
      <c r="D1185" t="s">
        <v>38</v>
      </c>
      <c r="E1185" t="s">
        <v>48</v>
      </c>
      <c r="F1185" s="1">
        <v>43827</v>
      </c>
      <c r="G1185" t="s">
        <v>2386</v>
      </c>
      <c r="H1185" t="s">
        <v>2387</v>
      </c>
      <c r="I1185" t="s">
        <v>36</v>
      </c>
      <c r="J1185">
        <v>48038</v>
      </c>
      <c r="K1185">
        <v>107</v>
      </c>
      <c r="L1185" t="s">
        <v>42</v>
      </c>
      <c r="M1185" s="1">
        <v>43835</v>
      </c>
      <c r="N1185" t="s">
        <v>37</v>
      </c>
      <c r="O1185" t="s">
        <v>23</v>
      </c>
      <c r="P1185" t="str">
        <f t="shared" si="400"/>
        <v>P1184</v>
      </c>
      <c r="Q1185" t="str">
        <f t="shared" si="396"/>
        <v>Pulmonology</v>
      </c>
      <c r="R1185">
        <f t="shared" si="397"/>
        <v>8</v>
      </c>
      <c r="S1185" t="str">
        <f t="shared" ca="1" si="401"/>
        <v>No</v>
      </c>
      <c r="T1185" t="str">
        <f t="shared" ca="1" si="402"/>
        <v>Critical</v>
      </c>
      <c r="U1185" t="str">
        <f t="shared" ca="1" si="403"/>
        <v>Emergency</v>
      </c>
      <c r="V1185" t="str">
        <f t="shared" si="404"/>
        <v>BED1184</v>
      </c>
      <c r="W1185" t="str">
        <f t="shared" ca="1" si="405"/>
        <v>ICU</v>
      </c>
      <c r="X1185" t="str">
        <f t="shared" si="406"/>
        <v>NUR034</v>
      </c>
      <c r="Y1185" t="str">
        <f t="shared" ca="1" si="407"/>
        <v>Morning</v>
      </c>
      <c r="Z1185" t="str">
        <f t="shared" ca="1" si="408"/>
        <v>Ultrasound</v>
      </c>
      <c r="AA1185" t="str">
        <f t="shared" ca="1" si="409"/>
        <v>Available</v>
      </c>
      <c r="AB1185" t="str">
        <f t="shared" ca="1" si="410"/>
        <v>Paid</v>
      </c>
      <c r="AC1185" t="str">
        <f t="shared" ca="1" si="411"/>
        <v>Cash</v>
      </c>
      <c r="AD1185" t="str">
        <f t="shared" ca="1" si="412"/>
        <v>No</v>
      </c>
      <c r="AE1185" t="str">
        <f t="shared" ca="1" si="413"/>
        <v>No</v>
      </c>
      <c r="AF1185" t="str">
        <f t="shared" ca="1" si="414"/>
        <v>Under Observation</v>
      </c>
      <c r="AG1185" t="str">
        <f t="shared" ca="1" si="415"/>
        <v>West Coast</v>
      </c>
      <c r="AH1185" t="str">
        <f t="shared" si="398"/>
        <v>December</v>
      </c>
      <c r="AI1185">
        <f t="shared" si="399"/>
        <v>2019</v>
      </c>
      <c r="AJ1185" t="str">
        <f t="shared" ca="1" si="416"/>
        <v>Occupied</v>
      </c>
      <c r="AK1185">
        <f t="shared" ca="1" si="417"/>
        <v>2</v>
      </c>
    </row>
    <row r="1186" spans="1:37" x14ac:dyDescent="0.3">
      <c r="A1186" t="s">
        <v>5592</v>
      </c>
      <c r="B1186">
        <v>67</v>
      </c>
      <c r="C1186" t="s">
        <v>32</v>
      </c>
      <c r="D1186" t="s">
        <v>52</v>
      </c>
      <c r="E1186" t="s">
        <v>48</v>
      </c>
      <c r="F1186" s="1">
        <v>45174</v>
      </c>
      <c r="G1186" t="s">
        <v>2388</v>
      </c>
      <c r="H1186" t="s">
        <v>2389</v>
      </c>
      <c r="I1186" t="s">
        <v>20</v>
      </c>
      <c r="J1186">
        <v>33119</v>
      </c>
      <c r="K1186">
        <v>236</v>
      </c>
      <c r="L1186" t="s">
        <v>29</v>
      </c>
      <c r="M1186" s="1">
        <v>45183</v>
      </c>
      <c r="N1186" t="s">
        <v>22</v>
      </c>
      <c r="O1186" t="s">
        <v>31</v>
      </c>
      <c r="P1186" t="str">
        <f t="shared" si="400"/>
        <v>P1185</v>
      </c>
      <c r="Q1186" t="str">
        <f t="shared" si="396"/>
        <v>Pulmonology</v>
      </c>
      <c r="R1186">
        <f t="shared" si="397"/>
        <v>9</v>
      </c>
      <c r="S1186" t="str">
        <f t="shared" ca="1" si="401"/>
        <v>No</v>
      </c>
      <c r="T1186" t="str">
        <f t="shared" ca="1" si="402"/>
        <v>Critical</v>
      </c>
      <c r="U1186" t="str">
        <f t="shared" ca="1" si="403"/>
        <v>Semi-Private</v>
      </c>
      <c r="V1186" t="str">
        <f t="shared" si="404"/>
        <v>BED1185</v>
      </c>
      <c r="W1186" t="str">
        <f t="shared" ca="1" si="405"/>
        <v>ICU</v>
      </c>
      <c r="X1186" t="str">
        <f t="shared" si="406"/>
        <v>NUR035</v>
      </c>
      <c r="Y1186" t="str">
        <f t="shared" ca="1" si="407"/>
        <v>Night</v>
      </c>
      <c r="Z1186" t="str">
        <f t="shared" ca="1" si="408"/>
        <v>X-Ray</v>
      </c>
      <c r="AA1186" t="str">
        <f t="shared" ca="1" si="409"/>
        <v>Maintenance</v>
      </c>
      <c r="AB1186" t="str">
        <f t="shared" ca="1" si="410"/>
        <v>Partially Paid</v>
      </c>
      <c r="AC1186" t="str">
        <f t="shared" ca="1" si="411"/>
        <v>Cash</v>
      </c>
      <c r="AD1186" t="str">
        <f t="shared" ca="1" si="412"/>
        <v>Yes</v>
      </c>
      <c r="AE1186" t="str">
        <f t="shared" ca="1" si="413"/>
        <v>No</v>
      </c>
      <c r="AF1186" t="str">
        <f t="shared" ca="1" si="414"/>
        <v>Recovered</v>
      </c>
      <c r="AG1186" t="str">
        <f t="shared" ca="1" si="415"/>
        <v>West Coast</v>
      </c>
      <c r="AH1186" t="str">
        <f t="shared" si="398"/>
        <v>September</v>
      </c>
      <c r="AI1186">
        <f t="shared" si="399"/>
        <v>2023</v>
      </c>
      <c r="AJ1186" t="str">
        <f t="shared" ca="1" si="416"/>
        <v>Occupied</v>
      </c>
      <c r="AK1186">
        <f t="shared" ca="1" si="417"/>
        <v>2</v>
      </c>
    </row>
    <row r="1187" spans="1:37" x14ac:dyDescent="0.3">
      <c r="A1187" t="s">
        <v>5593</v>
      </c>
      <c r="B1187">
        <v>40</v>
      </c>
      <c r="C1187" t="s">
        <v>32</v>
      </c>
      <c r="D1187" t="s">
        <v>52</v>
      </c>
      <c r="E1187" t="s">
        <v>25</v>
      </c>
      <c r="F1187" s="1">
        <v>44785</v>
      </c>
      <c r="G1187" t="s">
        <v>2390</v>
      </c>
      <c r="H1187" t="s">
        <v>2391</v>
      </c>
      <c r="I1187" t="s">
        <v>20</v>
      </c>
      <c r="J1187">
        <v>28088</v>
      </c>
      <c r="K1187">
        <v>245</v>
      </c>
      <c r="L1187" t="s">
        <v>21</v>
      </c>
      <c r="M1187" s="1">
        <v>44805</v>
      </c>
      <c r="N1187" t="s">
        <v>22</v>
      </c>
      <c r="O1187" t="s">
        <v>23</v>
      </c>
      <c r="P1187" t="str">
        <f t="shared" si="400"/>
        <v>P1186</v>
      </c>
      <c r="Q1187" t="str">
        <f t="shared" si="396"/>
        <v>Nutrition</v>
      </c>
      <c r="R1187">
        <f t="shared" si="397"/>
        <v>20</v>
      </c>
      <c r="S1187" t="str">
        <f t="shared" ca="1" si="401"/>
        <v>No</v>
      </c>
      <c r="T1187" t="str">
        <f t="shared" ca="1" si="402"/>
        <v>Severe</v>
      </c>
      <c r="U1187" t="str">
        <f t="shared" ca="1" si="403"/>
        <v>Emergency</v>
      </c>
      <c r="V1187" t="str">
        <f t="shared" si="404"/>
        <v>BED1186</v>
      </c>
      <c r="W1187" t="str">
        <f t="shared" ca="1" si="405"/>
        <v>Private</v>
      </c>
      <c r="X1187" t="str">
        <f t="shared" si="406"/>
        <v>NUR036</v>
      </c>
      <c r="Y1187" t="str">
        <f t="shared" ca="1" si="407"/>
        <v>Night</v>
      </c>
      <c r="Z1187" t="str">
        <f t="shared" ca="1" si="408"/>
        <v>CT Scanner</v>
      </c>
      <c r="AA1187" t="str">
        <f t="shared" ca="1" si="409"/>
        <v>Maintenance</v>
      </c>
      <c r="AB1187" t="str">
        <f t="shared" ca="1" si="410"/>
        <v>Paid</v>
      </c>
      <c r="AC1187" t="str">
        <f t="shared" ca="1" si="411"/>
        <v>Debit Card</v>
      </c>
      <c r="AD1187" t="str">
        <f t="shared" ca="1" si="412"/>
        <v>No</v>
      </c>
      <c r="AE1187" t="str">
        <f t="shared" ca="1" si="413"/>
        <v>No</v>
      </c>
      <c r="AF1187" t="str">
        <f t="shared" ca="1" si="414"/>
        <v>Recovered</v>
      </c>
      <c r="AG1187" t="str">
        <f t="shared" ca="1" si="415"/>
        <v>Southwest</v>
      </c>
      <c r="AH1187" t="str">
        <f t="shared" si="398"/>
        <v>August</v>
      </c>
      <c r="AI1187">
        <f t="shared" si="399"/>
        <v>2022</v>
      </c>
      <c r="AJ1187" t="str">
        <f t="shared" ca="1" si="416"/>
        <v>Occupied</v>
      </c>
      <c r="AK1187">
        <f t="shared" ca="1" si="417"/>
        <v>2</v>
      </c>
    </row>
    <row r="1188" spans="1:37" x14ac:dyDescent="0.3">
      <c r="A1188" t="s">
        <v>5594</v>
      </c>
      <c r="B1188">
        <v>30</v>
      </c>
      <c r="C1188" t="s">
        <v>32</v>
      </c>
      <c r="D1188" t="s">
        <v>52</v>
      </c>
      <c r="E1188" t="s">
        <v>39</v>
      </c>
      <c r="F1188" s="1">
        <v>45339</v>
      </c>
      <c r="G1188" t="s">
        <v>2392</v>
      </c>
      <c r="H1188" t="s">
        <v>2393</v>
      </c>
      <c r="I1188" t="s">
        <v>28</v>
      </c>
      <c r="J1188">
        <v>42501</v>
      </c>
      <c r="K1188">
        <v>142</v>
      </c>
      <c r="L1188" t="s">
        <v>29</v>
      </c>
      <c r="M1188" s="1">
        <v>45340</v>
      </c>
      <c r="N1188" t="s">
        <v>47</v>
      </c>
      <c r="O1188" t="s">
        <v>43</v>
      </c>
      <c r="P1188" t="str">
        <f t="shared" si="400"/>
        <v>P1187</v>
      </c>
      <c r="Q1188" t="str">
        <f t="shared" si="396"/>
        <v>Endocrinology</v>
      </c>
      <c r="R1188">
        <f t="shared" si="397"/>
        <v>1</v>
      </c>
      <c r="S1188" t="str">
        <f t="shared" ca="1" si="401"/>
        <v>No</v>
      </c>
      <c r="T1188" t="str">
        <f t="shared" ca="1" si="402"/>
        <v>Critical</v>
      </c>
      <c r="U1188" t="str">
        <f t="shared" ca="1" si="403"/>
        <v>Semi-Private</v>
      </c>
      <c r="V1188" t="str">
        <f t="shared" si="404"/>
        <v>BED1187</v>
      </c>
      <c r="W1188" t="str">
        <f t="shared" ca="1" si="405"/>
        <v>Private</v>
      </c>
      <c r="X1188" t="str">
        <f t="shared" si="406"/>
        <v>NUR037</v>
      </c>
      <c r="Y1188" t="str">
        <f t="shared" ca="1" si="407"/>
        <v>Morning</v>
      </c>
      <c r="Z1188" t="str">
        <f t="shared" ca="1" si="408"/>
        <v>Ultrasound</v>
      </c>
      <c r="AA1188" t="str">
        <f t="shared" ca="1" si="409"/>
        <v>In Use</v>
      </c>
      <c r="AB1188" t="str">
        <f t="shared" ca="1" si="410"/>
        <v>Pending</v>
      </c>
      <c r="AC1188" t="str">
        <f t="shared" ca="1" si="411"/>
        <v>Bank Transfer</v>
      </c>
      <c r="AD1188" t="str">
        <f t="shared" ca="1" si="412"/>
        <v>No</v>
      </c>
      <c r="AE1188" t="str">
        <f t="shared" ca="1" si="413"/>
        <v>No</v>
      </c>
      <c r="AF1188" t="str">
        <f t="shared" ca="1" si="414"/>
        <v>Under Observation</v>
      </c>
      <c r="AG1188" t="str">
        <f t="shared" ca="1" si="415"/>
        <v>Southeast</v>
      </c>
      <c r="AH1188" t="str">
        <f t="shared" si="398"/>
        <v>February</v>
      </c>
      <c r="AI1188">
        <f t="shared" si="399"/>
        <v>2024</v>
      </c>
      <c r="AJ1188" t="str">
        <f t="shared" ca="1" si="416"/>
        <v>Occupied</v>
      </c>
      <c r="AK1188">
        <f t="shared" ca="1" si="417"/>
        <v>1</v>
      </c>
    </row>
    <row r="1189" spans="1:37" x14ac:dyDescent="0.3">
      <c r="A1189" t="s">
        <v>5595</v>
      </c>
      <c r="B1189">
        <v>69</v>
      </c>
      <c r="C1189" t="s">
        <v>32</v>
      </c>
      <c r="D1189" t="s">
        <v>83</v>
      </c>
      <c r="E1189" t="s">
        <v>48</v>
      </c>
      <c r="F1189" s="1">
        <v>43606</v>
      </c>
      <c r="G1189" t="s">
        <v>2394</v>
      </c>
      <c r="H1189" t="s">
        <v>2395</v>
      </c>
      <c r="I1189" t="s">
        <v>57</v>
      </c>
      <c r="J1189">
        <v>47981</v>
      </c>
      <c r="K1189">
        <v>181</v>
      </c>
      <c r="L1189" t="s">
        <v>21</v>
      </c>
      <c r="M1189" s="1">
        <v>43634</v>
      </c>
      <c r="N1189" t="s">
        <v>30</v>
      </c>
      <c r="O1189" t="s">
        <v>31</v>
      </c>
      <c r="P1189" t="str">
        <f t="shared" si="400"/>
        <v>P1188</v>
      </c>
      <c r="Q1189" t="str">
        <f t="shared" si="396"/>
        <v>Pulmonology</v>
      </c>
      <c r="R1189">
        <f t="shared" si="397"/>
        <v>28</v>
      </c>
      <c r="S1189" t="str">
        <f t="shared" ca="1" si="401"/>
        <v>No</v>
      </c>
      <c r="T1189" t="str">
        <f t="shared" ca="1" si="402"/>
        <v>Mild</v>
      </c>
      <c r="U1189" t="str">
        <f t="shared" ca="1" si="403"/>
        <v>ICU</v>
      </c>
      <c r="V1189" t="str">
        <f t="shared" si="404"/>
        <v>BED1188</v>
      </c>
      <c r="W1189" t="str">
        <f t="shared" ca="1" si="405"/>
        <v>Semi-Private</v>
      </c>
      <c r="X1189" t="str">
        <f t="shared" si="406"/>
        <v>NUR038</v>
      </c>
      <c r="Y1189" t="str">
        <f t="shared" ca="1" si="407"/>
        <v>Night</v>
      </c>
      <c r="Z1189" t="str">
        <f t="shared" ca="1" si="408"/>
        <v>MRI Scanner</v>
      </c>
      <c r="AA1189" t="str">
        <f t="shared" ca="1" si="409"/>
        <v>In Use</v>
      </c>
      <c r="AB1189" t="str">
        <f t="shared" ca="1" si="410"/>
        <v>Pending</v>
      </c>
      <c r="AC1189" t="str">
        <f t="shared" ca="1" si="411"/>
        <v>Bank Transfer</v>
      </c>
      <c r="AD1189" t="str">
        <f t="shared" ca="1" si="412"/>
        <v>No</v>
      </c>
      <c r="AE1189" t="str">
        <f t="shared" ca="1" si="413"/>
        <v>No</v>
      </c>
      <c r="AF1189" t="str">
        <f t="shared" ca="1" si="414"/>
        <v>Recovered</v>
      </c>
      <c r="AG1189" t="str">
        <f t="shared" ca="1" si="415"/>
        <v>Northeast</v>
      </c>
      <c r="AH1189" t="str">
        <f t="shared" si="398"/>
        <v>May</v>
      </c>
      <c r="AI1189">
        <f t="shared" si="399"/>
        <v>2019</v>
      </c>
      <c r="AJ1189" t="str">
        <f t="shared" ca="1" si="416"/>
        <v>Occupied</v>
      </c>
      <c r="AK1189">
        <f t="shared" ca="1" si="417"/>
        <v>2</v>
      </c>
    </row>
    <row r="1190" spans="1:37" x14ac:dyDescent="0.3">
      <c r="A1190" t="s">
        <v>5596</v>
      </c>
      <c r="B1190">
        <v>29</v>
      </c>
      <c r="C1190" t="s">
        <v>32</v>
      </c>
      <c r="D1190" t="s">
        <v>33</v>
      </c>
      <c r="E1190" t="s">
        <v>76</v>
      </c>
      <c r="F1190" s="1">
        <v>43799</v>
      </c>
      <c r="G1190" t="s">
        <v>2396</v>
      </c>
      <c r="H1190" t="s">
        <v>2397</v>
      </c>
      <c r="I1190" t="s">
        <v>51</v>
      </c>
      <c r="J1190">
        <v>27191</v>
      </c>
      <c r="K1190">
        <v>433</v>
      </c>
      <c r="L1190" t="s">
        <v>29</v>
      </c>
      <c r="M1190" s="1">
        <v>43821</v>
      </c>
      <c r="N1190" t="s">
        <v>47</v>
      </c>
      <c r="O1190" t="s">
        <v>23</v>
      </c>
      <c r="P1190" t="str">
        <f t="shared" si="400"/>
        <v>P1189</v>
      </c>
      <c r="Q1190" t="str">
        <f t="shared" si="396"/>
        <v>Orthopedics</v>
      </c>
      <c r="R1190">
        <f t="shared" si="397"/>
        <v>22</v>
      </c>
      <c r="S1190" t="str">
        <f t="shared" ca="1" si="401"/>
        <v>No</v>
      </c>
      <c r="T1190" t="str">
        <f t="shared" ca="1" si="402"/>
        <v>Mild</v>
      </c>
      <c r="U1190" t="str">
        <f t="shared" ca="1" si="403"/>
        <v>General Ward</v>
      </c>
      <c r="V1190" t="str">
        <f t="shared" si="404"/>
        <v>BED1189</v>
      </c>
      <c r="W1190" t="str">
        <f t="shared" ca="1" si="405"/>
        <v>General</v>
      </c>
      <c r="X1190" t="str">
        <f t="shared" si="406"/>
        <v>NUR039</v>
      </c>
      <c r="Y1190" t="str">
        <f t="shared" ca="1" si="407"/>
        <v>Evening</v>
      </c>
      <c r="Z1190" t="str">
        <f t="shared" ca="1" si="408"/>
        <v>ECG Machine</v>
      </c>
      <c r="AA1190" t="str">
        <f t="shared" ca="1" si="409"/>
        <v>In Use</v>
      </c>
      <c r="AB1190" t="str">
        <f t="shared" ca="1" si="410"/>
        <v>Pending</v>
      </c>
      <c r="AC1190" t="str">
        <f t="shared" ca="1" si="411"/>
        <v>Insurance</v>
      </c>
      <c r="AD1190" t="str">
        <f t="shared" ca="1" si="412"/>
        <v>No</v>
      </c>
      <c r="AE1190" t="str">
        <f t="shared" ca="1" si="413"/>
        <v>No</v>
      </c>
      <c r="AF1190" t="str">
        <f t="shared" ca="1" si="414"/>
        <v>Transferred</v>
      </c>
      <c r="AG1190" t="str">
        <f t="shared" ca="1" si="415"/>
        <v>Northeast</v>
      </c>
      <c r="AH1190" t="str">
        <f t="shared" si="398"/>
        <v>November</v>
      </c>
      <c r="AI1190">
        <f t="shared" si="399"/>
        <v>2019</v>
      </c>
      <c r="AJ1190" t="str">
        <f t="shared" ca="1" si="416"/>
        <v>Occupied</v>
      </c>
      <c r="AK1190">
        <f t="shared" ca="1" si="417"/>
        <v>2</v>
      </c>
    </row>
    <row r="1191" spans="1:37" x14ac:dyDescent="0.3">
      <c r="A1191" t="s">
        <v>5597</v>
      </c>
      <c r="B1191">
        <v>82</v>
      </c>
      <c r="C1191" t="s">
        <v>15</v>
      </c>
      <c r="D1191" t="s">
        <v>16</v>
      </c>
      <c r="E1191" t="s">
        <v>39</v>
      </c>
      <c r="F1191" s="1">
        <v>44955</v>
      </c>
      <c r="G1191" t="s">
        <v>2398</v>
      </c>
      <c r="H1191" t="s">
        <v>2399</v>
      </c>
      <c r="I1191" t="s">
        <v>28</v>
      </c>
      <c r="J1191">
        <v>11426</v>
      </c>
      <c r="K1191">
        <v>237</v>
      </c>
      <c r="L1191" t="s">
        <v>42</v>
      </c>
      <c r="M1191" s="1">
        <v>44961</v>
      </c>
      <c r="N1191" t="s">
        <v>47</v>
      </c>
      <c r="O1191" t="s">
        <v>31</v>
      </c>
      <c r="P1191" t="str">
        <f t="shared" si="400"/>
        <v>P1190</v>
      </c>
      <c r="Q1191" t="str">
        <f t="shared" si="396"/>
        <v>Endocrinology</v>
      </c>
      <c r="R1191">
        <f t="shared" si="397"/>
        <v>6</v>
      </c>
      <c r="S1191" t="str">
        <f t="shared" ca="1" si="401"/>
        <v>Yes</v>
      </c>
      <c r="T1191" t="str">
        <f t="shared" ca="1" si="402"/>
        <v>Critical</v>
      </c>
      <c r="U1191" t="str">
        <f t="shared" ca="1" si="403"/>
        <v>General Ward</v>
      </c>
      <c r="V1191" t="str">
        <f t="shared" si="404"/>
        <v>BED1190</v>
      </c>
      <c r="W1191" t="str">
        <f t="shared" ca="1" si="405"/>
        <v>ICU</v>
      </c>
      <c r="X1191" t="str">
        <f t="shared" si="406"/>
        <v>NUR040</v>
      </c>
      <c r="Y1191" t="str">
        <f t="shared" ca="1" si="407"/>
        <v>Morning</v>
      </c>
      <c r="Z1191" t="str">
        <f t="shared" ca="1" si="408"/>
        <v>Ultrasound</v>
      </c>
      <c r="AA1191" t="str">
        <f t="shared" ca="1" si="409"/>
        <v>In Use</v>
      </c>
      <c r="AB1191" t="str">
        <f t="shared" ca="1" si="410"/>
        <v>Partially Paid</v>
      </c>
      <c r="AC1191" t="str">
        <f t="shared" ca="1" si="411"/>
        <v>Bank Transfer</v>
      </c>
      <c r="AD1191" t="str">
        <f t="shared" ca="1" si="412"/>
        <v>No</v>
      </c>
      <c r="AE1191" t="str">
        <f t="shared" ca="1" si="413"/>
        <v>No</v>
      </c>
      <c r="AF1191" t="str">
        <f t="shared" ca="1" si="414"/>
        <v>Under Observation</v>
      </c>
      <c r="AG1191" t="str">
        <f t="shared" ca="1" si="415"/>
        <v>Northeast</v>
      </c>
      <c r="AH1191" t="str">
        <f t="shared" si="398"/>
        <v>January</v>
      </c>
      <c r="AI1191">
        <f t="shared" si="399"/>
        <v>2023</v>
      </c>
      <c r="AJ1191" t="str">
        <f t="shared" ca="1" si="416"/>
        <v>Occupied</v>
      </c>
      <c r="AK1191">
        <f t="shared" ca="1" si="417"/>
        <v>1</v>
      </c>
    </row>
    <row r="1192" spans="1:37" x14ac:dyDescent="0.3">
      <c r="A1192" t="s">
        <v>5598</v>
      </c>
      <c r="B1192">
        <v>56</v>
      </c>
      <c r="C1192" t="s">
        <v>15</v>
      </c>
      <c r="D1192" t="s">
        <v>33</v>
      </c>
      <c r="E1192" t="s">
        <v>17</v>
      </c>
      <c r="F1192" s="1">
        <v>43637</v>
      </c>
      <c r="G1192" t="s">
        <v>2400</v>
      </c>
      <c r="H1192" t="s">
        <v>2401</v>
      </c>
      <c r="I1192" t="s">
        <v>20</v>
      </c>
      <c r="J1192">
        <v>30415</v>
      </c>
      <c r="K1192">
        <v>310</v>
      </c>
      <c r="L1192" t="s">
        <v>21</v>
      </c>
      <c r="M1192" s="1">
        <v>43657</v>
      </c>
      <c r="N1192" t="s">
        <v>30</v>
      </c>
      <c r="O1192" t="s">
        <v>43</v>
      </c>
      <c r="P1192" t="str">
        <f t="shared" si="400"/>
        <v>P1191</v>
      </c>
      <c r="Q1192" t="str">
        <f t="shared" si="396"/>
        <v>Oncology</v>
      </c>
      <c r="R1192">
        <f t="shared" si="397"/>
        <v>20</v>
      </c>
      <c r="S1192" t="str">
        <f t="shared" ca="1" si="401"/>
        <v>Yes</v>
      </c>
      <c r="T1192" t="str">
        <f t="shared" ca="1" si="402"/>
        <v>Mild</v>
      </c>
      <c r="U1192" t="str">
        <f t="shared" ca="1" si="403"/>
        <v>ICU</v>
      </c>
      <c r="V1192" t="str">
        <f t="shared" si="404"/>
        <v>BED1191</v>
      </c>
      <c r="W1192" t="str">
        <f t="shared" ca="1" si="405"/>
        <v>ICU</v>
      </c>
      <c r="X1192" t="str">
        <f t="shared" si="406"/>
        <v>NUR041</v>
      </c>
      <c r="Y1192" t="str">
        <f t="shared" ca="1" si="407"/>
        <v>Morning</v>
      </c>
      <c r="Z1192" t="str">
        <f t="shared" ca="1" si="408"/>
        <v>Ultrasound</v>
      </c>
      <c r="AA1192" t="str">
        <f t="shared" ca="1" si="409"/>
        <v>Available</v>
      </c>
      <c r="AB1192" t="str">
        <f t="shared" ca="1" si="410"/>
        <v>Partially Paid</v>
      </c>
      <c r="AC1192" t="str">
        <f t="shared" ca="1" si="411"/>
        <v>Insurance</v>
      </c>
      <c r="AD1192" t="str">
        <f t="shared" ca="1" si="412"/>
        <v>No</v>
      </c>
      <c r="AE1192" t="str">
        <f t="shared" ca="1" si="413"/>
        <v>Yes</v>
      </c>
      <c r="AF1192" t="str">
        <f t="shared" ca="1" si="414"/>
        <v>Recovered</v>
      </c>
      <c r="AG1192" t="str">
        <f t="shared" ca="1" si="415"/>
        <v>Midwest</v>
      </c>
      <c r="AH1192" t="str">
        <f t="shared" si="398"/>
        <v>June</v>
      </c>
      <c r="AI1192">
        <f t="shared" si="399"/>
        <v>2019</v>
      </c>
      <c r="AJ1192" t="str">
        <f t="shared" ca="1" si="416"/>
        <v>Occupied</v>
      </c>
      <c r="AK1192">
        <f t="shared" ca="1" si="417"/>
        <v>2</v>
      </c>
    </row>
    <row r="1193" spans="1:37" x14ac:dyDescent="0.3">
      <c r="A1193" t="s">
        <v>5599</v>
      </c>
      <c r="B1193">
        <v>84</v>
      </c>
      <c r="C1193" t="s">
        <v>15</v>
      </c>
      <c r="D1193" t="s">
        <v>16</v>
      </c>
      <c r="E1193" t="s">
        <v>48</v>
      </c>
      <c r="F1193" s="1">
        <v>45094</v>
      </c>
      <c r="G1193" t="s">
        <v>2402</v>
      </c>
      <c r="H1193" t="s">
        <v>2403</v>
      </c>
      <c r="I1193" t="s">
        <v>36</v>
      </c>
      <c r="J1193">
        <v>7567</v>
      </c>
      <c r="K1193">
        <v>435</v>
      </c>
      <c r="L1193" t="s">
        <v>21</v>
      </c>
      <c r="M1193" s="1">
        <v>45124</v>
      </c>
      <c r="N1193" t="s">
        <v>47</v>
      </c>
      <c r="O1193" t="s">
        <v>23</v>
      </c>
      <c r="P1193" t="str">
        <f t="shared" si="400"/>
        <v>P1192</v>
      </c>
      <c r="Q1193" t="str">
        <f t="shared" si="396"/>
        <v>Pulmonology</v>
      </c>
      <c r="R1193">
        <f t="shared" si="397"/>
        <v>30</v>
      </c>
      <c r="S1193" t="str">
        <f t="shared" ca="1" si="401"/>
        <v>No</v>
      </c>
      <c r="T1193" t="str">
        <f t="shared" ca="1" si="402"/>
        <v>Severe</v>
      </c>
      <c r="U1193" t="str">
        <f t="shared" ca="1" si="403"/>
        <v>Private Ward</v>
      </c>
      <c r="V1193" t="str">
        <f t="shared" si="404"/>
        <v>BED1192</v>
      </c>
      <c r="W1193" t="str">
        <f t="shared" ca="1" si="405"/>
        <v>Private</v>
      </c>
      <c r="X1193" t="str">
        <f t="shared" si="406"/>
        <v>NUR042</v>
      </c>
      <c r="Y1193" t="str">
        <f t="shared" ca="1" si="407"/>
        <v>Morning</v>
      </c>
      <c r="Z1193" t="str">
        <f t="shared" ca="1" si="408"/>
        <v>MRI Scanner</v>
      </c>
      <c r="AA1193" t="str">
        <f t="shared" ca="1" si="409"/>
        <v>Available</v>
      </c>
      <c r="AB1193" t="str">
        <f t="shared" ca="1" si="410"/>
        <v>Partially Paid</v>
      </c>
      <c r="AC1193" t="str">
        <f t="shared" ca="1" si="411"/>
        <v>Insurance</v>
      </c>
      <c r="AD1193" t="str">
        <f t="shared" ca="1" si="412"/>
        <v>No</v>
      </c>
      <c r="AE1193" t="str">
        <f t="shared" ca="1" si="413"/>
        <v>No</v>
      </c>
      <c r="AF1193" t="str">
        <f t="shared" ca="1" si="414"/>
        <v>Recovered</v>
      </c>
      <c r="AG1193" t="str">
        <f t="shared" ca="1" si="415"/>
        <v>Midwest</v>
      </c>
      <c r="AH1193" t="str">
        <f t="shared" si="398"/>
        <v>June</v>
      </c>
      <c r="AI1193">
        <f t="shared" si="399"/>
        <v>2023</v>
      </c>
      <c r="AJ1193" t="str">
        <f t="shared" ca="1" si="416"/>
        <v>Vacant</v>
      </c>
      <c r="AK1193">
        <f t="shared" ca="1" si="417"/>
        <v>1</v>
      </c>
    </row>
    <row r="1194" spans="1:37" x14ac:dyDescent="0.3">
      <c r="A1194" t="s">
        <v>5600</v>
      </c>
      <c r="B1194">
        <v>43</v>
      </c>
      <c r="C1194" t="s">
        <v>32</v>
      </c>
      <c r="D1194" t="s">
        <v>16</v>
      </c>
      <c r="E1194" t="s">
        <v>25</v>
      </c>
      <c r="F1194" s="1">
        <v>44766</v>
      </c>
      <c r="G1194" t="s">
        <v>2404</v>
      </c>
      <c r="H1194" t="s">
        <v>2405</v>
      </c>
      <c r="I1194" t="s">
        <v>51</v>
      </c>
      <c r="J1194">
        <v>34816</v>
      </c>
      <c r="K1194">
        <v>120</v>
      </c>
      <c r="L1194" t="s">
        <v>29</v>
      </c>
      <c r="M1194" s="1">
        <v>44770</v>
      </c>
      <c r="N1194" t="s">
        <v>37</v>
      </c>
      <c r="O1194" t="s">
        <v>23</v>
      </c>
      <c r="P1194" t="str">
        <f t="shared" si="400"/>
        <v>P1193</v>
      </c>
      <c r="Q1194" t="str">
        <f t="shared" si="396"/>
        <v>Nutrition</v>
      </c>
      <c r="R1194">
        <f t="shared" si="397"/>
        <v>4</v>
      </c>
      <c r="S1194" t="str">
        <f t="shared" ca="1" si="401"/>
        <v>No</v>
      </c>
      <c r="T1194" t="str">
        <f t="shared" ca="1" si="402"/>
        <v>Critical</v>
      </c>
      <c r="U1194" t="str">
        <f t="shared" ca="1" si="403"/>
        <v>General Ward</v>
      </c>
      <c r="V1194" t="str">
        <f t="shared" si="404"/>
        <v>BED1193</v>
      </c>
      <c r="W1194" t="str">
        <f t="shared" ca="1" si="405"/>
        <v>ICU</v>
      </c>
      <c r="X1194" t="str">
        <f t="shared" si="406"/>
        <v>NUR043</v>
      </c>
      <c r="Y1194" t="str">
        <f t="shared" ca="1" si="407"/>
        <v>Night</v>
      </c>
      <c r="Z1194" t="str">
        <f t="shared" ca="1" si="408"/>
        <v>CT Scanner</v>
      </c>
      <c r="AA1194" t="str">
        <f t="shared" ca="1" si="409"/>
        <v>Maintenance</v>
      </c>
      <c r="AB1194" t="str">
        <f t="shared" ca="1" si="410"/>
        <v>Paid</v>
      </c>
      <c r="AC1194" t="str">
        <f t="shared" ca="1" si="411"/>
        <v>Debit Card</v>
      </c>
      <c r="AD1194" t="str">
        <f t="shared" ca="1" si="412"/>
        <v>No</v>
      </c>
      <c r="AE1194" t="str">
        <f t="shared" ca="1" si="413"/>
        <v>No</v>
      </c>
      <c r="AF1194" t="str">
        <f t="shared" ca="1" si="414"/>
        <v>Under Observation</v>
      </c>
      <c r="AG1194" t="str">
        <f t="shared" ca="1" si="415"/>
        <v>Midwest</v>
      </c>
      <c r="AH1194" t="str">
        <f t="shared" si="398"/>
        <v>July</v>
      </c>
      <c r="AI1194">
        <f t="shared" si="399"/>
        <v>2022</v>
      </c>
      <c r="AJ1194" t="str">
        <f t="shared" ca="1" si="416"/>
        <v>Occupied</v>
      </c>
      <c r="AK1194">
        <f t="shared" ca="1" si="417"/>
        <v>1</v>
      </c>
    </row>
    <row r="1195" spans="1:37" x14ac:dyDescent="0.3">
      <c r="A1195" t="s">
        <v>5601</v>
      </c>
      <c r="B1195">
        <v>79</v>
      </c>
      <c r="C1195" t="s">
        <v>32</v>
      </c>
      <c r="D1195" t="s">
        <v>52</v>
      </c>
      <c r="E1195" t="s">
        <v>76</v>
      </c>
      <c r="F1195" s="1">
        <v>44589</v>
      </c>
      <c r="G1195" t="s">
        <v>2406</v>
      </c>
      <c r="H1195" t="s">
        <v>1723</v>
      </c>
      <c r="I1195" t="s">
        <v>28</v>
      </c>
      <c r="J1195">
        <v>18610</v>
      </c>
      <c r="K1195">
        <v>127</v>
      </c>
      <c r="L1195" t="s">
        <v>42</v>
      </c>
      <c r="M1195" s="1">
        <v>44610</v>
      </c>
      <c r="N1195" t="s">
        <v>67</v>
      </c>
      <c r="O1195" t="s">
        <v>31</v>
      </c>
      <c r="P1195" t="str">
        <f t="shared" si="400"/>
        <v>P1194</v>
      </c>
      <c r="Q1195" t="str">
        <f t="shared" si="396"/>
        <v>Orthopedics</v>
      </c>
      <c r="R1195">
        <f t="shared" si="397"/>
        <v>21</v>
      </c>
      <c r="S1195" t="str">
        <f t="shared" ca="1" si="401"/>
        <v>No</v>
      </c>
      <c r="T1195" t="str">
        <f t="shared" ca="1" si="402"/>
        <v>Moderate</v>
      </c>
      <c r="U1195" t="str">
        <f t="shared" ca="1" si="403"/>
        <v>Semi-Private</v>
      </c>
      <c r="V1195" t="str">
        <f t="shared" si="404"/>
        <v>BED1194</v>
      </c>
      <c r="W1195" t="str">
        <f t="shared" ca="1" si="405"/>
        <v>Private</v>
      </c>
      <c r="X1195" t="str">
        <f t="shared" si="406"/>
        <v>NUR044</v>
      </c>
      <c r="Y1195" t="str">
        <f t="shared" ca="1" si="407"/>
        <v>Evening</v>
      </c>
      <c r="Z1195" t="str">
        <f t="shared" ca="1" si="408"/>
        <v>Ultrasound</v>
      </c>
      <c r="AA1195" t="str">
        <f t="shared" ca="1" si="409"/>
        <v>In Use</v>
      </c>
      <c r="AB1195" t="str">
        <f t="shared" ca="1" si="410"/>
        <v>Pending</v>
      </c>
      <c r="AC1195" t="str">
        <f t="shared" ca="1" si="411"/>
        <v>Cash</v>
      </c>
      <c r="AD1195" t="str">
        <f t="shared" ca="1" si="412"/>
        <v>No</v>
      </c>
      <c r="AE1195" t="str">
        <f t="shared" ca="1" si="413"/>
        <v>Yes</v>
      </c>
      <c r="AF1195" t="str">
        <f t="shared" ca="1" si="414"/>
        <v>Transferred</v>
      </c>
      <c r="AG1195" t="str">
        <f t="shared" ca="1" si="415"/>
        <v>Southeast</v>
      </c>
      <c r="AH1195" t="str">
        <f t="shared" si="398"/>
        <v>January</v>
      </c>
      <c r="AI1195">
        <f t="shared" si="399"/>
        <v>2022</v>
      </c>
      <c r="AJ1195" t="str">
        <f t="shared" ca="1" si="416"/>
        <v>Occupied</v>
      </c>
      <c r="AK1195">
        <f t="shared" ca="1" si="417"/>
        <v>1</v>
      </c>
    </row>
    <row r="1196" spans="1:37" x14ac:dyDescent="0.3">
      <c r="A1196" t="s">
        <v>5602</v>
      </c>
      <c r="B1196">
        <v>22</v>
      </c>
      <c r="C1196" t="s">
        <v>32</v>
      </c>
      <c r="D1196" t="s">
        <v>83</v>
      </c>
      <c r="E1196" t="s">
        <v>76</v>
      </c>
      <c r="F1196" s="1">
        <v>44773</v>
      </c>
      <c r="G1196" t="s">
        <v>2407</v>
      </c>
      <c r="H1196" t="s">
        <v>2143</v>
      </c>
      <c r="I1196" t="s">
        <v>51</v>
      </c>
      <c r="J1196">
        <v>25234</v>
      </c>
      <c r="K1196">
        <v>194</v>
      </c>
      <c r="L1196" t="s">
        <v>42</v>
      </c>
      <c r="M1196" s="1">
        <v>44801</v>
      </c>
      <c r="N1196" t="s">
        <v>67</v>
      </c>
      <c r="O1196" t="s">
        <v>31</v>
      </c>
      <c r="P1196" t="str">
        <f t="shared" si="400"/>
        <v>P1195</v>
      </c>
      <c r="Q1196" t="str">
        <f t="shared" si="396"/>
        <v>Orthopedics</v>
      </c>
      <c r="R1196">
        <f t="shared" si="397"/>
        <v>28</v>
      </c>
      <c r="S1196" t="str">
        <f t="shared" ca="1" si="401"/>
        <v>Yes</v>
      </c>
      <c r="T1196" t="str">
        <f t="shared" ca="1" si="402"/>
        <v>Critical</v>
      </c>
      <c r="U1196" t="str">
        <f t="shared" ca="1" si="403"/>
        <v>Semi-Private</v>
      </c>
      <c r="V1196" t="str">
        <f t="shared" si="404"/>
        <v>BED1195</v>
      </c>
      <c r="W1196" t="str">
        <f t="shared" ca="1" si="405"/>
        <v>Semi-Private</v>
      </c>
      <c r="X1196" t="str">
        <f t="shared" si="406"/>
        <v>NUR045</v>
      </c>
      <c r="Y1196" t="str">
        <f t="shared" ca="1" si="407"/>
        <v>Evening</v>
      </c>
      <c r="Z1196" t="str">
        <f t="shared" ca="1" si="408"/>
        <v>ECG Machine</v>
      </c>
      <c r="AA1196" t="str">
        <f t="shared" ca="1" si="409"/>
        <v>Maintenance</v>
      </c>
      <c r="AB1196" t="str">
        <f t="shared" ca="1" si="410"/>
        <v>Partially Paid</v>
      </c>
      <c r="AC1196" t="str">
        <f t="shared" ca="1" si="411"/>
        <v>Credit Card</v>
      </c>
      <c r="AD1196" t="str">
        <f t="shared" ca="1" si="412"/>
        <v>No</v>
      </c>
      <c r="AE1196" t="str">
        <f t="shared" ca="1" si="413"/>
        <v>No</v>
      </c>
      <c r="AF1196" t="str">
        <f t="shared" ca="1" si="414"/>
        <v>Transferred</v>
      </c>
      <c r="AG1196" t="str">
        <f t="shared" ca="1" si="415"/>
        <v>Midwest</v>
      </c>
      <c r="AH1196" t="str">
        <f t="shared" si="398"/>
        <v>July</v>
      </c>
      <c r="AI1196">
        <f t="shared" si="399"/>
        <v>2022</v>
      </c>
      <c r="AJ1196" t="str">
        <f t="shared" ca="1" si="416"/>
        <v>Occupied</v>
      </c>
      <c r="AK1196">
        <f t="shared" ca="1" si="417"/>
        <v>1</v>
      </c>
    </row>
    <row r="1197" spans="1:37" x14ac:dyDescent="0.3">
      <c r="A1197" t="s">
        <v>5603</v>
      </c>
      <c r="B1197">
        <v>73</v>
      </c>
      <c r="C1197" t="s">
        <v>15</v>
      </c>
      <c r="D1197" t="s">
        <v>83</v>
      </c>
      <c r="E1197" t="s">
        <v>17</v>
      </c>
      <c r="F1197" s="1">
        <v>45051</v>
      </c>
      <c r="G1197" t="s">
        <v>2408</v>
      </c>
      <c r="H1197" t="s">
        <v>2409</v>
      </c>
      <c r="I1197" t="s">
        <v>20</v>
      </c>
      <c r="J1197">
        <v>12340</v>
      </c>
      <c r="K1197">
        <v>135</v>
      </c>
      <c r="L1197" t="s">
        <v>42</v>
      </c>
      <c r="M1197" s="1">
        <v>45074</v>
      </c>
      <c r="N1197" t="s">
        <v>37</v>
      </c>
      <c r="O1197" t="s">
        <v>31</v>
      </c>
      <c r="P1197" t="str">
        <f t="shared" si="400"/>
        <v>P1196</v>
      </c>
      <c r="Q1197" t="str">
        <f t="shared" si="396"/>
        <v>Oncology</v>
      </c>
      <c r="R1197">
        <f t="shared" si="397"/>
        <v>23</v>
      </c>
      <c r="S1197" t="str">
        <f t="shared" ca="1" si="401"/>
        <v>No</v>
      </c>
      <c r="T1197" t="str">
        <f t="shared" ca="1" si="402"/>
        <v>Critical</v>
      </c>
      <c r="U1197" t="str">
        <f t="shared" ca="1" si="403"/>
        <v>General Ward</v>
      </c>
      <c r="V1197" t="str">
        <f t="shared" si="404"/>
        <v>BED1196</v>
      </c>
      <c r="W1197" t="str">
        <f t="shared" ca="1" si="405"/>
        <v>Private</v>
      </c>
      <c r="X1197" t="str">
        <f t="shared" si="406"/>
        <v>NUR046</v>
      </c>
      <c r="Y1197" t="str">
        <f t="shared" ca="1" si="407"/>
        <v>Morning</v>
      </c>
      <c r="Z1197" t="str">
        <f t="shared" ca="1" si="408"/>
        <v>Ultrasound</v>
      </c>
      <c r="AA1197" t="str">
        <f t="shared" ca="1" si="409"/>
        <v>Maintenance</v>
      </c>
      <c r="AB1197" t="str">
        <f t="shared" ca="1" si="410"/>
        <v>Paid</v>
      </c>
      <c r="AC1197" t="str">
        <f t="shared" ca="1" si="411"/>
        <v>Debit Card</v>
      </c>
      <c r="AD1197" t="str">
        <f t="shared" ca="1" si="412"/>
        <v>No</v>
      </c>
      <c r="AE1197" t="str">
        <f t="shared" ca="1" si="413"/>
        <v>No</v>
      </c>
      <c r="AF1197" t="str">
        <f t="shared" ca="1" si="414"/>
        <v>Transferred</v>
      </c>
      <c r="AG1197" t="str">
        <f t="shared" ca="1" si="415"/>
        <v>Southwest</v>
      </c>
      <c r="AH1197" t="str">
        <f t="shared" si="398"/>
        <v>May</v>
      </c>
      <c r="AI1197">
        <f t="shared" si="399"/>
        <v>2023</v>
      </c>
      <c r="AJ1197" t="str">
        <f t="shared" ca="1" si="416"/>
        <v>Occupied</v>
      </c>
      <c r="AK1197">
        <f t="shared" ca="1" si="417"/>
        <v>4</v>
      </c>
    </row>
    <row r="1198" spans="1:37" x14ac:dyDescent="0.3">
      <c r="A1198" t="s">
        <v>5604</v>
      </c>
      <c r="B1198">
        <v>84</v>
      </c>
      <c r="C1198" t="s">
        <v>15</v>
      </c>
      <c r="D1198" t="s">
        <v>33</v>
      </c>
      <c r="E1198" t="s">
        <v>48</v>
      </c>
      <c r="F1198" s="1">
        <v>44074</v>
      </c>
      <c r="G1198" t="s">
        <v>2410</v>
      </c>
      <c r="H1198" t="s">
        <v>2411</v>
      </c>
      <c r="I1198" t="s">
        <v>57</v>
      </c>
      <c r="J1198">
        <v>38441</v>
      </c>
      <c r="K1198">
        <v>192</v>
      </c>
      <c r="L1198" t="s">
        <v>21</v>
      </c>
      <c r="M1198" s="1">
        <v>44102</v>
      </c>
      <c r="N1198" t="s">
        <v>67</v>
      </c>
      <c r="O1198" t="s">
        <v>31</v>
      </c>
      <c r="P1198" t="str">
        <f t="shared" si="400"/>
        <v>P1197</v>
      </c>
      <c r="Q1198" t="str">
        <f t="shared" si="396"/>
        <v>Pulmonology</v>
      </c>
      <c r="R1198">
        <f t="shared" si="397"/>
        <v>28</v>
      </c>
      <c r="S1198" t="str">
        <f t="shared" ca="1" si="401"/>
        <v>No</v>
      </c>
      <c r="T1198" t="str">
        <f t="shared" ca="1" si="402"/>
        <v>Moderate</v>
      </c>
      <c r="U1198" t="str">
        <f t="shared" ca="1" si="403"/>
        <v>ICU</v>
      </c>
      <c r="V1198" t="str">
        <f t="shared" si="404"/>
        <v>BED1197</v>
      </c>
      <c r="W1198" t="str">
        <f t="shared" ca="1" si="405"/>
        <v>ICU</v>
      </c>
      <c r="X1198" t="str">
        <f t="shared" si="406"/>
        <v>NUR047</v>
      </c>
      <c r="Y1198" t="str">
        <f t="shared" ca="1" si="407"/>
        <v>Morning</v>
      </c>
      <c r="Z1198" t="str">
        <f t="shared" ca="1" si="408"/>
        <v>Ultrasound</v>
      </c>
      <c r="AA1198" t="str">
        <f t="shared" ca="1" si="409"/>
        <v>Available</v>
      </c>
      <c r="AB1198" t="str">
        <f t="shared" ca="1" si="410"/>
        <v>Paid</v>
      </c>
      <c r="AC1198" t="str">
        <f t="shared" ca="1" si="411"/>
        <v>Cash</v>
      </c>
      <c r="AD1198" t="str">
        <f t="shared" ca="1" si="412"/>
        <v>No</v>
      </c>
      <c r="AE1198" t="str">
        <f t="shared" ca="1" si="413"/>
        <v>Yes</v>
      </c>
      <c r="AF1198" t="str">
        <f t="shared" ca="1" si="414"/>
        <v>Under Observation</v>
      </c>
      <c r="AG1198" t="str">
        <f t="shared" ca="1" si="415"/>
        <v>Southeast</v>
      </c>
      <c r="AH1198" t="str">
        <f t="shared" si="398"/>
        <v>August</v>
      </c>
      <c r="AI1198">
        <f t="shared" si="399"/>
        <v>2020</v>
      </c>
      <c r="AJ1198" t="str">
        <f t="shared" ca="1" si="416"/>
        <v>Occupied</v>
      </c>
      <c r="AK1198">
        <f t="shared" ca="1" si="417"/>
        <v>4</v>
      </c>
    </row>
    <row r="1199" spans="1:37" x14ac:dyDescent="0.3">
      <c r="A1199" t="s">
        <v>5605</v>
      </c>
      <c r="B1199">
        <v>49</v>
      </c>
      <c r="C1199" t="s">
        <v>15</v>
      </c>
      <c r="D1199" t="s">
        <v>33</v>
      </c>
      <c r="E1199" t="s">
        <v>25</v>
      </c>
      <c r="F1199" s="1">
        <v>44694</v>
      </c>
      <c r="G1199" t="s">
        <v>2412</v>
      </c>
      <c r="H1199" t="s">
        <v>2413</v>
      </c>
      <c r="I1199" t="s">
        <v>36</v>
      </c>
      <c r="J1199">
        <v>7148</v>
      </c>
      <c r="K1199">
        <v>140</v>
      </c>
      <c r="L1199" t="s">
        <v>29</v>
      </c>
      <c r="M1199" s="1">
        <v>44717</v>
      </c>
      <c r="N1199" t="s">
        <v>22</v>
      </c>
      <c r="O1199" t="s">
        <v>23</v>
      </c>
      <c r="P1199" t="str">
        <f t="shared" si="400"/>
        <v>P1198</v>
      </c>
      <c r="Q1199" t="str">
        <f t="shared" si="396"/>
        <v>Nutrition</v>
      </c>
      <c r="R1199">
        <f t="shared" si="397"/>
        <v>23</v>
      </c>
      <c r="S1199" t="str">
        <f t="shared" ca="1" si="401"/>
        <v>No</v>
      </c>
      <c r="T1199" t="str">
        <f t="shared" ca="1" si="402"/>
        <v>Mild</v>
      </c>
      <c r="U1199" t="str">
        <f t="shared" ca="1" si="403"/>
        <v>Semi-Private</v>
      </c>
      <c r="V1199" t="str">
        <f t="shared" si="404"/>
        <v>BED1198</v>
      </c>
      <c r="W1199" t="str">
        <f t="shared" ca="1" si="405"/>
        <v>ICU</v>
      </c>
      <c r="X1199" t="str">
        <f t="shared" si="406"/>
        <v>NUR048</v>
      </c>
      <c r="Y1199" t="str">
        <f t="shared" ca="1" si="407"/>
        <v>Night</v>
      </c>
      <c r="Z1199" t="str">
        <f t="shared" ca="1" si="408"/>
        <v>MRI Scanner</v>
      </c>
      <c r="AA1199" t="str">
        <f t="shared" ca="1" si="409"/>
        <v>In Use</v>
      </c>
      <c r="AB1199" t="str">
        <f t="shared" ca="1" si="410"/>
        <v>Pending</v>
      </c>
      <c r="AC1199" t="str">
        <f t="shared" ca="1" si="411"/>
        <v>Debit Card</v>
      </c>
      <c r="AD1199" t="str">
        <f t="shared" ca="1" si="412"/>
        <v>No</v>
      </c>
      <c r="AE1199" t="str">
        <f t="shared" ca="1" si="413"/>
        <v>Yes</v>
      </c>
      <c r="AF1199" t="str">
        <f t="shared" ca="1" si="414"/>
        <v>Transferred</v>
      </c>
      <c r="AG1199" t="str">
        <f t="shared" ca="1" si="415"/>
        <v>West Coast</v>
      </c>
      <c r="AH1199" t="str">
        <f t="shared" si="398"/>
        <v>May</v>
      </c>
      <c r="AI1199">
        <f t="shared" si="399"/>
        <v>2022</v>
      </c>
      <c r="AJ1199" t="str">
        <f t="shared" ca="1" si="416"/>
        <v>Occupied</v>
      </c>
      <c r="AK1199">
        <f t="shared" ca="1" si="417"/>
        <v>2</v>
      </c>
    </row>
    <row r="1200" spans="1:37" x14ac:dyDescent="0.3">
      <c r="A1200" t="s">
        <v>5606</v>
      </c>
      <c r="B1200">
        <v>54</v>
      </c>
      <c r="C1200" t="s">
        <v>15</v>
      </c>
      <c r="D1200" t="s">
        <v>44</v>
      </c>
      <c r="E1200" t="s">
        <v>17</v>
      </c>
      <c r="F1200" s="1">
        <v>43803</v>
      </c>
      <c r="G1200" t="s">
        <v>2414</v>
      </c>
      <c r="H1200" t="s">
        <v>2415</v>
      </c>
      <c r="I1200" t="s">
        <v>36</v>
      </c>
      <c r="J1200">
        <v>24755</v>
      </c>
      <c r="K1200">
        <v>155</v>
      </c>
      <c r="L1200" t="s">
        <v>29</v>
      </c>
      <c r="M1200" s="1">
        <v>43829</v>
      </c>
      <c r="N1200" t="s">
        <v>22</v>
      </c>
      <c r="O1200" t="s">
        <v>31</v>
      </c>
      <c r="P1200" t="str">
        <f t="shared" si="400"/>
        <v>P1199</v>
      </c>
      <c r="Q1200" t="str">
        <f t="shared" si="396"/>
        <v>Oncology</v>
      </c>
      <c r="R1200">
        <f t="shared" si="397"/>
        <v>26</v>
      </c>
      <c r="S1200" t="str">
        <f t="shared" ca="1" si="401"/>
        <v>Yes</v>
      </c>
      <c r="T1200" t="str">
        <f t="shared" ca="1" si="402"/>
        <v>Severe</v>
      </c>
      <c r="U1200" t="str">
        <f t="shared" ca="1" si="403"/>
        <v>Emergency</v>
      </c>
      <c r="V1200" t="str">
        <f t="shared" si="404"/>
        <v>BED1199</v>
      </c>
      <c r="W1200" t="str">
        <f t="shared" ca="1" si="405"/>
        <v>Semi-Private</v>
      </c>
      <c r="X1200" t="str">
        <f t="shared" si="406"/>
        <v>NUR049</v>
      </c>
      <c r="Y1200" t="str">
        <f t="shared" ca="1" si="407"/>
        <v>Night</v>
      </c>
      <c r="Z1200" t="str">
        <f t="shared" ca="1" si="408"/>
        <v>Ventilator</v>
      </c>
      <c r="AA1200" t="str">
        <f t="shared" ca="1" si="409"/>
        <v>Maintenance</v>
      </c>
      <c r="AB1200" t="str">
        <f t="shared" ca="1" si="410"/>
        <v>Paid</v>
      </c>
      <c r="AC1200" t="str">
        <f t="shared" ca="1" si="411"/>
        <v>Insurance</v>
      </c>
      <c r="AD1200" t="str">
        <f t="shared" ca="1" si="412"/>
        <v>No</v>
      </c>
      <c r="AE1200" t="str">
        <f t="shared" ca="1" si="413"/>
        <v>No</v>
      </c>
      <c r="AF1200" t="str">
        <f t="shared" ca="1" si="414"/>
        <v>Recovered</v>
      </c>
      <c r="AG1200" t="str">
        <f t="shared" ca="1" si="415"/>
        <v>West Coast</v>
      </c>
      <c r="AH1200" t="str">
        <f t="shared" si="398"/>
        <v>December</v>
      </c>
      <c r="AI1200">
        <f t="shared" si="399"/>
        <v>2019</v>
      </c>
      <c r="AJ1200" t="str">
        <f t="shared" ca="1" si="416"/>
        <v>Vacant</v>
      </c>
      <c r="AK1200">
        <f t="shared" ca="1" si="417"/>
        <v>1</v>
      </c>
    </row>
    <row r="1201" spans="1:37" x14ac:dyDescent="0.3">
      <c r="A1201" t="s">
        <v>5607</v>
      </c>
      <c r="B1201">
        <v>59</v>
      </c>
      <c r="C1201" t="s">
        <v>15</v>
      </c>
      <c r="D1201" t="s">
        <v>16</v>
      </c>
      <c r="E1201" t="s">
        <v>17</v>
      </c>
      <c r="F1201" s="1">
        <v>45022</v>
      </c>
      <c r="G1201" t="s">
        <v>2416</v>
      </c>
      <c r="H1201" t="s">
        <v>2417</v>
      </c>
      <c r="I1201" t="s">
        <v>28</v>
      </c>
      <c r="J1201">
        <v>39553</v>
      </c>
      <c r="K1201">
        <v>376</v>
      </c>
      <c r="L1201" t="s">
        <v>29</v>
      </c>
      <c r="M1201" s="1">
        <v>45037</v>
      </c>
      <c r="N1201" t="s">
        <v>37</v>
      </c>
      <c r="O1201" t="s">
        <v>43</v>
      </c>
      <c r="P1201" t="str">
        <f t="shared" si="400"/>
        <v>P1200</v>
      </c>
      <c r="Q1201" t="str">
        <f t="shared" si="396"/>
        <v>Oncology</v>
      </c>
      <c r="R1201">
        <f t="shared" si="397"/>
        <v>15</v>
      </c>
      <c r="S1201" t="str">
        <f t="shared" ca="1" si="401"/>
        <v>No</v>
      </c>
      <c r="T1201" t="str">
        <f t="shared" ca="1" si="402"/>
        <v>Severe</v>
      </c>
      <c r="U1201" t="str">
        <f t="shared" ca="1" si="403"/>
        <v>Semi-Private</v>
      </c>
      <c r="V1201" t="str">
        <f t="shared" si="404"/>
        <v>BED1200</v>
      </c>
      <c r="W1201" t="str">
        <f t="shared" ca="1" si="405"/>
        <v>General</v>
      </c>
      <c r="X1201" t="str">
        <f t="shared" si="406"/>
        <v>NUR050</v>
      </c>
      <c r="Y1201" t="str">
        <f t="shared" ca="1" si="407"/>
        <v>Night</v>
      </c>
      <c r="Z1201" t="str">
        <f t="shared" ca="1" si="408"/>
        <v>Ultrasound</v>
      </c>
      <c r="AA1201" t="str">
        <f t="shared" ca="1" si="409"/>
        <v>Available</v>
      </c>
      <c r="AB1201" t="str">
        <f t="shared" ca="1" si="410"/>
        <v>Pending</v>
      </c>
      <c r="AC1201" t="str">
        <f t="shared" ca="1" si="411"/>
        <v>Insurance</v>
      </c>
      <c r="AD1201" t="str">
        <f t="shared" ca="1" si="412"/>
        <v>No</v>
      </c>
      <c r="AE1201" t="str">
        <f t="shared" ca="1" si="413"/>
        <v>No</v>
      </c>
      <c r="AF1201" t="str">
        <f t="shared" ca="1" si="414"/>
        <v>Transferred</v>
      </c>
      <c r="AG1201" t="str">
        <f t="shared" ca="1" si="415"/>
        <v>West Coast</v>
      </c>
      <c r="AH1201" t="str">
        <f t="shared" si="398"/>
        <v>April</v>
      </c>
      <c r="AI1201">
        <f t="shared" si="399"/>
        <v>2023</v>
      </c>
      <c r="AJ1201" t="str">
        <f t="shared" ca="1" si="416"/>
        <v>Occupied</v>
      </c>
      <c r="AK1201">
        <f t="shared" ca="1" si="417"/>
        <v>1</v>
      </c>
    </row>
    <row r="1202" spans="1:37" x14ac:dyDescent="0.3">
      <c r="A1202" t="s">
        <v>5608</v>
      </c>
      <c r="B1202">
        <v>55</v>
      </c>
      <c r="C1202" t="s">
        <v>15</v>
      </c>
      <c r="D1202" t="s">
        <v>83</v>
      </c>
      <c r="E1202" t="s">
        <v>64</v>
      </c>
      <c r="F1202" s="1">
        <v>44842</v>
      </c>
      <c r="G1202" t="s">
        <v>2418</v>
      </c>
      <c r="H1202" t="s">
        <v>2419</v>
      </c>
      <c r="I1202" t="s">
        <v>28</v>
      </c>
      <c r="J1202">
        <v>48591</v>
      </c>
      <c r="K1202">
        <v>368</v>
      </c>
      <c r="L1202" t="s">
        <v>21</v>
      </c>
      <c r="M1202" s="1">
        <v>44871</v>
      </c>
      <c r="N1202" t="s">
        <v>47</v>
      </c>
      <c r="O1202" t="s">
        <v>31</v>
      </c>
      <c r="P1202" t="str">
        <f t="shared" si="400"/>
        <v>P1201</v>
      </c>
      <c r="Q1202" t="str">
        <f t="shared" si="396"/>
        <v>Cardiology</v>
      </c>
      <c r="R1202">
        <f t="shared" si="397"/>
        <v>29</v>
      </c>
      <c r="S1202" t="str">
        <f t="shared" ca="1" si="401"/>
        <v>No</v>
      </c>
      <c r="T1202" t="str">
        <f t="shared" ca="1" si="402"/>
        <v>Moderate</v>
      </c>
      <c r="U1202" t="str">
        <f t="shared" ca="1" si="403"/>
        <v>General Ward</v>
      </c>
      <c r="V1202" t="str">
        <f t="shared" si="404"/>
        <v>BED1201</v>
      </c>
      <c r="W1202" t="str">
        <f t="shared" ca="1" si="405"/>
        <v>Private</v>
      </c>
      <c r="X1202" t="str">
        <f t="shared" si="406"/>
        <v>NUR001</v>
      </c>
      <c r="Y1202" t="str">
        <f t="shared" ca="1" si="407"/>
        <v>Morning</v>
      </c>
      <c r="Z1202" t="str">
        <f t="shared" ca="1" si="408"/>
        <v>MRI Scanner</v>
      </c>
      <c r="AA1202" t="str">
        <f t="shared" ca="1" si="409"/>
        <v>Maintenance</v>
      </c>
      <c r="AB1202" t="str">
        <f t="shared" ca="1" si="410"/>
        <v>Pending</v>
      </c>
      <c r="AC1202" t="str">
        <f t="shared" ca="1" si="411"/>
        <v>Insurance</v>
      </c>
      <c r="AD1202" t="str">
        <f t="shared" ca="1" si="412"/>
        <v>No</v>
      </c>
      <c r="AE1202" t="str">
        <f t="shared" ca="1" si="413"/>
        <v>No</v>
      </c>
      <c r="AF1202" t="str">
        <f t="shared" ca="1" si="414"/>
        <v>Recovered</v>
      </c>
      <c r="AG1202" t="str">
        <f t="shared" ca="1" si="415"/>
        <v>Southwest</v>
      </c>
      <c r="AH1202" t="str">
        <f t="shared" si="398"/>
        <v>October</v>
      </c>
      <c r="AI1202">
        <f t="shared" si="399"/>
        <v>2022</v>
      </c>
      <c r="AJ1202" t="str">
        <f t="shared" ca="1" si="416"/>
        <v>Occupied</v>
      </c>
      <c r="AK1202">
        <f t="shared" ca="1" si="417"/>
        <v>1</v>
      </c>
    </row>
    <row r="1203" spans="1:37" x14ac:dyDescent="0.3">
      <c r="A1203" t="s">
        <v>5609</v>
      </c>
      <c r="B1203">
        <v>27</v>
      </c>
      <c r="C1203" t="s">
        <v>15</v>
      </c>
      <c r="D1203" t="s">
        <v>33</v>
      </c>
      <c r="E1203" t="s">
        <v>48</v>
      </c>
      <c r="F1203" s="1">
        <v>45129</v>
      </c>
      <c r="G1203" t="s">
        <v>2420</v>
      </c>
      <c r="H1203" t="s">
        <v>2421</v>
      </c>
      <c r="I1203" t="s">
        <v>28</v>
      </c>
      <c r="J1203">
        <v>32806</v>
      </c>
      <c r="K1203">
        <v>195</v>
      </c>
      <c r="L1203" t="s">
        <v>42</v>
      </c>
      <c r="M1203" s="1">
        <v>45149</v>
      </c>
      <c r="N1203" t="s">
        <v>22</v>
      </c>
      <c r="O1203" t="s">
        <v>23</v>
      </c>
      <c r="P1203" t="str">
        <f t="shared" si="400"/>
        <v>P1202</v>
      </c>
      <c r="Q1203" t="str">
        <f t="shared" si="396"/>
        <v>Pulmonology</v>
      </c>
      <c r="R1203">
        <f t="shared" si="397"/>
        <v>20</v>
      </c>
      <c r="S1203" t="str">
        <f t="shared" ca="1" si="401"/>
        <v>No</v>
      </c>
      <c r="T1203" t="str">
        <f t="shared" ca="1" si="402"/>
        <v>Severe</v>
      </c>
      <c r="U1203" t="str">
        <f t="shared" ca="1" si="403"/>
        <v>Private Ward</v>
      </c>
      <c r="V1203" t="str">
        <f t="shared" si="404"/>
        <v>BED1202</v>
      </c>
      <c r="W1203" t="str">
        <f t="shared" ca="1" si="405"/>
        <v>General</v>
      </c>
      <c r="X1203" t="str">
        <f t="shared" si="406"/>
        <v>NUR002</v>
      </c>
      <c r="Y1203" t="str">
        <f t="shared" ca="1" si="407"/>
        <v>Night</v>
      </c>
      <c r="Z1203" t="str">
        <f t="shared" ca="1" si="408"/>
        <v>Ultrasound</v>
      </c>
      <c r="AA1203" t="str">
        <f t="shared" ca="1" si="409"/>
        <v>In Use</v>
      </c>
      <c r="AB1203" t="str">
        <f t="shared" ca="1" si="410"/>
        <v>Paid</v>
      </c>
      <c r="AC1203" t="str">
        <f t="shared" ca="1" si="411"/>
        <v>Debit Card</v>
      </c>
      <c r="AD1203" t="str">
        <f t="shared" ca="1" si="412"/>
        <v>No</v>
      </c>
      <c r="AE1203" t="str">
        <f t="shared" ca="1" si="413"/>
        <v>No</v>
      </c>
      <c r="AF1203" t="str">
        <f t="shared" ca="1" si="414"/>
        <v>Recovered</v>
      </c>
      <c r="AG1203" t="str">
        <f t="shared" ca="1" si="415"/>
        <v>Midwest</v>
      </c>
      <c r="AH1203" t="str">
        <f t="shared" si="398"/>
        <v>July</v>
      </c>
      <c r="AI1203">
        <f t="shared" si="399"/>
        <v>2023</v>
      </c>
      <c r="AJ1203" t="str">
        <f t="shared" ca="1" si="416"/>
        <v>Vacant</v>
      </c>
      <c r="AK1203">
        <f t="shared" ca="1" si="417"/>
        <v>1</v>
      </c>
    </row>
    <row r="1204" spans="1:37" x14ac:dyDescent="0.3">
      <c r="A1204" t="s">
        <v>5610</v>
      </c>
      <c r="B1204">
        <v>38</v>
      </c>
      <c r="C1204" t="s">
        <v>15</v>
      </c>
      <c r="D1204" t="s">
        <v>38</v>
      </c>
      <c r="E1204" t="s">
        <v>17</v>
      </c>
      <c r="F1204" s="1">
        <v>44488</v>
      </c>
      <c r="G1204" t="s">
        <v>2422</v>
      </c>
      <c r="H1204" t="s">
        <v>2423</v>
      </c>
      <c r="I1204" t="s">
        <v>36</v>
      </c>
      <c r="J1204">
        <v>18648</v>
      </c>
      <c r="K1204">
        <v>324</v>
      </c>
      <c r="L1204" t="s">
        <v>21</v>
      </c>
      <c r="M1204" s="1">
        <v>44501</v>
      </c>
      <c r="N1204" t="s">
        <v>47</v>
      </c>
      <c r="O1204" t="s">
        <v>23</v>
      </c>
      <c r="P1204" t="str">
        <f t="shared" si="400"/>
        <v>P1203</v>
      </c>
      <c r="Q1204" t="str">
        <f t="shared" si="396"/>
        <v>Oncology</v>
      </c>
      <c r="R1204">
        <f t="shared" si="397"/>
        <v>13</v>
      </c>
      <c r="S1204" t="str">
        <f t="shared" ca="1" si="401"/>
        <v>No</v>
      </c>
      <c r="T1204" t="str">
        <f t="shared" ca="1" si="402"/>
        <v>Mild</v>
      </c>
      <c r="U1204" t="str">
        <f t="shared" ca="1" si="403"/>
        <v>Semi-Private</v>
      </c>
      <c r="V1204" t="str">
        <f t="shared" si="404"/>
        <v>BED1203</v>
      </c>
      <c r="W1204" t="str">
        <f t="shared" ca="1" si="405"/>
        <v>Semi-Private</v>
      </c>
      <c r="X1204" t="str">
        <f t="shared" si="406"/>
        <v>NUR003</v>
      </c>
      <c r="Y1204" t="str">
        <f t="shared" ca="1" si="407"/>
        <v>Evening</v>
      </c>
      <c r="Z1204" t="str">
        <f t="shared" ca="1" si="408"/>
        <v>Ventilator</v>
      </c>
      <c r="AA1204" t="str">
        <f t="shared" ca="1" si="409"/>
        <v>Available</v>
      </c>
      <c r="AB1204" t="str">
        <f t="shared" ca="1" si="410"/>
        <v>Paid</v>
      </c>
      <c r="AC1204" t="str">
        <f t="shared" ca="1" si="411"/>
        <v>Insurance</v>
      </c>
      <c r="AD1204" t="str">
        <f t="shared" ca="1" si="412"/>
        <v>No</v>
      </c>
      <c r="AE1204" t="str">
        <f t="shared" ca="1" si="413"/>
        <v>No</v>
      </c>
      <c r="AF1204" t="str">
        <f t="shared" ca="1" si="414"/>
        <v>Recovered</v>
      </c>
      <c r="AG1204" t="str">
        <f t="shared" ca="1" si="415"/>
        <v>Southwest</v>
      </c>
      <c r="AH1204" t="str">
        <f t="shared" si="398"/>
        <v>October</v>
      </c>
      <c r="AI1204">
        <f t="shared" si="399"/>
        <v>2021</v>
      </c>
      <c r="AJ1204" t="str">
        <f t="shared" ca="1" si="416"/>
        <v>Occupied</v>
      </c>
      <c r="AK1204">
        <f t="shared" ca="1" si="417"/>
        <v>1</v>
      </c>
    </row>
    <row r="1205" spans="1:37" x14ac:dyDescent="0.3">
      <c r="A1205" t="s">
        <v>5611</v>
      </c>
      <c r="B1205">
        <v>55</v>
      </c>
      <c r="C1205" t="s">
        <v>32</v>
      </c>
      <c r="D1205" t="s">
        <v>83</v>
      </c>
      <c r="E1205" t="s">
        <v>76</v>
      </c>
      <c r="F1205" s="1">
        <v>44535</v>
      </c>
      <c r="G1205" t="s">
        <v>2424</v>
      </c>
      <c r="H1205" t="s">
        <v>2425</v>
      </c>
      <c r="I1205" t="s">
        <v>51</v>
      </c>
      <c r="J1205">
        <v>50378</v>
      </c>
      <c r="K1205">
        <v>155</v>
      </c>
      <c r="L1205" t="s">
        <v>29</v>
      </c>
      <c r="M1205" s="1">
        <v>44541</v>
      </c>
      <c r="N1205" t="s">
        <v>30</v>
      </c>
      <c r="O1205" t="s">
        <v>23</v>
      </c>
      <c r="P1205" t="str">
        <f t="shared" si="400"/>
        <v>P1204</v>
      </c>
      <c r="Q1205" t="str">
        <f t="shared" si="396"/>
        <v>Orthopedics</v>
      </c>
      <c r="R1205">
        <f t="shared" si="397"/>
        <v>6</v>
      </c>
      <c r="S1205" t="str">
        <f t="shared" ca="1" si="401"/>
        <v>No</v>
      </c>
      <c r="T1205" t="str">
        <f t="shared" ca="1" si="402"/>
        <v>Mild</v>
      </c>
      <c r="U1205" t="str">
        <f t="shared" ca="1" si="403"/>
        <v>Private Ward</v>
      </c>
      <c r="V1205" t="str">
        <f t="shared" si="404"/>
        <v>BED1204</v>
      </c>
      <c r="W1205" t="str">
        <f t="shared" ca="1" si="405"/>
        <v>General</v>
      </c>
      <c r="X1205" t="str">
        <f t="shared" si="406"/>
        <v>NUR004</v>
      </c>
      <c r="Y1205" t="str">
        <f t="shared" ca="1" si="407"/>
        <v>Evening</v>
      </c>
      <c r="Z1205" t="str">
        <f t="shared" ca="1" si="408"/>
        <v>CT Scanner</v>
      </c>
      <c r="AA1205" t="str">
        <f t="shared" ca="1" si="409"/>
        <v>Maintenance</v>
      </c>
      <c r="AB1205" t="str">
        <f t="shared" ca="1" si="410"/>
        <v>Partially Paid</v>
      </c>
      <c r="AC1205" t="str">
        <f t="shared" ca="1" si="411"/>
        <v>Credit Card</v>
      </c>
      <c r="AD1205" t="str">
        <f t="shared" ca="1" si="412"/>
        <v>No</v>
      </c>
      <c r="AE1205" t="str">
        <f t="shared" ca="1" si="413"/>
        <v>No</v>
      </c>
      <c r="AF1205" t="str">
        <f t="shared" ca="1" si="414"/>
        <v>Under Observation</v>
      </c>
      <c r="AG1205" t="str">
        <f t="shared" ca="1" si="415"/>
        <v>Northeast</v>
      </c>
      <c r="AH1205" t="str">
        <f t="shared" si="398"/>
        <v>December</v>
      </c>
      <c r="AI1205">
        <f t="shared" si="399"/>
        <v>2021</v>
      </c>
      <c r="AJ1205" t="str">
        <f t="shared" ca="1" si="416"/>
        <v>Occupied</v>
      </c>
      <c r="AK1205">
        <f t="shared" ca="1" si="417"/>
        <v>1</v>
      </c>
    </row>
    <row r="1206" spans="1:37" x14ac:dyDescent="0.3">
      <c r="A1206" t="s">
        <v>5612</v>
      </c>
      <c r="B1206">
        <v>46</v>
      </c>
      <c r="C1206" t="s">
        <v>15</v>
      </c>
      <c r="D1206" t="s">
        <v>33</v>
      </c>
      <c r="E1206" t="s">
        <v>39</v>
      </c>
      <c r="F1206" s="1">
        <v>45193</v>
      </c>
      <c r="G1206" t="s">
        <v>2426</v>
      </c>
      <c r="H1206" t="s">
        <v>2427</v>
      </c>
      <c r="I1206" t="s">
        <v>28</v>
      </c>
      <c r="J1206">
        <v>31263</v>
      </c>
      <c r="K1206">
        <v>179</v>
      </c>
      <c r="L1206" t="s">
        <v>29</v>
      </c>
      <c r="M1206" s="1">
        <v>45205</v>
      </c>
      <c r="N1206" t="s">
        <v>30</v>
      </c>
      <c r="O1206" t="s">
        <v>23</v>
      </c>
      <c r="P1206" t="str">
        <f t="shared" si="400"/>
        <v>P1205</v>
      </c>
      <c r="Q1206" t="str">
        <f t="shared" si="396"/>
        <v>Endocrinology</v>
      </c>
      <c r="R1206">
        <f t="shared" si="397"/>
        <v>12</v>
      </c>
      <c r="S1206" t="str">
        <f t="shared" ca="1" si="401"/>
        <v>No</v>
      </c>
      <c r="T1206" t="str">
        <f t="shared" ca="1" si="402"/>
        <v>Moderate</v>
      </c>
      <c r="U1206" t="str">
        <f t="shared" ca="1" si="403"/>
        <v>Semi-Private</v>
      </c>
      <c r="V1206" t="str">
        <f t="shared" si="404"/>
        <v>BED1205</v>
      </c>
      <c r="W1206" t="str">
        <f t="shared" ca="1" si="405"/>
        <v>ICU</v>
      </c>
      <c r="X1206" t="str">
        <f t="shared" si="406"/>
        <v>NUR005</v>
      </c>
      <c r="Y1206" t="str">
        <f t="shared" ca="1" si="407"/>
        <v>Night</v>
      </c>
      <c r="Z1206" t="str">
        <f t="shared" ca="1" si="408"/>
        <v>X-Ray</v>
      </c>
      <c r="AA1206" t="str">
        <f t="shared" ca="1" si="409"/>
        <v>In Use</v>
      </c>
      <c r="AB1206" t="str">
        <f t="shared" ca="1" si="410"/>
        <v>Paid</v>
      </c>
      <c r="AC1206" t="str">
        <f t="shared" ca="1" si="411"/>
        <v>Cash</v>
      </c>
      <c r="AD1206" t="str">
        <f t="shared" ca="1" si="412"/>
        <v>No</v>
      </c>
      <c r="AE1206" t="str">
        <f t="shared" ca="1" si="413"/>
        <v>No</v>
      </c>
      <c r="AF1206" t="str">
        <f t="shared" ca="1" si="414"/>
        <v>Recovered</v>
      </c>
      <c r="AG1206" t="str">
        <f t="shared" ca="1" si="415"/>
        <v>Southwest</v>
      </c>
      <c r="AH1206" t="str">
        <f t="shared" si="398"/>
        <v>September</v>
      </c>
      <c r="AI1206">
        <f t="shared" si="399"/>
        <v>2023</v>
      </c>
      <c r="AJ1206" t="str">
        <f t="shared" ca="1" si="416"/>
        <v>Vacant</v>
      </c>
      <c r="AK1206">
        <f t="shared" ca="1" si="417"/>
        <v>1</v>
      </c>
    </row>
    <row r="1207" spans="1:37" x14ac:dyDescent="0.3">
      <c r="A1207" t="s">
        <v>5613</v>
      </c>
      <c r="B1207">
        <v>40</v>
      </c>
      <c r="C1207" t="s">
        <v>32</v>
      </c>
      <c r="D1207" t="s">
        <v>24</v>
      </c>
      <c r="E1207" t="s">
        <v>64</v>
      </c>
      <c r="F1207" s="1">
        <v>44533</v>
      </c>
      <c r="G1207" t="s">
        <v>2428</v>
      </c>
      <c r="H1207" t="s">
        <v>2429</v>
      </c>
      <c r="I1207" t="s">
        <v>36</v>
      </c>
      <c r="J1207">
        <v>14273</v>
      </c>
      <c r="K1207">
        <v>212</v>
      </c>
      <c r="L1207" t="s">
        <v>21</v>
      </c>
      <c r="M1207" s="1">
        <v>44544</v>
      </c>
      <c r="N1207" t="s">
        <v>67</v>
      </c>
      <c r="O1207" t="s">
        <v>31</v>
      </c>
      <c r="P1207" t="str">
        <f t="shared" si="400"/>
        <v>P1206</v>
      </c>
      <c r="Q1207" t="str">
        <f t="shared" si="396"/>
        <v>Cardiology</v>
      </c>
      <c r="R1207">
        <f t="shared" si="397"/>
        <v>11</v>
      </c>
      <c r="S1207" t="str">
        <f t="shared" ca="1" si="401"/>
        <v>No</v>
      </c>
      <c r="T1207" t="str">
        <f t="shared" ca="1" si="402"/>
        <v>Severe</v>
      </c>
      <c r="U1207" t="str">
        <f t="shared" ca="1" si="403"/>
        <v>General Ward</v>
      </c>
      <c r="V1207" t="str">
        <f t="shared" si="404"/>
        <v>BED1206</v>
      </c>
      <c r="W1207" t="str">
        <f t="shared" ca="1" si="405"/>
        <v>ICU</v>
      </c>
      <c r="X1207" t="str">
        <f t="shared" si="406"/>
        <v>NUR006</v>
      </c>
      <c r="Y1207" t="str">
        <f t="shared" ca="1" si="407"/>
        <v>Night</v>
      </c>
      <c r="Z1207" t="str">
        <f t="shared" ca="1" si="408"/>
        <v>Ventilator</v>
      </c>
      <c r="AA1207" t="str">
        <f t="shared" ca="1" si="409"/>
        <v>In Use</v>
      </c>
      <c r="AB1207" t="str">
        <f t="shared" ca="1" si="410"/>
        <v>Partially Paid</v>
      </c>
      <c r="AC1207" t="str">
        <f t="shared" ca="1" si="411"/>
        <v>Cash</v>
      </c>
      <c r="AD1207" t="str">
        <f t="shared" ca="1" si="412"/>
        <v>No</v>
      </c>
      <c r="AE1207" t="str">
        <f t="shared" ca="1" si="413"/>
        <v>No</v>
      </c>
      <c r="AF1207" t="str">
        <f t="shared" ca="1" si="414"/>
        <v>Under Observation</v>
      </c>
      <c r="AG1207" t="str">
        <f t="shared" ca="1" si="415"/>
        <v>Midwest</v>
      </c>
      <c r="AH1207" t="str">
        <f t="shared" si="398"/>
        <v>December</v>
      </c>
      <c r="AI1207">
        <f t="shared" si="399"/>
        <v>2021</v>
      </c>
      <c r="AJ1207" t="str">
        <f t="shared" ca="1" si="416"/>
        <v>Occupied</v>
      </c>
      <c r="AK1207">
        <f t="shared" ca="1" si="417"/>
        <v>4</v>
      </c>
    </row>
    <row r="1208" spans="1:37" x14ac:dyDescent="0.3">
      <c r="A1208" t="s">
        <v>5614</v>
      </c>
      <c r="B1208">
        <v>21</v>
      </c>
      <c r="C1208" t="s">
        <v>15</v>
      </c>
      <c r="D1208" t="s">
        <v>24</v>
      </c>
      <c r="E1208" t="s">
        <v>76</v>
      </c>
      <c r="F1208" s="1">
        <v>43867</v>
      </c>
      <c r="G1208" t="s">
        <v>2430</v>
      </c>
      <c r="H1208" t="s">
        <v>2431</v>
      </c>
      <c r="I1208" t="s">
        <v>51</v>
      </c>
      <c r="J1208">
        <v>20549</v>
      </c>
      <c r="K1208">
        <v>422</v>
      </c>
      <c r="L1208" t="s">
        <v>42</v>
      </c>
      <c r="M1208" s="1">
        <v>43877</v>
      </c>
      <c r="N1208" t="s">
        <v>37</v>
      </c>
      <c r="O1208" t="s">
        <v>31</v>
      </c>
      <c r="P1208" t="str">
        <f t="shared" si="400"/>
        <v>P1207</v>
      </c>
      <c r="Q1208" t="str">
        <f t="shared" si="396"/>
        <v>Orthopedics</v>
      </c>
      <c r="R1208">
        <f t="shared" si="397"/>
        <v>10</v>
      </c>
      <c r="S1208" t="str">
        <f t="shared" ca="1" si="401"/>
        <v>Yes</v>
      </c>
      <c r="T1208" t="str">
        <f t="shared" ca="1" si="402"/>
        <v>Mild</v>
      </c>
      <c r="U1208" t="str">
        <f t="shared" ca="1" si="403"/>
        <v>General Ward</v>
      </c>
      <c r="V1208" t="str">
        <f t="shared" si="404"/>
        <v>BED1207</v>
      </c>
      <c r="W1208" t="str">
        <f t="shared" ca="1" si="405"/>
        <v>ICU</v>
      </c>
      <c r="X1208" t="str">
        <f t="shared" si="406"/>
        <v>NUR007</v>
      </c>
      <c r="Y1208" t="str">
        <f t="shared" ca="1" si="407"/>
        <v>Night</v>
      </c>
      <c r="Z1208" t="str">
        <f t="shared" ca="1" si="408"/>
        <v>ECG Machine</v>
      </c>
      <c r="AA1208" t="str">
        <f t="shared" ca="1" si="409"/>
        <v>Available</v>
      </c>
      <c r="AB1208" t="str">
        <f t="shared" ca="1" si="410"/>
        <v>Paid</v>
      </c>
      <c r="AC1208" t="str">
        <f t="shared" ca="1" si="411"/>
        <v>Credit Card</v>
      </c>
      <c r="AD1208" t="str">
        <f t="shared" ca="1" si="412"/>
        <v>No</v>
      </c>
      <c r="AE1208" t="str">
        <f t="shared" ca="1" si="413"/>
        <v>No</v>
      </c>
      <c r="AF1208" t="str">
        <f t="shared" ca="1" si="414"/>
        <v>Under Observation</v>
      </c>
      <c r="AG1208" t="str">
        <f t="shared" ca="1" si="415"/>
        <v>Northeast</v>
      </c>
      <c r="AH1208" t="str">
        <f t="shared" si="398"/>
        <v>February</v>
      </c>
      <c r="AI1208">
        <f t="shared" si="399"/>
        <v>2020</v>
      </c>
      <c r="AJ1208" t="str">
        <f t="shared" ca="1" si="416"/>
        <v>Vacant</v>
      </c>
      <c r="AK1208">
        <f t="shared" ca="1" si="417"/>
        <v>1</v>
      </c>
    </row>
    <row r="1209" spans="1:37" x14ac:dyDescent="0.3">
      <c r="A1209" t="s">
        <v>5615</v>
      </c>
      <c r="B1209">
        <v>81</v>
      </c>
      <c r="C1209" t="s">
        <v>15</v>
      </c>
      <c r="D1209" t="s">
        <v>98</v>
      </c>
      <c r="E1209" t="s">
        <v>64</v>
      </c>
      <c r="F1209" s="1">
        <v>45137</v>
      </c>
      <c r="G1209" t="s">
        <v>2432</v>
      </c>
      <c r="H1209" t="s">
        <v>2433</v>
      </c>
      <c r="I1209" t="s">
        <v>57</v>
      </c>
      <c r="J1209">
        <v>48799</v>
      </c>
      <c r="K1209">
        <v>102</v>
      </c>
      <c r="L1209" t="s">
        <v>29</v>
      </c>
      <c r="M1209" s="1">
        <v>45149</v>
      </c>
      <c r="N1209" t="s">
        <v>22</v>
      </c>
      <c r="O1209" t="s">
        <v>31</v>
      </c>
      <c r="P1209" t="str">
        <f t="shared" si="400"/>
        <v>P1208</v>
      </c>
      <c r="Q1209" t="str">
        <f t="shared" si="396"/>
        <v>Cardiology</v>
      </c>
      <c r="R1209">
        <f t="shared" si="397"/>
        <v>12</v>
      </c>
      <c r="S1209" t="str">
        <f t="shared" ca="1" si="401"/>
        <v>No</v>
      </c>
      <c r="T1209" t="str">
        <f t="shared" ca="1" si="402"/>
        <v>Moderate</v>
      </c>
      <c r="U1209" t="str">
        <f t="shared" ca="1" si="403"/>
        <v>ICU</v>
      </c>
      <c r="V1209" t="str">
        <f t="shared" si="404"/>
        <v>BED1208</v>
      </c>
      <c r="W1209" t="str">
        <f t="shared" ca="1" si="405"/>
        <v>General</v>
      </c>
      <c r="X1209" t="str">
        <f t="shared" si="406"/>
        <v>NUR008</v>
      </c>
      <c r="Y1209" t="str">
        <f t="shared" ca="1" si="407"/>
        <v>Night</v>
      </c>
      <c r="Z1209" t="str">
        <f t="shared" ca="1" si="408"/>
        <v>X-Ray</v>
      </c>
      <c r="AA1209" t="str">
        <f t="shared" ca="1" si="409"/>
        <v>Available</v>
      </c>
      <c r="AB1209" t="str">
        <f t="shared" ca="1" si="410"/>
        <v>Partially Paid</v>
      </c>
      <c r="AC1209" t="str">
        <f t="shared" ca="1" si="411"/>
        <v>Cash</v>
      </c>
      <c r="AD1209" t="str">
        <f t="shared" ca="1" si="412"/>
        <v>No</v>
      </c>
      <c r="AE1209" t="str">
        <f t="shared" ca="1" si="413"/>
        <v>No</v>
      </c>
      <c r="AF1209" t="str">
        <f t="shared" ca="1" si="414"/>
        <v>Under Observation</v>
      </c>
      <c r="AG1209" t="str">
        <f t="shared" ca="1" si="415"/>
        <v>West Coast</v>
      </c>
      <c r="AH1209" t="str">
        <f t="shared" si="398"/>
        <v>July</v>
      </c>
      <c r="AI1209">
        <f t="shared" si="399"/>
        <v>2023</v>
      </c>
      <c r="AJ1209" t="str">
        <f t="shared" ca="1" si="416"/>
        <v>Occupied</v>
      </c>
      <c r="AK1209">
        <f t="shared" ca="1" si="417"/>
        <v>4</v>
      </c>
    </row>
    <row r="1210" spans="1:37" x14ac:dyDescent="0.3">
      <c r="A1210" t="s">
        <v>5616</v>
      </c>
      <c r="B1210">
        <v>40</v>
      </c>
      <c r="C1210" t="s">
        <v>32</v>
      </c>
      <c r="D1210" t="s">
        <v>98</v>
      </c>
      <c r="E1210" t="s">
        <v>64</v>
      </c>
      <c r="F1210" s="1">
        <v>43915</v>
      </c>
      <c r="G1210" t="s">
        <v>2434</v>
      </c>
      <c r="H1210" t="s">
        <v>2435</v>
      </c>
      <c r="I1210" t="s">
        <v>57</v>
      </c>
      <c r="J1210">
        <v>16573</v>
      </c>
      <c r="K1210">
        <v>252</v>
      </c>
      <c r="L1210" t="s">
        <v>29</v>
      </c>
      <c r="M1210" s="1">
        <v>43928</v>
      </c>
      <c r="N1210" t="s">
        <v>37</v>
      </c>
      <c r="O1210" t="s">
        <v>31</v>
      </c>
      <c r="P1210" t="str">
        <f t="shared" si="400"/>
        <v>P1209</v>
      </c>
      <c r="Q1210" t="str">
        <f t="shared" si="396"/>
        <v>Cardiology</v>
      </c>
      <c r="R1210">
        <f t="shared" si="397"/>
        <v>13</v>
      </c>
      <c r="S1210" t="str">
        <f t="shared" ca="1" si="401"/>
        <v>No</v>
      </c>
      <c r="T1210" t="str">
        <f t="shared" ca="1" si="402"/>
        <v>Moderate</v>
      </c>
      <c r="U1210" t="str">
        <f t="shared" ca="1" si="403"/>
        <v>Private Ward</v>
      </c>
      <c r="V1210" t="str">
        <f t="shared" si="404"/>
        <v>BED1209</v>
      </c>
      <c r="W1210" t="str">
        <f t="shared" ca="1" si="405"/>
        <v>Private</v>
      </c>
      <c r="X1210" t="str">
        <f t="shared" si="406"/>
        <v>NUR009</v>
      </c>
      <c r="Y1210" t="str">
        <f t="shared" ca="1" si="407"/>
        <v>Evening</v>
      </c>
      <c r="Z1210" t="str">
        <f t="shared" ca="1" si="408"/>
        <v>Ventilator</v>
      </c>
      <c r="AA1210" t="str">
        <f t="shared" ca="1" si="409"/>
        <v>Maintenance</v>
      </c>
      <c r="AB1210" t="str">
        <f t="shared" ca="1" si="410"/>
        <v>Pending</v>
      </c>
      <c r="AC1210" t="str">
        <f t="shared" ca="1" si="411"/>
        <v>Debit Card</v>
      </c>
      <c r="AD1210" t="str">
        <f t="shared" ca="1" si="412"/>
        <v>Yes</v>
      </c>
      <c r="AE1210" t="str">
        <f t="shared" ca="1" si="413"/>
        <v>No</v>
      </c>
      <c r="AF1210" t="str">
        <f t="shared" ca="1" si="414"/>
        <v>Under Observation</v>
      </c>
      <c r="AG1210" t="str">
        <f t="shared" ca="1" si="415"/>
        <v>Northeast</v>
      </c>
      <c r="AH1210" t="str">
        <f t="shared" si="398"/>
        <v>March</v>
      </c>
      <c r="AI1210">
        <f t="shared" si="399"/>
        <v>2020</v>
      </c>
      <c r="AJ1210" t="str">
        <f t="shared" ca="1" si="416"/>
        <v>Occupied</v>
      </c>
      <c r="AK1210">
        <f t="shared" ca="1" si="417"/>
        <v>2</v>
      </c>
    </row>
    <row r="1211" spans="1:37" x14ac:dyDescent="0.3">
      <c r="A1211" t="s">
        <v>5617</v>
      </c>
      <c r="B1211">
        <v>60</v>
      </c>
      <c r="C1211" t="s">
        <v>15</v>
      </c>
      <c r="D1211" t="s">
        <v>98</v>
      </c>
      <c r="E1211" t="s">
        <v>76</v>
      </c>
      <c r="F1211" s="1">
        <v>44252</v>
      </c>
      <c r="G1211" t="s">
        <v>2436</v>
      </c>
      <c r="H1211" t="s">
        <v>1631</v>
      </c>
      <c r="I1211" t="s">
        <v>28</v>
      </c>
      <c r="J1211">
        <v>4224</v>
      </c>
      <c r="K1211">
        <v>353</v>
      </c>
      <c r="L1211" t="s">
        <v>21</v>
      </c>
      <c r="M1211" s="1">
        <v>44270</v>
      </c>
      <c r="N1211" t="s">
        <v>22</v>
      </c>
      <c r="O1211" t="s">
        <v>23</v>
      </c>
      <c r="P1211" t="str">
        <f t="shared" si="400"/>
        <v>P1210</v>
      </c>
      <c r="Q1211" t="str">
        <f t="shared" si="396"/>
        <v>Orthopedics</v>
      </c>
      <c r="R1211">
        <f t="shared" si="397"/>
        <v>18</v>
      </c>
      <c r="S1211" t="str">
        <f t="shared" ca="1" si="401"/>
        <v>No</v>
      </c>
      <c r="T1211" t="str">
        <f t="shared" ca="1" si="402"/>
        <v>Moderate</v>
      </c>
      <c r="U1211" t="str">
        <f t="shared" ca="1" si="403"/>
        <v>Emergency</v>
      </c>
      <c r="V1211" t="str">
        <f t="shared" si="404"/>
        <v>BED1210</v>
      </c>
      <c r="W1211" t="str">
        <f t="shared" ca="1" si="405"/>
        <v>General</v>
      </c>
      <c r="X1211" t="str">
        <f t="shared" si="406"/>
        <v>NUR010</v>
      </c>
      <c r="Y1211" t="str">
        <f t="shared" ca="1" si="407"/>
        <v>Night</v>
      </c>
      <c r="Z1211" t="str">
        <f t="shared" ca="1" si="408"/>
        <v>Ventilator</v>
      </c>
      <c r="AA1211" t="str">
        <f t="shared" ca="1" si="409"/>
        <v>Available</v>
      </c>
      <c r="AB1211" t="str">
        <f t="shared" ca="1" si="410"/>
        <v>Partially Paid</v>
      </c>
      <c r="AC1211" t="str">
        <f t="shared" ca="1" si="411"/>
        <v>Insurance</v>
      </c>
      <c r="AD1211" t="str">
        <f t="shared" ca="1" si="412"/>
        <v>No</v>
      </c>
      <c r="AE1211" t="str">
        <f t="shared" ca="1" si="413"/>
        <v>No</v>
      </c>
      <c r="AF1211" t="str">
        <f t="shared" ca="1" si="414"/>
        <v>Transferred</v>
      </c>
      <c r="AG1211" t="str">
        <f t="shared" ca="1" si="415"/>
        <v>Midwest</v>
      </c>
      <c r="AH1211" t="str">
        <f t="shared" si="398"/>
        <v>February</v>
      </c>
      <c r="AI1211">
        <f t="shared" si="399"/>
        <v>2021</v>
      </c>
      <c r="AJ1211" t="str">
        <f t="shared" ca="1" si="416"/>
        <v>Vacant</v>
      </c>
      <c r="AK1211">
        <f t="shared" ca="1" si="417"/>
        <v>2</v>
      </c>
    </row>
    <row r="1212" spans="1:37" x14ac:dyDescent="0.3">
      <c r="A1212" t="s">
        <v>5618</v>
      </c>
      <c r="B1212">
        <v>58</v>
      </c>
      <c r="C1212" t="s">
        <v>32</v>
      </c>
      <c r="D1212" t="s">
        <v>83</v>
      </c>
      <c r="E1212" t="s">
        <v>64</v>
      </c>
      <c r="F1212" s="1">
        <v>44129</v>
      </c>
      <c r="G1212" t="s">
        <v>2437</v>
      </c>
      <c r="H1212" t="s">
        <v>2438</v>
      </c>
      <c r="I1212" t="s">
        <v>20</v>
      </c>
      <c r="J1212">
        <v>39053</v>
      </c>
      <c r="K1212">
        <v>131</v>
      </c>
      <c r="L1212" t="s">
        <v>42</v>
      </c>
      <c r="M1212" s="1">
        <v>44149</v>
      </c>
      <c r="N1212" t="s">
        <v>22</v>
      </c>
      <c r="O1212" t="s">
        <v>43</v>
      </c>
      <c r="P1212" t="str">
        <f t="shared" si="400"/>
        <v>P1211</v>
      </c>
      <c r="Q1212" t="str">
        <f t="shared" si="396"/>
        <v>Cardiology</v>
      </c>
      <c r="R1212">
        <f t="shared" si="397"/>
        <v>20</v>
      </c>
      <c r="S1212" t="str">
        <f t="shared" ca="1" si="401"/>
        <v>No</v>
      </c>
      <c r="T1212" t="str">
        <f t="shared" ca="1" si="402"/>
        <v>Critical</v>
      </c>
      <c r="U1212" t="str">
        <f t="shared" ca="1" si="403"/>
        <v>ICU</v>
      </c>
      <c r="V1212" t="str">
        <f t="shared" si="404"/>
        <v>BED1211</v>
      </c>
      <c r="W1212" t="str">
        <f t="shared" ca="1" si="405"/>
        <v>ICU</v>
      </c>
      <c r="X1212" t="str">
        <f t="shared" si="406"/>
        <v>NUR011</v>
      </c>
      <c r="Y1212" t="str">
        <f t="shared" ca="1" si="407"/>
        <v>Morning</v>
      </c>
      <c r="Z1212" t="str">
        <f t="shared" ca="1" si="408"/>
        <v>MRI Scanner</v>
      </c>
      <c r="AA1212" t="str">
        <f t="shared" ca="1" si="409"/>
        <v>Maintenance</v>
      </c>
      <c r="AB1212" t="str">
        <f t="shared" ca="1" si="410"/>
        <v>Paid</v>
      </c>
      <c r="AC1212" t="str">
        <f t="shared" ca="1" si="411"/>
        <v>Debit Card</v>
      </c>
      <c r="AD1212" t="str">
        <f t="shared" ca="1" si="412"/>
        <v>No</v>
      </c>
      <c r="AE1212" t="str">
        <f t="shared" ca="1" si="413"/>
        <v>No</v>
      </c>
      <c r="AF1212" t="str">
        <f t="shared" ca="1" si="414"/>
        <v>Transferred</v>
      </c>
      <c r="AG1212" t="str">
        <f t="shared" ca="1" si="415"/>
        <v>Southeast</v>
      </c>
      <c r="AH1212" t="str">
        <f t="shared" si="398"/>
        <v>October</v>
      </c>
      <c r="AI1212">
        <f t="shared" si="399"/>
        <v>2020</v>
      </c>
      <c r="AJ1212" t="str">
        <f t="shared" ca="1" si="416"/>
        <v>Occupied</v>
      </c>
      <c r="AK1212">
        <f t="shared" ca="1" si="417"/>
        <v>2</v>
      </c>
    </row>
    <row r="1213" spans="1:37" x14ac:dyDescent="0.3">
      <c r="A1213" t="s">
        <v>5619</v>
      </c>
      <c r="B1213">
        <v>54</v>
      </c>
      <c r="C1213" t="s">
        <v>15</v>
      </c>
      <c r="D1213" t="s">
        <v>24</v>
      </c>
      <c r="E1213" t="s">
        <v>48</v>
      </c>
      <c r="F1213" s="1">
        <v>44415</v>
      </c>
      <c r="G1213" t="s">
        <v>2439</v>
      </c>
      <c r="H1213" t="s">
        <v>2440</v>
      </c>
      <c r="I1213" t="s">
        <v>36</v>
      </c>
      <c r="J1213">
        <v>35554</v>
      </c>
      <c r="K1213">
        <v>116</v>
      </c>
      <c r="L1213" t="s">
        <v>42</v>
      </c>
      <c r="M1213" s="1">
        <v>44434</v>
      </c>
      <c r="N1213" t="s">
        <v>67</v>
      </c>
      <c r="O1213" t="s">
        <v>43</v>
      </c>
      <c r="P1213" t="str">
        <f t="shared" si="400"/>
        <v>P1212</v>
      </c>
      <c r="Q1213" t="str">
        <f t="shared" si="396"/>
        <v>Pulmonology</v>
      </c>
      <c r="R1213">
        <f t="shared" si="397"/>
        <v>19</v>
      </c>
      <c r="S1213" t="str">
        <f t="shared" ca="1" si="401"/>
        <v>No</v>
      </c>
      <c r="T1213" t="str">
        <f t="shared" ca="1" si="402"/>
        <v>Critical</v>
      </c>
      <c r="U1213" t="str">
        <f t="shared" ca="1" si="403"/>
        <v>ICU</v>
      </c>
      <c r="V1213" t="str">
        <f t="shared" si="404"/>
        <v>BED1212</v>
      </c>
      <c r="W1213" t="str">
        <f t="shared" ca="1" si="405"/>
        <v>General</v>
      </c>
      <c r="X1213" t="str">
        <f t="shared" si="406"/>
        <v>NUR012</v>
      </c>
      <c r="Y1213" t="str">
        <f t="shared" ca="1" si="407"/>
        <v>Morning</v>
      </c>
      <c r="Z1213" t="str">
        <f t="shared" ca="1" si="408"/>
        <v>ECG Machine</v>
      </c>
      <c r="AA1213" t="str">
        <f t="shared" ca="1" si="409"/>
        <v>Maintenance</v>
      </c>
      <c r="AB1213" t="str">
        <f t="shared" ca="1" si="410"/>
        <v>Partially Paid</v>
      </c>
      <c r="AC1213" t="str">
        <f t="shared" ca="1" si="411"/>
        <v>Debit Card</v>
      </c>
      <c r="AD1213" t="str">
        <f t="shared" ca="1" si="412"/>
        <v>Yes</v>
      </c>
      <c r="AE1213" t="str">
        <f t="shared" ca="1" si="413"/>
        <v>No</v>
      </c>
      <c r="AF1213" t="str">
        <f t="shared" ca="1" si="414"/>
        <v>Transferred</v>
      </c>
      <c r="AG1213" t="str">
        <f t="shared" ca="1" si="415"/>
        <v>West Coast</v>
      </c>
      <c r="AH1213" t="str">
        <f t="shared" si="398"/>
        <v>August</v>
      </c>
      <c r="AI1213">
        <f t="shared" si="399"/>
        <v>2021</v>
      </c>
      <c r="AJ1213" t="str">
        <f t="shared" ca="1" si="416"/>
        <v>Occupied</v>
      </c>
      <c r="AK1213">
        <f t="shared" ca="1" si="417"/>
        <v>4</v>
      </c>
    </row>
    <row r="1214" spans="1:37" x14ac:dyDescent="0.3">
      <c r="A1214" t="s">
        <v>5620</v>
      </c>
      <c r="B1214">
        <v>60</v>
      </c>
      <c r="C1214" t="s">
        <v>15</v>
      </c>
      <c r="D1214" t="s">
        <v>24</v>
      </c>
      <c r="E1214" t="s">
        <v>39</v>
      </c>
      <c r="F1214" s="1">
        <v>44947</v>
      </c>
      <c r="G1214" t="s">
        <v>2441</v>
      </c>
      <c r="H1214" t="s">
        <v>2442</v>
      </c>
      <c r="I1214" t="s">
        <v>36</v>
      </c>
      <c r="J1214">
        <v>7613</v>
      </c>
      <c r="K1214">
        <v>448</v>
      </c>
      <c r="L1214" t="s">
        <v>21</v>
      </c>
      <c r="M1214" s="1">
        <v>44964</v>
      </c>
      <c r="N1214" t="s">
        <v>47</v>
      </c>
      <c r="O1214" t="s">
        <v>23</v>
      </c>
      <c r="P1214" t="str">
        <f t="shared" si="400"/>
        <v>P1213</v>
      </c>
      <c r="Q1214" t="str">
        <f t="shared" si="396"/>
        <v>Endocrinology</v>
      </c>
      <c r="R1214">
        <f t="shared" si="397"/>
        <v>17</v>
      </c>
      <c r="S1214" t="str">
        <f t="shared" ca="1" si="401"/>
        <v>No</v>
      </c>
      <c r="T1214" t="str">
        <f t="shared" ca="1" si="402"/>
        <v>Mild</v>
      </c>
      <c r="U1214" t="str">
        <f t="shared" ca="1" si="403"/>
        <v>Private Ward</v>
      </c>
      <c r="V1214" t="str">
        <f t="shared" si="404"/>
        <v>BED1213</v>
      </c>
      <c r="W1214" t="str">
        <f t="shared" ca="1" si="405"/>
        <v>General</v>
      </c>
      <c r="X1214" t="str">
        <f t="shared" si="406"/>
        <v>NUR013</v>
      </c>
      <c r="Y1214" t="str">
        <f t="shared" ca="1" si="407"/>
        <v>Night</v>
      </c>
      <c r="Z1214" t="str">
        <f t="shared" ca="1" si="408"/>
        <v>MRI Scanner</v>
      </c>
      <c r="AA1214" t="str">
        <f t="shared" ca="1" si="409"/>
        <v>Maintenance</v>
      </c>
      <c r="AB1214" t="str">
        <f t="shared" ca="1" si="410"/>
        <v>Paid</v>
      </c>
      <c r="AC1214" t="str">
        <f t="shared" ca="1" si="411"/>
        <v>Credit Card</v>
      </c>
      <c r="AD1214" t="str">
        <f t="shared" ca="1" si="412"/>
        <v>No</v>
      </c>
      <c r="AE1214" t="str">
        <f t="shared" ca="1" si="413"/>
        <v>No</v>
      </c>
      <c r="AF1214" t="str">
        <f t="shared" ca="1" si="414"/>
        <v>Under Observation</v>
      </c>
      <c r="AG1214" t="str">
        <f t="shared" ca="1" si="415"/>
        <v>Southwest</v>
      </c>
      <c r="AH1214" t="str">
        <f t="shared" si="398"/>
        <v>January</v>
      </c>
      <c r="AI1214">
        <f t="shared" si="399"/>
        <v>2023</v>
      </c>
      <c r="AJ1214" t="str">
        <f t="shared" ca="1" si="416"/>
        <v>Occupied</v>
      </c>
      <c r="AK1214">
        <f t="shared" ca="1" si="417"/>
        <v>1</v>
      </c>
    </row>
    <row r="1215" spans="1:37" x14ac:dyDescent="0.3">
      <c r="A1215" t="s">
        <v>5621</v>
      </c>
      <c r="B1215">
        <v>52</v>
      </c>
      <c r="C1215" t="s">
        <v>32</v>
      </c>
      <c r="D1215" t="s">
        <v>38</v>
      </c>
      <c r="E1215" t="s">
        <v>39</v>
      </c>
      <c r="F1215" s="1">
        <v>45137</v>
      </c>
      <c r="G1215" t="s">
        <v>2443</v>
      </c>
      <c r="H1215" t="s">
        <v>2444</v>
      </c>
      <c r="I1215" t="s">
        <v>20</v>
      </c>
      <c r="J1215">
        <v>18798</v>
      </c>
      <c r="K1215">
        <v>121</v>
      </c>
      <c r="L1215" t="s">
        <v>21</v>
      </c>
      <c r="M1215" s="1">
        <v>45161</v>
      </c>
      <c r="N1215" t="s">
        <v>47</v>
      </c>
      <c r="O1215" t="s">
        <v>23</v>
      </c>
      <c r="P1215" t="str">
        <f t="shared" si="400"/>
        <v>P1214</v>
      </c>
      <c r="Q1215" t="str">
        <f t="shared" si="396"/>
        <v>Endocrinology</v>
      </c>
      <c r="R1215">
        <f t="shared" si="397"/>
        <v>24</v>
      </c>
      <c r="S1215" t="str">
        <f t="shared" ca="1" si="401"/>
        <v>No</v>
      </c>
      <c r="T1215" t="str">
        <f t="shared" ca="1" si="402"/>
        <v>Critical</v>
      </c>
      <c r="U1215" t="str">
        <f t="shared" ca="1" si="403"/>
        <v>Emergency</v>
      </c>
      <c r="V1215" t="str">
        <f t="shared" si="404"/>
        <v>BED1214</v>
      </c>
      <c r="W1215" t="str">
        <f t="shared" ca="1" si="405"/>
        <v>Private</v>
      </c>
      <c r="X1215" t="str">
        <f t="shared" si="406"/>
        <v>NUR014</v>
      </c>
      <c r="Y1215" t="str">
        <f t="shared" ca="1" si="407"/>
        <v>Evening</v>
      </c>
      <c r="Z1215" t="str">
        <f t="shared" ca="1" si="408"/>
        <v>X-Ray</v>
      </c>
      <c r="AA1215" t="str">
        <f t="shared" ca="1" si="409"/>
        <v>In Use</v>
      </c>
      <c r="AB1215" t="str">
        <f t="shared" ca="1" si="410"/>
        <v>Paid</v>
      </c>
      <c r="AC1215" t="str">
        <f t="shared" ca="1" si="411"/>
        <v>Bank Transfer</v>
      </c>
      <c r="AD1215" t="str">
        <f t="shared" ca="1" si="412"/>
        <v>No</v>
      </c>
      <c r="AE1215" t="str">
        <f t="shared" ca="1" si="413"/>
        <v>No</v>
      </c>
      <c r="AF1215" t="str">
        <f t="shared" ca="1" si="414"/>
        <v>Recovered</v>
      </c>
      <c r="AG1215" t="str">
        <f t="shared" ca="1" si="415"/>
        <v>West Coast</v>
      </c>
      <c r="AH1215" t="str">
        <f t="shared" si="398"/>
        <v>July</v>
      </c>
      <c r="AI1215">
        <f t="shared" si="399"/>
        <v>2023</v>
      </c>
      <c r="AJ1215" t="str">
        <f t="shared" ca="1" si="416"/>
        <v>Occupied</v>
      </c>
      <c r="AK1215">
        <f t="shared" ca="1" si="417"/>
        <v>2</v>
      </c>
    </row>
    <row r="1216" spans="1:37" x14ac:dyDescent="0.3">
      <c r="A1216" t="s">
        <v>5622</v>
      </c>
      <c r="B1216">
        <v>49</v>
      </c>
      <c r="C1216" t="s">
        <v>15</v>
      </c>
      <c r="D1216" t="s">
        <v>24</v>
      </c>
      <c r="E1216" t="s">
        <v>25</v>
      </c>
      <c r="F1216" s="1">
        <v>45194</v>
      </c>
      <c r="G1216" t="s">
        <v>2445</v>
      </c>
      <c r="H1216" t="s">
        <v>2446</v>
      </c>
      <c r="I1216" t="s">
        <v>20</v>
      </c>
      <c r="J1216">
        <v>35741</v>
      </c>
      <c r="K1216">
        <v>390</v>
      </c>
      <c r="L1216" t="s">
        <v>42</v>
      </c>
      <c r="M1216" s="1">
        <v>45203</v>
      </c>
      <c r="N1216" t="s">
        <v>30</v>
      </c>
      <c r="O1216" t="s">
        <v>43</v>
      </c>
      <c r="P1216" t="str">
        <f t="shared" si="400"/>
        <v>P1215</v>
      </c>
      <c r="Q1216" t="str">
        <f t="shared" si="396"/>
        <v>Nutrition</v>
      </c>
      <c r="R1216">
        <f t="shared" si="397"/>
        <v>9</v>
      </c>
      <c r="S1216" t="str">
        <f t="shared" ca="1" si="401"/>
        <v>No</v>
      </c>
      <c r="T1216" t="str">
        <f t="shared" ca="1" si="402"/>
        <v>Severe</v>
      </c>
      <c r="U1216" t="str">
        <f t="shared" ca="1" si="403"/>
        <v>Semi-Private</v>
      </c>
      <c r="V1216" t="str">
        <f t="shared" si="404"/>
        <v>BED1215</v>
      </c>
      <c r="W1216" t="str">
        <f t="shared" ca="1" si="405"/>
        <v>General</v>
      </c>
      <c r="X1216" t="str">
        <f t="shared" si="406"/>
        <v>NUR015</v>
      </c>
      <c r="Y1216" t="str">
        <f t="shared" ca="1" si="407"/>
        <v>Evening</v>
      </c>
      <c r="Z1216" t="str">
        <f t="shared" ca="1" si="408"/>
        <v>ECG Machine</v>
      </c>
      <c r="AA1216" t="str">
        <f t="shared" ca="1" si="409"/>
        <v>Maintenance</v>
      </c>
      <c r="AB1216" t="str">
        <f t="shared" ca="1" si="410"/>
        <v>Pending</v>
      </c>
      <c r="AC1216" t="str">
        <f t="shared" ca="1" si="411"/>
        <v>Debit Card</v>
      </c>
      <c r="AD1216" t="str">
        <f t="shared" ca="1" si="412"/>
        <v>No</v>
      </c>
      <c r="AE1216" t="str">
        <f t="shared" ca="1" si="413"/>
        <v>Yes</v>
      </c>
      <c r="AF1216" t="str">
        <f t="shared" ca="1" si="414"/>
        <v>Transferred</v>
      </c>
      <c r="AG1216" t="str">
        <f t="shared" ca="1" si="415"/>
        <v>Southeast</v>
      </c>
      <c r="AH1216" t="str">
        <f t="shared" si="398"/>
        <v>September</v>
      </c>
      <c r="AI1216">
        <f t="shared" si="399"/>
        <v>2023</v>
      </c>
      <c r="AJ1216" t="str">
        <f t="shared" ca="1" si="416"/>
        <v>Occupied</v>
      </c>
      <c r="AK1216">
        <f t="shared" ca="1" si="417"/>
        <v>1</v>
      </c>
    </row>
    <row r="1217" spans="1:37" x14ac:dyDescent="0.3">
      <c r="A1217" t="s">
        <v>5623</v>
      </c>
      <c r="B1217">
        <v>38</v>
      </c>
      <c r="C1217" t="s">
        <v>15</v>
      </c>
      <c r="D1217" t="s">
        <v>83</v>
      </c>
      <c r="E1217" t="s">
        <v>39</v>
      </c>
      <c r="F1217" s="1">
        <v>43919</v>
      </c>
      <c r="G1217" t="s">
        <v>2447</v>
      </c>
      <c r="H1217" t="s">
        <v>2448</v>
      </c>
      <c r="I1217" t="s">
        <v>36</v>
      </c>
      <c r="J1217">
        <v>15415</v>
      </c>
      <c r="K1217">
        <v>153</v>
      </c>
      <c r="L1217" t="s">
        <v>29</v>
      </c>
      <c r="M1217" s="1">
        <v>43940</v>
      </c>
      <c r="N1217" t="s">
        <v>37</v>
      </c>
      <c r="O1217" t="s">
        <v>43</v>
      </c>
      <c r="P1217" t="str">
        <f t="shared" si="400"/>
        <v>P1216</v>
      </c>
      <c r="Q1217" t="str">
        <f t="shared" si="396"/>
        <v>Endocrinology</v>
      </c>
      <c r="R1217">
        <f t="shared" si="397"/>
        <v>21</v>
      </c>
      <c r="S1217" t="str">
        <f t="shared" ca="1" si="401"/>
        <v>No</v>
      </c>
      <c r="T1217" t="str">
        <f t="shared" ca="1" si="402"/>
        <v>Mild</v>
      </c>
      <c r="U1217" t="str">
        <f t="shared" ca="1" si="403"/>
        <v>Emergency</v>
      </c>
      <c r="V1217" t="str">
        <f t="shared" si="404"/>
        <v>BED1216</v>
      </c>
      <c r="W1217" t="str">
        <f t="shared" ca="1" si="405"/>
        <v>General</v>
      </c>
      <c r="X1217" t="str">
        <f t="shared" si="406"/>
        <v>NUR016</v>
      </c>
      <c r="Y1217" t="str">
        <f t="shared" ca="1" si="407"/>
        <v>Morning</v>
      </c>
      <c r="Z1217" t="str">
        <f t="shared" ca="1" si="408"/>
        <v>X-Ray</v>
      </c>
      <c r="AA1217" t="str">
        <f t="shared" ca="1" si="409"/>
        <v>In Use</v>
      </c>
      <c r="AB1217" t="str">
        <f t="shared" ca="1" si="410"/>
        <v>Partially Paid</v>
      </c>
      <c r="AC1217" t="str">
        <f t="shared" ca="1" si="411"/>
        <v>Insurance</v>
      </c>
      <c r="AD1217" t="str">
        <f t="shared" ca="1" si="412"/>
        <v>No</v>
      </c>
      <c r="AE1217" t="str">
        <f t="shared" ca="1" si="413"/>
        <v>Yes</v>
      </c>
      <c r="AF1217" t="str">
        <f t="shared" ca="1" si="414"/>
        <v>Under Observation</v>
      </c>
      <c r="AG1217" t="str">
        <f t="shared" ca="1" si="415"/>
        <v>West Coast</v>
      </c>
      <c r="AH1217" t="str">
        <f t="shared" si="398"/>
        <v>March</v>
      </c>
      <c r="AI1217">
        <f t="shared" si="399"/>
        <v>2020</v>
      </c>
      <c r="AJ1217" t="str">
        <f t="shared" ca="1" si="416"/>
        <v>Occupied</v>
      </c>
      <c r="AK1217">
        <f t="shared" ca="1" si="417"/>
        <v>2</v>
      </c>
    </row>
    <row r="1218" spans="1:37" x14ac:dyDescent="0.3">
      <c r="A1218" t="s">
        <v>5624</v>
      </c>
      <c r="B1218">
        <v>55</v>
      </c>
      <c r="C1218" t="s">
        <v>32</v>
      </c>
      <c r="D1218" t="s">
        <v>83</v>
      </c>
      <c r="E1218" t="s">
        <v>39</v>
      </c>
      <c r="F1218" s="1">
        <v>45148</v>
      </c>
      <c r="G1218" t="s">
        <v>2449</v>
      </c>
      <c r="H1218" t="s">
        <v>2450</v>
      </c>
      <c r="I1218" t="s">
        <v>51</v>
      </c>
      <c r="J1218">
        <v>18629</v>
      </c>
      <c r="K1218">
        <v>323</v>
      </c>
      <c r="L1218" t="s">
        <v>29</v>
      </c>
      <c r="M1218" s="1">
        <v>45168</v>
      </c>
      <c r="N1218" t="s">
        <v>37</v>
      </c>
      <c r="O1218" t="s">
        <v>23</v>
      </c>
      <c r="P1218" t="str">
        <f t="shared" si="400"/>
        <v>P1217</v>
      </c>
      <c r="Q1218" t="str">
        <f t="shared" ref="Q1218:Q1281" si="418">IF(E1218="Cancer","Oncology",IF(E1218="Obesity","Nutrition",IF(E1218="Diabetes","Endocrinology",IF(E1218="Asthma","Pulmonology",IF(E1218="Arthritis","Orthopedics",IF(E1218="Hypertension","Cardiology","General Medicine"))))))</f>
        <v>Endocrinology</v>
      </c>
      <c r="R1218">
        <f t="shared" ref="R1218:R1281" si="419">M1218-F1218</f>
        <v>20</v>
      </c>
      <c r="S1218" t="str">
        <f t="shared" ca="1" si="401"/>
        <v>No</v>
      </c>
      <c r="T1218" t="str">
        <f t="shared" ca="1" si="402"/>
        <v>Moderate</v>
      </c>
      <c r="U1218" t="str">
        <f t="shared" ca="1" si="403"/>
        <v>Private Ward</v>
      </c>
      <c r="V1218" t="str">
        <f t="shared" si="404"/>
        <v>BED1217</v>
      </c>
      <c r="W1218" t="str">
        <f t="shared" ca="1" si="405"/>
        <v>ICU</v>
      </c>
      <c r="X1218" t="str">
        <f t="shared" si="406"/>
        <v>NUR017</v>
      </c>
      <c r="Y1218" t="str">
        <f t="shared" ca="1" si="407"/>
        <v>Night</v>
      </c>
      <c r="Z1218" t="str">
        <f t="shared" ca="1" si="408"/>
        <v>Ventilator</v>
      </c>
      <c r="AA1218" t="str">
        <f t="shared" ca="1" si="409"/>
        <v>Maintenance</v>
      </c>
      <c r="AB1218" t="str">
        <f t="shared" ca="1" si="410"/>
        <v>Partially Paid</v>
      </c>
      <c r="AC1218" t="str">
        <f t="shared" ca="1" si="411"/>
        <v>Credit Card</v>
      </c>
      <c r="AD1218" t="str">
        <f t="shared" ca="1" si="412"/>
        <v>No</v>
      </c>
      <c r="AE1218" t="str">
        <f t="shared" ca="1" si="413"/>
        <v>No</v>
      </c>
      <c r="AF1218" t="str">
        <f t="shared" ca="1" si="414"/>
        <v>Transferred</v>
      </c>
      <c r="AG1218" t="str">
        <f t="shared" ca="1" si="415"/>
        <v>Southeast</v>
      </c>
      <c r="AH1218" t="str">
        <f t="shared" ref="AH1218:AH1281" si="420">TEXT(F1218,"MMMM")</f>
        <v>August</v>
      </c>
      <c r="AI1218">
        <f t="shared" ref="AI1218:AI1281" si="421">YEAR(F1218)</f>
        <v>2023</v>
      </c>
      <c r="AJ1218" t="str">
        <f t="shared" ca="1" si="416"/>
        <v>Occupied</v>
      </c>
      <c r="AK1218">
        <f t="shared" ca="1" si="417"/>
        <v>2</v>
      </c>
    </row>
    <row r="1219" spans="1:37" x14ac:dyDescent="0.3">
      <c r="A1219" t="s">
        <v>5625</v>
      </c>
      <c r="B1219">
        <v>59</v>
      </c>
      <c r="C1219" t="s">
        <v>32</v>
      </c>
      <c r="D1219" t="s">
        <v>16</v>
      </c>
      <c r="E1219" t="s">
        <v>17</v>
      </c>
      <c r="F1219" s="1">
        <v>45081</v>
      </c>
      <c r="G1219" t="s">
        <v>2451</v>
      </c>
      <c r="H1219" t="s">
        <v>2452</v>
      </c>
      <c r="I1219" t="s">
        <v>28</v>
      </c>
      <c r="J1219">
        <v>30451</v>
      </c>
      <c r="K1219">
        <v>152</v>
      </c>
      <c r="L1219" t="s">
        <v>21</v>
      </c>
      <c r="M1219" s="1">
        <v>45097</v>
      </c>
      <c r="N1219" t="s">
        <v>67</v>
      </c>
      <c r="O1219" t="s">
        <v>43</v>
      </c>
      <c r="P1219" t="str">
        <f t="shared" ref="P1219:P1282" si="422">"P"&amp;TEXT(ROW()-1,"0000")</f>
        <v>P1218</v>
      </c>
      <c r="Q1219" t="str">
        <f t="shared" si="418"/>
        <v>Oncology</v>
      </c>
      <c r="R1219">
        <f t="shared" si="419"/>
        <v>16</v>
      </c>
      <c r="S1219" t="str">
        <f t="shared" ref="S1219:S1282" ca="1" si="423">IF(RAND()&lt;0.1,"Yes","No")</f>
        <v>No</v>
      </c>
      <c r="T1219" t="str">
        <f t="shared" ref="T1219:T1282" ca="1" si="424">CHOOSE(RANDBETWEEN(1,4),"Mild","Moderate","Severe","Critical")</f>
        <v>Severe</v>
      </c>
      <c r="U1219" t="str">
        <f t="shared" ref="U1219:U1282" ca="1" si="425">CHOOSE(RANDBETWEEN(1,5),"General Ward","ICU","Emergency","Private Ward","Semi-Private")</f>
        <v>General Ward</v>
      </c>
      <c r="V1219" t="str">
        <f t="shared" ref="V1219:V1282" si="426">"BED"&amp;TEXT(ROW()-1,"0000")</f>
        <v>BED1218</v>
      </c>
      <c r="W1219" t="str">
        <f t="shared" ref="W1219:W1282" ca="1" si="427">CHOOSE(RANDBETWEEN(1,4),"General","Private","Semi-Private","ICU")</f>
        <v>Private</v>
      </c>
      <c r="X1219" t="str">
        <f t="shared" ref="X1219:X1282" si="428">"NUR"&amp;TEXT(MOD(ROW()-2,50)+1,"000")</f>
        <v>NUR018</v>
      </c>
      <c r="Y1219" t="str">
        <f t="shared" ref="Y1219:Y1282" ca="1" si="429">CHOOSE(RANDBETWEEN(1,3),"Morning","Evening","Night")</f>
        <v>Evening</v>
      </c>
      <c r="Z1219" t="str">
        <f t="shared" ref="Z1219:Z1282" ca="1" si="430">CHOOSE(RANDBETWEEN(1,6),"MRI Scanner","CT Scanner","Ventilator","X-Ray","ECG Machine","Ultrasound")</f>
        <v>ECG Machine</v>
      </c>
      <c r="AA1219" t="str">
        <f t="shared" ref="AA1219:AA1282" ca="1" si="431">CHOOSE(RANDBETWEEN(1,3),"Available","In Use","Maintenance")</f>
        <v>In Use</v>
      </c>
      <c r="AB1219" t="str">
        <f t="shared" ref="AB1219:AB1282" ca="1" si="432">CHOOSE(RANDBETWEEN(1,3),"Paid","Pending","Partially Paid")</f>
        <v>Paid</v>
      </c>
      <c r="AC1219" t="str">
        <f t="shared" ref="AC1219:AC1282" ca="1" si="433">CHOOSE(RANDBETWEEN(1,5),"Cash","Credit Card","Debit Card","Insurance","Bank Transfer")</f>
        <v>Bank Transfer</v>
      </c>
      <c r="AD1219" t="str">
        <f t="shared" ref="AD1219:AD1282" ca="1" si="434">IF(RAND()&lt;0.2,"Yes","No")</f>
        <v>No</v>
      </c>
      <c r="AE1219" t="str">
        <f t="shared" ref="AE1219:AE1282" ca="1" si="435">IF(RAND()&lt;0.15,"Yes","No")</f>
        <v>Yes</v>
      </c>
      <c r="AF1219" t="str">
        <f t="shared" ref="AF1219:AF1282" ca="1" si="436">CHOOSE(RANDBETWEEN(1,3),"Recovered","Transferred","Under Observation")</f>
        <v>Recovered</v>
      </c>
      <c r="AG1219" t="str">
        <f t="shared" ref="AG1219:AG1282" ca="1" si="437">CHOOSE(RANDBETWEEN(1,5),"Northeast","Southeast","Midwest","Southwest","West Coast")</f>
        <v>Southeast</v>
      </c>
      <c r="AH1219" t="str">
        <f t="shared" si="420"/>
        <v>June</v>
      </c>
      <c r="AI1219">
        <f t="shared" si="421"/>
        <v>2023</v>
      </c>
      <c r="AJ1219" t="str">
        <f t="shared" ref="AJ1219:AJ1282" ca="1" si="438">IF(RANDBETWEEN(1,100)&lt;=80,"Occupied","Vacant")</f>
        <v>Occupied</v>
      </c>
      <c r="AK1219">
        <f t="shared" ref="AK1219:AK1282" ca="1" si="439">CHOOSE(RANDBETWEEN(1,3),1,2,4)</f>
        <v>1</v>
      </c>
    </row>
    <row r="1220" spans="1:37" x14ac:dyDescent="0.3">
      <c r="A1220" t="s">
        <v>5626</v>
      </c>
      <c r="B1220">
        <v>72</v>
      </c>
      <c r="C1220" t="s">
        <v>32</v>
      </c>
      <c r="D1220" t="s">
        <v>98</v>
      </c>
      <c r="E1220" t="s">
        <v>25</v>
      </c>
      <c r="F1220" s="1">
        <v>44281</v>
      </c>
      <c r="G1220" t="s">
        <v>2453</v>
      </c>
      <c r="H1220" t="s">
        <v>2454</v>
      </c>
      <c r="I1220" t="s">
        <v>20</v>
      </c>
      <c r="J1220">
        <v>5472</v>
      </c>
      <c r="K1220">
        <v>321</v>
      </c>
      <c r="L1220" t="s">
        <v>29</v>
      </c>
      <c r="M1220" s="1">
        <v>44311</v>
      </c>
      <c r="N1220" t="s">
        <v>67</v>
      </c>
      <c r="O1220" t="s">
        <v>31</v>
      </c>
      <c r="P1220" t="str">
        <f t="shared" si="422"/>
        <v>P1219</v>
      </c>
      <c r="Q1220" t="str">
        <f t="shared" si="418"/>
        <v>Nutrition</v>
      </c>
      <c r="R1220">
        <f t="shared" si="419"/>
        <v>30</v>
      </c>
      <c r="S1220" t="str">
        <f t="shared" ca="1" si="423"/>
        <v>No</v>
      </c>
      <c r="T1220" t="str">
        <f t="shared" ca="1" si="424"/>
        <v>Severe</v>
      </c>
      <c r="U1220" t="str">
        <f t="shared" ca="1" si="425"/>
        <v>General Ward</v>
      </c>
      <c r="V1220" t="str">
        <f t="shared" si="426"/>
        <v>BED1219</v>
      </c>
      <c r="W1220" t="str">
        <f t="shared" ca="1" si="427"/>
        <v>ICU</v>
      </c>
      <c r="X1220" t="str">
        <f t="shared" si="428"/>
        <v>NUR019</v>
      </c>
      <c r="Y1220" t="str">
        <f t="shared" ca="1" si="429"/>
        <v>Night</v>
      </c>
      <c r="Z1220" t="str">
        <f t="shared" ca="1" si="430"/>
        <v>MRI Scanner</v>
      </c>
      <c r="AA1220" t="str">
        <f t="shared" ca="1" si="431"/>
        <v>Available</v>
      </c>
      <c r="AB1220" t="str">
        <f t="shared" ca="1" si="432"/>
        <v>Partially Paid</v>
      </c>
      <c r="AC1220" t="str">
        <f t="shared" ca="1" si="433"/>
        <v>Cash</v>
      </c>
      <c r="AD1220" t="str">
        <f t="shared" ca="1" si="434"/>
        <v>No</v>
      </c>
      <c r="AE1220" t="str">
        <f t="shared" ca="1" si="435"/>
        <v>Yes</v>
      </c>
      <c r="AF1220" t="str">
        <f t="shared" ca="1" si="436"/>
        <v>Transferred</v>
      </c>
      <c r="AG1220" t="str">
        <f t="shared" ca="1" si="437"/>
        <v>Northeast</v>
      </c>
      <c r="AH1220" t="str">
        <f t="shared" si="420"/>
        <v>March</v>
      </c>
      <c r="AI1220">
        <f t="shared" si="421"/>
        <v>2021</v>
      </c>
      <c r="AJ1220" t="str">
        <f t="shared" ca="1" si="438"/>
        <v>Occupied</v>
      </c>
      <c r="AK1220">
        <f t="shared" ca="1" si="439"/>
        <v>4</v>
      </c>
    </row>
    <row r="1221" spans="1:37" x14ac:dyDescent="0.3">
      <c r="A1221" t="s">
        <v>5627</v>
      </c>
      <c r="B1221">
        <v>55</v>
      </c>
      <c r="C1221" t="s">
        <v>32</v>
      </c>
      <c r="D1221" t="s">
        <v>83</v>
      </c>
      <c r="E1221" t="s">
        <v>76</v>
      </c>
      <c r="F1221" s="1">
        <v>44150</v>
      </c>
      <c r="G1221" t="s">
        <v>2455</v>
      </c>
      <c r="H1221" t="s">
        <v>2456</v>
      </c>
      <c r="I1221" t="s">
        <v>28</v>
      </c>
      <c r="J1221">
        <v>22348</v>
      </c>
      <c r="K1221">
        <v>244</v>
      </c>
      <c r="L1221" t="s">
        <v>29</v>
      </c>
      <c r="M1221" s="1">
        <v>44171</v>
      </c>
      <c r="N1221" t="s">
        <v>47</v>
      </c>
      <c r="O1221" t="s">
        <v>31</v>
      </c>
      <c r="P1221" t="str">
        <f t="shared" si="422"/>
        <v>P1220</v>
      </c>
      <c r="Q1221" t="str">
        <f t="shared" si="418"/>
        <v>Orthopedics</v>
      </c>
      <c r="R1221">
        <f t="shared" si="419"/>
        <v>21</v>
      </c>
      <c r="S1221" t="str">
        <f t="shared" ca="1" si="423"/>
        <v>No</v>
      </c>
      <c r="T1221" t="str">
        <f t="shared" ca="1" si="424"/>
        <v>Moderate</v>
      </c>
      <c r="U1221" t="str">
        <f t="shared" ca="1" si="425"/>
        <v>ICU</v>
      </c>
      <c r="V1221" t="str">
        <f t="shared" si="426"/>
        <v>BED1220</v>
      </c>
      <c r="W1221" t="str">
        <f t="shared" ca="1" si="427"/>
        <v>General</v>
      </c>
      <c r="X1221" t="str">
        <f t="shared" si="428"/>
        <v>NUR020</v>
      </c>
      <c r="Y1221" t="str">
        <f t="shared" ca="1" si="429"/>
        <v>Night</v>
      </c>
      <c r="Z1221" t="str">
        <f t="shared" ca="1" si="430"/>
        <v>CT Scanner</v>
      </c>
      <c r="AA1221" t="str">
        <f t="shared" ca="1" si="431"/>
        <v>In Use</v>
      </c>
      <c r="AB1221" t="str">
        <f t="shared" ca="1" si="432"/>
        <v>Partially Paid</v>
      </c>
      <c r="AC1221" t="str">
        <f t="shared" ca="1" si="433"/>
        <v>Debit Card</v>
      </c>
      <c r="AD1221" t="str">
        <f t="shared" ca="1" si="434"/>
        <v>No</v>
      </c>
      <c r="AE1221" t="str">
        <f t="shared" ca="1" si="435"/>
        <v>No</v>
      </c>
      <c r="AF1221" t="str">
        <f t="shared" ca="1" si="436"/>
        <v>Transferred</v>
      </c>
      <c r="AG1221" t="str">
        <f t="shared" ca="1" si="437"/>
        <v>Midwest</v>
      </c>
      <c r="AH1221" t="str">
        <f t="shared" si="420"/>
        <v>November</v>
      </c>
      <c r="AI1221">
        <f t="shared" si="421"/>
        <v>2020</v>
      </c>
      <c r="AJ1221" t="str">
        <f t="shared" ca="1" si="438"/>
        <v>Occupied</v>
      </c>
      <c r="AK1221">
        <f t="shared" ca="1" si="439"/>
        <v>1</v>
      </c>
    </row>
    <row r="1222" spans="1:37" x14ac:dyDescent="0.3">
      <c r="A1222" t="s">
        <v>5628</v>
      </c>
      <c r="B1222">
        <v>85</v>
      </c>
      <c r="C1222" t="s">
        <v>15</v>
      </c>
      <c r="D1222" t="s">
        <v>16</v>
      </c>
      <c r="E1222" t="s">
        <v>76</v>
      </c>
      <c r="F1222" s="1">
        <v>43597</v>
      </c>
      <c r="G1222" t="s">
        <v>2457</v>
      </c>
      <c r="H1222" t="s">
        <v>2458</v>
      </c>
      <c r="I1222" t="s">
        <v>20</v>
      </c>
      <c r="J1222">
        <v>36308</v>
      </c>
      <c r="K1222">
        <v>306</v>
      </c>
      <c r="L1222" t="s">
        <v>21</v>
      </c>
      <c r="M1222" s="1">
        <v>43601</v>
      </c>
      <c r="N1222" t="s">
        <v>67</v>
      </c>
      <c r="O1222" t="s">
        <v>31</v>
      </c>
      <c r="P1222" t="str">
        <f t="shared" si="422"/>
        <v>P1221</v>
      </c>
      <c r="Q1222" t="str">
        <f t="shared" si="418"/>
        <v>Orthopedics</v>
      </c>
      <c r="R1222">
        <f t="shared" si="419"/>
        <v>4</v>
      </c>
      <c r="S1222" t="str">
        <f t="shared" ca="1" si="423"/>
        <v>No</v>
      </c>
      <c r="T1222" t="str">
        <f t="shared" ca="1" si="424"/>
        <v>Severe</v>
      </c>
      <c r="U1222" t="str">
        <f t="shared" ca="1" si="425"/>
        <v>General Ward</v>
      </c>
      <c r="V1222" t="str">
        <f t="shared" si="426"/>
        <v>BED1221</v>
      </c>
      <c r="W1222" t="str">
        <f t="shared" ca="1" si="427"/>
        <v>General</v>
      </c>
      <c r="X1222" t="str">
        <f t="shared" si="428"/>
        <v>NUR021</v>
      </c>
      <c r="Y1222" t="str">
        <f t="shared" ca="1" si="429"/>
        <v>Evening</v>
      </c>
      <c r="Z1222" t="str">
        <f t="shared" ca="1" si="430"/>
        <v>MRI Scanner</v>
      </c>
      <c r="AA1222" t="str">
        <f t="shared" ca="1" si="431"/>
        <v>In Use</v>
      </c>
      <c r="AB1222" t="str">
        <f t="shared" ca="1" si="432"/>
        <v>Pending</v>
      </c>
      <c r="AC1222" t="str">
        <f t="shared" ca="1" si="433"/>
        <v>Cash</v>
      </c>
      <c r="AD1222" t="str">
        <f t="shared" ca="1" si="434"/>
        <v>No</v>
      </c>
      <c r="AE1222" t="str">
        <f t="shared" ca="1" si="435"/>
        <v>Yes</v>
      </c>
      <c r="AF1222" t="str">
        <f t="shared" ca="1" si="436"/>
        <v>Recovered</v>
      </c>
      <c r="AG1222" t="str">
        <f t="shared" ca="1" si="437"/>
        <v>Northeast</v>
      </c>
      <c r="AH1222" t="str">
        <f t="shared" si="420"/>
        <v>May</v>
      </c>
      <c r="AI1222">
        <f t="shared" si="421"/>
        <v>2019</v>
      </c>
      <c r="AJ1222" t="str">
        <f t="shared" ca="1" si="438"/>
        <v>Vacant</v>
      </c>
      <c r="AK1222">
        <f t="shared" ca="1" si="439"/>
        <v>1</v>
      </c>
    </row>
    <row r="1223" spans="1:37" x14ac:dyDescent="0.3">
      <c r="A1223" t="s">
        <v>5629</v>
      </c>
      <c r="B1223">
        <v>18</v>
      </c>
      <c r="C1223" t="s">
        <v>32</v>
      </c>
      <c r="D1223" t="s">
        <v>52</v>
      </c>
      <c r="E1223" t="s">
        <v>76</v>
      </c>
      <c r="F1223" s="1">
        <v>43605</v>
      </c>
      <c r="G1223" t="s">
        <v>2459</v>
      </c>
      <c r="H1223" t="s">
        <v>2460</v>
      </c>
      <c r="I1223" t="s">
        <v>57</v>
      </c>
      <c r="J1223">
        <v>37941</v>
      </c>
      <c r="K1223">
        <v>145</v>
      </c>
      <c r="L1223" t="s">
        <v>21</v>
      </c>
      <c r="M1223" s="1">
        <v>43631</v>
      </c>
      <c r="N1223" t="s">
        <v>37</v>
      </c>
      <c r="O1223" t="s">
        <v>43</v>
      </c>
      <c r="P1223" t="str">
        <f t="shared" si="422"/>
        <v>P1222</v>
      </c>
      <c r="Q1223" t="str">
        <f t="shared" si="418"/>
        <v>Orthopedics</v>
      </c>
      <c r="R1223">
        <f t="shared" si="419"/>
        <v>26</v>
      </c>
      <c r="S1223" t="str">
        <f t="shared" ca="1" si="423"/>
        <v>No</v>
      </c>
      <c r="T1223" t="str">
        <f t="shared" ca="1" si="424"/>
        <v>Critical</v>
      </c>
      <c r="U1223" t="str">
        <f t="shared" ca="1" si="425"/>
        <v>ICU</v>
      </c>
      <c r="V1223" t="str">
        <f t="shared" si="426"/>
        <v>BED1222</v>
      </c>
      <c r="W1223" t="str">
        <f t="shared" ca="1" si="427"/>
        <v>ICU</v>
      </c>
      <c r="X1223" t="str">
        <f t="shared" si="428"/>
        <v>NUR022</v>
      </c>
      <c r="Y1223" t="str">
        <f t="shared" ca="1" si="429"/>
        <v>Night</v>
      </c>
      <c r="Z1223" t="str">
        <f t="shared" ca="1" si="430"/>
        <v>Ventilator</v>
      </c>
      <c r="AA1223" t="str">
        <f t="shared" ca="1" si="431"/>
        <v>Maintenance</v>
      </c>
      <c r="AB1223" t="str">
        <f t="shared" ca="1" si="432"/>
        <v>Paid</v>
      </c>
      <c r="AC1223" t="str">
        <f t="shared" ca="1" si="433"/>
        <v>Cash</v>
      </c>
      <c r="AD1223" t="str">
        <f t="shared" ca="1" si="434"/>
        <v>No</v>
      </c>
      <c r="AE1223" t="str">
        <f t="shared" ca="1" si="435"/>
        <v>No</v>
      </c>
      <c r="AF1223" t="str">
        <f t="shared" ca="1" si="436"/>
        <v>Recovered</v>
      </c>
      <c r="AG1223" t="str">
        <f t="shared" ca="1" si="437"/>
        <v>Midwest</v>
      </c>
      <c r="AH1223" t="str">
        <f t="shared" si="420"/>
        <v>May</v>
      </c>
      <c r="AI1223">
        <f t="shared" si="421"/>
        <v>2019</v>
      </c>
      <c r="AJ1223" t="str">
        <f t="shared" ca="1" si="438"/>
        <v>Occupied</v>
      </c>
      <c r="AK1223">
        <f t="shared" ca="1" si="439"/>
        <v>4</v>
      </c>
    </row>
    <row r="1224" spans="1:37" x14ac:dyDescent="0.3">
      <c r="A1224" t="s">
        <v>5630</v>
      </c>
      <c r="B1224">
        <v>58</v>
      </c>
      <c r="C1224" t="s">
        <v>32</v>
      </c>
      <c r="D1224" t="s">
        <v>33</v>
      </c>
      <c r="E1224" t="s">
        <v>17</v>
      </c>
      <c r="F1224" s="1">
        <v>45294</v>
      </c>
      <c r="G1224" t="s">
        <v>2461</v>
      </c>
      <c r="H1224" t="s">
        <v>2462</v>
      </c>
      <c r="I1224" t="s">
        <v>28</v>
      </c>
      <c r="J1224">
        <v>15649</v>
      </c>
      <c r="K1224">
        <v>498</v>
      </c>
      <c r="L1224" t="s">
        <v>42</v>
      </c>
      <c r="M1224" s="1">
        <v>45317</v>
      </c>
      <c r="N1224" t="s">
        <v>37</v>
      </c>
      <c r="O1224" t="s">
        <v>43</v>
      </c>
      <c r="P1224" t="str">
        <f t="shared" si="422"/>
        <v>P1223</v>
      </c>
      <c r="Q1224" t="str">
        <f t="shared" si="418"/>
        <v>Oncology</v>
      </c>
      <c r="R1224">
        <f t="shared" si="419"/>
        <v>23</v>
      </c>
      <c r="S1224" t="str">
        <f t="shared" ca="1" si="423"/>
        <v>No</v>
      </c>
      <c r="T1224" t="str">
        <f t="shared" ca="1" si="424"/>
        <v>Critical</v>
      </c>
      <c r="U1224" t="str">
        <f t="shared" ca="1" si="425"/>
        <v>ICU</v>
      </c>
      <c r="V1224" t="str">
        <f t="shared" si="426"/>
        <v>BED1223</v>
      </c>
      <c r="W1224" t="str">
        <f t="shared" ca="1" si="427"/>
        <v>General</v>
      </c>
      <c r="X1224" t="str">
        <f t="shared" si="428"/>
        <v>NUR023</v>
      </c>
      <c r="Y1224" t="str">
        <f t="shared" ca="1" si="429"/>
        <v>Morning</v>
      </c>
      <c r="Z1224" t="str">
        <f t="shared" ca="1" si="430"/>
        <v>ECG Machine</v>
      </c>
      <c r="AA1224" t="str">
        <f t="shared" ca="1" si="431"/>
        <v>Available</v>
      </c>
      <c r="AB1224" t="str">
        <f t="shared" ca="1" si="432"/>
        <v>Partially Paid</v>
      </c>
      <c r="AC1224" t="str">
        <f t="shared" ca="1" si="433"/>
        <v>Credit Card</v>
      </c>
      <c r="AD1224" t="str">
        <f t="shared" ca="1" si="434"/>
        <v>Yes</v>
      </c>
      <c r="AE1224" t="str">
        <f t="shared" ca="1" si="435"/>
        <v>Yes</v>
      </c>
      <c r="AF1224" t="str">
        <f t="shared" ca="1" si="436"/>
        <v>Transferred</v>
      </c>
      <c r="AG1224" t="str">
        <f t="shared" ca="1" si="437"/>
        <v>West Coast</v>
      </c>
      <c r="AH1224" t="str">
        <f t="shared" si="420"/>
        <v>January</v>
      </c>
      <c r="AI1224">
        <f t="shared" si="421"/>
        <v>2024</v>
      </c>
      <c r="AJ1224" t="str">
        <f t="shared" ca="1" si="438"/>
        <v>Occupied</v>
      </c>
      <c r="AK1224">
        <f t="shared" ca="1" si="439"/>
        <v>1</v>
      </c>
    </row>
    <row r="1225" spans="1:37" x14ac:dyDescent="0.3">
      <c r="A1225" t="s">
        <v>5631</v>
      </c>
      <c r="B1225">
        <v>76</v>
      </c>
      <c r="C1225" t="s">
        <v>15</v>
      </c>
      <c r="D1225" t="s">
        <v>83</v>
      </c>
      <c r="E1225" t="s">
        <v>76</v>
      </c>
      <c r="F1225" s="1">
        <v>43968</v>
      </c>
      <c r="G1225" t="s">
        <v>2463</v>
      </c>
      <c r="H1225" t="s">
        <v>2464</v>
      </c>
      <c r="I1225" t="s">
        <v>36</v>
      </c>
      <c r="J1225">
        <v>14572</v>
      </c>
      <c r="K1225">
        <v>134</v>
      </c>
      <c r="L1225" t="s">
        <v>29</v>
      </c>
      <c r="M1225" s="1">
        <v>43974</v>
      </c>
      <c r="N1225" t="s">
        <v>47</v>
      </c>
      <c r="O1225" t="s">
        <v>23</v>
      </c>
      <c r="P1225" t="str">
        <f t="shared" si="422"/>
        <v>P1224</v>
      </c>
      <c r="Q1225" t="str">
        <f t="shared" si="418"/>
        <v>Orthopedics</v>
      </c>
      <c r="R1225">
        <f t="shared" si="419"/>
        <v>6</v>
      </c>
      <c r="S1225" t="str">
        <f t="shared" ca="1" si="423"/>
        <v>No</v>
      </c>
      <c r="T1225" t="str">
        <f t="shared" ca="1" si="424"/>
        <v>Mild</v>
      </c>
      <c r="U1225" t="str">
        <f t="shared" ca="1" si="425"/>
        <v>General Ward</v>
      </c>
      <c r="V1225" t="str">
        <f t="shared" si="426"/>
        <v>BED1224</v>
      </c>
      <c r="W1225" t="str">
        <f t="shared" ca="1" si="427"/>
        <v>Semi-Private</v>
      </c>
      <c r="X1225" t="str">
        <f t="shared" si="428"/>
        <v>NUR024</v>
      </c>
      <c r="Y1225" t="str">
        <f t="shared" ca="1" si="429"/>
        <v>Night</v>
      </c>
      <c r="Z1225" t="str">
        <f t="shared" ca="1" si="430"/>
        <v>Ventilator</v>
      </c>
      <c r="AA1225" t="str">
        <f t="shared" ca="1" si="431"/>
        <v>Maintenance</v>
      </c>
      <c r="AB1225" t="str">
        <f t="shared" ca="1" si="432"/>
        <v>Partially Paid</v>
      </c>
      <c r="AC1225" t="str">
        <f t="shared" ca="1" si="433"/>
        <v>Insurance</v>
      </c>
      <c r="AD1225" t="str">
        <f t="shared" ca="1" si="434"/>
        <v>No</v>
      </c>
      <c r="AE1225" t="str">
        <f t="shared" ca="1" si="435"/>
        <v>Yes</v>
      </c>
      <c r="AF1225" t="str">
        <f t="shared" ca="1" si="436"/>
        <v>Recovered</v>
      </c>
      <c r="AG1225" t="str">
        <f t="shared" ca="1" si="437"/>
        <v>Southeast</v>
      </c>
      <c r="AH1225" t="str">
        <f t="shared" si="420"/>
        <v>May</v>
      </c>
      <c r="AI1225">
        <f t="shared" si="421"/>
        <v>2020</v>
      </c>
      <c r="AJ1225" t="str">
        <f t="shared" ca="1" si="438"/>
        <v>Vacant</v>
      </c>
      <c r="AK1225">
        <f t="shared" ca="1" si="439"/>
        <v>2</v>
      </c>
    </row>
    <row r="1226" spans="1:37" x14ac:dyDescent="0.3">
      <c r="A1226" t="s">
        <v>5632</v>
      </c>
      <c r="B1226">
        <v>82</v>
      </c>
      <c r="C1226" t="s">
        <v>32</v>
      </c>
      <c r="D1226" t="s">
        <v>38</v>
      </c>
      <c r="E1226" t="s">
        <v>64</v>
      </c>
      <c r="F1226" s="1">
        <v>44837</v>
      </c>
      <c r="G1226" t="s">
        <v>2465</v>
      </c>
      <c r="H1226" t="s">
        <v>2466</v>
      </c>
      <c r="I1226" t="s">
        <v>57</v>
      </c>
      <c r="J1226">
        <v>35790</v>
      </c>
      <c r="K1226">
        <v>474</v>
      </c>
      <c r="L1226" t="s">
        <v>42</v>
      </c>
      <c r="M1226" s="1">
        <v>44865</v>
      </c>
      <c r="N1226" t="s">
        <v>47</v>
      </c>
      <c r="O1226" t="s">
        <v>31</v>
      </c>
      <c r="P1226" t="str">
        <f t="shared" si="422"/>
        <v>P1225</v>
      </c>
      <c r="Q1226" t="str">
        <f t="shared" si="418"/>
        <v>Cardiology</v>
      </c>
      <c r="R1226">
        <f t="shared" si="419"/>
        <v>28</v>
      </c>
      <c r="S1226" t="str">
        <f t="shared" ca="1" si="423"/>
        <v>No</v>
      </c>
      <c r="T1226" t="str">
        <f t="shared" ca="1" si="424"/>
        <v>Severe</v>
      </c>
      <c r="U1226" t="str">
        <f t="shared" ca="1" si="425"/>
        <v>Private Ward</v>
      </c>
      <c r="V1226" t="str">
        <f t="shared" si="426"/>
        <v>BED1225</v>
      </c>
      <c r="W1226" t="str">
        <f t="shared" ca="1" si="427"/>
        <v>General</v>
      </c>
      <c r="X1226" t="str">
        <f t="shared" si="428"/>
        <v>NUR025</v>
      </c>
      <c r="Y1226" t="str">
        <f t="shared" ca="1" si="429"/>
        <v>Morning</v>
      </c>
      <c r="Z1226" t="str">
        <f t="shared" ca="1" si="430"/>
        <v>MRI Scanner</v>
      </c>
      <c r="AA1226" t="str">
        <f t="shared" ca="1" si="431"/>
        <v>In Use</v>
      </c>
      <c r="AB1226" t="str">
        <f t="shared" ca="1" si="432"/>
        <v>Pending</v>
      </c>
      <c r="AC1226" t="str">
        <f t="shared" ca="1" si="433"/>
        <v>Debit Card</v>
      </c>
      <c r="AD1226" t="str">
        <f t="shared" ca="1" si="434"/>
        <v>No</v>
      </c>
      <c r="AE1226" t="str">
        <f t="shared" ca="1" si="435"/>
        <v>No</v>
      </c>
      <c r="AF1226" t="str">
        <f t="shared" ca="1" si="436"/>
        <v>Transferred</v>
      </c>
      <c r="AG1226" t="str">
        <f t="shared" ca="1" si="437"/>
        <v>Midwest</v>
      </c>
      <c r="AH1226" t="str">
        <f t="shared" si="420"/>
        <v>October</v>
      </c>
      <c r="AI1226">
        <f t="shared" si="421"/>
        <v>2022</v>
      </c>
      <c r="AJ1226" t="str">
        <f t="shared" ca="1" si="438"/>
        <v>Vacant</v>
      </c>
      <c r="AK1226">
        <f t="shared" ca="1" si="439"/>
        <v>1</v>
      </c>
    </row>
    <row r="1227" spans="1:37" x14ac:dyDescent="0.3">
      <c r="A1227" t="s">
        <v>5633</v>
      </c>
      <c r="B1227">
        <v>66</v>
      </c>
      <c r="C1227" t="s">
        <v>32</v>
      </c>
      <c r="D1227" t="s">
        <v>98</v>
      </c>
      <c r="E1227" t="s">
        <v>48</v>
      </c>
      <c r="F1227" s="1">
        <v>44098</v>
      </c>
      <c r="G1227" t="s">
        <v>2467</v>
      </c>
      <c r="H1227" t="s">
        <v>2468</v>
      </c>
      <c r="I1227" t="s">
        <v>57</v>
      </c>
      <c r="J1227">
        <v>26911</v>
      </c>
      <c r="K1227">
        <v>249</v>
      </c>
      <c r="L1227" t="s">
        <v>42</v>
      </c>
      <c r="M1227" s="1">
        <v>44100</v>
      </c>
      <c r="N1227" t="s">
        <v>22</v>
      </c>
      <c r="O1227" t="s">
        <v>23</v>
      </c>
      <c r="P1227" t="str">
        <f t="shared" si="422"/>
        <v>P1226</v>
      </c>
      <c r="Q1227" t="str">
        <f t="shared" si="418"/>
        <v>Pulmonology</v>
      </c>
      <c r="R1227">
        <f t="shared" si="419"/>
        <v>2</v>
      </c>
      <c r="S1227" t="str">
        <f t="shared" ca="1" si="423"/>
        <v>No</v>
      </c>
      <c r="T1227" t="str">
        <f t="shared" ca="1" si="424"/>
        <v>Mild</v>
      </c>
      <c r="U1227" t="str">
        <f t="shared" ca="1" si="425"/>
        <v>General Ward</v>
      </c>
      <c r="V1227" t="str">
        <f t="shared" si="426"/>
        <v>BED1226</v>
      </c>
      <c r="W1227" t="str">
        <f t="shared" ca="1" si="427"/>
        <v>General</v>
      </c>
      <c r="X1227" t="str">
        <f t="shared" si="428"/>
        <v>NUR026</v>
      </c>
      <c r="Y1227" t="str">
        <f t="shared" ca="1" si="429"/>
        <v>Night</v>
      </c>
      <c r="Z1227" t="str">
        <f t="shared" ca="1" si="430"/>
        <v>ECG Machine</v>
      </c>
      <c r="AA1227" t="str">
        <f t="shared" ca="1" si="431"/>
        <v>Maintenance</v>
      </c>
      <c r="AB1227" t="str">
        <f t="shared" ca="1" si="432"/>
        <v>Partially Paid</v>
      </c>
      <c r="AC1227" t="str">
        <f t="shared" ca="1" si="433"/>
        <v>Debit Card</v>
      </c>
      <c r="AD1227" t="str">
        <f t="shared" ca="1" si="434"/>
        <v>No</v>
      </c>
      <c r="AE1227" t="str">
        <f t="shared" ca="1" si="435"/>
        <v>No</v>
      </c>
      <c r="AF1227" t="str">
        <f t="shared" ca="1" si="436"/>
        <v>Transferred</v>
      </c>
      <c r="AG1227" t="str">
        <f t="shared" ca="1" si="437"/>
        <v>Northeast</v>
      </c>
      <c r="AH1227" t="str">
        <f t="shared" si="420"/>
        <v>September</v>
      </c>
      <c r="AI1227">
        <f t="shared" si="421"/>
        <v>2020</v>
      </c>
      <c r="AJ1227" t="str">
        <f t="shared" ca="1" si="438"/>
        <v>Vacant</v>
      </c>
      <c r="AK1227">
        <f t="shared" ca="1" si="439"/>
        <v>2</v>
      </c>
    </row>
    <row r="1228" spans="1:37" x14ac:dyDescent="0.3">
      <c r="A1228" t="s">
        <v>5634</v>
      </c>
      <c r="B1228">
        <v>84</v>
      </c>
      <c r="C1228" t="s">
        <v>32</v>
      </c>
      <c r="D1228" t="s">
        <v>16</v>
      </c>
      <c r="E1228" t="s">
        <v>39</v>
      </c>
      <c r="F1228" s="1">
        <v>43750</v>
      </c>
      <c r="G1228" t="s">
        <v>2469</v>
      </c>
      <c r="H1228" t="s">
        <v>2470</v>
      </c>
      <c r="I1228" t="s">
        <v>20</v>
      </c>
      <c r="J1228">
        <v>37571</v>
      </c>
      <c r="K1228">
        <v>275</v>
      </c>
      <c r="L1228" t="s">
        <v>21</v>
      </c>
      <c r="M1228" s="1">
        <v>43769</v>
      </c>
      <c r="N1228" t="s">
        <v>47</v>
      </c>
      <c r="O1228" t="s">
        <v>23</v>
      </c>
      <c r="P1228" t="str">
        <f t="shared" si="422"/>
        <v>P1227</v>
      </c>
      <c r="Q1228" t="str">
        <f t="shared" si="418"/>
        <v>Endocrinology</v>
      </c>
      <c r="R1228">
        <f t="shared" si="419"/>
        <v>19</v>
      </c>
      <c r="S1228" t="str">
        <f t="shared" ca="1" si="423"/>
        <v>No</v>
      </c>
      <c r="T1228" t="str">
        <f t="shared" ca="1" si="424"/>
        <v>Mild</v>
      </c>
      <c r="U1228" t="str">
        <f t="shared" ca="1" si="425"/>
        <v>Private Ward</v>
      </c>
      <c r="V1228" t="str">
        <f t="shared" si="426"/>
        <v>BED1227</v>
      </c>
      <c r="W1228" t="str">
        <f t="shared" ca="1" si="427"/>
        <v>Private</v>
      </c>
      <c r="X1228" t="str">
        <f t="shared" si="428"/>
        <v>NUR027</v>
      </c>
      <c r="Y1228" t="str">
        <f t="shared" ca="1" si="429"/>
        <v>Morning</v>
      </c>
      <c r="Z1228" t="str">
        <f t="shared" ca="1" si="430"/>
        <v>Ultrasound</v>
      </c>
      <c r="AA1228" t="str">
        <f t="shared" ca="1" si="431"/>
        <v>In Use</v>
      </c>
      <c r="AB1228" t="str">
        <f t="shared" ca="1" si="432"/>
        <v>Partially Paid</v>
      </c>
      <c r="AC1228" t="str">
        <f t="shared" ca="1" si="433"/>
        <v>Insurance</v>
      </c>
      <c r="AD1228" t="str">
        <f t="shared" ca="1" si="434"/>
        <v>No</v>
      </c>
      <c r="AE1228" t="str">
        <f t="shared" ca="1" si="435"/>
        <v>No</v>
      </c>
      <c r="AF1228" t="str">
        <f t="shared" ca="1" si="436"/>
        <v>Transferred</v>
      </c>
      <c r="AG1228" t="str">
        <f t="shared" ca="1" si="437"/>
        <v>Southwest</v>
      </c>
      <c r="AH1228" t="str">
        <f t="shared" si="420"/>
        <v>October</v>
      </c>
      <c r="AI1228">
        <f t="shared" si="421"/>
        <v>2019</v>
      </c>
      <c r="AJ1228" t="str">
        <f t="shared" ca="1" si="438"/>
        <v>Occupied</v>
      </c>
      <c r="AK1228">
        <f t="shared" ca="1" si="439"/>
        <v>4</v>
      </c>
    </row>
    <row r="1229" spans="1:37" x14ac:dyDescent="0.3">
      <c r="A1229" t="s">
        <v>5635</v>
      </c>
      <c r="B1229">
        <v>62</v>
      </c>
      <c r="C1229" t="s">
        <v>15</v>
      </c>
      <c r="D1229" t="s">
        <v>24</v>
      </c>
      <c r="E1229" t="s">
        <v>25</v>
      </c>
      <c r="F1229" s="1">
        <v>44631</v>
      </c>
      <c r="G1229" t="s">
        <v>2471</v>
      </c>
      <c r="H1229" t="s">
        <v>2472</v>
      </c>
      <c r="I1229" t="s">
        <v>20</v>
      </c>
      <c r="J1229">
        <v>17371</v>
      </c>
      <c r="K1229">
        <v>281</v>
      </c>
      <c r="L1229" t="s">
        <v>21</v>
      </c>
      <c r="M1229" s="1">
        <v>44648</v>
      </c>
      <c r="N1229" t="s">
        <v>47</v>
      </c>
      <c r="O1229" t="s">
        <v>23</v>
      </c>
      <c r="P1229" t="str">
        <f t="shared" si="422"/>
        <v>P1228</v>
      </c>
      <c r="Q1229" t="str">
        <f t="shared" si="418"/>
        <v>Nutrition</v>
      </c>
      <c r="R1229">
        <f t="shared" si="419"/>
        <v>17</v>
      </c>
      <c r="S1229" t="str">
        <f t="shared" ca="1" si="423"/>
        <v>No</v>
      </c>
      <c r="T1229" t="str">
        <f t="shared" ca="1" si="424"/>
        <v>Moderate</v>
      </c>
      <c r="U1229" t="str">
        <f t="shared" ca="1" si="425"/>
        <v>Private Ward</v>
      </c>
      <c r="V1229" t="str">
        <f t="shared" si="426"/>
        <v>BED1228</v>
      </c>
      <c r="W1229" t="str">
        <f t="shared" ca="1" si="427"/>
        <v>ICU</v>
      </c>
      <c r="X1229" t="str">
        <f t="shared" si="428"/>
        <v>NUR028</v>
      </c>
      <c r="Y1229" t="str">
        <f t="shared" ca="1" si="429"/>
        <v>Night</v>
      </c>
      <c r="Z1229" t="str">
        <f t="shared" ca="1" si="430"/>
        <v>Ventilator</v>
      </c>
      <c r="AA1229" t="str">
        <f t="shared" ca="1" si="431"/>
        <v>In Use</v>
      </c>
      <c r="AB1229" t="str">
        <f t="shared" ca="1" si="432"/>
        <v>Pending</v>
      </c>
      <c r="AC1229" t="str">
        <f t="shared" ca="1" si="433"/>
        <v>Bank Transfer</v>
      </c>
      <c r="AD1229" t="str">
        <f t="shared" ca="1" si="434"/>
        <v>Yes</v>
      </c>
      <c r="AE1229" t="str">
        <f t="shared" ca="1" si="435"/>
        <v>No</v>
      </c>
      <c r="AF1229" t="str">
        <f t="shared" ca="1" si="436"/>
        <v>Under Observation</v>
      </c>
      <c r="AG1229" t="str">
        <f t="shared" ca="1" si="437"/>
        <v>Southwest</v>
      </c>
      <c r="AH1229" t="str">
        <f t="shared" si="420"/>
        <v>March</v>
      </c>
      <c r="AI1229">
        <f t="shared" si="421"/>
        <v>2022</v>
      </c>
      <c r="AJ1229" t="str">
        <f t="shared" ca="1" si="438"/>
        <v>Occupied</v>
      </c>
      <c r="AK1229">
        <f t="shared" ca="1" si="439"/>
        <v>1</v>
      </c>
    </row>
    <row r="1230" spans="1:37" x14ac:dyDescent="0.3">
      <c r="A1230" t="s">
        <v>5636</v>
      </c>
      <c r="B1230">
        <v>38</v>
      </c>
      <c r="C1230" t="s">
        <v>15</v>
      </c>
      <c r="D1230" t="s">
        <v>52</v>
      </c>
      <c r="E1230" t="s">
        <v>25</v>
      </c>
      <c r="F1230" s="1">
        <v>44503</v>
      </c>
      <c r="G1230" t="s">
        <v>2473</v>
      </c>
      <c r="H1230" t="s">
        <v>2474</v>
      </c>
      <c r="I1230" t="s">
        <v>57</v>
      </c>
      <c r="J1230">
        <v>35489</v>
      </c>
      <c r="K1230">
        <v>353</v>
      </c>
      <c r="L1230" t="s">
        <v>42</v>
      </c>
      <c r="M1230" s="1">
        <v>44533</v>
      </c>
      <c r="N1230" t="s">
        <v>47</v>
      </c>
      <c r="O1230" t="s">
        <v>23</v>
      </c>
      <c r="P1230" t="str">
        <f t="shared" si="422"/>
        <v>P1229</v>
      </c>
      <c r="Q1230" t="str">
        <f t="shared" si="418"/>
        <v>Nutrition</v>
      </c>
      <c r="R1230">
        <f t="shared" si="419"/>
        <v>30</v>
      </c>
      <c r="S1230" t="str">
        <f t="shared" ca="1" si="423"/>
        <v>Yes</v>
      </c>
      <c r="T1230" t="str">
        <f t="shared" ca="1" si="424"/>
        <v>Severe</v>
      </c>
      <c r="U1230" t="str">
        <f t="shared" ca="1" si="425"/>
        <v>Semi-Private</v>
      </c>
      <c r="V1230" t="str">
        <f t="shared" si="426"/>
        <v>BED1229</v>
      </c>
      <c r="W1230" t="str">
        <f t="shared" ca="1" si="427"/>
        <v>General</v>
      </c>
      <c r="X1230" t="str">
        <f t="shared" si="428"/>
        <v>NUR029</v>
      </c>
      <c r="Y1230" t="str">
        <f t="shared" ca="1" si="429"/>
        <v>Morning</v>
      </c>
      <c r="Z1230" t="str">
        <f t="shared" ca="1" si="430"/>
        <v>CT Scanner</v>
      </c>
      <c r="AA1230" t="str">
        <f t="shared" ca="1" si="431"/>
        <v>Maintenance</v>
      </c>
      <c r="AB1230" t="str">
        <f t="shared" ca="1" si="432"/>
        <v>Partially Paid</v>
      </c>
      <c r="AC1230" t="str">
        <f t="shared" ca="1" si="433"/>
        <v>Bank Transfer</v>
      </c>
      <c r="AD1230" t="str">
        <f t="shared" ca="1" si="434"/>
        <v>No</v>
      </c>
      <c r="AE1230" t="str">
        <f t="shared" ca="1" si="435"/>
        <v>No</v>
      </c>
      <c r="AF1230" t="str">
        <f t="shared" ca="1" si="436"/>
        <v>Under Observation</v>
      </c>
      <c r="AG1230" t="str">
        <f t="shared" ca="1" si="437"/>
        <v>West Coast</v>
      </c>
      <c r="AH1230" t="str">
        <f t="shared" si="420"/>
        <v>November</v>
      </c>
      <c r="AI1230">
        <f t="shared" si="421"/>
        <v>2021</v>
      </c>
      <c r="AJ1230" t="str">
        <f t="shared" ca="1" si="438"/>
        <v>Occupied</v>
      </c>
      <c r="AK1230">
        <f t="shared" ca="1" si="439"/>
        <v>2</v>
      </c>
    </row>
    <row r="1231" spans="1:37" x14ac:dyDescent="0.3">
      <c r="A1231" t="s">
        <v>5637</v>
      </c>
      <c r="B1231">
        <v>70</v>
      </c>
      <c r="C1231" t="s">
        <v>15</v>
      </c>
      <c r="D1231" t="s">
        <v>24</v>
      </c>
      <c r="E1231" t="s">
        <v>25</v>
      </c>
      <c r="F1231" s="1">
        <v>44947</v>
      </c>
      <c r="G1231" t="s">
        <v>2475</v>
      </c>
      <c r="H1231" t="s">
        <v>2476</v>
      </c>
      <c r="I1231" t="s">
        <v>51</v>
      </c>
      <c r="J1231">
        <v>47444</v>
      </c>
      <c r="K1231">
        <v>194</v>
      </c>
      <c r="L1231" t="s">
        <v>29</v>
      </c>
      <c r="M1231" s="1">
        <v>44971</v>
      </c>
      <c r="N1231" t="s">
        <v>37</v>
      </c>
      <c r="O1231" t="s">
        <v>43</v>
      </c>
      <c r="P1231" t="str">
        <f t="shared" si="422"/>
        <v>P1230</v>
      </c>
      <c r="Q1231" t="str">
        <f t="shared" si="418"/>
        <v>Nutrition</v>
      </c>
      <c r="R1231">
        <f t="shared" si="419"/>
        <v>24</v>
      </c>
      <c r="S1231" t="str">
        <f t="shared" ca="1" si="423"/>
        <v>No</v>
      </c>
      <c r="T1231" t="str">
        <f t="shared" ca="1" si="424"/>
        <v>Severe</v>
      </c>
      <c r="U1231" t="str">
        <f t="shared" ca="1" si="425"/>
        <v>Private Ward</v>
      </c>
      <c r="V1231" t="str">
        <f t="shared" si="426"/>
        <v>BED1230</v>
      </c>
      <c r="W1231" t="str">
        <f t="shared" ca="1" si="427"/>
        <v>Private</v>
      </c>
      <c r="X1231" t="str">
        <f t="shared" si="428"/>
        <v>NUR030</v>
      </c>
      <c r="Y1231" t="str">
        <f t="shared" ca="1" si="429"/>
        <v>Morning</v>
      </c>
      <c r="Z1231" t="str">
        <f t="shared" ca="1" si="430"/>
        <v>MRI Scanner</v>
      </c>
      <c r="AA1231" t="str">
        <f t="shared" ca="1" si="431"/>
        <v>Available</v>
      </c>
      <c r="AB1231" t="str">
        <f t="shared" ca="1" si="432"/>
        <v>Paid</v>
      </c>
      <c r="AC1231" t="str">
        <f t="shared" ca="1" si="433"/>
        <v>Debit Card</v>
      </c>
      <c r="AD1231" t="str">
        <f t="shared" ca="1" si="434"/>
        <v>Yes</v>
      </c>
      <c r="AE1231" t="str">
        <f t="shared" ca="1" si="435"/>
        <v>Yes</v>
      </c>
      <c r="AF1231" t="str">
        <f t="shared" ca="1" si="436"/>
        <v>Transferred</v>
      </c>
      <c r="AG1231" t="str">
        <f t="shared" ca="1" si="437"/>
        <v>Midwest</v>
      </c>
      <c r="AH1231" t="str">
        <f t="shared" si="420"/>
        <v>January</v>
      </c>
      <c r="AI1231">
        <f t="shared" si="421"/>
        <v>2023</v>
      </c>
      <c r="AJ1231" t="str">
        <f t="shared" ca="1" si="438"/>
        <v>Occupied</v>
      </c>
      <c r="AK1231">
        <f t="shared" ca="1" si="439"/>
        <v>2</v>
      </c>
    </row>
    <row r="1232" spans="1:37" x14ac:dyDescent="0.3">
      <c r="A1232" t="s">
        <v>5638</v>
      </c>
      <c r="B1232">
        <v>63</v>
      </c>
      <c r="C1232" t="s">
        <v>15</v>
      </c>
      <c r="D1232" t="s">
        <v>16</v>
      </c>
      <c r="E1232" t="s">
        <v>25</v>
      </c>
      <c r="F1232" s="1">
        <v>43875</v>
      </c>
      <c r="G1232" t="s">
        <v>2477</v>
      </c>
      <c r="H1232" t="s">
        <v>2478</v>
      </c>
      <c r="I1232" t="s">
        <v>51</v>
      </c>
      <c r="J1232">
        <v>49376</v>
      </c>
      <c r="K1232">
        <v>147</v>
      </c>
      <c r="L1232" t="s">
        <v>42</v>
      </c>
      <c r="M1232" s="1">
        <v>43892</v>
      </c>
      <c r="N1232" t="s">
        <v>37</v>
      </c>
      <c r="O1232" t="s">
        <v>31</v>
      </c>
      <c r="P1232" t="str">
        <f t="shared" si="422"/>
        <v>P1231</v>
      </c>
      <c r="Q1232" t="str">
        <f t="shared" si="418"/>
        <v>Nutrition</v>
      </c>
      <c r="R1232">
        <f t="shared" si="419"/>
        <v>17</v>
      </c>
      <c r="S1232" t="str">
        <f t="shared" ca="1" si="423"/>
        <v>No</v>
      </c>
      <c r="T1232" t="str">
        <f t="shared" ca="1" si="424"/>
        <v>Moderate</v>
      </c>
      <c r="U1232" t="str">
        <f t="shared" ca="1" si="425"/>
        <v>ICU</v>
      </c>
      <c r="V1232" t="str">
        <f t="shared" si="426"/>
        <v>BED1231</v>
      </c>
      <c r="W1232" t="str">
        <f t="shared" ca="1" si="427"/>
        <v>Semi-Private</v>
      </c>
      <c r="X1232" t="str">
        <f t="shared" si="428"/>
        <v>NUR031</v>
      </c>
      <c r="Y1232" t="str">
        <f t="shared" ca="1" si="429"/>
        <v>Morning</v>
      </c>
      <c r="Z1232" t="str">
        <f t="shared" ca="1" si="430"/>
        <v>ECG Machine</v>
      </c>
      <c r="AA1232" t="str">
        <f t="shared" ca="1" si="431"/>
        <v>Available</v>
      </c>
      <c r="AB1232" t="str">
        <f t="shared" ca="1" si="432"/>
        <v>Partially Paid</v>
      </c>
      <c r="AC1232" t="str">
        <f t="shared" ca="1" si="433"/>
        <v>Bank Transfer</v>
      </c>
      <c r="AD1232" t="str">
        <f t="shared" ca="1" si="434"/>
        <v>No</v>
      </c>
      <c r="AE1232" t="str">
        <f t="shared" ca="1" si="435"/>
        <v>No</v>
      </c>
      <c r="AF1232" t="str">
        <f t="shared" ca="1" si="436"/>
        <v>Under Observation</v>
      </c>
      <c r="AG1232" t="str">
        <f t="shared" ca="1" si="437"/>
        <v>Midwest</v>
      </c>
      <c r="AH1232" t="str">
        <f t="shared" si="420"/>
        <v>February</v>
      </c>
      <c r="AI1232">
        <f t="shared" si="421"/>
        <v>2020</v>
      </c>
      <c r="AJ1232" t="str">
        <f t="shared" ca="1" si="438"/>
        <v>Vacant</v>
      </c>
      <c r="AK1232">
        <f t="shared" ca="1" si="439"/>
        <v>2</v>
      </c>
    </row>
    <row r="1233" spans="1:37" x14ac:dyDescent="0.3">
      <c r="A1233" t="s">
        <v>5639</v>
      </c>
      <c r="B1233">
        <v>27</v>
      </c>
      <c r="C1233" t="s">
        <v>32</v>
      </c>
      <c r="D1233" t="s">
        <v>52</v>
      </c>
      <c r="E1233" t="s">
        <v>48</v>
      </c>
      <c r="F1233" s="1">
        <v>45155</v>
      </c>
      <c r="G1233" t="s">
        <v>2479</v>
      </c>
      <c r="H1233" t="s">
        <v>2480</v>
      </c>
      <c r="I1233" t="s">
        <v>28</v>
      </c>
      <c r="J1233">
        <v>27602</v>
      </c>
      <c r="K1233">
        <v>228</v>
      </c>
      <c r="L1233" t="s">
        <v>21</v>
      </c>
      <c r="M1233" s="1">
        <v>45157</v>
      </c>
      <c r="N1233" t="s">
        <v>47</v>
      </c>
      <c r="O1233" t="s">
        <v>23</v>
      </c>
      <c r="P1233" t="str">
        <f t="shared" si="422"/>
        <v>P1232</v>
      </c>
      <c r="Q1233" t="str">
        <f t="shared" si="418"/>
        <v>Pulmonology</v>
      </c>
      <c r="R1233">
        <f t="shared" si="419"/>
        <v>2</v>
      </c>
      <c r="S1233" t="str">
        <f t="shared" ca="1" si="423"/>
        <v>No</v>
      </c>
      <c r="T1233" t="str">
        <f t="shared" ca="1" si="424"/>
        <v>Severe</v>
      </c>
      <c r="U1233" t="str">
        <f t="shared" ca="1" si="425"/>
        <v>Private Ward</v>
      </c>
      <c r="V1233" t="str">
        <f t="shared" si="426"/>
        <v>BED1232</v>
      </c>
      <c r="W1233" t="str">
        <f t="shared" ca="1" si="427"/>
        <v>General</v>
      </c>
      <c r="X1233" t="str">
        <f t="shared" si="428"/>
        <v>NUR032</v>
      </c>
      <c r="Y1233" t="str">
        <f t="shared" ca="1" si="429"/>
        <v>Morning</v>
      </c>
      <c r="Z1233" t="str">
        <f t="shared" ca="1" si="430"/>
        <v>MRI Scanner</v>
      </c>
      <c r="AA1233" t="str">
        <f t="shared" ca="1" si="431"/>
        <v>Available</v>
      </c>
      <c r="AB1233" t="str">
        <f t="shared" ca="1" si="432"/>
        <v>Pending</v>
      </c>
      <c r="AC1233" t="str">
        <f t="shared" ca="1" si="433"/>
        <v>Insurance</v>
      </c>
      <c r="AD1233" t="str">
        <f t="shared" ca="1" si="434"/>
        <v>Yes</v>
      </c>
      <c r="AE1233" t="str">
        <f t="shared" ca="1" si="435"/>
        <v>No</v>
      </c>
      <c r="AF1233" t="str">
        <f t="shared" ca="1" si="436"/>
        <v>Recovered</v>
      </c>
      <c r="AG1233" t="str">
        <f t="shared" ca="1" si="437"/>
        <v>Northeast</v>
      </c>
      <c r="AH1233" t="str">
        <f t="shared" si="420"/>
        <v>August</v>
      </c>
      <c r="AI1233">
        <f t="shared" si="421"/>
        <v>2023</v>
      </c>
      <c r="AJ1233" t="str">
        <f t="shared" ca="1" si="438"/>
        <v>Occupied</v>
      </c>
      <c r="AK1233">
        <f t="shared" ca="1" si="439"/>
        <v>2</v>
      </c>
    </row>
    <row r="1234" spans="1:37" x14ac:dyDescent="0.3">
      <c r="A1234" t="s">
        <v>5640</v>
      </c>
      <c r="B1234">
        <v>29</v>
      </c>
      <c r="C1234" t="s">
        <v>32</v>
      </c>
      <c r="D1234" t="s">
        <v>38</v>
      </c>
      <c r="E1234" t="s">
        <v>64</v>
      </c>
      <c r="F1234" s="1">
        <v>44073</v>
      </c>
      <c r="G1234" t="s">
        <v>2481</v>
      </c>
      <c r="H1234" t="s">
        <v>2482</v>
      </c>
      <c r="I1234" t="s">
        <v>28</v>
      </c>
      <c r="J1234">
        <v>20455</v>
      </c>
      <c r="K1234">
        <v>283</v>
      </c>
      <c r="L1234" t="s">
        <v>42</v>
      </c>
      <c r="M1234" s="1">
        <v>44075</v>
      </c>
      <c r="N1234" t="s">
        <v>67</v>
      </c>
      <c r="O1234" t="s">
        <v>43</v>
      </c>
      <c r="P1234" t="str">
        <f t="shared" si="422"/>
        <v>P1233</v>
      </c>
      <c r="Q1234" t="str">
        <f t="shared" si="418"/>
        <v>Cardiology</v>
      </c>
      <c r="R1234">
        <f t="shared" si="419"/>
        <v>2</v>
      </c>
      <c r="S1234" t="str">
        <f t="shared" ca="1" si="423"/>
        <v>No</v>
      </c>
      <c r="T1234" t="str">
        <f t="shared" ca="1" si="424"/>
        <v>Mild</v>
      </c>
      <c r="U1234" t="str">
        <f t="shared" ca="1" si="425"/>
        <v>Private Ward</v>
      </c>
      <c r="V1234" t="str">
        <f t="shared" si="426"/>
        <v>BED1233</v>
      </c>
      <c r="W1234" t="str">
        <f t="shared" ca="1" si="427"/>
        <v>General</v>
      </c>
      <c r="X1234" t="str">
        <f t="shared" si="428"/>
        <v>NUR033</v>
      </c>
      <c r="Y1234" t="str">
        <f t="shared" ca="1" si="429"/>
        <v>Evening</v>
      </c>
      <c r="Z1234" t="str">
        <f t="shared" ca="1" si="430"/>
        <v>X-Ray</v>
      </c>
      <c r="AA1234" t="str">
        <f t="shared" ca="1" si="431"/>
        <v>Available</v>
      </c>
      <c r="AB1234" t="str">
        <f t="shared" ca="1" si="432"/>
        <v>Paid</v>
      </c>
      <c r="AC1234" t="str">
        <f t="shared" ca="1" si="433"/>
        <v>Cash</v>
      </c>
      <c r="AD1234" t="str">
        <f t="shared" ca="1" si="434"/>
        <v>Yes</v>
      </c>
      <c r="AE1234" t="str">
        <f t="shared" ca="1" si="435"/>
        <v>No</v>
      </c>
      <c r="AF1234" t="str">
        <f t="shared" ca="1" si="436"/>
        <v>Recovered</v>
      </c>
      <c r="AG1234" t="str">
        <f t="shared" ca="1" si="437"/>
        <v>West Coast</v>
      </c>
      <c r="AH1234" t="str">
        <f t="shared" si="420"/>
        <v>August</v>
      </c>
      <c r="AI1234">
        <f t="shared" si="421"/>
        <v>2020</v>
      </c>
      <c r="AJ1234" t="str">
        <f t="shared" ca="1" si="438"/>
        <v>Occupied</v>
      </c>
      <c r="AK1234">
        <f t="shared" ca="1" si="439"/>
        <v>1</v>
      </c>
    </row>
    <row r="1235" spans="1:37" x14ac:dyDescent="0.3">
      <c r="A1235" t="s">
        <v>5641</v>
      </c>
      <c r="B1235">
        <v>65</v>
      </c>
      <c r="C1235" t="s">
        <v>32</v>
      </c>
      <c r="D1235" t="s">
        <v>24</v>
      </c>
      <c r="E1235" t="s">
        <v>25</v>
      </c>
      <c r="F1235" s="1">
        <v>43957</v>
      </c>
      <c r="G1235" t="s">
        <v>2483</v>
      </c>
      <c r="H1235" t="s">
        <v>2484</v>
      </c>
      <c r="I1235" t="s">
        <v>36</v>
      </c>
      <c r="J1235">
        <v>11493</v>
      </c>
      <c r="K1235">
        <v>116</v>
      </c>
      <c r="L1235" t="s">
        <v>29</v>
      </c>
      <c r="M1235" s="1">
        <v>43966</v>
      </c>
      <c r="N1235" t="s">
        <v>67</v>
      </c>
      <c r="O1235" t="s">
        <v>31</v>
      </c>
      <c r="P1235" t="str">
        <f t="shared" si="422"/>
        <v>P1234</v>
      </c>
      <c r="Q1235" t="str">
        <f t="shared" si="418"/>
        <v>Nutrition</v>
      </c>
      <c r="R1235">
        <f t="shared" si="419"/>
        <v>9</v>
      </c>
      <c r="S1235" t="str">
        <f t="shared" ca="1" si="423"/>
        <v>No</v>
      </c>
      <c r="T1235" t="str">
        <f t="shared" ca="1" si="424"/>
        <v>Severe</v>
      </c>
      <c r="U1235" t="str">
        <f t="shared" ca="1" si="425"/>
        <v>ICU</v>
      </c>
      <c r="V1235" t="str">
        <f t="shared" si="426"/>
        <v>BED1234</v>
      </c>
      <c r="W1235" t="str">
        <f t="shared" ca="1" si="427"/>
        <v>Semi-Private</v>
      </c>
      <c r="X1235" t="str">
        <f t="shared" si="428"/>
        <v>NUR034</v>
      </c>
      <c r="Y1235" t="str">
        <f t="shared" ca="1" si="429"/>
        <v>Evening</v>
      </c>
      <c r="Z1235" t="str">
        <f t="shared" ca="1" si="430"/>
        <v>ECG Machine</v>
      </c>
      <c r="AA1235" t="str">
        <f t="shared" ca="1" si="431"/>
        <v>In Use</v>
      </c>
      <c r="AB1235" t="str">
        <f t="shared" ca="1" si="432"/>
        <v>Pending</v>
      </c>
      <c r="AC1235" t="str">
        <f t="shared" ca="1" si="433"/>
        <v>Debit Card</v>
      </c>
      <c r="AD1235" t="str">
        <f t="shared" ca="1" si="434"/>
        <v>No</v>
      </c>
      <c r="AE1235" t="str">
        <f t="shared" ca="1" si="435"/>
        <v>No</v>
      </c>
      <c r="AF1235" t="str">
        <f t="shared" ca="1" si="436"/>
        <v>Recovered</v>
      </c>
      <c r="AG1235" t="str">
        <f t="shared" ca="1" si="437"/>
        <v>Southeast</v>
      </c>
      <c r="AH1235" t="str">
        <f t="shared" si="420"/>
        <v>May</v>
      </c>
      <c r="AI1235">
        <f t="shared" si="421"/>
        <v>2020</v>
      </c>
      <c r="AJ1235" t="str">
        <f t="shared" ca="1" si="438"/>
        <v>Occupied</v>
      </c>
      <c r="AK1235">
        <f t="shared" ca="1" si="439"/>
        <v>1</v>
      </c>
    </row>
    <row r="1236" spans="1:37" x14ac:dyDescent="0.3">
      <c r="A1236" t="s">
        <v>5642</v>
      </c>
      <c r="B1236">
        <v>26</v>
      </c>
      <c r="C1236" t="s">
        <v>32</v>
      </c>
      <c r="D1236" t="s">
        <v>83</v>
      </c>
      <c r="E1236" t="s">
        <v>64</v>
      </c>
      <c r="F1236" s="1">
        <v>45376</v>
      </c>
      <c r="G1236" t="s">
        <v>2485</v>
      </c>
      <c r="H1236" t="s">
        <v>2486</v>
      </c>
      <c r="I1236" t="s">
        <v>51</v>
      </c>
      <c r="J1236">
        <v>46095</v>
      </c>
      <c r="K1236">
        <v>452</v>
      </c>
      <c r="L1236" t="s">
        <v>42</v>
      </c>
      <c r="M1236" s="1">
        <v>45381</v>
      </c>
      <c r="N1236" t="s">
        <v>47</v>
      </c>
      <c r="O1236" t="s">
        <v>43</v>
      </c>
      <c r="P1236" t="str">
        <f t="shared" si="422"/>
        <v>P1235</v>
      </c>
      <c r="Q1236" t="str">
        <f t="shared" si="418"/>
        <v>Cardiology</v>
      </c>
      <c r="R1236">
        <f t="shared" si="419"/>
        <v>5</v>
      </c>
      <c r="S1236" t="str">
        <f t="shared" ca="1" si="423"/>
        <v>No</v>
      </c>
      <c r="T1236" t="str">
        <f t="shared" ca="1" si="424"/>
        <v>Severe</v>
      </c>
      <c r="U1236" t="str">
        <f t="shared" ca="1" si="425"/>
        <v>Private Ward</v>
      </c>
      <c r="V1236" t="str">
        <f t="shared" si="426"/>
        <v>BED1235</v>
      </c>
      <c r="W1236" t="str">
        <f t="shared" ca="1" si="427"/>
        <v>Private</v>
      </c>
      <c r="X1236" t="str">
        <f t="shared" si="428"/>
        <v>NUR035</v>
      </c>
      <c r="Y1236" t="str">
        <f t="shared" ca="1" si="429"/>
        <v>Night</v>
      </c>
      <c r="Z1236" t="str">
        <f t="shared" ca="1" si="430"/>
        <v>CT Scanner</v>
      </c>
      <c r="AA1236" t="str">
        <f t="shared" ca="1" si="431"/>
        <v>In Use</v>
      </c>
      <c r="AB1236" t="str">
        <f t="shared" ca="1" si="432"/>
        <v>Partially Paid</v>
      </c>
      <c r="AC1236" t="str">
        <f t="shared" ca="1" si="433"/>
        <v>Cash</v>
      </c>
      <c r="AD1236" t="str">
        <f t="shared" ca="1" si="434"/>
        <v>Yes</v>
      </c>
      <c r="AE1236" t="str">
        <f t="shared" ca="1" si="435"/>
        <v>No</v>
      </c>
      <c r="AF1236" t="str">
        <f t="shared" ca="1" si="436"/>
        <v>Recovered</v>
      </c>
      <c r="AG1236" t="str">
        <f t="shared" ca="1" si="437"/>
        <v>Midwest</v>
      </c>
      <c r="AH1236" t="str">
        <f t="shared" si="420"/>
        <v>March</v>
      </c>
      <c r="AI1236">
        <f t="shared" si="421"/>
        <v>2024</v>
      </c>
      <c r="AJ1236" t="str">
        <f t="shared" ca="1" si="438"/>
        <v>Occupied</v>
      </c>
      <c r="AK1236">
        <f t="shared" ca="1" si="439"/>
        <v>1</v>
      </c>
    </row>
    <row r="1237" spans="1:37" x14ac:dyDescent="0.3">
      <c r="A1237" t="s">
        <v>5643</v>
      </c>
      <c r="B1237">
        <v>53</v>
      </c>
      <c r="C1237" t="s">
        <v>15</v>
      </c>
      <c r="D1237" t="s">
        <v>16</v>
      </c>
      <c r="E1237" t="s">
        <v>17</v>
      </c>
      <c r="F1237" s="1">
        <v>44143</v>
      </c>
      <c r="G1237" t="s">
        <v>2487</v>
      </c>
      <c r="H1237" t="s">
        <v>2488</v>
      </c>
      <c r="I1237" t="s">
        <v>20</v>
      </c>
      <c r="J1237">
        <v>17616</v>
      </c>
      <c r="K1237">
        <v>219</v>
      </c>
      <c r="L1237" t="s">
        <v>42</v>
      </c>
      <c r="M1237" s="1">
        <v>44151</v>
      </c>
      <c r="N1237" t="s">
        <v>22</v>
      </c>
      <c r="O1237" t="s">
        <v>23</v>
      </c>
      <c r="P1237" t="str">
        <f t="shared" si="422"/>
        <v>P1236</v>
      </c>
      <c r="Q1237" t="str">
        <f t="shared" si="418"/>
        <v>Oncology</v>
      </c>
      <c r="R1237">
        <f t="shared" si="419"/>
        <v>8</v>
      </c>
      <c r="S1237" t="str">
        <f t="shared" ca="1" si="423"/>
        <v>No</v>
      </c>
      <c r="T1237" t="str">
        <f t="shared" ca="1" si="424"/>
        <v>Critical</v>
      </c>
      <c r="U1237" t="str">
        <f t="shared" ca="1" si="425"/>
        <v>ICU</v>
      </c>
      <c r="V1237" t="str">
        <f t="shared" si="426"/>
        <v>BED1236</v>
      </c>
      <c r="W1237" t="str">
        <f t="shared" ca="1" si="427"/>
        <v>ICU</v>
      </c>
      <c r="X1237" t="str">
        <f t="shared" si="428"/>
        <v>NUR036</v>
      </c>
      <c r="Y1237" t="str">
        <f t="shared" ca="1" si="429"/>
        <v>Morning</v>
      </c>
      <c r="Z1237" t="str">
        <f t="shared" ca="1" si="430"/>
        <v>X-Ray</v>
      </c>
      <c r="AA1237" t="str">
        <f t="shared" ca="1" si="431"/>
        <v>Maintenance</v>
      </c>
      <c r="AB1237" t="str">
        <f t="shared" ca="1" si="432"/>
        <v>Paid</v>
      </c>
      <c r="AC1237" t="str">
        <f t="shared" ca="1" si="433"/>
        <v>Debit Card</v>
      </c>
      <c r="AD1237" t="str">
        <f t="shared" ca="1" si="434"/>
        <v>No</v>
      </c>
      <c r="AE1237" t="str">
        <f t="shared" ca="1" si="435"/>
        <v>No</v>
      </c>
      <c r="AF1237" t="str">
        <f t="shared" ca="1" si="436"/>
        <v>Transferred</v>
      </c>
      <c r="AG1237" t="str">
        <f t="shared" ca="1" si="437"/>
        <v>Midwest</v>
      </c>
      <c r="AH1237" t="str">
        <f t="shared" si="420"/>
        <v>November</v>
      </c>
      <c r="AI1237">
        <f t="shared" si="421"/>
        <v>2020</v>
      </c>
      <c r="AJ1237" t="str">
        <f t="shared" ca="1" si="438"/>
        <v>Occupied</v>
      </c>
      <c r="AK1237">
        <f t="shared" ca="1" si="439"/>
        <v>2</v>
      </c>
    </row>
    <row r="1238" spans="1:37" x14ac:dyDescent="0.3">
      <c r="A1238" t="s">
        <v>5644</v>
      </c>
      <c r="B1238">
        <v>46</v>
      </c>
      <c r="C1238" t="s">
        <v>32</v>
      </c>
      <c r="D1238" t="s">
        <v>33</v>
      </c>
      <c r="E1238" t="s">
        <v>17</v>
      </c>
      <c r="F1238" s="1">
        <v>43717</v>
      </c>
      <c r="G1238" t="s">
        <v>2489</v>
      </c>
      <c r="H1238" t="s">
        <v>2490</v>
      </c>
      <c r="I1238" t="s">
        <v>28</v>
      </c>
      <c r="J1238">
        <v>46962</v>
      </c>
      <c r="K1238">
        <v>185</v>
      </c>
      <c r="L1238" t="s">
        <v>21</v>
      </c>
      <c r="M1238" s="1">
        <v>43731</v>
      </c>
      <c r="N1238" t="s">
        <v>22</v>
      </c>
      <c r="O1238" t="s">
        <v>23</v>
      </c>
      <c r="P1238" t="str">
        <f t="shared" si="422"/>
        <v>P1237</v>
      </c>
      <c r="Q1238" t="str">
        <f t="shared" si="418"/>
        <v>Oncology</v>
      </c>
      <c r="R1238">
        <f t="shared" si="419"/>
        <v>14</v>
      </c>
      <c r="S1238" t="str">
        <f t="shared" ca="1" si="423"/>
        <v>No</v>
      </c>
      <c r="T1238" t="str">
        <f t="shared" ca="1" si="424"/>
        <v>Moderate</v>
      </c>
      <c r="U1238" t="str">
        <f t="shared" ca="1" si="425"/>
        <v>General Ward</v>
      </c>
      <c r="V1238" t="str">
        <f t="shared" si="426"/>
        <v>BED1237</v>
      </c>
      <c r="W1238" t="str">
        <f t="shared" ca="1" si="427"/>
        <v>ICU</v>
      </c>
      <c r="X1238" t="str">
        <f t="shared" si="428"/>
        <v>NUR037</v>
      </c>
      <c r="Y1238" t="str">
        <f t="shared" ca="1" si="429"/>
        <v>Morning</v>
      </c>
      <c r="Z1238" t="str">
        <f t="shared" ca="1" si="430"/>
        <v>X-Ray</v>
      </c>
      <c r="AA1238" t="str">
        <f t="shared" ca="1" si="431"/>
        <v>In Use</v>
      </c>
      <c r="AB1238" t="str">
        <f t="shared" ca="1" si="432"/>
        <v>Partially Paid</v>
      </c>
      <c r="AC1238" t="str">
        <f t="shared" ca="1" si="433"/>
        <v>Insurance</v>
      </c>
      <c r="AD1238" t="str">
        <f t="shared" ca="1" si="434"/>
        <v>No</v>
      </c>
      <c r="AE1238" t="str">
        <f t="shared" ca="1" si="435"/>
        <v>No</v>
      </c>
      <c r="AF1238" t="str">
        <f t="shared" ca="1" si="436"/>
        <v>Recovered</v>
      </c>
      <c r="AG1238" t="str">
        <f t="shared" ca="1" si="437"/>
        <v>West Coast</v>
      </c>
      <c r="AH1238" t="str">
        <f t="shared" si="420"/>
        <v>September</v>
      </c>
      <c r="AI1238">
        <f t="shared" si="421"/>
        <v>2019</v>
      </c>
      <c r="AJ1238" t="str">
        <f t="shared" ca="1" si="438"/>
        <v>Vacant</v>
      </c>
      <c r="AK1238">
        <f t="shared" ca="1" si="439"/>
        <v>4</v>
      </c>
    </row>
    <row r="1239" spans="1:37" x14ac:dyDescent="0.3">
      <c r="A1239" t="s">
        <v>5645</v>
      </c>
      <c r="B1239">
        <v>25</v>
      </c>
      <c r="C1239" t="s">
        <v>15</v>
      </c>
      <c r="D1239" t="s">
        <v>83</v>
      </c>
      <c r="E1239" t="s">
        <v>48</v>
      </c>
      <c r="F1239" s="1">
        <v>43614</v>
      </c>
      <c r="G1239" t="s">
        <v>2491</v>
      </c>
      <c r="H1239" t="s">
        <v>2492</v>
      </c>
      <c r="I1239" t="s">
        <v>28</v>
      </c>
      <c r="J1239">
        <v>21952</v>
      </c>
      <c r="K1239">
        <v>497</v>
      </c>
      <c r="L1239" t="s">
        <v>29</v>
      </c>
      <c r="M1239" s="1">
        <v>43643</v>
      </c>
      <c r="N1239" t="s">
        <v>30</v>
      </c>
      <c r="O1239" t="s">
        <v>43</v>
      </c>
      <c r="P1239" t="str">
        <f t="shared" si="422"/>
        <v>P1238</v>
      </c>
      <c r="Q1239" t="str">
        <f t="shared" si="418"/>
        <v>Pulmonology</v>
      </c>
      <c r="R1239">
        <f t="shared" si="419"/>
        <v>29</v>
      </c>
      <c r="S1239" t="str">
        <f t="shared" ca="1" si="423"/>
        <v>Yes</v>
      </c>
      <c r="T1239" t="str">
        <f t="shared" ca="1" si="424"/>
        <v>Critical</v>
      </c>
      <c r="U1239" t="str">
        <f t="shared" ca="1" si="425"/>
        <v>Semi-Private</v>
      </c>
      <c r="V1239" t="str">
        <f t="shared" si="426"/>
        <v>BED1238</v>
      </c>
      <c r="W1239" t="str">
        <f t="shared" ca="1" si="427"/>
        <v>Private</v>
      </c>
      <c r="X1239" t="str">
        <f t="shared" si="428"/>
        <v>NUR038</v>
      </c>
      <c r="Y1239" t="str">
        <f t="shared" ca="1" si="429"/>
        <v>Evening</v>
      </c>
      <c r="Z1239" t="str">
        <f t="shared" ca="1" si="430"/>
        <v>Ultrasound</v>
      </c>
      <c r="AA1239" t="str">
        <f t="shared" ca="1" si="431"/>
        <v>Available</v>
      </c>
      <c r="AB1239" t="str">
        <f t="shared" ca="1" si="432"/>
        <v>Paid</v>
      </c>
      <c r="AC1239" t="str">
        <f t="shared" ca="1" si="433"/>
        <v>Cash</v>
      </c>
      <c r="AD1239" t="str">
        <f t="shared" ca="1" si="434"/>
        <v>Yes</v>
      </c>
      <c r="AE1239" t="str">
        <f t="shared" ca="1" si="435"/>
        <v>No</v>
      </c>
      <c r="AF1239" t="str">
        <f t="shared" ca="1" si="436"/>
        <v>Recovered</v>
      </c>
      <c r="AG1239" t="str">
        <f t="shared" ca="1" si="437"/>
        <v>Southwest</v>
      </c>
      <c r="AH1239" t="str">
        <f t="shared" si="420"/>
        <v>May</v>
      </c>
      <c r="AI1239">
        <f t="shared" si="421"/>
        <v>2019</v>
      </c>
      <c r="AJ1239" t="str">
        <f t="shared" ca="1" si="438"/>
        <v>Vacant</v>
      </c>
      <c r="AK1239">
        <f t="shared" ca="1" si="439"/>
        <v>1</v>
      </c>
    </row>
    <row r="1240" spans="1:37" x14ac:dyDescent="0.3">
      <c r="A1240" t="s">
        <v>5646</v>
      </c>
      <c r="B1240">
        <v>18</v>
      </c>
      <c r="C1240" t="s">
        <v>15</v>
      </c>
      <c r="D1240" t="s">
        <v>24</v>
      </c>
      <c r="E1240" t="s">
        <v>17</v>
      </c>
      <c r="F1240" s="1">
        <v>44249</v>
      </c>
      <c r="G1240" t="s">
        <v>2493</v>
      </c>
      <c r="H1240" t="s">
        <v>2494</v>
      </c>
      <c r="I1240" t="s">
        <v>28</v>
      </c>
      <c r="J1240">
        <v>29004</v>
      </c>
      <c r="K1240">
        <v>325</v>
      </c>
      <c r="L1240" t="s">
        <v>42</v>
      </c>
      <c r="M1240" s="1">
        <v>44271</v>
      </c>
      <c r="N1240" t="s">
        <v>30</v>
      </c>
      <c r="O1240" t="s">
        <v>31</v>
      </c>
      <c r="P1240" t="str">
        <f t="shared" si="422"/>
        <v>P1239</v>
      </c>
      <c r="Q1240" t="str">
        <f t="shared" si="418"/>
        <v>Oncology</v>
      </c>
      <c r="R1240">
        <f t="shared" si="419"/>
        <v>22</v>
      </c>
      <c r="S1240" t="str">
        <f t="shared" ca="1" si="423"/>
        <v>No</v>
      </c>
      <c r="T1240" t="str">
        <f t="shared" ca="1" si="424"/>
        <v>Critical</v>
      </c>
      <c r="U1240" t="str">
        <f t="shared" ca="1" si="425"/>
        <v>Private Ward</v>
      </c>
      <c r="V1240" t="str">
        <f t="shared" si="426"/>
        <v>BED1239</v>
      </c>
      <c r="W1240" t="str">
        <f t="shared" ca="1" si="427"/>
        <v>ICU</v>
      </c>
      <c r="X1240" t="str">
        <f t="shared" si="428"/>
        <v>NUR039</v>
      </c>
      <c r="Y1240" t="str">
        <f t="shared" ca="1" si="429"/>
        <v>Evening</v>
      </c>
      <c r="Z1240" t="str">
        <f t="shared" ca="1" si="430"/>
        <v>Ultrasound</v>
      </c>
      <c r="AA1240" t="str">
        <f t="shared" ca="1" si="431"/>
        <v>In Use</v>
      </c>
      <c r="AB1240" t="str">
        <f t="shared" ca="1" si="432"/>
        <v>Pending</v>
      </c>
      <c r="AC1240" t="str">
        <f t="shared" ca="1" si="433"/>
        <v>Cash</v>
      </c>
      <c r="AD1240" t="str">
        <f t="shared" ca="1" si="434"/>
        <v>No</v>
      </c>
      <c r="AE1240" t="str">
        <f t="shared" ca="1" si="435"/>
        <v>No</v>
      </c>
      <c r="AF1240" t="str">
        <f t="shared" ca="1" si="436"/>
        <v>Recovered</v>
      </c>
      <c r="AG1240" t="str">
        <f t="shared" ca="1" si="437"/>
        <v>Southeast</v>
      </c>
      <c r="AH1240" t="str">
        <f t="shared" si="420"/>
        <v>February</v>
      </c>
      <c r="AI1240">
        <f t="shared" si="421"/>
        <v>2021</v>
      </c>
      <c r="AJ1240" t="str">
        <f t="shared" ca="1" si="438"/>
        <v>Occupied</v>
      </c>
      <c r="AK1240">
        <f t="shared" ca="1" si="439"/>
        <v>2</v>
      </c>
    </row>
    <row r="1241" spans="1:37" x14ac:dyDescent="0.3">
      <c r="A1241" t="s">
        <v>5647</v>
      </c>
      <c r="B1241">
        <v>67</v>
      </c>
      <c r="C1241" t="s">
        <v>32</v>
      </c>
      <c r="D1241" t="s">
        <v>16</v>
      </c>
      <c r="E1241" t="s">
        <v>25</v>
      </c>
      <c r="F1241" s="1">
        <v>44317</v>
      </c>
      <c r="G1241" t="s">
        <v>2495</v>
      </c>
      <c r="H1241" t="s">
        <v>2496</v>
      </c>
      <c r="I1241" t="s">
        <v>51</v>
      </c>
      <c r="J1241">
        <v>18561</v>
      </c>
      <c r="K1241">
        <v>411</v>
      </c>
      <c r="L1241" t="s">
        <v>29</v>
      </c>
      <c r="M1241" s="1">
        <v>44342</v>
      </c>
      <c r="N1241" t="s">
        <v>30</v>
      </c>
      <c r="O1241" t="s">
        <v>31</v>
      </c>
      <c r="P1241" t="str">
        <f t="shared" si="422"/>
        <v>P1240</v>
      </c>
      <c r="Q1241" t="str">
        <f t="shared" si="418"/>
        <v>Nutrition</v>
      </c>
      <c r="R1241">
        <f t="shared" si="419"/>
        <v>25</v>
      </c>
      <c r="S1241" t="str">
        <f t="shared" ca="1" si="423"/>
        <v>No</v>
      </c>
      <c r="T1241" t="str">
        <f t="shared" ca="1" si="424"/>
        <v>Moderate</v>
      </c>
      <c r="U1241" t="str">
        <f t="shared" ca="1" si="425"/>
        <v>Semi-Private</v>
      </c>
      <c r="V1241" t="str">
        <f t="shared" si="426"/>
        <v>BED1240</v>
      </c>
      <c r="W1241" t="str">
        <f t="shared" ca="1" si="427"/>
        <v>Semi-Private</v>
      </c>
      <c r="X1241" t="str">
        <f t="shared" si="428"/>
        <v>NUR040</v>
      </c>
      <c r="Y1241" t="str">
        <f t="shared" ca="1" si="429"/>
        <v>Evening</v>
      </c>
      <c r="Z1241" t="str">
        <f t="shared" ca="1" si="430"/>
        <v>Ventilator</v>
      </c>
      <c r="AA1241" t="str">
        <f t="shared" ca="1" si="431"/>
        <v>Available</v>
      </c>
      <c r="AB1241" t="str">
        <f t="shared" ca="1" si="432"/>
        <v>Paid</v>
      </c>
      <c r="AC1241" t="str">
        <f t="shared" ca="1" si="433"/>
        <v>Insurance</v>
      </c>
      <c r="AD1241" t="str">
        <f t="shared" ca="1" si="434"/>
        <v>No</v>
      </c>
      <c r="AE1241" t="str">
        <f t="shared" ca="1" si="435"/>
        <v>No</v>
      </c>
      <c r="AF1241" t="str">
        <f t="shared" ca="1" si="436"/>
        <v>Recovered</v>
      </c>
      <c r="AG1241" t="str">
        <f t="shared" ca="1" si="437"/>
        <v>Southeast</v>
      </c>
      <c r="AH1241" t="str">
        <f t="shared" si="420"/>
        <v>May</v>
      </c>
      <c r="AI1241">
        <f t="shared" si="421"/>
        <v>2021</v>
      </c>
      <c r="AJ1241" t="str">
        <f t="shared" ca="1" si="438"/>
        <v>Vacant</v>
      </c>
      <c r="AK1241">
        <f t="shared" ca="1" si="439"/>
        <v>2</v>
      </c>
    </row>
    <row r="1242" spans="1:37" x14ac:dyDescent="0.3">
      <c r="A1242" t="s">
        <v>5648</v>
      </c>
      <c r="B1242">
        <v>25</v>
      </c>
      <c r="C1242" t="s">
        <v>32</v>
      </c>
      <c r="D1242" t="s">
        <v>16</v>
      </c>
      <c r="E1242" t="s">
        <v>17</v>
      </c>
      <c r="F1242" s="1">
        <v>44685</v>
      </c>
      <c r="G1242" t="s">
        <v>2497</v>
      </c>
      <c r="H1242" t="s">
        <v>2498</v>
      </c>
      <c r="I1242" t="s">
        <v>28</v>
      </c>
      <c r="J1242">
        <v>50081</v>
      </c>
      <c r="K1242">
        <v>318</v>
      </c>
      <c r="L1242" t="s">
        <v>42</v>
      </c>
      <c r="M1242" s="1">
        <v>44698</v>
      </c>
      <c r="N1242" t="s">
        <v>30</v>
      </c>
      <c r="O1242" t="s">
        <v>23</v>
      </c>
      <c r="P1242" t="str">
        <f t="shared" si="422"/>
        <v>P1241</v>
      </c>
      <c r="Q1242" t="str">
        <f t="shared" si="418"/>
        <v>Oncology</v>
      </c>
      <c r="R1242">
        <f t="shared" si="419"/>
        <v>13</v>
      </c>
      <c r="S1242" t="str">
        <f t="shared" ca="1" si="423"/>
        <v>No</v>
      </c>
      <c r="T1242" t="str">
        <f t="shared" ca="1" si="424"/>
        <v>Moderate</v>
      </c>
      <c r="U1242" t="str">
        <f t="shared" ca="1" si="425"/>
        <v>ICU</v>
      </c>
      <c r="V1242" t="str">
        <f t="shared" si="426"/>
        <v>BED1241</v>
      </c>
      <c r="W1242" t="str">
        <f t="shared" ca="1" si="427"/>
        <v>Semi-Private</v>
      </c>
      <c r="X1242" t="str">
        <f t="shared" si="428"/>
        <v>NUR041</v>
      </c>
      <c r="Y1242" t="str">
        <f t="shared" ca="1" si="429"/>
        <v>Evening</v>
      </c>
      <c r="Z1242" t="str">
        <f t="shared" ca="1" si="430"/>
        <v>MRI Scanner</v>
      </c>
      <c r="AA1242" t="str">
        <f t="shared" ca="1" si="431"/>
        <v>Maintenance</v>
      </c>
      <c r="AB1242" t="str">
        <f t="shared" ca="1" si="432"/>
        <v>Partially Paid</v>
      </c>
      <c r="AC1242" t="str">
        <f t="shared" ca="1" si="433"/>
        <v>Credit Card</v>
      </c>
      <c r="AD1242" t="str">
        <f t="shared" ca="1" si="434"/>
        <v>No</v>
      </c>
      <c r="AE1242" t="str">
        <f t="shared" ca="1" si="435"/>
        <v>Yes</v>
      </c>
      <c r="AF1242" t="str">
        <f t="shared" ca="1" si="436"/>
        <v>Under Observation</v>
      </c>
      <c r="AG1242" t="str">
        <f t="shared" ca="1" si="437"/>
        <v>Southeast</v>
      </c>
      <c r="AH1242" t="str">
        <f t="shared" si="420"/>
        <v>May</v>
      </c>
      <c r="AI1242">
        <f t="shared" si="421"/>
        <v>2022</v>
      </c>
      <c r="AJ1242" t="str">
        <f t="shared" ca="1" si="438"/>
        <v>Occupied</v>
      </c>
      <c r="AK1242">
        <f t="shared" ca="1" si="439"/>
        <v>2</v>
      </c>
    </row>
    <row r="1243" spans="1:37" x14ac:dyDescent="0.3">
      <c r="A1243" t="s">
        <v>5649</v>
      </c>
      <c r="B1243">
        <v>24</v>
      </c>
      <c r="C1243" t="s">
        <v>15</v>
      </c>
      <c r="D1243" t="s">
        <v>44</v>
      </c>
      <c r="E1243" t="s">
        <v>25</v>
      </c>
      <c r="F1243" s="1">
        <v>45104</v>
      </c>
      <c r="G1243" t="s">
        <v>2499</v>
      </c>
      <c r="H1243" t="s">
        <v>2500</v>
      </c>
      <c r="I1243" t="s">
        <v>57</v>
      </c>
      <c r="J1243">
        <v>39019</v>
      </c>
      <c r="K1243">
        <v>176</v>
      </c>
      <c r="L1243" t="s">
        <v>29</v>
      </c>
      <c r="M1243" s="1">
        <v>45116</v>
      </c>
      <c r="N1243" t="s">
        <v>30</v>
      </c>
      <c r="O1243" t="s">
        <v>43</v>
      </c>
      <c r="P1243" t="str">
        <f t="shared" si="422"/>
        <v>P1242</v>
      </c>
      <c r="Q1243" t="str">
        <f t="shared" si="418"/>
        <v>Nutrition</v>
      </c>
      <c r="R1243">
        <f t="shared" si="419"/>
        <v>12</v>
      </c>
      <c r="S1243" t="str">
        <f t="shared" ca="1" si="423"/>
        <v>No</v>
      </c>
      <c r="T1243" t="str">
        <f t="shared" ca="1" si="424"/>
        <v>Moderate</v>
      </c>
      <c r="U1243" t="str">
        <f t="shared" ca="1" si="425"/>
        <v>Private Ward</v>
      </c>
      <c r="V1243" t="str">
        <f t="shared" si="426"/>
        <v>BED1242</v>
      </c>
      <c r="W1243" t="str">
        <f t="shared" ca="1" si="427"/>
        <v>ICU</v>
      </c>
      <c r="X1243" t="str">
        <f t="shared" si="428"/>
        <v>NUR042</v>
      </c>
      <c r="Y1243" t="str">
        <f t="shared" ca="1" si="429"/>
        <v>Night</v>
      </c>
      <c r="Z1243" t="str">
        <f t="shared" ca="1" si="430"/>
        <v>ECG Machine</v>
      </c>
      <c r="AA1243" t="str">
        <f t="shared" ca="1" si="431"/>
        <v>In Use</v>
      </c>
      <c r="AB1243" t="str">
        <f t="shared" ca="1" si="432"/>
        <v>Pending</v>
      </c>
      <c r="AC1243" t="str">
        <f t="shared" ca="1" si="433"/>
        <v>Insurance</v>
      </c>
      <c r="AD1243" t="str">
        <f t="shared" ca="1" si="434"/>
        <v>No</v>
      </c>
      <c r="AE1243" t="str">
        <f t="shared" ca="1" si="435"/>
        <v>Yes</v>
      </c>
      <c r="AF1243" t="str">
        <f t="shared" ca="1" si="436"/>
        <v>Under Observation</v>
      </c>
      <c r="AG1243" t="str">
        <f t="shared" ca="1" si="437"/>
        <v>Southeast</v>
      </c>
      <c r="AH1243" t="str">
        <f t="shared" si="420"/>
        <v>June</v>
      </c>
      <c r="AI1243">
        <f t="shared" si="421"/>
        <v>2023</v>
      </c>
      <c r="AJ1243" t="str">
        <f t="shared" ca="1" si="438"/>
        <v>Occupied</v>
      </c>
      <c r="AK1243">
        <f t="shared" ca="1" si="439"/>
        <v>4</v>
      </c>
    </row>
    <row r="1244" spans="1:37" x14ac:dyDescent="0.3">
      <c r="A1244" t="s">
        <v>5650</v>
      </c>
      <c r="B1244">
        <v>47</v>
      </c>
      <c r="C1244" t="s">
        <v>15</v>
      </c>
      <c r="D1244" t="s">
        <v>44</v>
      </c>
      <c r="E1244" t="s">
        <v>64</v>
      </c>
      <c r="F1244" s="1">
        <v>45051</v>
      </c>
      <c r="G1244" t="s">
        <v>2501</v>
      </c>
      <c r="H1244" t="s">
        <v>2502</v>
      </c>
      <c r="I1244" t="s">
        <v>57</v>
      </c>
      <c r="J1244">
        <v>20072</v>
      </c>
      <c r="K1244">
        <v>145</v>
      </c>
      <c r="L1244" t="s">
        <v>21</v>
      </c>
      <c r="M1244" s="1">
        <v>45064</v>
      </c>
      <c r="N1244" t="s">
        <v>47</v>
      </c>
      <c r="O1244" t="s">
        <v>31</v>
      </c>
      <c r="P1244" t="str">
        <f t="shared" si="422"/>
        <v>P1243</v>
      </c>
      <c r="Q1244" t="str">
        <f t="shared" si="418"/>
        <v>Cardiology</v>
      </c>
      <c r="R1244">
        <f t="shared" si="419"/>
        <v>13</v>
      </c>
      <c r="S1244" t="str">
        <f t="shared" ca="1" si="423"/>
        <v>No</v>
      </c>
      <c r="T1244" t="str">
        <f t="shared" ca="1" si="424"/>
        <v>Mild</v>
      </c>
      <c r="U1244" t="str">
        <f t="shared" ca="1" si="425"/>
        <v>ICU</v>
      </c>
      <c r="V1244" t="str">
        <f t="shared" si="426"/>
        <v>BED1243</v>
      </c>
      <c r="W1244" t="str">
        <f t="shared" ca="1" si="427"/>
        <v>General</v>
      </c>
      <c r="X1244" t="str">
        <f t="shared" si="428"/>
        <v>NUR043</v>
      </c>
      <c r="Y1244" t="str">
        <f t="shared" ca="1" si="429"/>
        <v>Morning</v>
      </c>
      <c r="Z1244" t="str">
        <f t="shared" ca="1" si="430"/>
        <v>X-Ray</v>
      </c>
      <c r="AA1244" t="str">
        <f t="shared" ca="1" si="431"/>
        <v>In Use</v>
      </c>
      <c r="AB1244" t="str">
        <f t="shared" ca="1" si="432"/>
        <v>Partially Paid</v>
      </c>
      <c r="AC1244" t="str">
        <f t="shared" ca="1" si="433"/>
        <v>Insurance</v>
      </c>
      <c r="AD1244" t="str">
        <f t="shared" ca="1" si="434"/>
        <v>No</v>
      </c>
      <c r="AE1244" t="str">
        <f t="shared" ca="1" si="435"/>
        <v>Yes</v>
      </c>
      <c r="AF1244" t="str">
        <f t="shared" ca="1" si="436"/>
        <v>Recovered</v>
      </c>
      <c r="AG1244" t="str">
        <f t="shared" ca="1" si="437"/>
        <v>Southeast</v>
      </c>
      <c r="AH1244" t="str">
        <f t="shared" si="420"/>
        <v>May</v>
      </c>
      <c r="AI1244">
        <f t="shared" si="421"/>
        <v>2023</v>
      </c>
      <c r="AJ1244" t="str">
        <f t="shared" ca="1" si="438"/>
        <v>Occupied</v>
      </c>
      <c r="AK1244">
        <f t="shared" ca="1" si="439"/>
        <v>4</v>
      </c>
    </row>
    <row r="1245" spans="1:37" x14ac:dyDescent="0.3">
      <c r="A1245" t="s">
        <v>5651</v>
      </c>
      <c r="B1245">
        <v>69</v>
      </c>
      <c r="C1245" t="s">
        <v>15</v>
      </c>
      <c r="D1245" t="s">
        <v>33</v>
      </c>
      <c r="E1245" t="s">
        <v>48</v>
      </c>
      <c r="F1245" s="1">
        <v>43730</v>
      </c>
      <c r="G1245" t="s">
        <v>2503</v>
      </c>
      <c r="H1245" t="s">
        <v>2504</v>
      </c>
      <c r="I1245" t="s">
        <v>28</v>
      </c>
      <c r="J1245">
        <v>30829</v>
      </c>
      <c r="K1245">
        <v>478</v>
      </c>
      <c r="L1245" t="s">
        <v>29</v>
      </c>
      <c r="M1245" s="1">
        <v>43734</v>
      </c>
      <c r="N1245" t="s">
        <v>67</v>
      </c>
      <c r="O1245" t="s">
        <v>43</v>
      </c>
      <c r="P1245" t="str">
        <f t="shared" si="422"/>
        <v>P1244</v>
      </c>
      <c r="Q1245" t="str">
        <f t="shared" si="418"/>
        <v>Pulmonology</v>
      </c>
      <c r="R1245">
        <f t="shared" si="419"/>
        <v>4</v>
      </c>
      <c r="S1245" t="str">
        <f t="shared" ca="1" si="423"/>
        <v>No</v>
      </c>
      <c r="T1245" t="str">
        <f t="shared" ca="1" si="424"/>
        <v>Moderate</v>
      </c>
      <c r="U1245" t="str">
        <f t="shared" ca="1" si="425"/>
        <v>General Ward</v>
      </c>
      <c r="V1245" t="str">
        <f t="shared" si="426"/>
        <v>BED1244</v>
      </c>
      <c r="W1245" t="str">
        <f t="shared" ca="1" si="427"/>
        <v>ICU</v>
      </c>
      <c r="X1245" t="str">
        <f t="shared" si="428"/>
        <v>NUR044</v>
      </c>
      <c r="Y1245" t="str">
        <f t="shared" ca="1" si="429"/>
        <v>Morning</v>
      </c>
      <c r="Z1245" t="str">
        <f t="shared" ca="1" si="430"/>
        <v>CT Scanner</v>
      </c>
      <c r="AA1245" t="str">
        <f t="shared" ca="1" si="431"/>
        <v>Available</v>
      </c>
      <c r="AB1245" t="str">
        <f t="shared" ca="1" si="432"/>
        <v>Partially Paid</v>
      </c>
      <c r="AC1245" t="str">
        <f t="shared" ca="1" si="433"/>
        <v>Insurance</v>
      </c>
      <c r="AD1245" t="str">
        <f t="shared" ca="1" si="434"/>
        <v>No</v>
      </c>
      <c r="AE1245" t="str">
        <f t="shared" ca="1" si="435"/>
        <v>Yes</v>
      </c>
      <c r="AF1245" t="str">
        <f t="shared" ca="1" si="436"/>
        <v>Under Observation</v>
      </c>
      <c r="AG1245" t="str">
        <f t="shared" ca="1" si="437"/>
        <v>West Coast</v>
      </c>
      <c r="AH1245" t="str">
        <f t="shared" si="420"/>
        <v>September</v>
      </c>
      <c r="AI1245">
        <f t="shared" si="421"/>
        <v>2019</v>
      </c>
      <c r="AJ1245" t="str">
        <f t="shared" ca="1" si="438"/>
        <v>Vacant</v>
      </c>
      <c r="AK1245">
        <f t="shared" ca="1" si="439"/>
        <v>1</v>
      </c>
    </row>
    <row r="1246" spans="1:37" x14ac:dyDescent="0.3">
      <c r="A1246" t="s">
        <v>5652</v>
      </c>
      <c r="B1246">
        <v>18</v>
      </c>
      <c r="C1246" t="s">
        <v>32</v>
      </c>
      <c r="D1246" t="s">
        <v>16</v>
      </c>
      <c r="E1246" t="s">
        <v>17</v>
      </c>
      <c r="F1246" s="1">
        <v>45221</v>
      </c>
      <c r="G1246" t="s">
        <v>2505</v>
      </c>
      <c r="H1246" t="s">
        <v>2506</v>
      </c>
      <c r="I1246" t="s">
        <v>57</v>
      </c>
      <c r="J1246">
        <v>47338</v>
      </c>
      <c r="K1246">
        <v>252</v>
      </c>
      <c r="L1246" t="s">
        <v>42</v>
      </c>
      <c r="M1246" s="1">
        <v>45246</v>
      </c>
      <c r="N1246" t="s">
        <v>22</v>
      </c>
      <c r="O1246" t="s">
        <v>43</v>
      </c>
      <c r="P1246" t="str">
        <f t="shared" si="422"/>
        <v>P1245</v>
      </c>
      <c r="Q1246" t="str">
        <f t="shared" si="418"/>
        <v>Oncology</v>
      </c>
      <c r="R1246">
        <f t="shared" si="419"/>
        <v>25</v>
      </c>
      <c r="S1246" t="str">
        <f t="shared" ca="1" si="423"/>
        <v>No</v>
      </c>
      <c r="T1246" t="str">
        <f t="shared" ca="1" si="424"/>
        <v>Mild</v>
      </c>
      <c r="U1246" t="str">
        <f t="shared" ca="1" si="425"/>
        <v>Semi-Private</v>
      </c>
      <c r="V1246" t="str">
        <f t="shared" si="426"/>
        <v>BED1245</v>
      </c>
      <c r="W1246" t="str">
        <f t="shared" ca="1" si="427"/>
        <v>ICU</v>
      </c>
      <c r="X1246" t="str">
        <f t="shared" si="428"/>
        <v>NUR045</v>
      </c>
      <c r="Y1246" t="str">
        <f t="shared" ca="1" si="429"/>
        <v>Morning</v>
      </c>
      <c r="Z1246" t="str">
        <f t="shared" ca="1" si="430"/>
        <v>X-Ray</v>
      </c>
      <c r="AA1246" t="str">
        <f t="shared" ca="1" si="431"/>
        <v>In Use</v>
      </c>
      <c r="AB1246" t="str">
        <f t="shared" ca="1" si="432"/>
        <v>Partially Paid</v>
      </c>
      <c r="AC1246" t="str">
        <f t="shared" ca="1" si="433"/>
        <v>Cash</v>
      </c>
      <c r="AD1246" t="str">
        <f t="shared" ca="1" si="434"/>
        <v>Yes</v>
      </c>
      <c r="AE1246" t="str">
        <f t="shared" ca="1" si="435"/>
        <v>No</v>
      </c>
      <c r="AF1246" t="str">
        <f t="shared" ca="1" si="436"/>
        <v>Under Observation</v>
      </c>
      <c r="AG1246" t="str">
        <f t="shared" ca="1" si="437"/>
        <v>Northeast</v>
      </c>
      <c r="AH1246" t="str">
        <f t="shared" si="420"/>
        <v>October</v>
      </c>
      <c r="AI1246">
        <f t="shared" si="421"/>
        <v>2023</v>
      </c>
      <c r="AJ1246" t="str">
        <f t="shared" ca="1" si="438"/>
        <v>Occupied</v>
      </c>
      <c r="AK1246">
        <f t="shared" ca="1" si="439"/>
        <v>2</v>
      </c>
    </row>
    <row r="1247" spans="1:37" x14ac:dyDescent="0.3">
      <c r="A1247" t="s">
        <v>5653</v>
      </c>
      <c r="B1247">
        <v>53</v>
      </c>
      <c r="C1247" t="s">
        <v>15</v>
      </c>
      <c r="D1247" t="s">
        <v>24</v>
      </c>
      <c r="E1247" t="s">
        <v>64</v>
      </c>
      <c r="F1247" s="1">
        <v>44441</v>
      </c>
      <c r="G1247" t="s">
        <v>2507</v>
      </c>
      <c r="H1247" t="s">
        <v>2508</v>
      </c>
      <c r="I1247" t="s">
        <v>51</v>
      </c>
      <c r="J1247">
        <v>45053</v>
      </c>
      <c r="K1247">
        <v>174</v>
      </c>
      <c r="L1247" t="s">
        <v>42</v>
      </c>
      <c r="M1247" s="1">
        <v>44448</v>
      </c>
      <c r="N1247" t="s">
        <v>22</v>
      </c>
      <c r="O1247" t="s">
        <v>43</v>
      </c>
      <c r="P1247" t="str">
        <f t="shared" si="422"/>
        <v>P1246</v>
      </c>
      <c r="Q1247" t="str">
        <f t="shared" si="418"/>
        <v>Cardiology</v>
      </c>
      <c r="R1247">
        <f t="shared" si="419"/>
        <v>7</v>
      </c>
      <c r="S1247" t="str">
        <f t="shared" ca="1" si="423"/>
        <v>No</v>
      </c>
      <c r="T1247" t="str">
        <f t="shared" ca="1" si="424"/>
        <v>Critical</v>
      </c>
      <c r="U1247" t="str">
        <f t="shared" ca="1" si="425"/>
        <v>ICU</v>
      </c>
      <c r="V1247" t="str">
        <f t="shared" si="426"/>
        <v>BED1246</v>
      </c>
      <c r="W1247" t="str">
        <f t="shared" ca="1" si="427"/>
        <v>Private</v>
      </c>
      <c r="X1247" t="str">
        <f t="shared" si="428"/>
        <v>NUR046</v>
      </c>
      <c r="Y1247" t="str">
        <f t="shared" ca="1" si="429"/>
        <v>Morning</v>
      </c>
      <c r="Z1247" t="str">
        <f t="shared" ca="1" si="430"/>
        <v>Ultrasound</v>
      </c>
      <c r="AA1247" t="str">
        <f t="shared" ca="1" si="431"/>
        <v>Maintenance</v>
      </c>
      <c r="AB1247" t="str">
        <f t="shared" ca="1" si="432"/>
        <v>Paid</v>
      </c>
      <c r="AC1247" t="str">
        <f t="shared" ca="1" si="433"/>
        <v>Insurance</v>
      </c>
      <c r="AD1247" t="str">
        <f t="shared" ca="1" si="434"/>
        <v>No</v>
      </c>
      <c r="AE1247" t="str">
        <f t="shared" ca="1" si="435"/>
        <v>No</v>
      </c>
      <c r="AF1247" t="str">
        <f t="shared" ca="1" si="436"/>
        <v>Under Observation</v>
      </c>
      <c r="AG1247" t="str">
        <f t="shared" ca="1" si="437"/>
        <v>West Coast</v>
      </c>
      <c r="AH1247" t="str">
        <f t="shared" si="420"/>
        <v>September</v>
      </c>
      <c r="AI1247">
        <f t="shared" si="421"/>
        <v>2021</v>
      </c>
      <c r="AJ1247" t="str">
        <f t="shared" ca="1" si="438"/>
        <v>Occupied</v>
      </c>
      <c r="AK1247">
        <f t="shared" ca="1" si="439"/>
        <v>4</v>
      </c>
    </row>
    <row r="1248" spans="1:37" x14ac:dyDescent="0.3">
      <c r="A1248" t="s">
        <v>2163</v>
      </c>
      <c r="B1248">
        <v>45</v>
      </c>
      <c r="C1248" t="s">
        <v>15</v>
      </c>
      <c r="D1248" t="s">
        <v>98</v>
      </c>
      <c r="E1248" t="s">
        <v>25</v>
      </c>
      <c r="F1248" s="1">
        <v>44377</v>
      </c>
      <c r="G1248" t="s">
        <v>2509</v>
      </c>
      <c r="H1248" t="s">
        <v>2510</v>
      </c>
      <c r="I1248" t="s">
        <v>28</v>
      </c>
      <c r="J1248">
        <v>32096</v>
      </c>
      <c r="K1248">
        <v>202</v>
      </c>
      <c r="L1248" t="s">
        <v>21</v>
      </c>
      <c r="M1248" s="1">
        <v>44406</v>
      </c>
      <c r="N1248" t="s">
        <v>47</v>
      </c>
      <c r="O1248" t="s">
        <v>31</v>
      </c>
      <c r="P1248" t="str">
        <f t="shared" si="422"/>
        <v>P1247</v>
      </c>
      <c r="Q1248" t="str">
        <f t="shared" si="418"/>
        <v>Nutrition</v>
      </c>
      <c r="R1248">
        <f t="shared" si="419"/>
        <v>29</v>
      </c>
      <c r="S1248" t="str">
        <f t="shared" ca="1" si="423"/>
        <v>No</v>
      </c>
      <c r="T1248" t="str">
        <f t="shared" ca="1" si="424"/>
        <v>Critical</v>
      </c>
      <c r="U1248" t="str">
        <f t="shared" ca="1" si="425"/>
        <v>Private Ward</v>
      </c>
      <c r="V1248" t="str">
        <f t="shared" si="426"/>
        <v>BED1247</v>
      </c>
      <c r="W1248" t="str">
        <f t="shared" ca="1" si="427"/>
        <v>Semi-Private</v>
      </c>
      <c r="X1248" t="str">
        <f t="shared" si="428"/>
        <v>NUR047</v>
      </c>
      <c r="Y1248" t="str">
        <f t="shared" ca="1" si="429"/>
        <v>Night</v>
      </c>
      <c r="Z1248" t="str">
        <f t="shared" ca="1" si="430"/>
        <v>Ventilator</v>
      </c>
      <c r="AA1248" t="str">
        <f t="shared" ca="1" si="431"/>
        <v>Available</v>
      </c>
      <c r="AB1248" t="str">
        <f t="shared" ca="1" si="432"/>
        <v>Paid</v>
      </c>
      <c r="AC1248" t="str">
        <f t="shared" ca="1" si="433"/>
        <v>Cash</v>
      </c>
      <c r="AD1248" t="str">
        <f t="shared" ca="1" si="434"/>
        <v>Yes</v>
      </c>
      <c r="AE1248" t="str">
        <f t="shared" ca="1" si="435"/>
        <v>No</v>
      </c>
      <c r="AF1248" t="str">
        <f t="shared" ca="1" si="436"/>
        <v>Recovered</v>
      </c>
      <c r="AG1248" t="str">
        <f t="shared" ca="1" si="437"/>
        <v>Southwest</v>
      </c>
      <c r="AH1248" t="str">
        <f t="shared" si="420"/>
        <v>June</v>
      </c>
      <c r="AI1248">
        <f t="shared" si="421"/>
        <v>2021</v>
      </c>
      <c r="AJ1248" t="str">
        <f t="shared" ca="1" si="438"/>
        <v>Occupied</v>
      </c>
      <c r="AK1248">
        <f t="shared" ca="1" si="439"/>
        <v>4</v>
      </c>
    </row>
    <row r="1249" spans="1:37" x14ac:dyDescent="0.3">
      <c r="A1249" t="s">
        <v>5654</v>
      </c>
      <c r="B1249">
        <v>50</v>
      </c>
      <c r="C1249" t="s">
        <v>32</v>
      </c>
      <c r="D1249" t="s">
        <v>52</v>
      </c>
      <c r="E1249" t="s">
        <v>17</v>
      </c>
      <c r="F1249" s="1">
        <v>45319</v>
      </c>
      <c r="G1249" t="s">
        <v>2511</v>
      </c>
      <c r="H1249" t="s">
        <v>2512</v>
      </c>
      <c r="I1249" t="s">
        <v>20</v>
      </c>
      <c r="J1249">
        <v>12150</v>
      </c>
      <c r="K1249">
        <v>375</v>
      </c>
      <c r="L1249" t="s">
        <v>21</v>
      </c>
      <c r="M1249" s="1">
        <v>45323</v>
      </c>
      <c r="N1249" t="s">
        <v>30</v>
      </c>
      <c r="O1249" t="s">
        <v>31</v>
      </c>
      <c r="P1249" t="str">
        <f t="shared" si="422"/>
        <v>P1248</v>
      </c>
      <c r="Q1249" t="str">
        <f t="shared" si="418"/>
        <v>Oncology</v>
      </c>
      <c r="R1249">
        <f t="shared" si="419"/>
        <v>4</v>
      </c>
      <c r="S1249" t="str">
        <f t="shared" ca="1" si="423"/>
        <v>No</v>
      </c>
      <c r="T1249" t="str">
        <f t="shared" ca="1" si="424"/>
        <v>Mild</v>
      </c>
      <c r="U1249" t="str">
        <f t="shared" ca="1" si="425"/>
        <v>ICU</v>
      </c>
      <c r="V1249" t="str">
        <f t="shared" si="426"/>
        <v>BED1248</v>
      </c>
      <c r="W1249" t="str">
        <f t="shared" ca="1" si="427"/>
        <v>General</v>
      </c>
      <c r="X1249" t="str">
        <f t="shared" si="428"/>
        <v>NUR048</v>
      </c>
      <c r="Y1249" t="str">
        <f t="shared" ca="1" si="429"/>
        <v>Night</v>
      </c>
      <c r="Z1249" t="str">
        <f t="shared" ca="1" si="430"/>
        <v>X-Ray</v>
      </c>
      <c r="AA1249" t="str">
        <f t="shared" ca="1" si="431"/>
        <v>Maintenance</v>
      </c>
      <c r="AB1249" t="str">
        <f t="shared" ca="1" si="432"/>
        <v>Paid</v>
      </c>
      <c r="AC1249" t="str">
        <f t="shared" ca="1" si="433"/>
        <v>Credit Card</v>
      </c>
      <c r="AD1249" t="str">
        <f t="shared" ca="1" si="434"/>
        <v>Yes</v>
      </c>
      <c r="AE1249" t="str">
        <f t="shared" ca="1" si="435"/>
        <v>No</v>
      </c>
      <c r="AF1249" t="str">
        <f t="shared" ca="1" si="436"/>
        <v>Recovered</v>
      </c>
      <c r="AG1249" t="str">
        <f t="shared" ca="1" si="437"/>
        <v>Midwest</v>
      </c>
      <c r="AH1249" t="str">
        <f t="shared" si="420"/>
        <v>January</v>
      </c>
      <c r="AI1249">
        <f t="shared" si="421"/>
        <v>2024</v>
      </c>
      <c r="AJ1249" t="str">
        <f t="shared" ca="1" si="438"/>
        <v>Occupied</v>
      </c>
      <c r="AK1249">
        <f t="shared" ca="1" si="439"/>
        <v>4</v>
      </c>
    </row>
    <row r="1250" spans="1:37" x14ac:dyDescent="0.3">
      <c r="A1250" t="s">
        <v>5655</v>
      </c>
      <c r="B1250">
        <v>51</v>
      </c>
      <c r="C1250" t="s">
        <v>32</v>
      </c>
      <c r="D1250" t="s">
        <v>44</v>
      </c>
      <c r="E1250" t="s">
        <v>39</v>
      </c>
      <c r="F1250" s="1">
        <v>44700</v>
      </c>
      <c r="G1250" t="s">
        <v>2513</v>
      </c>
      <c r="H1250" t="s">
        <v>2514</v>
      </c>
      <c r="I1250" t="s">
        <v>28</v>
      </c>
      <c r="J1250">
        <v>43475</v>
      </c>
      <c r="K1250">
        <v>262</v>
      </c>
      <c r="L1250" t="s">
        <v>21</v>
      </c>
      <c r="M1250" s="1">
        <v>44709</v>
      </c>
      <c r="N1250" t="s">
        <v>67</v>
      </c>
      <c r="O1250" t="s">
        <v>23</v>
      </c>
      <c r="P1250" t="str">
        <f t="shared" si="422"/>
        <v>P1249</v>
      </c>
      <c r="Q1250" t="str">
        <f t="shared" si="418"/>
        <v>Endocrinology</v>
      </c>
      <c r="R1250">
        <f t="shared" si="419"/>
        <v>9</v>
      </c>
      <c r="S1250" t="str">
        <f t="shared" ca="1" si="423"/>
        <v>No</v>
      </c>
      <c r="T1250" t="str">
        <f t="shared" ca="1" si="424"/>
        <v>Critical</v>
      </c>
      <c r="U1250" t="str">
        <f t="shared" ca="1" si="425"/>
        <v>Semi-Private</v>
      </c>
      <c r="V1250" t="str">
        <f t="shared" si="426"/>
        <v>BED1249</v>
      </c>
      <c r="W1250" t="str">
        <f t="shared" ca="1" si="427"/>
        <v>Private</v>
      </c>
      <c r="X1250" t="str">
        <f t="shared" si="428"/>
        <v>NUR049</v>
      </c>
      <c r="Y1250" t="str">
        <f t="shared" ca="1" si="429"/>
        <v>Evening</v>
      </c>
      <c r="Z1250" t="str">
        <f t="shared" ca="1" si="430"/>
        <v>Ultrasound</v>
      </c>
      <c r="AA1250" t="str">
        <f t="shared" ca="1" si="431"/>
        <v>Maintenance</v>
      </c>
      <c r="AB1250" t="str">
        <f t="shared" ca="1" si="432"/>
        <v>Paid</v>
      </c>
      <c r="AC1250" t="str">
        <f t="shared" ca="1" si="433"/>
        <v>Bank Transfer</v>
      </c>
      <c r="AD1250" t="str">
        <f t="shared" ca="1" si="434"/>
        <v>No</v>
      </c>
      <c r="AE1250" t="str">
        <f t="shared" ca="1" si="435"/>
        <v>No</v>
      </c>
      <c r="AF1250" t="str">
        <f t="shared" ca="1" si="436"/>
        <v>Under Observation</v>
      </c>
      <c r="AG1250" t="str">
        <f t="shared" ca="1" si="437"/>
        <v>Southeast</v>
      </c>
      <c r="AH1250" t="str">
        <f t="shared" si="420"/>
        <v>May</v>
      </c>
      <c r="AI1250">
        <f t="shared" si="421"/>
        <v>2022</v>
      </c>
      <c r="AJ1250" t="str">
        <f t="shared" ca="1" si="438"/>
        <v>Occupied</v>
      </c>
      <c r="AK1250">
        <f t="shared" ca="1" si="439"/>
        <v>1</v>
      </c>
    </row>
    <row r="1251" spans="1:37" x14ac:dyDescent="0.3">
      <c r="A1251" t="s">
        <v>5656</v>
      </c>
      <c r="B1251">
        <v>34</v>
      </c>
      <c r="C1251" t="s">
        <v>15</v>
      </c>
      <c r="D1251" t="s">
        <v>16</v>
      </c>
      <c r="E1251" t="s">
        <v>76</v>
      </c>
      <c r="F1251" s="1">
        <v>44825</v>
      </c>
      <c r="G1251" t="s">
        <v>2515</v>
      </c>
      <c r="H1251" t="s">
        <v>2516</v>
      </c>
      <c r="I1251" t="s">
        <v>20</v>
      </c>
      <c r="J1251">
        <v>10831</v>
      </c>
      <c r="K1251">
        <v>372</v>
      </c>
      <c r="L1251" t="s">
        <v>42</v>
      </c>
      <c r="M1251" s="1">
        <v>44842</v>
      </c>
      <c r="N1251" t="s">
        <v>22</v>
      </c>
      <c r="O1251" t="s">
        <v>43</v>
      </c>
      <c r="P1251" t="str">
        <f t="shared" si="422"/>
        <v>P1250</v>
      </c>
      <c r="Q1251" t="str">
        <f t="shared" si="418"/>
        <v>Orthopedics</v>
      </c>
      <c r="R1251">
        <f t="shared" si="419"/>
        <v>17</v>
      </c>
      <c r="S1251" t="str">
        <f t="shared" ca="1" si="423"/>
        <v>No</v>
      </c>
      <c r="T1251" t="str">
        <f t="shared" ca="1" si="424"/>
        <v>Severe</v>
      </c>
      <c r="U1251" t="str">
        <f t="shared" ca="1" si="425"/>
        <v>Semi-Private</v>
      </c>
      <c r="V1251" t="str">
        <f t="shared" si="426"/>
        <v>BED1250</v>
      </c>
      <c r="W1251" t="str">
        <f t="shared" ca="1" si="427"/>
        <v>General</v>
      </c>
      <c r="X1251" t="str">
        <f t="shared" si="428"/>
        <v>NUR050</v>
      </c>
      <c r="Y1251" t="str">
        <f t="shared" ca="1" si="429"/>
        <v>Evening</v>
      </c>
      <c r="Z1251" t="str">
        <f t="shared" ca="1" si="430"/>
        <v>CT Scanner</v>
      </c>
      <c r="AA1251" t="str">
        <f t="shared" ca="1" si="431"/>
        <v>Available</v>
      </c>
      <c r="AB1251" t="str">
        <f t="shared" ca="1" si="432"/>
        <v>Pending</v>
      </c>
      <c r="AC1251" t="str">
        <f t="shared" ca="1" si="433"/>
        <v>Insurance</v>
      </c>
      <c r="AD1251" t="str">
        <f t="shared" ca="1" si="434"/>
        <v>No</v>
      </c>
      <c r="AE1251" t="str">
        <f t="shared" ca="1" si="435"/>
        <v>No</v>
      </c>
      <c r="AF1251" t="str">
        <f t="shared" ca="1" si="436"/>
        <v>Transferred</v>
      </c>
      <c r="AG1251" t="str">
        <f t="shared" ca="1" si="437"/>
        <v>Northeast</v>
      </c>
      <c r="AH1251" t="str">
        <f t="shared" si="420"/>
        <v>September</v>
      </c>
      <c r="AI1251">
        <f t="shared" si="421"/>
        <v>2022</v>
      </c>
      <c r="AJ1251" t="str">
        <f t="shared" ca="1" si="438"/>
        <v>Occupied</v>
      </c>
      <c r="AK1251">
        <f t="shared" ca="1" si="439"/>
        <v>4</v>
      </c>
    </row>
    <row r="1252" spans="1:37" x14ac:dyDescent="0.3">
      <c r="A1252" t="s">
        <v>5657</v>
      </c>
      <c r="B1252">
        <v>80</v>
      </c>
      <c r="C1252" t="s">
        <v>15</v>
      </c>
      <c r="D1252" t="s">
        <v>16</v>
      </c>
      <c r="E1252" t="s">
        <v>76</v>
      </c>
      <c r="F1252" s="1">
        <v>44171</v>
      </c>
      <c r="G1252" t="s">
        <v>2517</v>
      </c>
      <c r="H1252" t="s">
        <v>2518</v>
      </c>
      <c r="I1252" t="s">
        <v>57</v>
      </c>
      <c r="J1252">
        <v>18251</v>
      </c>
      <c r="K1252">
        <v>363</v>
      </c>
      <c r="L1252" t="s">
        <v>42</v>
      </c>
      <c r="M1252" s="1">
        <v>44176</v>
      </c>
      <c r="N1252" t="s">
        <v>22</v>
      </c>
      <c r="O1252" t="s">
        <v>43</v>
      </c>
      <c r="P1252" t="str">
        <f t="shared" si="422"/>
        <v>P1251</v>
      </c>
      <c r="Q1252" t="str">
        <f t="shared" si="418"/>
        <v>Orthopedics</v>
      </c>
      <c r="R1252">
        <f t="shared" si="419"/>
        <v>5</v>
      </c>
      <c r="S1252" t="str">
        <f t="shared" ca="1" si="423"/>
        <v>No</v>
      </c>
      <c r="T1252" t="str">
        <f t="shared" ca="1" si="424"/>
        <v>Critical</v>
      </c>
      <c r="U1252" t="str">
        <f t="shared" ca="1" si="425"/>
        <v>ICU</v>
      </c>
      <c r="V1252" t="str">
        <f t="shared" si="426"/>
        <v>BED1251</v>
      </c>
      <c r="W1252" t="str">
        <f t="shared" ca="1" si="427"/>
        <v>Private</v>
      </c>
      <c r="X1252" t="str">
        <f t="shared" si="428"/>
        <v>NUR001</v>
      </c>
      <c r="Y1252" t="str">
        <f t="shared" ca="1" si="429"/>
        <v>Morning</v>
      </c>
      <c r="Z1252" t="str">
        <f t="shared" ca="1" si="430"/>
        <v>MRI Scanner</v>
      </c>
      <c r="AA1252" t="str">
        <f t="shared" ca="1" si="431"/>
        <v>Maintenance</v>
      </c>
      <c r="AB1252" t="str">
        <f t="shared" ca="1" si="432"/>
        <v>Paid</v>
      </c>
      <c r="AC1252" t="str">
        <f t="shared" ca="1" si="433"/>
        <v>Bank Transfer</v>
      </c>
      <c r="AD1252" t="str">
        <f t="shared" ca="1" si="434"/>
        <v>No</v>
      </c>
      <c r="AE1252" t="str">
        <f t="shared" ca="1" si="435"/>
        <v>Yes</v>
      </c>
      <c r="AF1252" t="str">
        <f t="shared" ca="1" si="436"/>
        <v>Recovered</v>
      </c>
      <c r="AG1252" t="str">
        <f t="shared" ca="1" si="437"/>
        <v>Southwest</v>
      </c>
      <c r="AH1252" t="str">
        <f t="shared" si="420"/>
        <v>December</v>
      </c>
      <c r="AI1252">
        <f t="shared" si="421"/>
        <v>2020</v>
      </c>
      <c r="AJ1252" t="str">
        <f t="shared" ca="1" si="438"/>
        <v>Vacant</v>
      </c>
      <c r="AK1252">
        <f t="shared" ca="1" si="439"/>
        <v>2</v>
      </c>
    </row>
    <row r="1253" spans="1:37" x14ac:dyDescent="0.3">
      <c r="A1253" t="s">
        <v>5658</v>
      </c>
      <c r="B1253">
        <v>19</v>
      </c>
      <c r="C1253" t="s">
        <v>32</v>
      </c>
      <c r="D1253" t="s">
        <v>33</v>
      </c>
      <c r="E1253" t="s">
        <v>25</v>
      </c>
      <c r="F1253" s="1">
        <v>45023</v>
      </c>
      <c r="G1253" t="s">
        <v>2519</v>
      </c>
      <c r="H1253" t="s">
        <v>2520</v>
      </c>
      <c r="I1253" t="s">
        <v>28</v>
      </c>
      <c r="J1253">
        <v>44731</v>
      </c>
      <c r="K1253">
        <v>381</v>
      </c>
      <c r="L1253" t="s">
        <v>21</v>
      </c>
      <c r="M1253" s="1">
        <v>45051</v>
      </c>
      <c r="N1253" t="s">
        <v>30</v>
      </c>
      <c r="O1253" t="s">
        <v>23</v>
      </c>
      <c r="P1253" t="str">
        <f t="shared" si="422"/>
        <v>P1252</v>
      </c>
      <c r="Q1253" t="str">
        <f t="shared" si="418"/>
        <v>Nutrition</v>
      </c>
      <c r="R1253">
        <f t="shared" si="419"/>
        <v>28</v>
      </c>
      <c r="S1253" t="str">
        <f t="shared" ca="1" si="423"/>
        <v>No</v>
      </c>
      <c r="T1253" t="str">
        <f t="shared" ca="1" si="424"/>
        <v>Moderate</v>
      </c>
      <c r="U1253" t="str">
        <f t="shared" ca="1" si="425"/>
        <v>ICU</v>
      </c>
      <c r="V1253" t="str">
        <f t="shared" si="426"/>
        <v>BED1252</v>
      </c>
      <c r="W1253" t="str">
        <f t="shared" ca="1" si="427"/>
        <v>General</v>
      </c>
      <c r="X1253" t="str">
        <f t="shared" si="428"/>
        <v>NUR002</v>
      </c>
      <c r="Y1253" t="str">
        <f t="shared" ca="1" si="429"/>
        <v>Night</v>
      </c>
      <c r="Z1253" t="str">
        <f t="shared" ca="1" si="430"/>
        <v>X-Ray</v>
      </c>
      <c r="AA1253" t="str">
        <f t="shared" ca="1" si="431"/>
        <v>Maintenance</v>
      </c>
      <c r="AB1253" t="str">
        <f t="shared" ca="1" si="432"/>
        <v>Paid</v>
      </c>
      <c r="AC1253" t="str">
        <f t="shared" ca="1" si="433"/>
        <v>Cash</v>
      </c>
      <c r="AD1253" t="str">
        <f t="shared" ca="1" si="434"/>
        <v>No</v>
      </c>
      <c r="AE1253" t="str">
        <f t="shared" ca="1" si="435"/>
        <v>No</v>
      </c>
      <c r="AF1253" t="str">
        <f t="shared" ca="1" si="436"/>
        <v>Transferred</v>
      </c>
      <c r="AG1253" t="str">
        <f t="shared" ca="1" si="437"/>
        <v>Northeast</v>
      </c>
      <c r="AH1253" t="str">
        <f t="shared" si="420"/>
        <v>April</v>
      </c>
      <c r="AI1253">
        <f t="shared" si="421"/>
        <v>2023</v>
      </c>
      <c r="AJ1253" t="str">
        <f t="shared" ca="1" si="438"/>
        <v>Occupied</v>
      </c>
      <c r="AK1253">
        <f t="shared" ca="1" si="439"/>
        <v>2</v>
      </c>
    </row>
    <row r="1254" spans="1:37" x14ac:dyDescent="0.3">
      <c r="A1254" t="s">
        <v>5659</v>
      </c>
      <c r="B1254">
        <v>49</v>
      </c>
      <c r="C1254" t="s">
        <v>15</v>
      </c>
      <c r="D1254" t="s">
        <v>52</v>
      </c>
      <c r="E1254" t="s">
        <v>39</v>
      </c>
      <c r="F1254" s="1">
        <v>44864</v>
      </c>
      <c r="G1254" t="s">
        <v>2521</v>
      </c>
      <c r="H1254" t="s">
        <v>2522</v>
      </c>
      <c r="I1254" t="s">
        <v>28</v>
      </c>
      <c r="J1254">
        <v>32575</v>
      </c>
      <c r="K1254">
        <v>441</v>
      </c>
      <c r="L1254" t="s">
        <v>29</v>
      </c>
      <c r="M1254" s="1">
        <v>44880</v>
      </c>
      <c r="N1254" t="s">
        <v>47</v>
      </c>
      <c r="O1254" t="s">
        <v>23</v>
      </c>
      <c r="P1254" t="str">
        <f t="shared" si="422"/>
        <v>P1253</v>
      </c>
      <c r="Q1254" t="str">
        <f t="shared" si="418"/>
        <v>Endocrinology</v>
      </c>
      <c r="R1254">
        <f t="shared" si="419"/>
        <v>16</v>
      </c>
      <c r="S1254" t="str">
        <f t="shared" ca="1" si="423"/>
        <v>No</v>
      </c>
      <c r="T1254" t="str">
        <f t="shared" ca="1" si="424"/>
        <v>Moderate</v>
      </c>
      <c r="U1254" t="str">
        <f t="shared" ca="1" si="425"/>
        <v>Private Ward</v>
      </c>
      <c r="V1254" t="str">
        <f t="shared" si="426"/>
        <v>BED1253</v>
      </c>
      <c r="W1254" t="str">
        <f t="shared" ca="1" si="427"/>
        <v>Private</v>
      </c>
      <c r="X1254" t="str">
        <f t="shared" si="428"/>
        <v>NUR003</v>
      </c>
      <c r="Y1254" t="str">
        <f t="shared" ca="1" si="429"/>
        <v>Evening</v>
      </c>
      <c r="Z1254" t="str">
        <f t="shared" ca="1" si="430"/>
        <v>Ultrasound</v>
      </c>
      <c r="AA1254" t="str">
        <f t="shared" ca="1" si="431"/>
        <v>Maintenance</v>
      </c>
      <c r="AB1254" t="str">
        <f t="shared" ca="1" si="432"/>
        <v>Partially Paid</v>
      </c>
      <c r="AC1254" t="str">
        <f t="shared" ca="1" si="433"/>
        <v>Credit Card</v>
      </c>
      <c r="AD1254" t="str">
        <f t="shared" ca="1" si="434"/>
        <v>No</v>
      </c>
      <c r="AE1254" t="str">
        <f t="shared" ca="1" si="435"/>
        <v>No</v>
      </c>
      <c r="AF1254" t="str">
        <f t="shared" ca="1" si="436"/>
        <v>Transferred</v>
      </c>
      <c r="AG1254" t="str">
        <f t="shared" ca="1" si="437"/>
        <v>Northeast</v>
      </c>
      <c r="AH1254" t="str">
        <f t="shared" si="420"/>
        <v>October</v>
      </c>
      <c r="AI1254">
        <f t="shared" si="421"/>
        <v>2022</v>
      </c>
      <c r="AJ1254" t="str">
        <f t="shared" ca="1" si="438"/>
        <v>Occupied</v>
      </c>
      <c r="AK1254">
        <f t="shared" ca="1" si="439"/>
        <v>2</v>
      </c>
    </row>
    <row r="1255" spans="1:37" x14ac:dyDescent="0.3">
      <c r="A1255" t="s">
        <v>5660</v>
      </c>
      <c r="B1255">
        <v>46</v>
      </c>
      <c r="C1255" t="s">
        <v>15</v>
      </c>
      <c r="D1255" t="s">
        <v>83</v>
      </c>
      <c r="E1255" t="s">
        <v>64</v>
      </c>
      <c r="F1255" s="1">
        <v>43781</v>
      </c>
      <c r="G1255" t="s">
        <v>2523</v>
      </c>
      <c r="H1255" t="s">
        <v>2524</v>
      </c>
      <c r="I1255" t="s">
        <v>57</v>
      </c>
      <c r="J1255">
        <v>19479</v>
      </c>
      <c r="K1255">
        <v>280</v>
      </c>
      <c r="L1255" t="s">
        <v>21</v>
      </c>
      <c r="M1255" s="1">
        <v>43804</v>
      </c>
      <c r="N1255" t="s">
        <v>22</v>
      </c>
      <c r="O1255" t="s">
        <v>43</v>
      </c>
      <c r="P1255" t="str">
        <f t="shared" si="422"/>
        <v>P1254</v>
      </c>
      <c r="Q1255" t="str">
        <f t="shared" si="418"/>
        <v>Cardiology</v>
      </c>
      <c r="R1255">
        <f t="shared" si="419"/>
        <v>23</v>
      </c>
      <c r="S1255" t="str">
        <f t="shared" ca="1" si="423"/>
        <v>No</v>
      </c>
      <c r="T1255" t="str">
        <f t="shared" ca="1" si="424"/>
        <v>Mild</v>
      </c>
      <c r="U1255" t="str">
        <f t="shared" ca="1" si="425"/>
        <v>Emergency</v>
      </c>
      <c r="V1255" t="str">
        <f t="shared" si="426"/>
        <v>BED1254</v>
      </c>
      <c r="W1255" t="str">
        <f t="shared" ca="1" si="427"/>
        <v>Private</v>
      </c>
      <c r="X1255" t="str">
        <f t="shared" si="428"/>
        <v>NUR004</v>
      </c>
      <c r="Y1255" t="str">
        <f t="shared" ca="1" si="429"/>
        <v>Evening</v>
      </c>
      <c r="Z1255" t="str">
        <f t="shared" ca="1" si="430"/>
        <v>CT Scanner</v>
      </c>
      <c r="AA1255" t="str">
        <f t="shared" ca="1" si="431"/>
        <v>Available</v>
      </c>
      <c r="AB1255" t="str">
        <f t="shared" ca="1" si="432"/>
        <v>Paid</v>
      </c>
      <c r="AC1255" t="str">
        <f t="shared" ca="1" si="433"/>
        <v>Insurance</v>
      </c>
      <c r="AD1255" t="str">
        <f t="shared" ca="1" si="434"/>
        <v>No</v>
      </c>
      <c r="AE1255" t="str">
        <f t="shared" ca="1" si="435"/>
        <v>Yes</v>
      </c>
      <c r="AF1255" t="str">
        <f t="shared" ca="1" si="436"/>
        <v>Under Observation</v>
      </c>
      <c r="AG1255" t="str">
        <f t="shared" ca="1" si="437"/>
        <v>West Coast</v>
      </c>
      <c r="AH1255" t="str">
        <f t="shared" si="420"/>
        <v>November</v>
      </c>
      <c r="AI1255">
        <f t="shared" si="421"/>
        <v>2019</v>
      </c>
      <c r="AJ1255" t="str">
        <f t="shared" ca="1" si="438"/>
        <v>Occupied</v>
      </c>
      <c r="AK1255">
        <f t="shared" ca="1" si="439"/>
        <v>4</v>
      </c>
    </row>
    <row r="1256" spans="1:37" x14ac:dyDescent="0.3">
      <c r="A1256" t="s">
        <v>5661</v>
      </c>
      <c r="B1256">
        <v>63</v>
      </c>
      <c r="C1256" t="s">
        <v>15</v>
      </c>
      <c r="D1256" t="s">
        <v>52</v>
      </c>
      <c r="E1256" t="s">
        <v>76</v>
      </c>
      <c r="F1256" s="1">
        <v>44066</v>
      </c>
      <c r="G1256" t="s">
        <v>2525</v>
      </c>
      <c r="H1256" t="s">
        <v>2526</v>
      </c>
      <c r="I1256" t="s">
        <v>51</v>
      </c>
      <c r="J1256">
        <v>44981</v>
      </c>
      <c r="K1256">
        <v>115</v>
      </c>
      <c r="L1256" t="s">
        <v>29</v>
      </c>
      <c r="M1256" s="1">
        <v>44089</v>
      </c>
      <c r="N1256" t="s">
        <v>22</v>
      </c>
      <c r="O1256" t="s">
        <v>43</v>
      </c>
      <c r="P1256" t="str">
        <f t="shared" si="422"/>
        <v>P1255</v>
      </c>
      <c r="Q1256" t="str">
        <f t="shared" si="418"/>
        <v>Orthopedics</v>
      </c>
      <c r="R1256">
        <f t="shared" si="419"/>
        <v>23</v>
      </c>
      <c r="S1256" t="str">
        <f t="shared" ca="1" si="423"/>
        <v>No</v>
      </c>
      <c r="T1256" t="str">
        <f t="shared" ca="1" si="424"/>
        <v>Severe</v>
      </c>
      <c r="U1256" t="str">
        <f t="shared" ca="1" si="425"/>
        <v>General Ward</v>
      </c>
      <c r="V1256" t="str">
        <f t="shared" si="426"/>
        <v>BED1255</v>
      </c>
      <c r="W1256" t="str">
        <f t="shared" ca="1" si="427"/>
        <v>General</v>
      </c>
      <c r="X1256" t="str">
        <f t="shared" si="428"/>
        <v>NUR005</v>
      </c>
      <c r="Y1256" t="str">
        <f t="shared" ca="1" si="429"/>
        <v>Evening</v>
      </c>
      <c r="Z1256" t="str">
        <f t="shared" ca="1" si="430"/>
        <v>CT Scanner</v>
      </c>
      <c r="AA1256" t="str">
        <f t="shared" ca="1" si="431"/>
        <v>In Use</v>
      </c>
      <c r="AB1256" t="str">
        <f t="shared" ca="1" si="432"/>
        <v>Partially Paid</v>
      </c>
      <c r="AC1256" t="str">
        <f t="shared" ca="1" si="433"/>
        <v>Debit Card</v>
      </c>
      <c r="AD1256" t="str">
        <f t="shared" ca="1" si="434"/>
        <v>No</v>
      </c>
      <c r="AE1256" t="str">
        <f t="shared" ca="1" si="435"/>
        <v>No</v>
      </c>
      <c r="AF1256" t="str">
        <f t="shared" ca="1" si="436"/>
        <v>Recovered</v>
      </c>
      <c r="AG1256" t="str">
        <f t="shared" ca="1" si="437"/>
        <v>Northeast</v>
      </c>
      <c r="AH1256" t="str">
        <f t="shared" si="420"/>
        <v>August</v>
      </c>
      <c r="AI1256">
        <f t="shared" si="421"/>
        <v>2020</v>
      </c>
      <c r="AJ1256" t="str">
        <f t="shared" ca="1" si="438"/>
        <v>Occupied</v>
      </c>
      <c r="AK1256">
        <f t="shared" ca="1" si="439"/>
        <v>2</v>
      </c>
    </row>
    <row r="1257" spans="1:37" x14ac:dyDescent="0.3">
      <c r="A1257" t="s">
        <v>5611</v>
      </c>
      <c r="B1257">
        <v>75</v>
      </c>
      <c r="C1257" t="s">
        <v>15</v>
      </c>
      <c r="D1257" t="s">
        <v>44</v>
      </c>
      <c r="E1257" t="s">
        <v>64</v>
      </c>
      <c r="F1257" s="1">
        <v>44207</v>
      </c>
      <c r="G1257" t="s">
        <v>2527</v>
      </c>
      <c r="H1257" t="s">
        <v>2528</v>
      </c>
      <c r="I1257" t="s">
        <v>51</v>
      </c>
      <c r="J1257">
        <v>20199</v>
      </c>
      <c r="K1257">
        <v>176</v>
      </c>
      <c r="L1257" t="s">
        <v>42</v>
      </c>
      <c r="M1257" s="1">
        <v>44218</v>
      </c>
      <c r="N1257" t="s">
        <v>67</v>
      </c>
      <c r="O1257" t="s">
        <v>31</v>
      </c>
      <c r="P1257" t="str">
        <f t="shared" si="422"/>
        <v>P1256</v>
      </c>
      <c r="Q1257" t="str">
        <f t="shared" si="418"/>
        <v>Cardiology</v>
      </c>
      <c r="R1257">
        <f t="shared" si="419"/>
        <v>11</v>
      </c>
      <c r="S1257" t="str">
        <f t="shared" ca="1" si="423"/>
        <v>No</v>
      </c>
      <c r="T1257" t="str">
        <f t="shared" ca="1" si="424"/>
        <v>Mild</v>
      </c>
      <c r="U1257" t="str">
        <f t="shared" ca="1" si="425"/>
        <v>Private Ward</v>
      </c>
      <c r="V1257" t="str">
        <f t="shared" si="426"/>
        <v>BED1256</v>
      </c>
      <c r="W1257" t="str">
        <f t="shared" ca="1" si="427"/>
        <v>General</v>
      </c>
      <c r="X1257" t="str">
        <f t="shared" si="428"/>
        <v>NUR006</v>
      </c>
      <c r="Y1257" t="str">
        <f t="shared" ca="1" si="429"/>
        <v>Morning</v>
      </c>
      <c r="Z1257" t="str">
        <f t="shared" ca="1" si="430"/>
        <v>Ultrasound</v>
      </c>
      <c r="AA1257" t="str">
        <f t="shared" ca="1" si="431"/>
        <v>Maintenance</v>
      </c>
      <c r="AB1257" t="str">
        <f t="shared" ca="1" si="432"/>
        <v>Pending</v>
      </c>
      <c r="AC1257" t="str">
        <f t="shared" ca="1" si="433"/>
        <v>Bank Transfer</v>
      </c>
      <c r="AD1257" t="str">
        <f t="shared" ca="1" si="434"/>
        <v>No</v>
      </c>
      <c r="AE1257" t="str">
        <f t="shared" ca="1" si="435"/>
        <v>No</v>
      </c>
      <c r="AF1257" t="str">
        <f t="shared" ca="1" si="436"/>
        <v>Transferred</v>
      </c>
      <c r="AG1257" t="str">
        <f t="shared" ca="1" si="437"/>
        <v>Southwest</v>
      </c>
      <c r="AH1257" t="str">
        <f t="shared" si="420"/>
        <v>January</v>
      </c>
      <c r="AI1257">
        <f t="shared" si="421"/>
        <v>2021</v>
      </c>
      <c r="AJ1257" t="str">
        <f t="shared" ca="1" si="438"/>
        <v>Occupied</v>
      </c>
      <c r="AK1257">
        <f t="shared" ca="1" si="439"/>
        <v>1</v>
      </c>
    </row>
    <row r="1258" spans="1:37" x14ac:dyDescent="0.3">
      <c r="A1258" t="s">
        <v>5662</v>
      </c>
      <c r="B1258">
        <v>59</v>
      </c>
      <c r="C1258" t="s">
        <v>32</v>
      </c>
      <c r="D1258" t="s">
        <v>33</v>
      </c>
      <c r="E1258" t="s">
        <v>17</v>
      </c>
      <c r="F1258" s="1">
        <v>43755</v>
      </c>
      <c r="G1258" t="s">
        <v>2529</v>
      </c>
      <c r="H1258" t="s">
        <v>2530</v>
      </c>
      <c r="I1258" t="s">
        <v>57</v>
      </c>
      <c r="J1258">
        <v>40056</v>
      </c>
      <c r="K1258">
        <v>465</v>
      </c>
      <c r="L1258" t="s">
        <v>21</v>
      </c>
      <c r="M1258" s="1">
        <v>43777</v>
      </c>
      <c r="N1258" t="s">
        <v>67</v>
      </c>
      <c r="O1258" t="s">
        <v>43</v>
      </c>
      <c r="P1258" t="str">
        <f t="shared" si="422"/>
        <v>P1257</v>
      </c>
      <c r="Q1258" t="str">
        <f t="shared" si="418"/>
        <v>Oncology</v>
      </c>
      <c r="R1258">
        <f t="shared" si="419"/>
        <v>22</v>
      </c>
      <c r="S1258" t="str">
        <f t="shared" ca="1" si="423"/>
        <v>No</v>
      </c>
      <c r="T1258" t="str">
        <f t="shared" ca="1" si="424"/>
        <v>Critical</v>
      </c>
      <c r="U1258" t="str">
        <f t="shared" ca="1" si="425"/>
        <v>Private Ward</v>
      </c>
      <c r="V1258" t="str">
        <f t="shared" si="426"/>
        <v>BED1257</v>
      </c>
      <c r="W1258" t="str">
        <f t="shared" ca="1" si="427"/>
        <v>General</v>
      </c>
      <c r="X1258" t="str">
        <f t="shared" si="428"/>
        <v>NUR007</v>
      </c>
      <c r="Y1258" t="str">
        <f t="shared" ca="1" si="429"/>
        <v>Night</v>
      </c>
      <c r="Z1258" t="str">
        <f t="shared" ca="1" si="430"/>
        <v>X-Ray</v>
      </c>
      <c r="AA1258" t="str">
        <f t="shared" ca="1" si="431"/>
        <v>Available</v>
      </c>
      <c r="AB1258" t="str">
        <f t="shared" ca="1" si="432"/>
        <v>Pending</v>
      </c>
      <c r="AC1258" t="str">
        <f t="shared" ca="1" si="433"/>
        <v>Debit Card</v>
      </c>
      <c r="AD1258" t="str">
        <f t="shared" ca="1" si="434"/>
        <v>No</v>
      </c>
      <c r="AE1258" t="str">
        <f t="shared" ca="1" si="435"/>
        <v>No</v>
      </c>
      <c r="AF1258" t="str">
        <f t="shared" ca="1" si="436"/>
        <v>Transferred</v>
      </c>
      <c r="AG1258" t="str">
        <f t="shared" ca="1" si="437"/>
        <v>Northeast</v>
      </c>
      <c r="AH1258" t="str">
        <f t="shared" si="420"/>
        <v>October</v>
      </c>
      <c r="AI1258">
        <f t="shared" si="421"/>
        <v>2019</v>
      </c>
      <c r="AJ1258" t="str">
        <f t="shared" ca="1" si="438"/>
        <v>Occupied</v>
      </c>
      <c r="AK1258">
        <f t="shared" ca="1" si="439"/>
        <v>1</v>
      </c>
    </row>
    <row r="1259" spans="1:37" x14ac:dyDescent="0.3">
      <c r="A1259" t="s">
        <v>5663</v>
      </c>
      <c r="B1259">
        <v>18</v>
      </c>
      <c r="C1259" t="s">
        <v>15</v>
      </c>
      <c r="D1259" t="s">
        <v>33</v>
      </c>
      <c r="E1259" t="s">
        <v>25</v>
      </c>
      <c r="F1259" s="1">
        <v>43594</v>
      </c>
      <c r="G1259" t="s">
        <v>2531</v>
      </c>
      <c r="H1259" t="s">
        <v>2532</v>
      </c>
      <c r="I1259" t="s">
        <v>57</v>
      </c>
      <c r="J1259">
        <v>8907</v>
      </c>
      <c r="K1259">
        <v>471</v>
      </c>
      <c r="L1259" t="s">
        <v>21</v>
      </c>
      <c r="M1259" s="1">
        <v>43618</v>
      </c>
      <c r="N1259" t="s">
        <v>30</v>
      </c>
      <c r="O1259" t="s">
        <v>23</v>
      </c>
      <c r="P1259" t="str">
        <f t="shared" si="422"/>
        <v>P1258</v>
      </c>
      <c r="Q1259" t="str">
        <f t="shared" si="418"/>
        <v>Nutrition</v>
      </c>
      <c r="R1259">
        <f t="shared" si="419"/>
        <v>24</v>
      </c>
      <c r="S1259" t="str">
        <f t="shared" ca="1" si="423"/>
        <v>No</v>
      </c>
      <c r="T1259" t="str">
        <f t="shared" ca="1" si="424"/>
        <v>Mild</v>
      </c>
      <c r="U1259" t="str">
        <f t="shared" ca="1" si="425"/>
        <v>ICU</v>
      </c>
      <c r="V1259" t="str">
        <f t="shared" si="426"/>
        <v>BED1258</v>
      </c>
      <c r="W1259" t="str">
        <f t="shared" ca="1" si="427"/>
        <v>ICU</v>
      </c>
      <c r="X1259" t="str">
        <f t="shared" si="428"/>
        <v>NUR008</v>
      </c>
      <c r="Y1259" t="str">
        <f t="shared" ca="1" si="429"/>
        <v>Night</v>
      </c>
      <c r="Z1259" t="str">
        <f t="shared" ca="1" si="430"/>
        <v>MRI Scanner</v>
      </c>
      <c r="AA1259" t="str">
        <f t="shared" ca="1" si="431"/>
        <v>Maintenance</v>
      </c>
      <c r="AB1259" t="str">
        <f t="shared" ca="1" si="432"/>
        <v>Pending</v>
      </c>
      <c r="AC1259" t="str">
        <f t="shared" ca="1" si="433"/>
        <v>Insurance</v>
      </c>
      <c r="AD1259" t="str">
        <f t="shared" ca="1" si="434"/>
        <v>No</v>
      </c>
      <c r="AE1259" t="str">
        <f t="shared" ca="1" si="435"/>
        <v>No</v>
      </c>
      <c r="AF1259" t="str">
        <f t="shared" ca="1" si="436"/>
        <v>Recovered</v>
      </c>
      <c r="AG1259" t="str">
        <f t="shared" ca="1" si="437"/>
        <v>Southwest</v>
      </c>
      <c r="AH1259" t="str">
        <f t="shared" si="420"/>
        <v>May</v>
      </c>
      <c r="AI1259">
        <f t="shared" si="421"/>
        <v>2019</v>
      </c>
      <c r="AJ1259" t="str">
        <f t="shared" ca="1" si="438"/>
        <v>Occupied</v>
      </c>
      <c r="AK1259">
        <f t="shared" ca="1" si="439"/>
        <v>2</v>
      </c>
    </row>
    <row r="1260" spans="1:37" x14ac:dyDescent="0.3">
      <c r="A1260" t="s">
        <v>5664</v>
      </c>
      <c r="B1260">
        <v>68</v>
      </c>
      <c r="C1260" t="s">
        <v>15</v>
      </c>
      <c r="D1260" t="s">
        <v>44</v>
      </c>
      <c r="E1260" t="s">
        <v>64</v>
      </c>
      <c r="F1260" s="1">
        <v>44002</v>
      </c>
      <c r="G1260" t="s">
        <v>2533</v>
      </c>
      <c r="H1260" t="s">
        <v>2534</v>
      </c>
      <c r="I1260" t="s">
        <v>57</v>
      </c>
      <c r="J1260">
        <v>14590</v>
      </c>
      <c r="K1260">
        <v>454</v>
      </c>
      <c r="L1260" t="s">
        <v>21</v>
      </c>
      <c r="M1260" s="1">
        <v>44013</v>
      </c>
      <c r="N1260" t="s">
        <v>47</v>
      </c>
      <c r="O1260" t="s">
        <v>31</v>
      </c>
      <c r="P1260" t="str">
        <f t="shared" si="422"/>
        <v>P1259</v>
      </c>
      <c r="Q1260" t="str">
        <f t="shared" si="418"/>
        <v>Cardiology</v>
      </c>
      <c r="R1260">
        <f t="shared" si="419"/>
        <v>11</v>
      </c>
      <c r="S1260" t="str">
        <f t="shared" ca="1" si="423"/>
        <v>No</v>
      </c>
      <c r="T1260" t="str">
        <f t="shared" ca="1" si="424"/>
        <v>Critical</v>
      </c>
      <c r="U1260" t="str">
        <f t="shared" ca="1" si="425"/>
        <v>Private Ward</v>
      </c>
      <c r="V1260" t="str">
        <f t="shared" si="426"/>
        <v>BED1259</v>
      </c>
      <c r="W1260" t="str">
        <f t="shared" ca="1" si="427"/>
        <v>Semi-Private</v>
      </c>
      <c r="X1260" t="str">
        <f t="shared" si="428"/>
        <v>NUR009</v>
      </c>
      <c r="Y1260" t="str">
        <f t="shared" ca="1" si="429"/>
        <v>Night</v>
      </c>
      <c r="Z1260" t="str">
        <f t="shared" ca="1" si="430"/>
        <v>MRI Scanner</v>
      </c>
      <c r="AA1260" t="str">
        <f t="shared" ca="1" si="431"/>
        <v>In Use</v>
      </c>
      <c r="AB1260" t="str">
        <f t="shared" ca="1" si="432"/>
        <v>Pending</v>
      </c>
      <c r="AC1260" t="str">
        <f t="shared" ca="1" si="433"/>
        <v>Bank Transfer</v>
      </c>
      <c r="AD1260" t="str">
        <f t="shared" ca="1" si="434"/>
        <v>No</v>
      </c>
      <c r="AE1260" t="str">
        <f t="shared" ca="1" si="435"/>
        <v>No</v>
      </c>
      <c r="AF1260" t="str">
        <f t="shared" ca="1" si="436"/>
        <v>Under Observation</v>
      </c>
      <c r="AG1260" t="str">
        <f t="shared" ca="1" si="437"/>
        <v>Northeast</v>
      </c>
      <c r="AH1260" t="str">
        <f t="shared" si="420"/>
        <v>June</v>
      </c>
      <c r="AI1260">
        <f t="shared" si="421"/>
        <v>2020</v>
      </c>
      <c r="AJ1260" t="str">
        <f t="shared" ca="1" si="438"/>
        <v>Occupied</v>
      </c>
      <c r="AK1260">
        <f t="shared" ca="1" si="439"/>
        <v>4</v>
      </c>
    </row>
    <row r="1261" spans="1:37" x14ac:dyDescent="0.3">
      <c r="A1261" t="s">
        <v>5665</v>
      </c>
      <c r="B1261">
        <v>72</v>
      </c>
      <c r="C1261" t="s">
        <v>15</v>
      </c>
      <c r="D1261" t="s">
        <v>98</v>
      </c>
      <c r="E1261" t="s">
        <v>17</v>
      </c>
      <c r="F1261" s="1">
        <v>44033</v>
      </c>
      <c r="G1261" t="s">
        <v>2535</v>
      </c>
      <c r="H1261" t="s">
        <v>2536</v>
      </c>
      <c r="I1261" t="s">
        <v>28</v>
      </c>
      <c r="J1261">
        <v>42854</v>
      </c>
      <c r="K1261">
        <v>140</v>
      </c>
      <c r="L1261" t="s">
        <v>29</v>
      </c>
      <c r="M1261" s="1">
        <v>44061</v>
      </c>
      <c r="N1261" t="s">
        <v>30</v>
      </c>
      <c r="O1261" t="s">
        <v>23</v>
      </c>
      <c r="P1261" t="str">
        <f t="shared" si="422"/>
        <v>P1260</v>
      </c>
      <c r="Q1261" t="str">
        <f t="shared" si="418"/>
        <v>Oncology</v>
      </c>
      <c r="R1261">
        <f t="shared" si="419"/>
        <v>28</v>
      </c>
      <c r="S1261" t="str">
        <f t="shared" ca="1" si="423"/>
        <v>No</v>
      </c>
      <c r="T1261" t="str">
        <f t="shared" ca="1" si="424"/>
        <v>Severe</v>
      </c>
      <c r="U1261" t="str">
        <f t="shared" ca="1" si="425"/>
        <v>Emergency</v>
      </c>
      <c r="V1261" t="str">
        <f t="shared" si="426"/>
        <v>BED1260</v>
      </c>
      <c r="W1261" t="str">
        <f t="shared" ca="1" si="427"/>
        <v>ICU</v>
      </c>
      <c r="X1261" t="str">
        <f t="shared" si="428"/>
        <v>NUR010</v>
      </c>
      <c r="Y1261" t="str">
        <f t="shared" ca="1" si="429"/>
        <v>Morning</v>
      </c>
      <c r="Z1261" t="str">
        <f t="shared" ca="1" si="430"/>
        <v>MRI Scanner</v>
      </c>
      <c r="AA1261" t="str">
        <f t="shared" ca="1" si="431"/>
        <v>Maintenance</v>
      </c>
      <c r="AB1261" t="str">
        <f t="shared" ca="1" si="432"/>
        <v>Partially Paid</v>
      </c>
      <c r="AC1261" t="str">
        <f t="shared" ca="1" si="433"/>
        <v>Debit Card</v>
      </c>
      <c r="AD1261" t="str">
        <f t="shared" ca="1" si="434"/>
        <v>Yes</v>
      </c>
      <c r="AE1261" t="str">
        <f t="shared" ca="1" si="435"/>
        <v>No</v>
      </c>
      <c r="AF1261" t="str">
        <f t="shared" ca="1" si="436"/>
        <v>Transferred</v>
      </c>
      <c r="AG1261" t="str">
        <f t="shared" ca="1" si="437"/>
        <v>Northeast</v>
      </c>
      <c r="AH1261" t="str">
        <f t="shared" si="420"/>
        <v>July</v>
      </c>
      <c r="AI1261">
        <f t="shared" si="421"/>
        <v>2020</v>
      </c>
      <c r="AJ1261" t="str">
        <f t="shared" ca="1" si="438"/>
        <v>Vacant</v>
      </c>
      <c r="AK1261">
        <f t="shared" ca="1" si="439"/>
        <v>2</v>
      </c>
    </row>
    <row r="1262" spans="1:37" x14ac:dyDescent="0.3">
      <c r="A1262" t="s">
        <v>5666</v>
      </c>
      <c r="B1262">
        <v>79</v>
      </c>
      <c r="C1262" t="s">
        <v>32</v>
      </c>
      <c r="D1262" t="s">
        <v>52</v>
      </c>
      <c r="E1262" t="s">
        <v>48</v>
      </c>
      <c r="F1262" s="1">
        <v>43607</v>
      </c>
      <c r="G1262" t="s">
        <v>2537</v>
      </c>
      <c r="H1262" t="s">
        <v>2538</v>
      </c>
      <c r="I1262" t="s">
        <v>57</v>
      </c>
      <c r="J1262">
        <v>41102</v>
      </c>
      <c r="K1262">
        <v>105</v>
      </c>
      <c r="L1262" t="s">
        <v>29</v>
      </c>
      <c r="M1262" s="1">
        <v>43623</v>
      </c>
      <c r="N1262" t="s">
        <v>47</v>
      </c>
      <c r="O1262" t="s">
        <v>23</v>
      </c>
      <c r="P1262" t="str">
        <f t="shared" si="422"/>
        <v>P1261</v>
      </c>
      <c r="Q1262" t="str">
        <f t="shared" si="418"/>
        <v>Pulmonology</v>
      </c>
      <c r="R1262">
        <f t="shared" si="419"/>
        <v>16</v>
      </c>
      <c r="S1262" t="str">
        <f t="shared" ca="1" si="423"/>
        <v>No</v>
      </c>
      <c r="T1262" t="str">
        <f t="shared" ca="1" si="424"/>
        <v>Critical</v>
      </c>
      <c r="U1262" t="str">
        <f t="shared" ca="1" si="425"/>
        <v>Semi-Private</v>
      </c>
      <c r="V1262" t="str">
        <f t="shared" si="426"/>
        <v>BED1261</v>
      </c>
      <c r="W1262" t="str">
        <f t="shared" ca="1" si="427"/>
        <v>Private</v>
      </c>
      <c r="X1262" t="str">
        <f t="shared" si="428"/>
        <v>NUR011</v>
      </c>
      <c r="Y1262" t="str">
        <f t="shared" ca="1" si="429"/>
        <v>Night</v>
      </c>
      <c r="Z1262" t="str">
        <f t="shared" ca="1" si="430"/>
        <v>CT Scanner</v>
      </c>
      <c r="AA1262" t="str">
        <f t="shared" ca="1" si="431"/>
        <v>Maintenance</v>
      </c>
      <c r="AB1262" t="str">
        <f t="shared" ca="1" si="432"/>
        <v>Partially Paid</v>
      </c>
      <c r="AC1262" t="str">
        <f t="shared" ca="1" si="433"/>
        <v>Bank Transfer</v>
      </c>
      <c r="AD1262" t="str">
        <f t="shared" ca="1" si="434"/>
        <v>No</v>
      </c>
      <c r="AE1262" t="str">
        <f t="shared" ca="1" si="435"/>
        <v>No</v>
      </c>
      <c r="AF1262" t="str">
        <f t="shared" ca="1" si="436"/>
        <v>Recovered</v>
      </c>
      <c r="AG1262" t="str">
        <f t="shared" ca="1" si="437"/>
        <v>Midwest</v>
      </c>
      <c r="AH1262" t="str">
        <f t="shared" si="420"/>
        <v>May</v>
      </c>
      <c r="AI1262">
        <f t="shared" si="421"/>
        <v>2019</v>
      </c>
      <c r="AJ1262" t="str">
        <f t="shared" ca="1" si="438"/>
        <v>Occupied</v>
      </c>
      <c r="AK1262">
        <f t="shared" ca="1" si="439"/>
        <v>4</v>
      </c>
    </row>
    <row r="1263" spans="1:37" x14ac:dyDescent="0.3">
      <c r="A1263" t="s">
        <v>5667</v>
      </c>
      <c r="B1263">
        <v>74</v>
      </c>
      <c r="C1263" t="s">
        <v>15</v>
      </c>
      <c r="D1263" t="s">
        <v>83</v>
      </c>
      <c r="E1263" t="s">
        <v>64</v>
      </c>
      <c r="F1263" s="1">
        <v>43723</v>
      </c>
      <c r="G1263" t="s">
        <v>2539</v>
      </c>
      <c r="H1263" t="s">
        <v>2540</v>
      </c>
      <c r="I1263" t="s">
        <v>57</v>
      </c>
      <c r="J1263">
        <v>21514</v>
      </c>
      <c r="K1263">
        <v>438</v>
      </c>
      <c r="L1263" t="s">
        <v>29</v>
      </c>
      <c r="M1263" s="1">
        <v>43749</v>
      </c>
      <c r="N1263" t="s">
        <v>67</v>
      </c>
      <c r="O1263" t="s">
        <v>23</v>
      </c>
      <c r="P1263" t="str">
        <f t="shared" si="422"/>
        <v>P1262</v>
      </c>
      <c r="Q1263" t="str">
        <f t="shared" si="418"/>
        <v>Cardiology</v>
      </c>
      <c r="R1263">
        <f t="shared" si="419"/>
        <v>26</v>
      </c>
      <c r="S1263" t="str">
        <f t="shared" ca="1" si="423"/>
        <v>No</v>
      </c>
      <c r="T1263" t="str">
        <f t="shared" ca="1" si="424"/>
        <v>Severe</v>
      </c>
      <c r="U1263" t="str">
        <f t="shared" ca="1" si="425"/>
        <v>ICU</v>
      </c>
      <c r="V1263" t="str">
        <f t="shared" si="426"/>
        <v>BED1262</v>
      </c>
      <c r="W1263" t="str">
        <f t="shared" ca="1" si="427"/>
        <v>General</v>
      </c>
      <c r="X1263" t="str">
        <f t="shared" si="428"/>
        <v>NUR012</v>
      </c>
      <c r="Y1263" t="str">
        <f t="shared" ca="1" si="429"/>
        <v>Evening</v>
      </c>
      <c r="Z1263" t="str">
        <f t="shared" ca="1" si="430"/>
        <v>ECG Machine</v>
      </c>
      <c r="AA1263" t="str">
        <f t="shared" ca="1" si="431"/>
        <v>Maintenance</v>
      </c>
      <c r="AB1263" t="str">
        <f t="shared" ca="1" si="432"/>
        <v>Pending</v>
      </c>
      <c r="AC1263" t="str">
        <f t="shared" ca="1" si="433"/>
        <v>Cash</v>
      </c>
      <c r="AD1263" t="str">
        <f t="shared" ca="1" si="434"/>
        <v>No</v>
      </c>
      <c r="AE1263" t="str">
        <f t="shared" ca="1" si="435"/>
        <v>No</v>
      </c>
      <c r="AF1263" t="str">
        <f t="shared" ca="1" si="436"/>
        <v>Recovered</v>
      </c>
      <c r="AG1263" t="str">
        <f t="shared" ca="1" si="437"/>
        <v>Midwest</v>
      </c>
      <c r="AH1263" t="str">
        <f t="shared" si="420"/>
        <v>September</v>
      </c>
      <c r="AI1263">
        <f t="shared" si="421"/>
        <v>2019</v>
      </c>
      <c r="AJ1263" t="str">
        <f t="shared" ca="1" si="438"/>
        <v>Occupied</v>
      </c>
      <c r="AK1263">
        <f t="shared" ca="1" si="439"/>
        <v>2</v>
      </c>
    </row>
    <row r="1264" spans="1:37" x14ac:dyDescent="0.3">
      <c r="A1264" t="s">
        <v>5668</v>
      </c>
      <c r="B1264">
        <v>56</v>
      </c>
      <c r="C1264" t="s">
        <v>15</v>
      </c>
      <c r="D1264" t="s">
        <v>83</v>
      </c>
      <c r="E1264" t="s">
        <v>39</v>
      </c>
      <c r="F1264" s="1">
        <v>43822</v>
      </c>
      <c r="G1264" t="s">
        <v>2541</v>
      </c>
      <c r="H1264" t="s">
        <v>2542</v>
      </c>
      <c r="I1264" t="s">
        <v>28</v>
      </c>
      <c r="J1264">
        <v>37330</v>
      </c>
      <c r="K1264">
        <v>230</v>
      </c>
      <c r="L1264" t="s">
        <v>29</v>
      </c>
      <c r="M1264" s="1">
        <v>43837</v>
      </c>
      <c r="N1264" t="s">
        <v>37</v>
      </c>
      <c r="O1264" t="s">
        <v>43</v>
      </c>
      <c r="P1264" t="str">
        <f t="shared" si="422"/>
        <v>P1263</v>
      </c>
      <c r="Q1264" t="str">
        <f t="shared" si="418"/>
        <v>Endocrinology</v>
      </c>
      <c r="R1264">
        <f t="shared" si="419"/>
        <v>15</v>
      </c>
      <c r="S1264" t="str">
        <f t="shared" ca="1" si="423"/>
        <v>No</v>
      </c>
      <c r="T1264" t="str">
        <f t="shared" ca="1" si="424"/>
        <v>Moderate</v>
      </c>
      <c r="U1264" t="str">
        <f t="shared" ca="1" si="425"/>
        <v>Emergency</v>
      </c>
      <c r="V1264" t="str">
        <f t="shared" si="426"/>
        <v>BED1263</v>
      </c>
      <c r="W1264" t="str">
        <f t="shared" ca="1" si="427"/>
        <v>Private</v>
      </c>
      <c r="X1264" t="str">
        <f t="shared" si="428"/>
        <v>NUR013</v>
      </c>
      <c r="Y1264" t="str">
        <f t="shared" ca="1" si="429"/>
        <v>Night</v>
      </c>
      <c r="Z1264" t="str">
        <f t="shared" ca="1" si="430"/>
        <v>X-Ray</v>
      </c>
      <c r="AA1264" t="str">
        <f t="shared" ca="1" si="431"/>
        <v>Maintenance</v>
      </c>
      <c r="AB1264" t="str">
        <f t="shared" ca="1" si="432"/>
        <v>Partially Paid</v>
      </c>
      <c r="AC1264" t="str">
        <f t="shared" ca="1" si="433"/>
        <v>Bank Transfer</v>
      </c>
      <c r="AD1264" t="str">
        <f t="shared" ca="1" si="434"/>
        <v>Yes</v>
      </c>
      <c r="AE1264" t="str">
        <f t="shared" ca="1" si="435"/>
        <v>Yes</v>
      </c>
      <c r="AF1264" t="str">
        <f t="shared" ca="1" si="436"/>
        <v>Under Observation</v>
      </c>
      <c r="AG1264" t="str">
        <f t="shared" ca="1" si="437"/>
        <v>Midwest</v>
      </c>
      <c r="AH1264" t="str">
        <f t="shared" si="420"/>
        <v>December</v>
      </c>
      <c r="AI1264">
        <f t="shared" si="421"/>
        <v>2019</v>
      </c>
      <c r="AJ1264" t="str">
        <f t="shared" ca="1" si="438"/>
        <v>Occupied</v>
      </c>
      <c r="AK1264">
        <f t="shared" ca="1" si="439"/>
        <v>1</v>
      </c>
    </row>
    <row r="1265" spans="1:37" x14ac:dyDescent="0.3">
      <c r="A1265" t="s">
        <v>5669</v>
      </c>
      <c r="B1265">
        <v>80</v>
      </c>
      <c r="C1265" t="s">
        <v>32</v>
      </c>
      <c r="D1265" t="s">
        <v>33</v>
      </c>
      <c r="E1265" t="s">
        <v>17</v>
      </c>
      <c r="F1265" s="1">
        <v>44037</v>
      </c>
      <c r="G1265" t="s">
        <v>2543</v>
      </c>
      <c r="H1265" t="s">
        <v>2544</v>
      </c>
      <c r="I1265" t="s">
        <v>20</v>
      </c>
      <c r="J1265">
        <v>4250</v>
      </c>
      <c r="K1265">
        <v>334</v>
      </c>
      <c r="L1265" t="s">
        <v>21</v>
      </c>
      <c r="M1265" s="1">
        <v>44054</v>
      </c>
      <c r="N1265" t="s">
        <v>22</v>
      </c>
      <c r="O1265" t="s">
        <v>31</v>
      </c>
      <c r="P1265" t="str">
        <f t="shared" si="422"/>
        <v>P1264</v>
      </c>
      <c r="Q1265" t="str">
        <f t="shared" si="418"/>
        <v>Oncology</v>
      </c>
      <c r="R1265">
        <f t="shared" si="419"/>
        <v>17</v>
      </c>
      <c r="S1265" t="str">
        <f t="shared" ca="1" si="423"/>
        <v>No</v>
      </c>
      <c r="T1265" t="str">
        <f t="shared" ca="1" si="424"/>
        <v>Critical</v>
      </c>
      <c r="U1265" t="str">
        <f t="shared" ca="1" si="425"/>
        <v>Private Ward</v>
      </c>
      <c r="V1265" t="str">
        <f t="shared" si="426"/>
        <v>BED1264</v>
      </c>
      <c r="W1265" t="str">
        <f t="shared" ca="1" si="427"/>
        <v>Private</v>
      </c>
      <c r="X1265" t="str">
        <f t="shared" si="428"/>
        <v>NUR014</v>
      </c>
      <c r="Y1265" t="str">
        <f t="shared" ca="1" si="429"/>
        <v>Morning</v>
      </c>
      <c r="Z1265" t="str">
        <f t="shared" ca="1" si="430"/>
        <v>ECG Machine</v>
      </c>
      <c r="AA1265" t="str">
        <f t="shared" ca="1" si="431"/>
        <v>Available</v>
      </c>
      <c r="AB1265" t="str">
        <f t="shared" ca="1" si="432"/>
        <v>Paid</v>
      </c>
      <c r="AC1265" t="str">
        <f t="shared" ca="1" si="433"/>
        <v>Credit Card</v>
      </c>
      <c r="AD1265" t="str">
        <f t="shared" ca="1" si="434"/>
        <v>No</v>
      </c>
      <c r="AE1265" t="str">
        <f t="shared" ca="1" si="435"/>
        <v>Yes</v>
      </c>
      <c r="AF1265" t="str">
        <f t="shared" ca="1" si="436"/>
        <v>Recovered</v>
      </c>
      <c r="AG1265" t="str">
        <f t="shared" ca="1" si="437"/>
        <v>Southeast</v>
      </c>
      <c r="AH1265" t="str">
        <f t="shared" si="420"/>
        <v>July</v>
      </c>
      <c r="AI1265">
        <f t="shared" si="421"/>
        <v>2020</v>
      </c>
      <c r="AJ1265" t="str">
        <f t="shared" ca="1" si="438"/>
        <v>Occupied</v>
      </c>
      <c r="AK1265">
        <f t="shared" ca="1" si="439"/>
        <v>2</v>
      </c>
    </row>
    <row r="1266" spans="1:37" x14ac:dyDescent="0.3">
      <c r="A1266" t="s">
        <v>5670</v>
      </c>
      <c r="B1266">
        <v>83</v>
      </c>
      <c r="C1266" t="s">
        <v>15</v>
      </c>
      <c r="D1266" t="s">
        <v>52</v>
      </c>
      <c r="E1266" t="s">
        <v>39</v>
      </c>
      <c r="F1266" s="1">
        <v>43784</v>
      </c>
      <c r="G1266" t="s">
        <v>2545</v>
      </c>
      <c r="H1266" t="s">
        <v>2546</v>
      </c>
      <c r="I1266" t="s">
        <v>28</v>
      </c>
      <c r="J1266">
        <v>22562</v>
      </c>
      <c r="K1266">
        <v>216</v>
      </c>
      <c r="L1266" t="s">
        <v>29</v>
      </c>
      <c r="M1266" s="1">
        <v>43806</v>
      </c>
      <c r="N1266" t="s">
        <v>37</v>
      </c>
      <c r="O1266" t="s">
        <v>43</v>
      </c>
      <c r="P1266" t="str">
        <f t="shared" si="422"/>
        <v>P1265</v>
      </c>
      <c r="Q1266" t="str">
        <f t="shared" si="418"/>
        <v>Endocrinology</v>
      </c>
      <c r="R1266">
        <f t="shared" si="419"/>
        <v>22</v>
      </c>
      <c r="S1266" t="str">
        <f t="shared" ca="1" si="423"/>
        <v>No</v>
      </c>
      <c r="T1266" t="str">
        <f t="shared" ca="1" si="424"/>
        <v>Mild</v>
      </c>
      <c r="U1266" t="str">
        <f t="shared" ca="1" si="425"/>
        <v>Private Ward</v>
      </c>
      <c r="V1266" t="str">
        <f t="shared" si="426"/>
        <v>BED1265</v>
      </c>
      <c r="W1266" t="str">
        <f t="shared" ca="1" si="427"/>
        <v>ICU</v>
      </c>
      <c r="X1266" t="str">
        <f t="shared" si="428"/>
        <v>NUR015</v>
      </c>
      <c r="Y1266" t="str">
        <f t="shared" ca="1" si="429"/>
        <v>Morning</v>
      </c>
      <c r="Z1266" t="str">
        <f t="shared" ca="1" si="430"/>
        <v>CT Scanner</v>
      </c>
      <c r="AA1266" t="str">
        <f t="shared" ca="1" si="431"/>
        <v>Maintenance</v>
      </c>
      <c r="AB1266" t="str">
        <f t="shared" ca="1" si="432"/>
        <v>Partially Paid</v>
      </c>
      <c r="AC1266" t="str">
        <f t="shared" ca="1" si="433"/>
        <v>Bank Transfer</v>
      </c>
      <c r="AD1266" t="str">
        <f t="shared" ca="1" si="434"/>
        <v>Yes</v>
      </c>
      <c r="AE1266" t="str">
        <f t="shared" ca="1" si="435"/>
        <v>No</v>
      </c>
      <c r="AF1266" t="str">
        <f t="shared" ca="1" si="436"/>
        <v>Transferred</v>
      </c>
      <c r="AG1266" t="str">
        <f t="shared" ca="1" si="437"/>
        <v>Southwest</v>
      </c>
      <c r="AH1266" t="str">
        <f t="shared" si="420"/>
        <v>November</v>
      </c>
      <c r="AI1266">
        <f t="shared" si="421"/>
        <v>2019</v>
      </c>
      <c r="AJ1266" t="str">
        <f t="shared" ca="1" si="438"/>
        <v>Vacant</v>
      </c>
      <c r="AK1266">
        <f t="shared" ca="1" si="439"/>
        <v>1</v>
      </c>
    </row>
    <row r="1267" spans="1:37" x14ac:dyDescent="0.3">
      <c r="A1267" t="s">
        <v>5671</v>
      </c>
      <c r="B1267">
        <v>69</v>
      </c>
      <c r="C1267" t="s">
        <v>15</v>
      </c>
      <c r="D1267" t="s">
        <v>16</v>
      </c>
      <c r="E1267" t="s">
        <v>39</v>
      </c>
      <c r="F1267" s="1">
        <v>44089</v>
      </c>
      <c r="G1267" t="s">
        <v>2547</v>
      </c>
      <c r="H1267" t="s">
        <v>2548</v>
      </c>
      <c r="I1267" t="s">
        <v>57</v>
      </c>
      <c r="J1267">
        <v>35662</v>
      </c>
      <c r="K1267">
        <v>256</v>
      </c>
      <c r="L1267" t="s">
        <v>42</v>
      </c>
      <c r="M1267" s="1">
        <v>44092</v>
      </c>
      <c r="N1267" t="s">
        <v>67</v>
      </c>
      <c r="O1267" t="s">
        <v>43</v>
      </c>
      <c r="P1267" t="str">
        <f t="shared" si="422"/>
        <v>P1266</v>
      </c>
      <c r="Q1267" t="str">
        <f t="shared" si="418"/>
        <v>Endocrinology</v>
      </c>
      <c r="R1267">
        <f t="shared" si="419"/>
        <v>3</v>
      </c>
      <c r="S1267" t="str">
        <f t="shared" ca="1" si="423"/>
        <v>No</v>
      </c>
      <c r="T1267" t="str">
        <f t="shared" ca="1" si="424"/>
        <v>Moderate</v>
      </c>
      <c r="U1267" t="str">
        <f t="shared" ca="1" si="425"/>
        <v>Semi-Private</v>
      </c>
      <c r="V1267" t="str">
        <f t="shared" si="426"/>
        <v>BED1266</v>
      </c>
      <c r="W1267" t="str">
        <f t="shared" ca="1" si="427"/>
        <v>ICU</v>
      </c>
      <c r="X1267" t="str">
        <f t="shared" si="428"/>
        <v>NUR016</v>
      </c>
      <c r="Y1267" t="str">
        <f t="shared" ca="1" si="429"/>
        <v>Night</v>
      </c>
      <c r="Z1267" t="str">
        <f t="shared" ca="1" si="430"/>
        <v>CT Scanner</v>
      </c>
      <c r="AA1267" t="str">
        <f t="shared" ca="1" si="431"/>
        <v>In Use</v>
      </c>
      <c r="AB1267" t="str">
        <f t="shared" ca="1" si="432"/>
        <v>Pending</v>
      </c>
      <c r="AC1267" t="str">
        <f t="shared" ca="1" si="433"/>
        <v>Insurance</v>
      </c>
      <c r="AD1267" t="str">
        <f t="shared" ca="1" si="434"/>
        <v>Yes</v>
      </c>
      <c r="AE1267" t="str">
        <f t="shared" ca="1" si="435"/>
        <v>No</v>
      </c>
      <c r="AF1267" t="str">
        <f t="shared" ca="1" si="436"/>
        <v>Under Observation</v>
      </c>
      <c r="AG1267" t="str">
        <f t="shared" ca="1" si="437"/>
        <v>West Coast</v>
      </c>
      <c r="AH1267" t="str">
        <f t="shared" si="420"/>
        <v>September</v>
      </c>
      <c r="AI1267">
        <f t="shared" si="421"/>
        <v>2020</v>
      </c>
      <c r="AJ1267" t="str">
        <f t="shared" ca="1" si="438"/>
        <v>Occupied</v>
      </c>
      <c r="AK1267">
        <f t="shared" ca="1" si="439"/>
        <v>4</v>
      </c>
    </row>
    <row r="1268" spans="1:37" x14ac:dyDescent="0.3">
      <c r="A1268" t="s">
        <v>5672</v>
      </c>
      <c r="B1268">
        <v>84</v>
      </c>
      <c r="C1268" t="s">
        <v>32</v>
      </c>
      <c r="D1268" t="s">
        <v>98</v>
      </c>
      <c r="E1268" t="s">
        <v>64</v>
      </c>
      <c r="F1268" s="1">
        <v>45146</v>
      </c>
      <c r="G1268" t="s">
        <v>18</v>
      </c>
      <c r="H1268" t="s">
        <v>2549</v>
      </c>
      <c r="I1268" t="s">
        <v>57</v>
      </c>
      <c r="J1268">
        <v>34962</v>
      </c>
      <c r="K1268">
        <v>327</v>
      </c>
      <c r="L1268" t="s">
        <v>29</v>
      </c>
      <c r="M1268" s="1">
        <v>45170</v>
      </c>
      <c r="N1268" t="s">
        <v>37</v>
      </c>
      <c r="O1268" t="s">
        <v>23</v>
      </c>
      <c r="P1268" t="str">
        <f t="shared" si="422"/>
        <v>P1267</v>
      </c>
      <c r="Q1268" t="str">
        <f t="shared" si="418"/>
        <v>Cardiology</v>
      </c>
      <c r="R1268">
        <f t="shared" si="419"/>
        <v>24</v>
      </c>
      <c r="S1268" t="str">
        <f t="shared" ca="1" si="423"/>
        <v>No</v>
      </c>
      <c r="T1268" t="str">
        <f t="shared" ca="1" si="424"/>
        <v>Moderate</v>
      </c>
      <c r="U1268" t="str">
        <f t="shared" ca="1" si="425"/>
        <v>ICU</v>
      </c>
      <c r="V1268" t="str">
        <f t="shared" si="426"/>
        <v>BED1267</v>
      </c>
      <c r="W1268" t="str">
        <f t="shared" ca="1" si="427"/>
        <v>Semi-Private</v>
      </c>
      <c r="X1268" t="str">
        <f t="shared" si="428"/>
        <v>NUR017</v>
      </c>
      <c r="Y1268" t="str">
        <f t="shared" ca="1" si="429"/>
        <v>Evening</v>
      </c>
      <c r="Z1268" t="str">
        <f t="shared" ca="1" si="430"/>
        <v>Ultrasound</v>
      </c>
      <c r="AA1268" t="str">
        <f t="shared" ca="1" si="431"/>
        <v>Available</v>
      </c>
      <c r="AB1268" t="str">
        <f t="shared" ca="1" si="432"/>
        <v>Partially Paid</v>
      </c>
      <c r="AC1268" t="str">
        <f t="shared" ca="1" si="433"/>
        <v>Cash</v>
      </c>
      <c r="AD1268" t="str">
        <f t="shared" ca="1" si="434"/>
        <v>No</v>
      </c>
      <c r="AE1268" t="str">
        <f t="shared" ca="1" si="435"/>
        <v>Yes</v>
      </c>
      <c r="AF1268" t="str">
        <f t="shared" ca="1" si="436"/>
        <v>Recovered</v>
      </c>
      <c r="AG1268" t="str">
        <f t="shared" ca="1" si="437"/>
        <v>West Coast</v>
      </c>
      <c r="AH1268" t="str">
        <f t="shared" si="420"/>
        <v>August</v>
      </c>
      <c r="AI1268">
        <f t="shared" si="421"/>
        <v>2023</v>
      </c>
      <c r="AJ1268" t="str">
        <f t="shared" ca="1" si="438"/>
        <v>Occupied</v>
      </c>
      <c r="AK1268">
        <f t="shared" ca="1" si="439"/>
        <v>1</v>
      </c>
    </row>
    <row r="1269" spans="1:37" x14ac:dyDescent="0.3">
      <c r="A1269" t="s">
        <v>5673</v>
      </c>
      <c r="B1269">
        <v>60</v>
      </c>
      <c r="C1269" t="s">
        <v>15</v>
      </c>
      <c r="D1269" t="s">
        <v>52</v>
      </c>
      <c r="E1269" t="s">
        <v>48</v>
      </c>
      <c r="F1269" s="1">
        <v>44339</v>
      </c>
      <c r="G1269" t="s">
        <v>2550</v>
      </c>
      <c r="H1269" t="s">
        <v>2551</v>
      </c>
      <c r="I1269" t="s">
        <v>51</v>
      </c>
      <c r="J1269">
        <v>25999</v>
      </c>
      <c r="K1269">
        <v>322</v>
      </c>
      <c r="L1269" t="s">
        <v>42</v>
      </c>
      <c r="M1269" s="1">
        <v>44367</v>
      </c>
      <c r="N1269" t="s">
        <v>47</v>
      </c>
      <c r="O1269" t="s">
        <v>31</v>
      </c>
      <c r="P1269" t="str">
        <f t="shared" si="422"/>
        <v>P1268</v>
      </c>
      <c r="Q1269" t="str">
        <f t="shared" si="418"/>
        <v>Pulmonology</v>
      </c>
      <c r="R1269">
        <f t="shared" si="419"/>
        <v>28</v>
      </c>
      <c r="S1269" t="str">
        <f t="shared" ca="1" si="423"/>
        <v>No</v>
      </c>
      <c r="T1269" t="str">
        <f t="shared" ca="1" si="424"/>
        <v>Mild</v>
      </c>
      <c r="U1269" t="str">
        <f t="shared" ca="1" si="425"/>
        <v>Private Ward</v>
      </c>
      <c r="V1269" t="str">
        <f t="shared" si="426"/>
        <v>BED1268</v>
      </c>
      <c r="W1269" t="str">
        <f t="shared" ca="1" si="427"/>
        <v>Private</v>
      </c>
      <c r="X1269" t="str">
        <f t="shared" si="428"/>
        <v>NUR018</v>
      </c>
      <c r="Y1269" t="str">
        <f t="shared" ca="1" si="429"/>
        <v>Morning</v>
      </c>
      <c r="Z1269" t="str">
        <f t="shared" ca="1" si="430"/>
        <v>CT Scanner</v>
      </c>
      <c r="AA1269" t="str">
        <f t="shared" ca="1" si="431"/>
        <v>Maintenance</v>
      </c>
      <c r="AB1269" t="str">
        <f t="shared" ca="1" si="432"/>
        <v>Partially Paid</v>
      </c>
      <c r="AC1269" t="str">
        <f t="shared" ca="1" si="433"/>
        <v>Bank Transfer</v>
      </c>
      <c r="AD1269" t="str">
        <f t="shared" ca="1" si="434"/>
        <v>No</v>
      </c>
      <c r="AE1269" t="str">
        <f t="shared" ca="1" si="435"/>
        <v>No</v>
      </c>
      <c r="AF1269" t="str">
        <f t="shared" ca="1" si="436"/>
        <v>Recovered</v>
      </c>
      <c r="AG1269" t="str">
        <f t="shared" ca="1" si="437"/>
        <v>Southeast</v>
      </c>
      <c r="AH1269" t="str">
        <f t="shared" si="420"/>
        <v>May</v>
      </c>
      <c r="AI1269">
        <f t="shared" si="421"/>
        <v>2021</v>
      </c>
      <c r="AJ1269" t="str">
        <f t="shared" ca="1" si="438"/>
        <v>Vacant</v>
      </c>
      <c r="AK1269">
        <f t="shared" ca="1" si="439"/>
        <v>1</v>
      </c>
    </row>
    <row r="1270" spans="1:37" x14ac:dyDescent="0.3">
      <c r="A1270" t="s">
        <v>5674</v>
      </c>
      <c r="B1270">
        <v>49</v>
      </c>
      <c r="C1270" t="s">
        <v>32</v>
      </c>
      <c r="D1270" t="s">
        <v>52</v>
      </c>
      <c r="E1270" t="s">
        <v>48</v>
      </c>
      <c r="F1270" s="1">
        <v>44034</v>
      </c>
      <c r="G1270" t="s">
        <v>2552</v>
      </c>
      <c r="H1270" t="s">
        <v>2553</v>
      </c>
      <c r="I1270" t="s">
        <v>51</v>
      </c>
      <c r="J1270">
        <v>25595</v>
      </c>
      <c r="K1270">
        <v>258</v>
      </c>
      <c r="L1270" t="s">
        <v>21</v>
      </c>
      <c r="M1270" s="1">
        <v>44055</v>
      </c>
      <c r="N1270" t="s">
        <v>30</v>
      </c>
      <c r="O1270" t="s">
        <v>23</v>
      </c>
      <c r="P1270" t="str">
        <f t="shared" si="422"/>
        <v>P1269</v>
      </c>
      <c r="Q1270" t="str">
        <f t="shared" si="418"/>
        <v>Pulmonology</v>
      </c>
      <c r="R1270">
        <f t="shared" si="419"/>
        <v>21</v>
      </c>
      <c r="S1270" t="str">
        <f t="shared" ca="1" si="423"/>
        <v>No</v>
      </c>
      <c r="T1270" t="str">
        <f t="shared" ca="1" si="424"/>
        <v>Severe</v>
      </c>
      <c r="U1270" t="str">
        <f t="shared" ca="1" si="425"/>
        <v>General Ward</v>
      </c>
      <c r="V1270" t="str">
        <f t="shared" si="426"/>
        <v>BED1269</v>
      </c>
      <c r="W1270" t="str">
        <f t="shared" ca="1" si="427"/>
        <v>General</v>
      </c>
      <c r="X1270" t="str">
        <f t="shared" si="428"/>
        <v>NUR019</v>
      </c>
      <c r="Y1270" t="str">
        <f t="shared" ca="1" si="429"/>
        <v>Morning</v>
      </c>
      <c r="Z1270" t="str">
        <f t="shared" ca="1" si="430"/>
        <v>ECG Machine</v>
      </c>
      <c r="AA1270" t="str">
        <f t="shared" ca="1" si="431"/>
        <v>In Use</v>
      </c>
      <c r="AB1270" t="str">
        <f t="shared" ca="1" si="432"/>
        <v>Pending</v>
      </c>
      <c r="AC1270" t="str">
        <f t="shared" ca="1" si="433"/>
        <v>Credit Card</v>
      </c>
      <c r="AD1270" t="str">
        <f t="shared" ca="1" si="434"/>
        <v>No</v>
      </c>
      <c r="AE1270" t="str">
        <f t="shared" ca="1" si="435"/>
        <v>No</v>
      </c>
      <c r="AF1270" t="str">
        <f t="shared" ca="1" si="436"/>
        <v>Recovered</v>
      </c>
      <c r="AG1270" t="str">
        <f t="shared" ca="1" si="437"/>
        <v>Northeast</v>
      </c>
      <c r="AH1270" t="str">
        <f t="shared" si="420"/>
        <v>July</v>
      </c>
      <c r="AI1270">
        <f t="shared" si="421"/>
        <v>2020</v>
      </c>
      <c r="AJ1270" t="str">
        <f t="shared" ca="1" si="438"/>
        <v>Occupied</v>
      </c>
      <c r="AK1270">
        <f t="shared" ca="1" si="439"/>
        <v>2</v>
      </c>
    </row>
    <row r="1271" spans="1:37" x14ac:dyDescent="0.3">
      <c r="A1271" t="s">
        <v>5675</v>
      </c>
      <c r="B1271">
        <v>63</v>
      </c>
      <c r="C1271" t="s">
        <v>15</v>
      </c>
      <c r="D1271" t="s">
        <v>24</v>
      </c>
      <c r="E1271" t="s">
        <v>17</v>
      </c>
      <c r="F1271" s="1">
        <v>44713</v>
      </c>
      <c r="G1271" t="s">
        <v>2554</v>
      </c>
      <c r="H1271" t="s">
        <v>2555</v>
      </c>
      <c r="I1271" t="s">
        <v>28</v>
      </c>
      <c r="J1271">
        <v>21380</v>
      </c>
      <c r="K1271">
        <v>406</v>
      </c>
      <c r="L1271" t="s">
        <v>42</v>
      </c>
      <c r="M1271" s="1">
        <v>44733</v>
      </c>
      <c r="N1271" t="s">
        <v>67</v>
      </c>
      <c r="O1271" t="s">
        <v>31</v>
      </c>
      <c r="P1271" t="str">
        <f t="shared" si="422"/>
        <v>P1270</v>
      </c>
      <c r="Q1271" t="str">
        <f t="shared" si="418"/>
        <v>Oncology</v>
      </c>
      <c r="R1271">
        <f t="shared" si="419"/>
        <v>20</v>
      </c>
      <c r="S1271" t="str">
        <f t="shared" ca="1" si="423"/>
        <v>No</v>
      </c>
      <c r="T1271" t="str">
        <f t="shared" ca="1" si="424"/>
        <v>Severe</v>
      </c>
      <c r="U1271" t="str">
        <f t="shared" ca="1" si="425"/>
        <v>Semi-Private</v>
      </c>
      <c r="V1271" t="str">
        <f t="shared" si="426"/>
        <v>BED1270</v>
      </c>
      <c r="W1271" t="str">
        <f t="shared" ca="1" si="427"/>
        <v>Semi-Private</v>
      </c>
      <c r="X1271" t="str">
        <f t="shared" si="428"/>
        <v>NUR020</v>
      </c>
      <c r="Y1271" t="str">
        <f t="shared" ca="1" si="429"/>
        <v>Night</v>
      </c>
      <c r="Z1271" t="str">
        <f t="shared" ca="1" si="430"/>
        <v>Ventilator</v>
      </c>
      <c r="AA1271" t="str">
        <f t="shared" ca="1" si="431"/>
        <v>In Use</v>
      </c>
      <c r="AB1271" t="str">
        <f t="shared" ca="1" si="432"/>
        <v>Partially Paid</v>
      </c>
      <c r="AC1271" t="str">
        <f t="shared" ca="1" si="433"/>
        <v>Insurance</v>
      </c>
      <c r="AD1271" t="str">
        <f t="shared" ca="1" si="434"/>
        <v>Yes</v>
      </c>
      <c r="AE1271" t="str">
        <f t="shared" ca="1" si="435"/>
        <v>No</v>
      </c>
      <c r="AF1271" t="str">
        <f t="shared" ca="1" si="436"/>
        <v>Under Observation</v>
      </c>
      <c r="AG1271" t="str">
        <f t="shared" ca="1" si="437"/>
        <v>Northeast</v>
      </c>
      <c r="AH1271" t="str">
        <f t="shared" si="420"/>
        <v>June</v>
      </c>
      <c r="AI1271">
        <f t="shared" si="421"/>
        <v>2022</v>
      </c>
      <c r="AJ1271" t="str">
        <f t="shared" ca="1" si="438"/>
        <v>Occupied</v>
      </c>
      <c r="AK1271">
        <f t="shared" ca="1" si="439"/>
        <v>2</v>
      </c>
    </row>
    <row r="1272" spans="1:37" x14ac:dyDescent="0.3">
      <c r="A1272" t="s">
        <v>5676</v>
      </c>
      <c r="B1272">
        <v>21</v>
      </c>
      <c r="C1272" t="s">
        <v>15</v>
      </c>
      <c r="D1272" t="s">
        <v>33</v>
      </c>
      <c r="E1272" t="s">
        <v>39</v>
      </c>
      <c r="F1272" s="1">
        <v>45292</v>
      </c>
      <c r="G1272" t="s">
        <v>2556</v>
      </c>
      <c r="H1272" t="s">
        <v>2557</v>
      </c>
      <c r="I1272" t="s">
        <v>36</v>
      </c>
      <c r="J1272">
        <v>12064</v>
      </c>
      <c r="K1272">
        <v>140</v>
      </c>
      <c r="L1272" t="s">
        <v>42</v>
      </c>
      <c r="M1272" s="1">
        <v>45305</v>
      </c>
      <c r="N1272" t="s">
        <v>67</v>
      </c>
      <c r="O1272" t="s">
        <v>23</v>
      </c>
      <c r="P1272" t="str">
        <f t="shared" si="422"/>
        <v>P1271</v>
      </c>
      <c r="Q1272" t="str">
        <f t="shared" si="418"/>
        <v>Endocrinology</v>
      </c>
      <c r="R1272">
        <f t="shared" si="419"/>
        <v>13</v>
      </c>
      <c r="S1272" t="str">
        <f t="shared" ca="1" si="423"/>
        <v>Yes</v>
      </c>
      <c r="T1272" t="str">
        <f t="shared" ca="1" si="424"/>
        <v>Moderate</v>
      </c>
      <c r="U1272" t="str">
        <f t="shared" ca="1" si="425"/>
        <v>General Ward</v>
      </c>
      <c r="V1272" t="str">
        <f t="shared" si="426"/>
        <v>BED1271</v>
      </c>
      <c r="W1272" t="str">
        <f t="shared" ca="1" si="427"/>
        <v>Semi-Private</v>
      </c>
      <c r="X1272" t="str">
        <f t="shared" si="428"/>
        <v>NUR021</v>
      </c>
      <c r="Y1272" t="str">
        <f t="shared" ca="1" si="429"/>
        <v>Evening</v>
      </c>
      <c r="Z1272" t="str">
        <f t="shared" ca="1" si="430"/>
        <v>CT Scanner</v>
      </c>
      <c r="AA1272" t="str">
        <f t="shared" ca="1" si="431"/>
        <v>Maintenance</v>
      </c>
      <c r="AB1272" t="str">
        <f t="shared" ca="1" si="432"/>
        <v>Paid</v>
      </c>
      <c r="AC1272" t="str">
        <f t="shared" ca="1" si="433"/>
        <v>Bank Transfer</v>
      </c>
      <c r="AD1272" t="str">
        <f t="shared" ca="1" si="434"/>
        <v>Yes</v>
      </c>
      <c r="AE1272" t="str">
        <f t="shared" ca="1" si="435"/>
        <v>Yes</v>
      </c>
      <c r="AF1272" t="str">
        <f t="shared" ca="1" si="436"/>
        <v>Recovered</v>
      </c>
      <c r="AG1272" t="str">
        <f t="shared" ca="1" si="437"/>
        <v>Southeast</v>
      </c>
      <c r="AH1272" t="str">
        <f t="shared" si="420"/>
        <v>January</v>
      </c>
      <c r="AI1272">
        <f t="shared" si="421"/>
        <v>2024</v>
      </c>
      <c r="AJ1272" t="str">
        <f t="shared" ca="1" si="438"/>
        <v>Vacant</v>
      </c>
      <c r="AK1272">
        <f t="shared" ca="1" si="439"/>
        <v>4</v>
      </c>
    </row>
    <row r="1273" spans="1:37" x14ac:dyDescent="0.3">
      <c r="A1273" t="s">
        <v>5677</v>
      </c>
      <c r="B1273">
        <v>28</v>
      </c>
      <c r="C1273" t="s">
        <v>32</v>
      </c>
      <c r="D1273" t="s">
        <v>38</v>
      </c>
      <c r="E1273" t="s">
        <v>48</v>
      </c>
      <c r="F1273" s="1">
        <v>45407</v>
      </c>
      <c r="G1273" t="s">
        <v>2558</v>
      </c>
      <c r="H1273" t="s">
        <v>2559</v>
      </c>
      <c r="I1273" t="s">
        <v>28</v>
      </c>
      <c r="J1273">
        <v>25702</v>
      </c>
      <c r="K1273">
        <v>376</v>
      </c>
      <c r="L1273" t="s">
        <v>42</v>
      </c>
      <c r="M1273" s="1">
        <v>45437</v>
      </c>
      <c r="N1273" t="s">
        <v>37</v>
      </c>
      <c r="O1273" t="s">
        <v>43</v>
      </c>
      <c r="P1273" t="str">
        <f t="shared" si="422"/>
        <v>P1272</v>
      </c>
      <c r="Q1273" t="str">
        <f t="shared" si="418"/>
        <v>Pulmonology</v>
      </c>
      <c r="R1273">
        <f t="shared" si="419"/>
        <v>30</v>
      </c>
      <c r="S1273" t="str">
        <f t="shared" ca="1" si="423"/>
        <v>Yes</v>
      </c>
      <c r="T1273" t="str">
        <f t="shared" ca="1" si="424"/>
        <v>Severe</v>
      </c>
      <c r="U1273" t="str">
        <f t="shared" ca="1" si="425"/>
        <v>General Ward</v>
      </c>
      <c r="V1273" t="str">
        <f t="shared" si="426"/>
        <v>BED1272</v>
      </c>
      <c r="W1273" t="str">
        <f t="shared" ca="1" si="427"/>
        <v>ICU</v>
      </c>
      <c r="X1273" t="str">
        <f t="shared" si="428"/>
        <v>NUR022</v>
      </c>
      <c r="Y1273" t="str">
        <f t="shared" ca="1" si="429"/>
        <v>Evening</v>
      </c>
      <c r="Z1273" t="str">
        <f t="shared" ca="1" si="430"/>
        <v>X-Ray</v>
      </c>
      <c r="AA1273" t="str">
        <f t="shared" ca="1" si="431"/>
        <v>In Use</v>
      </c>
      <c r="AB1273" t="str">
        <f t="shared" ca="1" si="432"/>
        <v>Pending</v>
      </c>
      <c r="AC1273" t="str">
        <f t="shared" ca="1" si="433"/>
        <v>Insurance</v>
      </c>
      <c r="AD1273" t="str">
        <f t="shared" ca="1" si="434"/>
        <v>No</v>
      </c>
      <c r="AE1273" t="str">
        <f t="shared" ca="1" si="435"/>
        <v>No</v>
      </c>
      <c r="AF1273" t="str">
        <f t="shared" ca="1" si="436"/>
        <v>Recovered</v>
      </c>
      <c r="AG1273" t="str">
        <f t="shared" ca="1" si="437"/>
        <v>Southwest</v>
      </c>
      <c r="AH1273" t="str">
        <f t="shared" si="420"/>
        <v>April</v>
      </c>
      <c r="AI1273">
        <f t="shared" si="421"/>
        <v>2024</v>
      </c>
      <c r="AJ1273" t="str">
        <f t="shared" ca="1" si="438"/>
        <v>Vacant</v>
      </c>
      <c r="AK1273">
        <f t="shared" ca="1" si="439"/>
        <v>2</v>
      </c>
    </row>
    <row r="1274" spans="1:37" x14ac:dyDescent="0.3">
      <c r="A1274" t="s">
        <v>5678</v>
      </c>
      <c r="B1274">
        <v>77</v>
      </c>
      <c r="C1274" t="s">
        <v>15</v>
      </c>
      <c r="D1274" t="s">
        <v>38</v>
      </c>
      <c r="E1274" t="s">
        <v>48</v>
      </c>
      <c r="F1274" s="1">
        <v>43707</v>
      </c>
      <c r="G1274" t="s">
        <v>2560</v>
      </c>
      <c r="H1274" t="s">
        <v>2561</v>
      </c>
      <c r="I1274" t="s">
        <v>20</v>
      </c>
      <c r="J1274">
        <v>35253</v>
      </c>
      <c r="K1274">
        <v>182</v>
      </c>
      <c r="L1274" t="s">
        <v>29</v>
      </c>
      <c r="M1274" s="1">
        <v>43714</v>
      </c>
      <c r="N1274" t="s">
        <v>37</v>
      </c>
      <c r="O1274" t="s">
        <v>43</v>
      </c>
      <c r="P1274" t="str">
        <f t="shared" si="422"/>
        <v>P1273</v>
      </c>
      <c r="Q1274" t="str">
        <f t="shared" si="418"/>
        <v>Pulmonology</v>
      </c>
      <c r="R1274">
        <f t="shared" si="419"/>
        <v>7</v>
      </c>
      <c r="S1274" t="str">
        <f t="shared" ca="1" si="423"/>
        <v>No</v>
      </c>
      <c r="T1274" t="str">
        <f t="shared" ca="1" si="424"/>
        <v>Mild</v>
      </c>
      <c r="U1274" t="str">
        <f t="shared" ca="1" si="425"/>
        <v>Semi-Private</v>
      </c>
      <c r="V1274" t="str">
        <f t="shared" si="426"/>
        <v>BED1273</v>
      </c>
      <c r="W1274" t="str">
        <f t="shared" ca="1" si="427"/>
        <v>ICU</v>
      </c>
      <c r="X1274" t="str">
        <f t="shared" si="428"/>
        <v>NUR023</v>
      </c>
      <c r="Y1274" t="str">
        <f t="shared" ca="1" si="429"/>
        <v>Night</v>
      </c>
      <c r="Z1274" t="str">
        <f t="shared" ca="1" si="430"/>
        <v>ECG Machine</v>
      </c>
      <c r="AA1274" t="str">
        <f t="shared" ca="1" si="431"/>
        <v>In Use</v>
      </c>
      <c r="AB1274" t="str">
        <f t="shared" ca="1" si="432"/>
        <v>Partially Paid</v>
      </c>
      <c r="AC1274" t="str">
        <f t="shared" ca="1" si="433"/>
        <v>Credit Card</v>
      </c>
      <c r="AD1274" t="str">
        <f t="shared" ca="1" si="434"/>
        <v>Yes</v>
      </c>
      <c r="AE1274" t="str">
        <f t="shared" ca="1" si="435"/>
        <v>No</v>
      </c>
      <c r="AF1274" t="str">
        <f t="shared" ca="1" si="436"/>
        <v>Transferred</v>
      </c>
      <c r="AG1274" t="str">
        <f t="shared" ca="1" si="437"/>
        <v>Southeast</v>
      </c>
      <c r="AH1274" t="str">
        <f t="shared" si="420"/>
        <v>August</v>
      </c>
      <c r="AI1274">
        <f t="shared" si="421"/>
        <v>2019</v>
      </c>
      <c r="AJ1274" t="str">
        <f t="shared" ca="1" si="438"/>
        <v>Occupied</v>
      </c>
      <c r="AK1274">
        <f t="shared" ca="1" si="439"/>
        <v>4</v>
      </c>
    </row>
    <row r="1275" spans="1:37" x14ac:dyDescent="0.3">
      <c r="A1275" t="s">
        <v>5679</v>
      </c>
      <c r="B1275">
        <v>34</v>
      </c>
      <c r="C1275" t="s">
        <v>15</v>
      </c>
      <c r="D1275" t="s">
        <v>33</v>
      </c>
      <c r="E1275" t="s">
        <v>17</v>
      </c>
      <c r="F1275" s="1">
        <v>44988</v>
      </c>
      <c r="G1275" t="s">
        <v>2562</v>
      </c>
      <c r="H1275" t="s">
        <v>2563</v>
      </c>
      <c r="I1275" t="s">
        <v>28</v>
      </c>
      <c r="J1275">
        <v>11175</v>
      </c>
      <c r="K1275">
        <v>248</v>
      </c>
      <c r="L1275" t="s">
        <v>21</v>
      </c>
      <c r="M1275" s="1">
        <v>45007</v>
      </c>
      <c r="N1275" t="s">
        <v>22</v>
      </c>
      <c r="O1275" t="s">
        <v>23</v>
      </c>
      <c r="P1275" t="str">
        <f t="shared" si="422"/>
        <v>P1274</v>
      </c>
      <c r="Q1275" t="str">
        <f t="shared" si="418"/>
        <v>Oncology</v>
      </c>
      <c r="R1275">
        <f t="shared" si="419"/>
        <v>19</v>
      </c>
      <c r="S1275" t="str">
        <f t="shared" ca="1" si="423"/>
        <v>No</v>
      </c>
      <c r="T1275" t="str">
        <f t="shared" ca="1" si="424"/>
        <v>Critical</v>
      </c>
      <c r="U1275" t="str">
        <f t="shared" ca="1" si="425"/>
        <v>Semi-Private</v>
      </c>
      <c r="V1275" t="str">
        <f t="shared" si="426"/>
        <v>BED1274</v>
      </c>
      <c r="W1275" t="str">
        <f t="shared" ca="1" si="427"/>
        <v>Private</v>
      </c>
      <c r="X1275" t="str">
        <f t="shared" si="428"/>
        <v>NUR024</v>
      </c>
      <c r="Y1275" t="str">
        <f t="shared" ca="1" si="429"/>
        <v>Evening</v>
      </c>
      <c r="Z1275" t="str">
        <f t="shared" ca="1" si="430"/>
        <v>X-Ray</v>
      </c>
      <c r="AA1275" t="str">
        <f t="shared" ca="1" si="431"/>
        <v>Maintenance</v>
      </c>
      <c r="AB1275" t="str">
        <f t="shared" ca="1" si="432"/>
        <v>Paid</v>
      </c>
      <c r="AC1275" t="str">
        <f t="shared" ca="1" si="433"/>
        <v>Cash</v>
      </c>
      <c r="AD1275" t="str">
        <f t="shared" ca="1" si="434"/>
        <v>Yes</v>
      </c>
      <c r="AE1275" t="str">
        <f t="shared" ca="1" si="435"/>
        <v>No</v>
      </c>
      <c r="AF1275" t="str">
        <f t="shared" ca="1" si="436"/>
        <v>Under Observation</v>
      </c>
      <c r="AG1275" t="str">
        <f t="shared" ca="1" si="437"/>
        <v>Midwest</v>
      </c>
      <c r="AH1275" t="str">
        <f t="shared" si="420"/>
        <v>March</v>
      </c>
      <c r="AI1275">
        <f t="shared" si="421"/>
        <v>2023</v>
      </c>
      <c r="AJ1275" t="str">
        <f t="shared" ca="1" si="438"/>
        <v>Occupied</v>
      </c>
      <c r="AK1275">
        <f t="shared" ca="1" si="439"/>
        <v>1</v>
      </c>
    </row>
    <row r="1276" spans="1:37" x14ac:dyDescent="0.3">
      <c r="A1276" t="s">
        <v>5680</v>
      </c>
      <c r="B1276">
        <v>83</v>
      </c>
      <c r="C1276" t="s">
        <v>32</v>
      </c>
      <c r="D1276" t="s">
        <v>33</v>
      </c>
      <c r="E1276" t="s">
        <v>25</v>
      </c>
      <c r="F1276" s="1">
        <v>43846</v>
      </c>
      <c r="G1276" t="s">
        <v>2564</v>
      </c>
      <c r="H1276" t="s">
        <v>2565</v>
      </c>
      <c r="I1276" t="s">
        <v>28</v>
      </c>
      <c r="J1276">
        <v>42511</v>
      </c>
      <c r="K1276">
        <v>286</v>
      </c>
      <c r="L1276" t="s">
        <v>29</v>
      </c>
      <c r="M1276" s="1">
        <v>43864</v>
      </c>
      <c r="N1276" t="s">
        <v>37</v>
      </c>
      <c r="O1276" t="s">
        <v>31</v>
      </c>
      <c r="P1276" t="str">
        <f t="shared" si="422"/>
        <v>P1275</v>
      </c>
      <c r="Q1276" t="str">
        <f t="shared" si="418"/>
        <v>Nutrition</v>
      </c>
      <c r="R1276">
        <f t="shared" si="419"/>
        <v>18</v>
      </c>
      <c r="S1276" t="str">
        <f t="shared" ca="1" si="423"/>
        <v>No</v>
      </c>
      <c r="T1276" t="str">
        <f t="shared" ca="1" si="424"/>
        <v>Critical</v>
      </c>
      <c r="U1276" t="str">
        <f t="shared" ca="1" si="425"/>
        <v>ICU</v>
      </c>
      <c r="V1276" t="str">
        <f t="shared" si="426"/>
        <v>BED1275</v>
      </c>
      <c r="W1276" t="str">
        <f t="shared" ca="1" si="427"/>
        <v>General</v>
      </c>
      <c r="X1276" t="str">
        <f t="shared" si="428"/>
        <v>NUR025</v>
      </c>
      <c r="Y1276" t="str">
        <f t="shared" ca="1" si="429"/>
        <v>Evening</v>
      </c>
      <c r="Z1276" t="str">
        <f t="shared" ca="1" si="430"/>
        <v>X-Ray</v>
      </c>
      <c r="AA1276" t="str">
        <f t="shared" ca="1" si="431"/>
        <v>In Use</v>
      </c>
      <c r="AB1276" t="str">
        <f t="shared" ca="1" si="432"/>
        <v>Paid</v>
      </c>
      <c r="AC1276" t="str">
        <f t="shared" ca="1" si="433"/>
        <v>Debit Card</v>
      </c>
      <c r="AD1276" t="str">
        <f t="shared" ca="1" si="434"/>
        <v>Yes</v>
      </c>
      <c r="AE1276" t="str">
        <f t="shared" ca="1" si="435"/>
        <v>No</v>
      </c>
      <c r="AF1276" t="str">
        <f t="shared" ca="1" si="436"/>
        <v>Recovered</v>
      </c>
      <c r="AG1276" t="str">
        <f t="shared" ca="1" si="437"/>
        <v>West Coast</v>
      </c>
      <c r="AH1276" t="str">
        <f t="shared" si="420"/>
        <v>January</v>
      </c>
      <c r="AI1276">
        <f t="shared" si="421"/>
        <v>2020</v>
      </c>
      <c r="AJ1276" t="str">
        <f t="shared" ca="1" si="438"/>
        <v>Occupied</v>
      </c>
      <c r="AK1276">
        <f t="shared" ca="1" si="439"/>
        <v>2</v>
      </c>
    </row>
    <row r="1277" spans="1:37" x14ac:dyDescent="0.3">
      <c r="A1277" t="s">
        <v>5681</v>
      </c>
      <c r="B1277">
        <v>33</v>
      </c>
      <c r="C1277" t="s">
        <v>32</v>
      </c>
      <c r="D1277" t="s">
        <v>16</v>
      </c>
      <c r="E1277" t="s">
        <v>76</v>
      </c>
      <c r="F1277" s="1">
        <v>45366</v>
      </c>
      <c r="G1277" t="s">
        <v>2566</v>
      </c>
      <c r="H1277" t="s">
        <v>2567</v>
      </c>
      <c r="I1277" t="s">
        <v>51</v>
      </c>
      <c r="J1277">
        <v>7476</v>
      </c>
      <c r="K1277">
        <v>373</v>
      </c>
      <c r="L1277" t="s">
        <v>42</v>
      </c>
      <c r="M1277" s="1">
        <v>45371</v>
      </c>
      <c r="N1277" t="s">
        <v>47</v>
      </c>
      <c r="O1277" t="s">
        <v>43</v>
      </c>
      <c r="P1277" t="str">
        <f t="shared" si="422"/>
        <v>P1276</v>
      </c>
      <c r="Q1277" t="str">
        <f t="shared" si="418"/>
        <v>Orthopedics</v>
      </c>
      <c r="R1277">
        <f t="shared" si="419"/>
        <v>5</v>
      </c>
      <c r="S1277" t="str">
        <f t="shared" ca="1" si="423"/>
        <v>No</v>
      </c>
      <c r="T1277" t="str">
        <f t="shared" ca="1" si="424"/>
        <v>Mild</v>
      </c>
      <c r="U1277" t="str">
        <f t="shared" ca="1" si="425"/>
        <v>ICU</v>
      </c>
      <c r="V1277" t="str">
        <f t="shared" si="426"/>
        <v>BED1276</v>
      </c>
      <c r="W1277" t="str">
        <f t="shared" ca="1" si="427"/>
        <v>Private</v>
      </c>
      <c r="X1277" t="str">
        <f t="shared" si="428"/>
        <v>NUR026</v>
      </c>
      <c r="Y1277" t="str">
        <f t="shared" ca="1" si="429"/>
        <v>Night</v>
      </c>
      <c r="Z1277" t="str">
        <f t="shared" ca="1" si="430"/>
        <v>Ventilator</v>
      </c>
      <c r="AA1277" t="str">
        <f t="shared" ca="1" si="431"/>
        <v>In Use</v>
      </c>
      <c r="AB1277" t="str">
        <f t="shared" ca="1" si="432"/>
        <v>Partially Paid</v>
      </c>
      <c r="AC1277" t="str">
        <f t="shared" ca="1" si="433"/>
        <v>Debit Card</v>
      </c>
      <c r="AD1277" t="str">
        <f t="shared" ca="1" si="434"/>
        <v>No</v>
      </c>
      <c r="AE1277" t="str">
        <f t="shared" ca="1" si="435"/>
        <v>No</v>
      </c>
      <c r="AF1277" t="str">
        <f t="shared" ca="1" si="436"/>
        <v>Transferred</v>
      </c>
      <c r="AG1277" t="str">
        <f t="shared" ca="1" si="437"/>
        <v>Northeast</v>
      </c>
      <c r="AH1277" t="str">
        <f t="shared" si="420"/>
        <v>March</v>
      </c>
      <c r="AI1277">
        <f t="shared" si="421"/>
        <v>2024</v>
      </c>
      <c r="AJ1277" t="str">
        <f t="shared" ca="1" si="438"/>
        <v>Occupied</v>
      </c>
      <c r="AK1277">
        <f t="shared" ca="1" si="439"/>
        <v>4</v>
      </c>
    </row>
    <row r="1278" spans="1:37" x14ac:dyDescent="0.3">
      <c r="A1278" t="s">
        <v>5682</v>
      </c>
      <c r="B1278">
        <v>39</v>
      </c>
      <c r="C1278" t="s">
        <v>15</v>
      </c>
      <c r="D1278" t="s">
        <v>38</v>
      </c>
      <c r="E1278" t="s">
        <v>39</v>
      </c>
      <c r="F1278" s="1">
        <v>44846</v>
      </c>
      <c r="G1278" t="s">
        <v>2568</v>
      </c>
      <c r="H1278" t="s">
        <v>2569</v>
      </c>
      <c r="I1278" t="s">
        <v>20</v>
      </c>
      <c r="J1278">
        <v>6118</v>
      </c>
      <c r="K1278">
        <v>144</v>
      </c>
      <c r="L1278" t="s">
        <v>42</v>
      </c>
      <c r="M1278" s="1">
        <v>44871</v>
      </c>
      <c r="N1278" t="s">
        <v>37</v>
      </c>
      <c r="O1278" t="s">
        <v>23</v>
      </c>
      <c r="P1278" t="str">
        <f t="shared" si="422"/>
        <v>P1277</v>
      </c>
      <c r="Q1278" t="str">
        <f t="shared" si="418"/>
        <v>Endocrinology</v>
      </c>
      <c r="R1278">
        <f t="shared" si="419"/>
        <v>25</v>
      </c>
      <c r="S1278" t="str">
        <f t="shared" ca="1" si="423"/>
        <v>No</v>
      </c>
      <c r="T1278" t="str">
        <f t="shared" ca="1" si="424"/>
        <v>Critical</v>
      </c>
      <c r="U1278" t="str">
        <f t="shared" ca="1" si="425"/>
        <v>Emergency</v>
      </c>
      <c r="V1278" t="str">
        <f t="shared" si="426"/>
        <v>BED1277</v>
      </c>
      <c r="W1278" t="str">
        <f t="shared" ca="1" si="427"/>
        <v>General</v>
      </c>
      <c r="X1278" t="str">
        <f t="shared" si="428"/>
        <v>NUR027</v>
      </c>
      <c r="Y1278" t="str">
        <f t="shared" ca="1" si="429"/>
        <v>Evening</v>
      </c>
      <c r="Z1278" t="str">
        <f t="shared" ca="1" si="430"/>
        <v>Ventilator</v>
      </c>
      <c r="AA1278" t="str">
        <f t="shared" ca="1" si="431"/>
        <v>Maintenance</v>
      </c>
      <c r="AB1278" t="str">
        <f t="shared" ca="1" si="432"/>
        <v>Pending</v>
      </c>
      <c r="AC1278" t="str">
        <f t="shared" ca="1" si="433"/>
        <v>Cash</v>
      </c>
      <c r="AD1278" t="str">
        <f t="shared" ca="1" si="434"/>
        <v>No</v>
      </c>
      <c r="AE1278" t="str">
        <f t="shared" ca="1" si="435"/>
        <v>No</v>
      </c>
      <c r="AF1278" t="str">
        <f t="shared" ca="1" si="436"/>
        <v>Transferred</v>
      </c>
      <c r="AG1278" t="str">
        <f t="shared" ca="1" si="437"/>
        <v>West Coast</v>
      </c>
      <c r="AH1278" t="str">
        <f t="shared" si="420"/>
        <v>October</v>
      </c>
      <c r="AI1278">
        <f t="shared" si="421"/>
        <v>2022</v>
      </c>
      <c r="AJ1278" t="str">
        <f t="shared" ca="1" si="438"/>
        <v>Occupied</v>
      </c>
      <c r="AK1278">
        <f t="shared" ca="1" si="439"/>
        <v>2</v>
      </c>
    </row>
    <row r="1279" spans="1:37" x14ac:dyDescent="0.3">
      <c r="A1279" t="s">
        <v>5683</v>
      </c>
      <c r="B1279">
        <v>31</v>
      </c>
      <c r="C1279" t="s">
        <v>32</v>
      </c>
      <c r="D1279" t="s">
        <v>83</v>
      </c>
      <c r="E1279" t="s">
        <v>64</v>
      </c>
      <c r="F1279" s="1">
        <v>43891</v>
      </c>
      <c r="G1279" t="s">
        <v>2570</v>
      </c>
      <c r="H1279" t="s">
        <v>2571</v>
      </c>
      <c r="I1279" t="s">
        <v>57</v>
      </c>
      <c r="J1279">
        <v>15092</v>
      </c>
      <c r="K1279">
        <v>360</v>
      </c>
      <c r="L1279" t="s">
        <v>42</v>
      </c>
      <c r="M1279" s="1">
        <v>43896</v>
      </c>
      <c r="N1279" t="s">
        <v>67</v>
      </c>
      <c r="O1279" t="s">
        <v>43</v>
      </c>
      <c r="P1279" t="str">
        <f t="shared" si="422"/>
        <v>P1278</v>
      </c>
      <c r="Q1279" t="str">
        <f t="shared" si="418"/>
        <v>Cardiology</v>
      </c>
      <c r="R1279">
        <f t="shared" si="419"/>
        <v>5</v>
      </c>
      <c r="S1279" t="str">
        <f t="shared" ca="1" si="423"/>
        <v>No</v>
      </c>
      <c r="T1279" t="str">
        <f t="shared" ca="1" si="424"/>
        <v>Critical</v>
      </c>
      <c r="U1279" t="str">
        <f t="shared" ca="1" si="425"/>
        <v>General Ward</v>
      </c>
      <c r="V1279" t="str">
        <f t="shared" si="426"/>
        <v>BED1278</v>
      </c>
      <c r="W1279" t="str">
        <f t="shared" ca="1" si="427"/>
        <v>General</v>
      </c>
      <c r="X1279" t="str">
        <f t="shared" si="428"/>
        <v>NUR028</v>
      </c>
      <c r="Y1279" t="str">
        <f t="shared" ca="1" si="429"/>
        <v>Night</v>
      </c>
      <c r="Z1279" t="str">
        <f t="shared" ca="1" si="430"/>
        <v>Ventilator</v>
      </c>
      <c r="AA1279" t="str">
        <f t="shared" ca="1" si="431"/>
        <v>In Use</v>
      </c>
      <c r="AB1279" t="str">
        <f t="shared" ca="1" si="432"/>
        <v>Partially Paid</v>
      </c>
      <c r="AC1279" t="str">
        <f t="shared" ca="1" si="433"/>
        <v>Cash</v>
      </c>
      <c r="AD1279" t="str">
        <f t="shared" ca="1" si="434"/>
        <v>Yes</v>
      </c>
      <c r="AE1279" t="str">
        <f t="shared" ca="1" si="435"/>
        <v>No</v>
      </c>
      <c r="AF1279" t="str">
        <f t="shared" ca="1" si="436"/>
        <v>Recovered</v>
      </c>
      <c r="AG1279" t="str">
        <f t="shared" ca="1" si="437"/>
        <v>Northeast</v>
      </c>
      <c r="AH1279" t="str">
        <f t="shared" si="420"/>
        <v>March</v>
      </c>
      <c r="AI1279">
        <f t="shared" si="421"/>
        <v>2020</v>
      </c>
      <c r="AJ1279" t="str">
        <f t="shared" ca="1" si="438"/>
        <v>Occupied</v>
      </c>
      <c r="AK1279">
        <f t="shared" ca="1" si="439"/>
        <v>4</v>
      </c>
    </row>
    <row r="1280" spans="1:37" x14ac:dyDescent="0.3">
      <c r="A1280" t="s">
        <v>5684</v>
      </c>
      <c r="B1280">
        <v>75</v>
      </c>
      <c r="C1280" t="s">
        <v>32</v>
      </c>
      <c r="D1280" t="s">
        <v>38</v>
      </c>
      <c r="E1280" t="s">
        <v>64</v>
      </c>
      <c r="F1280" s="1">
        <v>44706</v>
      </c>
      <c r="G1280" t="s">
        <v>2572</v>
      </c>
      <c r="H1280" t="s">
        <v>1717</v>
      </c>
      <c r="I1280" t="s">
        <v>57</v>
      </c>
      <c r="J1280">
        <v>13355</v>
      </c>
      <c r="K1280">
        <v>361</v>
      </c>
      <c r="L1280" t="s">
        <v>42</v>
      </c>
      <c r="M1280" s="1">
        <v>44714</v>
      </c>
      <c r="N1280" t="s">
        <v>30</v>
      </c>
      <c r="O1280" t="s">
        <v>43</v>
      </c>
      <c r="P1280" t="str">
        <f t="shared" si="422"/>
        <v>P1279</v>
      </c>
      <c r="Q1280" t="str">
        <f t="shared" si="418"/>
        <v>Cardiology</v>
      </c>
      <c r="R1280">
        <f t="shared" si="419"/>
        <v>8</v>
      </c>
      <c r="S1280" t="str">
        <f t="shared" ca="1" si="423"/>
        <v>Yes</v>
      </c>
      <c r="T1280" t="str">
        <f t="shared" ca="1" si="424"/>
        <v>Critical</v>
      </c>
      <c r="U1280" t="str">
        <f t="shared" ca="1" si="425"/>
        <v>General Ward</v>
      </c>
      <c r="V1280" t="str">
        <f t="shared" si="426"/>
        <v>BED1279</v>
      </c>
      <c r="W1280" t="str">
        <f t="shared" ca="1" si="427"/>
        <v>Semi-Private</v>
      </c>
      <c r="X1280" t="str">
        <f t="shared" si="428"/>
        <v>NUR029</v>
      </c>
      <c r="Y1280" t="str">
        <f t="shared" ca="1" si="429"/>
        <v>Evening</v>
      </c>
      <c r="Z1280" t="str">
        <f t="shared" ca="1" si="430"/>
        <v>Ventilator</v>
      </c>
      <c r="AA1280" t="str">
        <f t="shared" ca="1" si="431"/>
        <v>In Use</v>
      </c>
      <c r="AB1280" t="str">
        <f t="shared" ca="1" si="432"/>
        <v>Paid</v>
      </c>
      <c r="AC1280" t="str">
        <f t="shared" ca="1" si="433"/>
        <v>Credit Card</v>
      </c>
      <c r="AD1280" t="str">
        <f t="shared" ca="1" si="434"/>
        <v>No</v>
      </c>
      <c r="AE1280" t="str">
        <f t="shared" ca="1" si="435"/>
        <v>No</v>
      </c>
      <c r="AF1280" t="str">
        <f t="shared" ca="1" si="436"/>
        <v>Transferred</v>
      </c>
      <c r="AG1280" t="str">
        <f t="shared" ca="1" si="437"/>
        <v>Southwest</v>
      </c>
      <c r="AH1280" t="str">
        <f t="shared" si="420"/>
        <v>May</v>
      </c>
      <c r="AI1280">
        <f t="shared" si="421"/>
        <v>2022</v>
      </c>
      <c r="AJ1280" t="str">
        <f t="shared" ca="1" si="438"/>
        <v>Occupied</v>
      </c>
      <c r="AK1280">
        <f t="shared" ca="1" si="439"/>
        <v>4</v>
      </c>
    </row>
    <row r="1281" spans="1:37" x14ac:dyDescent="0.3">
      <c r="A1281" t="s">
        <v>5685</v>
      </c>
      <c r="B1281">
        <v>44</v>
      </c>
      <c r="C1281" t="s">
        <v>15</v>
      </c>
      <c r="D1281" t="s">
        <v>98</v>
      </c>
      <c r="E1281" t="s">
        <v>64</v>
      </c>
      <c r="F1281" s="1">
        <v>44320</v>
      </c>
      <c r="G1281" t="s">
        <v>2573</v>
      </c>
      <c r="H1281" t="s">
        <v>1414</v>
      </c>
      <c r="I1281" t="s">
        <v>28</v>
      </c>
      <c r="J1281">
        <v>9912</v>
      </c>
      <c r="K1281">
        <v>477</v>
      </c>
      <c r="L1281" t="s">
        <v>42</v>
      </c>
      <c r="M1281" s="1">
        <v>44327</v>
      </c>
      <c r="N1281" t="s">
        <v>37</v>
      </c>
      <c r="O1281" t="s">
        <v>43</v>
      </c>
      <c r="P1281" t="str">
        <f t="shared" si="422"/>
        <v>P1280</v>
      </c>
      <c r="Q1281" t="str">
        <f t="shared" si="418"/>
        <v>Cardiology</v>
      </c>
      <c r="R1281">
        <f t="shared" si="419"/>
        <v>7</v>
      </c>
      <c r="S1281" t="str">
        <f t="shared" ca="1" si="423"/>
        <v>No</v>
      </c>
      <c r="T1281" t="str">
        <f t="shared" ca="1" si="424"/>
        <v>Mild</v>
      </c>
      <c r="U1281" t="str">
        <f t="shared" ca="1" si="425"/>
        <v>ICU</v>
      </c>
      <c r="V1281" t="str">
        <f t="shared" si="426"/>
        <v>BED1280</v>
      </c>
      <c r="W1281" t="str">
        <f t="shared" ca="1" si="427"/>
        <v>ICU</v>
      </c>
      <c r="X1281" t="str">
        <f t="shared" si="428"/>
        <v>NUR030</v>
      </c>
      <c r="Y1281" t="str">
        <f t="shared" ca="1" si="429"/>
        <v>Evening</v>
      </c>
      <c r="Z1281" t="str">
        <f t="shared" ca="1" si="430"/>
        <v>ECG Machine</v>
      </c>
      <c r="AA1281" t="str">
        <f t="shared" ca="1" si="431"/>
        <v>In Use</v>
      </c>
      <c r="AB1281" t="str">
        <f t="shared" ca="1" si="432"/>
        <v>Partially Paid</v>
      </c>
      <c r="AC1281" t="str">
        <f t="shared" ca="1" si="433"/>
        <v>Cash</v>
      </c>
      <c r="AD1281" t="str">
        <f t="shared" ca="1" si="434"/>
        <v>No</v>
      </c>
      <c r="AE1281" t="str">
        <f t="shared" ca="1" si="435"/>
        <v>No</v>
      </c>
      <c r="AF1281" t="str">
        <f t="shared" ca="1" si="436"/>
        <v>Recovered</v>
      </c>
      <c r="AG1281" t="str">
        <f t="shared" ca="1" si="437"/>
        <v>West Coast</v>
      </c>
      <c r="AH1281" t="str">
        <f t="shared" si="420"/>
        <v>May</v>
      </c>
      <c r="AI1281">
        <f t="shared" si="421"/>
        <v>2021</v>
      </c>
      <c r="AJ1281" t="str">
        <f t="shared" ca="1" si="438"/>
        <v>Occupied</v>
      </c>
      <c r="AK1281">
        <f t="shared" ca="1" si="439"/>
        <v>2</v>
      </c>
    </row>
    <row r="1282" spans="1:37" x14ac:dyDescent="0.3">
      <c r="A1282" t="s">
        <v>5686</v>
      </c>
      <c r="B1282">
        <v>43</v>
      </c>
      <c r="C1282" t="s">
        <v>32</v>
      </c>
      <c r="D1282" t="s">
        <v>38</v>
      </c>
      <c r="E1282" t="s">
        <v>64</v>
      </c>
      <c r="F1282" s="1">
        <v>45097</v>
      </c>
      <c r="G1282" t="s">
        <v>2574</v>
      </c>
      <c r="H1282" t="s">
        <v>2575</v>
      </c>
      <c r="I1282" t="s">
        <v>20</v>
      </c>
      <c r="J1282">
        <v>37096</v>
      </c>
      <c r="K1282">
        <v>473</v>
      </c>
      <c r="L1282" t="s">
        <v>21</v>
      </c>
      <c r="M1282" s="1">
        <v>45101</v>
      </c>
      <c r="N1282" t="s">
        <v>47</v>
      </c>
      <c r="O1282" t="s">
        <v>23</v>
      </c>
      <c r="P1282" t="str">
        <f t="shared" si="422"/>
        <v>P1281</v>
      </c>
      <c r="Q1282" t="str">
        <f t="shared" ref="Q1282:Q1345" si="440">IF(E1282="Cancer","Oncology",IF(E1282="Obesity","Nutrition",IF(E1282="Diabetes","Endocrinology",IF(E1282="Asthma","Pulmonology",IF(E1282="Arthritis","Orthopedics",IF(E1282="Hypertension","Cardiology","General Medicine"))))))</f>
        <v>Cardiology</v>
      </c>
      <c r="R1282">
        <f t="shared" ref="R1282:R1345" si="441">M1282-F1282</f>
        <v>4</v>
      </c>
      <c r="S1282" t="str">
        <f t="shared" ca="1" si="423"/>
        <v>No</v>
      </c>
      <c r="T1282" t="str">
        <f t="shared" ca="1" si="424"/>
        <v>Mild</v>
      </c>
      <c r="U1282" t="str">
        <f t="shared" ca="1" si="425"/>
        <v>Private Ward</v>
      </c>
      <c r="V1282" t="str">
        <f t="shared" si="426"/>
        <v>BED1281</v>
      </c>
      <c r="W1282" t="str">
        <f t="shared" ca="1" si="427"/>
        <v>Semi-Private</v>
      </c>
      <c r="X1282" t="str">
        <f t="shared" si="428"/>
        <v>NUR031</v>
      </c>
      <c r="Y1282" t="str">
        <f t="shared" ca="1" si="429"/>
        <v>Night</v>
      </c>
      <c r="Z1282" t="str">
        <f t="shared" ca="1" si="430"/>
        <v>CT Scanner</v>
      </c>
      <c r="AA1282" t="str">
        <f t="shared" ca="1" si="431"/>
        <v>Available</v>
      </c>
      <c r="AB1282" t="str">
        <f t="shared" ca="1" si="432"/>
        <v>Paid</v>
      </c>
      <c r="AC1282" t="str">
        <f t="shared" ca="1" si="433"/>
        <v>Bank Transfer</v>
      </c>
      <c r="AD1282" t="str">
        <f t="shared" ca="1" si="434"/>
        <v>No</v>
      </c>
      <c r="AE1282" t="str">
        <f t="shared" ca="1" si="435"/>
        <v>No</v>
      </c>
      <c r="AF1282" t="str">
        <f t="shared" ca="1" si="436"/>
        <v>Recovered</v>
      </c>
      <c r="AG1282" t="str">
        <f t="shared" ca="1" si="437"/>
        <v>West Coast</v>
      </c>
      <c r="AH1282" t="str">
        <f t="shared" ref="AH1282:AH1345" si="442">TEXT(F1282,"MMMM")</f>
        <v>June</v>
      </c>
      <c r="AI1282">
        <f t="shared" ref="AI1282:AI1345" si="443">YEAR(F1282)</f>
        <v>2023</v>
      </c>
      <c r="AJ1282" t="str">
        <f t="shared" ca="1" si="438"/>
        <v>Occupied</v>
      </c>
      <c r="AK1282">
        <f t="shared" ca="1" si="439"/>
        <v>1</v>
      </c>
    </row>
    <row r="1283" spans="1:37" x14ac:dyDescent="0.3">
      <c r="A1283" t="s">
        <v>5687</v>
      </c>
      <c r="B1283">
        <v>84</v>
      </c>
      <c r="C1283" t="s">
        <v>32</v>
      </c>
      <c r="D1283" t="s">
        <v>83</v>
      </c>
      <c r="E1283" t="s">
        <v>25</v>
      </c>
      <c r="F1283" s="1">
        <v>43839</v>
      </c>
      <c r="G1283" t="s">
        <v>2576</v>
      </c>
      <c r="H1283" t="s">
        <v>2577</v>
      </c>
      <c r="I1283" t="s">
        <v>51</v>
      </c>
      <c r="J1283">
        <v>20738</v>
      </c>
      <c r="K1283">
        <v>217</v>
      </c>
      <c r="L1283" t="s">
        <v>29</v>
      </c>
      <c r="M1283" s="1">
        <v>43867</v>
      </c>
      <c r="N1283" t="s">
        <v>22</v>
      </c>
      <c r="O1283" t="s">
        <v>31</v>
      </c>
      <c r="P1283" t="str">
        <f t="shared" ref="P1283:P1346" si="444">"P"&amp;TEXT(ROW()-1,"0000")</f>
        <v>P1282</v>
      </c>
      <c r="Q1283" t="str">
        <f t="shared" si="440"/>
        <v>Nutrition</v>
      </c>
      <c r="R1283">
        <f t="shared" si="441"/>
        <v>28</v>
      </c>
      <c r="S1283" t="str">
        <f t="shared" ref="S1283:S1346" ca="1" si="445">IF(RAND()&lt;0.1,"Yes","No")</f>
        <v>No</v>
      </c>
      <c r="T1283" t="str">
        <f t="shared" ref="T1283:T1346" ca="1" si="446">CHOOSE(RANDBETWEEN(1,4),"Mild","Moderate","Severe","Critical")</f>
        <v>Moderate</v>
      </c>
      <c r="U1283" t="str">
        <f t="shared" ref="U1283:U1346" ca="1" si="447">CHOOSE(RANDBETWEEN(1,5),"General Ward","ICU","Emergency","Private Ward","Semi-Private")</f>
        <v>General Ward</v>
      </c>
      <c r="V1283" t="str">
        <f t="shared" ref="V1283:V1346" si="448">"BED"&amp;TEXT(ROW()-1,"0000")</f>
        <v>BED1282</v>
      </c>
      <c r="W1283" t="str">
        <f t="shared" ref="W1283:W1346" ca="1" si="449">CHOOSE(RANDBETWEEN(1,4),"General","Private","Semi-Private","ICU")</f>
        <v>ICU</v>
      </c>
      <c r="X1283" t="str">
        <f t="shared" ref="X1283:X1346" si="450">"NUR"&amp;TEXT(MOD(ROW()-2,50)+1,"000")</f>
        <v>NUR032</v>
      </c>
      <c r="Y1283" t="str">
        <f t="shared" ref="Y1283:Y1346" ca="1" si="451">CHOOSE(RANDBETWEEN(1,3),"Morning","Evening","Night")</f>
        <v>Morning</v>
      </c>
      <c r="Z1283" t="str">
        <f t="shared" ref="Z1283:Z1346" ca="1" si="452">CHOOSE(RANDBETWEEN(1,6),"MRI Scanner","CT Scanner","Ventilator","X-Ray","ECG Machine","Ultrasound")</f>
        <v>ECG Machine</v>
      </c>
      <c r="AA1283" t="str">
        <f t="shared" ref="AA1283:AA1346" ca="1" si="453">CHOOSE(RANDBETWEEN(1,3),"Available","In Use","Maintenance")</f>
        <v>Maintenance</v>
      </c>
      <c r="AB1283" t="str">
        <f t="shared" ref="AB1283:AB1346" ca="1" si="454">CHOOSE(RANDBETWEEN(1,3),"Paid","Pending","Partially Paid")</f>
        <v>Partially Paid</v>
      </c>
      <c r="AC1283" t="str">
        <f t="shared" ref="AC1283:AC1346" ca="1" si="455">CHOOSE(RANDBETWEEN(1,5),"Cash","Credit Card","Debit Card","Insurance","Bank Transfer")</f>
        <v>Cash</v>
      </c>
      <c r="AD1283" t="str">
        <f t="shared" ref="AD1283:AD1346" ca="1" si="456">IF(RAND()&lt;0.2,"Yes","No")</f>
        <v>Yes</v>
      </c>
      <c r="AE1283" t="str">
        <f t="shared" ref="AE1283:AE1346" ca="1" si="457">IF(RAND()&lt;0.15,"Yes","No")</f>
        <v>No</v>
      </c>
      <c r="AF1283" t="str">
        <f t="shared" ref="AF1283:AF1346" ca="1" si="458">CHOOSE(RANDBETWEEN(1,3),"Recovered","Transferred","Under Observation")</f>
        <v>Under Observation</v>
      </c>
      <c r="AG1283" t="str">
        <f t="shared" ref="AG1283:AG1346" ca="1" si="459">CHOOSE(RANDBETWEEN(1,5),"Northeast","Southeast","Midwest","Southwest","West Coast")</f>
        <v>Southeast</v>
      </c>
      <c r="AH1283" t="str">
        <f t="shared" si="442"/>
        <v>January</v>
      </c>
      <c r="AI1283">
        <f t="shared" si="443"/>
        <v>2020</v>
      </c>
      <c r="AJ1283" t="str">
        <f t="shared" ref="AJ1283:AJ1346" ca="1" si="460">IF(RANDBETWEEN(1,100)&lt;=80,"Occupied","Vacant")</f>
        <v>Occupied</v>
      </c>
      <c r="AK1283">
        <f t="shared" ref="AK1283:AK1346" ca="1" si="461">CHOOSE(RANDBETWEEN(1,3),1,2,4)</f>
        <v>2</v>
      </c>
    </row>
    <row r="1284" spans="1:37" x14ac:dyDescent="0.3">
      <c r="A1284" t="s">
        <v>5688</v>
      </c>
      <c r="B1284">
        <v>21</v>
      </c>
      <c r="C1284" t="s">
        <v>32</v>
      </c>
      <c r="D1284" t="s">
        <v>52</v>
      </c>
      <c r="E1284" t="s">
        <v>76</v>
      </c>
      <c r="F1284" s="1">
        <v>45320</v>
      </c>
      <c r="G1284" t="s">
        <v>2578</v>
      </c>
      <c r="H1284" t="s">
        <v>2579</v>
      </c>
      <c r="I1284" t="s">
        <v>51</v>
      </c>
      <c r="J1284">
        <v>24810</v>
      </c>
      <c r="K1284">
        <v>379</v>
      </c>
      <c r="L1284" t="s">
        <v>42</v>
      </c>
      <c r="M1284" s="1">
        <v>45342</v>
      </c>
      <c r="N1284" t="s">
        <v>47</v>
      </c>
      <c r="O1284" t="s">
        <v>43</v>
      </c>
      <c r="P1284" t="str">
        <f t="shared" si="444"/>
        <v>P1283</v>
      </c>
      <c r="Q1284" t="str">
        <f t="shared" si="440"/>
        <v>Orthopedics</v>
      </c>
      <c r="R1284">
        <f t="shared" si="441"/>
        <v>22</v>
      </c>
      <c r="S1284" t="str">
        <f t="shared" ca="1" si="445"/>
        <v>No</v>
      </c>
      <c r="T1284" t="str">
        <f t="shared" ca="1" si="446"/>
        <v>Severe</v>
      </c>
      <c r="U1284" t="str">
        <f t="shared" ca="1" si="447"/>
        <v>Semi-Private</v>
      </c>
      <c r="V1284" t="str">
        <f t="shared" si="448"/>
        <v>BED1283</v>
      </c>
      <c r="W1284" t="str">
        <f t="shared" ca="1" si="449"/>
        <v>Semi-Private</v>
      </c>
      <c r="X1284" t="str">
        <f t="shared" si="450"/>
        <v>NUR033</v>
      </c>
      <c r="Y1284" t="str">
        <f t="shared" ca="1" si="451"/>
        <v>Evening</v>
      </c>
      <c r="Z1284" t="str">
        <f t="shared" ca="1" si="452"/>
        <v>CT Scanner</v>
      </c>
      <c r="AA1284" t="str">
        <f t="shared" ca="1" si="453"/>
        <v>In Use</v>
      </c>
      <c r="AB1284" t="str">
        <f t="shared" ca="1" si="454"/>
        <v>Pending</v>
      </c>
      <c r="AC1284" t="str">
        <f t="shared" ca="1" si="455"/>
        <v>Debit Card</v>
      </c>
      <c r="AD1284" t="str">
        <f t="shared" ca="1" si="456"/>
        <v>No</v>
      </c>
      <c r="AE1284" t="str">
        <f t="shared" ca="1" si="457"/>
        <v>No</v>
      </c>
      <c r="AF1284" t="str">
        <f t="shared" ca="1" si="458"/>
        <v>Transferred</v>
      </c>
      <c r="AG1284" t="str">
        <f t="shared" ca="1" si="459"/>
        <v>Northeast</v>
      </c>
      <c r="AH1284" t="str">
        <f t="shared" si="442"/>
        <v>January</v>
      </c>
      <c r="AI1284">
        <f t="shared" si="443"/>
        <v>2024</v>
      </c>
      <c r="AJ1284" t="str">
        <f t="shared" ca="1" si="460"/>
        <v>Occupied</v>
      </c>
      <c r="AK1284">
        <f t="shared" ca="1" si="461"/>
        <v>2</v>
      </c>
    </row>
    <row r="1285" spans="1:37" x14ac:dyDescent="0.3">
      <c r="A1285" t="s">
        <v>5689</v>
      </c>
      <c r="B1285">
        <v>49</v>
      </c>
      <c r="C1285" t="s">
        <v>15</v>
      </c>
      <c r="D1285" t="s">
        <v>24</v>
      </c>
      <c r="E1285" t="s">
        <v>17</v>
      </c>
      <c r="F1285" s="1">
        <v>44483</v>
      </c>
      <c r="G1285" t="s">
        <v>2580</v>
      </c>
      <c r="H1285" t="s">
        <v>2581</v>
      </c>
      <c r="I1285" t="s">
        <v>57</v>
      </c>
      <c r="J1285">
        <v>31511</v>
      </c>
      <c r="K1285">
        <v>229</v>
      </c>
      <c r="L1285" t="s">
        <v>42</v>
      </c>
      <c r="M1285" s="1">
        <v>44501</v>
      </c>
      <c r="N1285" t="s">
        <v>30</v>
      </c>
      <c r="O1285" t="s">
        <v>31</v>
      </c>
      <c r="P1285" t="str">
        <f t="shared" si="444"/>
        <v>P1284</v>
      </c>
      <c r="Q1285" t="str">
        <f t="shared" si="440"/>
        <v>Oncology</v>
      </c>
      <c r="R1285">
        <f t="shared" si="441"/>
        <v>18</v>
      </c>
      <c r="S1285" t="str">
        <f t="shared" ca="1" si="445"/>
        <v>No</v>
      </c>
      <c r="T1285" t="str">
        <f t="shared" ca="1" si="446"/>
        <v>Critical</v>
      </c>
      <c r="U1285" t="str">
        <f t="shared" ca="1" si="447"/>
        <v>General Ward</v>
      </c>
      <c r="V1285" t="str">
        <f t="shared" si="448"/>
        <v>BED1284</v>
      </c>
      <c r="W1285" t="str">
        <f t="shared" ca="1" si="449"/>
        <v>Private</v>
      </c>
      <c r="X1285" t="str">
        <f t="shared" si="450"/>
        <v>NUR034</v>
      </c>
      <c r="Y1285" t="str">
        <f t="shared" ca="1" si="451"/>
        <v>Evening</v>
      </c>
      <c r="Z1285" t="str">
        <f t="shared" ca="1" si="452"/>
        <v>ECG Machine</v>
      </c>
      <c r="AA1285" t="str">
        <f t="shared" ca="1" si="453"/>
        <v>Available</v>
      </c>
      <c r="AB1285" t="str">
        <f t="shared" ca="1" si="454"/>
        <v>Partially Paid</v>
      </c>
      <c r="AC1285" t="str">
        <f t="shared" ca="1" si="455"/>
        <v>Debit Card</v>
      </c>
      <c r="AD1285" t="str">
        <f t="shared" ca="1" si="456"/>
        <v>Yes</v>
      </c>
      <c r="AE1285" t="str">
        <f t="shared" ca="1" si="457"/>
        <v>No</v>
      </c>
      <c r="AF1285" t="str">
        <f t="shared" ca="1" si="458"/>
        <v>Under Observation</v>
      </c>
      <c r="AG1285" t="str">
        <f t="shared" ca="1" si="459"/>
        <v>Midwest</v>
      </c>
      <c r="AH1285" t="str">
        <f t="shared" si="442"/>
        <v>October</v>
      </c>
      <c r="AI1285">
        <f t="shared" si="443"/>
        <v>2021</v>
      </c>
      <c r="AJ1285" t="str">
        <f t="shared" ca="1" si="460"/>
        <v>Occupied</v>
      </c>
      <c r="AK1285">
        <f t="shared" ca="1" si="461"/>
        <v>4</v>
      </c>
    </row>
    <row r="1286" spans="1:37" x14ac:dyDescent="0.3">
      <c r="A1286" t="s">
        <v>5690</v>
      </c>
      <c r="B1286">
        <v>50</v>
      </c>
      <c r="C1286" t="s">
        <v>32</v>
      </c>
      <c r="D1286" t="s">
        <v>38</v>
      </c>
      <c r="E1286" t="s">
        <v>17</v>
      </c>
      <c r="F1286" s="1">
        <v>43841</v>
      </c>
      <c r="G1286" t="s">
        <v>2582</v>
      </c>
      <c r="H1286" t="s">
        <v>2583</v>
      </c>
      <c r="I1286" t="s">
        <v>51</v>
      </c>
      <c r="J1286">
        <v>23498</v>
      </c>
      <c r="K1286">
        <v>351</v>
      </c>
      <c r="L1286" t="s">
        <v>42</v>
      </c>
      <c r="M1286" s="1">
        <v>43871</v>
      </c>
      <c r="N1286" t="s">
        <v>37</v>
      </c>
      <c r="O1286" t="s">
        <v>31</v>
      </c>
      <c r="P1286" t="str">
        <f t="shared" si="444"/>
        <v>P1285</v>
      </c>
      <c r="Q1286" t="str">
        <f t="shared" si="440"/>
        <v>Oncology</v>
      </c>
      <c r="R1286">
        <f t="shared" si="441"/>
        <v>30</v>
      </c>
      <c r="S1286" t="str">
        <f t="shared" ca="1" si="445"/>
        <v>Yes</v>
      </c>
      <c r="T1286" t="str">
        <f t="shared" ca="1" si="446"/>
        <v>Moderate</v>
      </c>
      <c r="U1286" t="str">
        <f t="shared" ca="1" si="447"/>
        <v>ICU</v>
      </c>
      <c r="V1286" t="str">
        <f t="shared" si="448"/>
        <v>BED1285</v>
      </c>
      <c r="W1286" t="str">
        <f t="shared" ca="1" si="449"/>
        <v>Semi-Private</v>
      </c>
      <c r="X1286" t="str">
        <f t="shared" si="450"/>
        <v>NUR035</v>
      </c>
      <c r="Y1286" t="str">
        <f t="shared" ca="1" si="451"/>
        <v>Morning</v>
      </c>
      <c r="Z1286" t="str">
        <f t="shared" ca="1" si="452"/>
        <v>CT Scanner</v>
      </c>
      <c r="AA1286" t="str">
        <f t="shared" ca="1" si="453"/>
        <v>In Use</v>
      </c>
      <c r="AB1286" t="str">
        <f t="shared" ca="1" si="454"/>
        <v>Partially Paid</v>
      </c>
      <c r="AC1286" t="str">
        <f t="shared" ca="1" si="455"/>
        <v>Cash</v>
      </c>
      <c r="AD1286" t="str">
        <f t="shared" ca="1" si="456"/>
        <v>Yes</v>
      </c>
      <c r="AE1286" t="str">
        <f t="shared" ca="1" si="457"/>
        <v>No</v>
      </c>
      <c r="AF1286" t="str">
        <f t="shared" ca="1" si="458"/>
        <v>Transferred</v>
      </c>
      <c r="AG1286" t="str">
        <f t="shared" ca="1" si="459"/>
        <v>Northeast</v>
      </c>
      <c r="AH1286" t="str">
        <f t="shared" si="442"/>
        <v>January</v>
      </c>
      <c r="AI1286">
        <f t="shared" si="443"/>
        <v>2020</v>
      </c>
      <c r="AJ1286" t="str">
        <f t="shared" ca="1" si="460"/>
        <v>Vacant</v>
      </c>
      <c r="AK1286">
        <f t="shared" ca="1" si="461"/>
        <v>2</v>
      </c>
    </row>
    <row r="1287" spans="1:37" x14ac:dyDescent="0.3">
      <c r="A1287" t="s">
        <v>5691</v>
      </c>
      <c r="B1287">
        <v>31</v>
      </c>
      <c r="C1287" t="s">
        <v>15</v>
      </c>
      <c r="D1287" t="s">
        <v>83</v>
      </c>
      <c r="E1287" t="s">
        <v>39</v>
      </c>
      <c r="F1287" s="1">
        <v>44432</v>
      </c>
      <c r="G1287" t="s">
        <v>2584</v>
      </c>
      <c r="H1287" t="s">
        <v>2585</v>
      </c>
      <c r="I1287" t="s">
        <v>51</v>
      </c>
      <c r="J1287">
        <v>21916</v>
      </c>
      <c r="K1287">
        <v>234</v>
      </c>
      <c r="L1287" t="s">
        <v>21</v>
      </c>
      <c r="M1287" s="1">
        <v>44433</v>
      </c>
      <c r="N1287" t="s">
        <v>37</v>
      </c>
      <c r="O1287" t="s">
        <v>43</v>
      </c>
      <c r="P1287" t="str">
        <f t="shared" si="444"/>
        <v>P1286</v>
      </c>
      <c r="Q1287" t="str">
        <f t="shared" si="440"/>
        <v>Endocrinology</v>
      </c>
      <c r="R1287">
        <f t="shared" si="441"/>
        <v>1</v>
      </c>
      <c r="S1287" t="str">
        <f t="shared" ca="1" si="445"/>
        <v>No</v>
      </c>
      <c r="T1287" t="str">
        <f t="shared" ca="1" si="446"/>
        <v>Moderate</v>
      </c>
      <c r="U1287" t="str">
        <f t="shared" ca="1" si="447"/>
        <v>Private Ward</v>
      </c>
      <c r="V1287" t="str">
        <f t="shared" si="448"/>
        <v>BED1286</v>
      </c>
      <c r="W1287" t="str">
        <f t="shared" ca="1" si="449"/>
        <v>General</v>
      </c>
      <c r="X1287" t="str">
        <f t="shared" si="450"/>
        <v>NUR036</v>
      </c>
      <c r="Y1287" t="str">
        <f t="shared" ca="1" si="451"/>
        <v>Evening</v>
      </c>
      <c r="Z1287" t="str">
        <f t="shared" ca="1" si="452"/>
        <v>ECG Machine</v>
      </c>
      <c r="AA1287" t="str">
        <f t="shared" ca="1" si="453"/>
        <v>In Use</v>
      </c>
      <c r="AB1287" t="str">
        <f t="shared" ca="1" si="454"/>
        <v>Partially Paid</v>
      </c>
      <c r="AC1287" t="str">
        <f t="shared" ca="1" si="455"/>
        <v>Debit Card</v>
      </c>
      <c r="AD1287" t="str">
        <f t="shared" ca="1" si="456"/>
        <v>No</v>
      </c>
      <c r="AE1287" t="str">
        <f t="shared" ca="1" si="457"/>
        <v>No</v>
      </c>
      <c r="AF1287" t="str">
        <f t="shared" ca="1" si="458"/>
        <v>Transferred</v>
      </c>
      <c r="AG1287" t="str">
        <f t="shared" ca="1" si="459"/>
        <v>Northeast</v>
      </c>
      <c r="AH1287" t="str">
        <f t="shared" si="442"/>
        <v>August</v>
      </c>
      <c r="AI1287">
        <f t="shared" si="443"/>
        <v>2021</v>
      </c>
      <c r="AJ1287" t="str">
        <f t="shared" ca="1" si="460"/>
        <v>Occupied</v>
      </c>
      <c r="AK1287">
        <f t="shared" ca="1" si="461"/>
        <v>1</v>
      </c>
    </row>
    <row r="1288" spans="1:37" x14ac:dyDescent="0.3">
      <c r="A1288" t="s">
        <v>5692</v>
      </c>
      <c r="B1288">
        <v>40</v>
      </c>
      <c r="C1288" t="s">
        <v>15</v>
      </c>
      <c r="D1288" t="s">
        <v>83</v>
      </c>
      <c r="E1288" t="s">
        <v>39</v>
      </c>
      <c r="F1288" s="1">
        <v>44172</v>
      </c>
      <c r="G1288" t="s">
        <v>2436</v>
      </c>
      <c r="H1288" t="s">
        <v>2586</v>
      </c>
      <c r="I1288" t="s">
        <v>51</v>
      </c>
      <c r="J1288">
        <v>7869</v>
      </c>
      <c r="K1288">
        <v>470</v>
      </c>
      <c r="L1288" t="s">
        <v>21</v>
      </c>
      <c r="M1288" s="1">
        <v>44175</v>
      </c>
      <c r="N1288" t="s">
        <v>22</v>
      </c>
      <c r="O1288" t="s">
        <v>31</v>
      </c>
      <c r="P1288" t="str">
        <f t="shared" si="444"/>
        <v>P1287</v>
      </c>
      <c r="Q1288" t="str">
        <f t="shared" si="440"/>
        <v>Endocrinology</v>
      </c>
      <c r="R1288">
        <f t="shared" si="441"/>
        <v>3</v>
      </c>
      <c r="S1288" t="str">
        <f t="shared" ca="1" si="445"/>
        <v>No</v>
      </c>
      <c r="T1288" t="str">
        <f t="shared" ca="1" si="446"/>
        <v>Severe</v>
      </c>
      <c r="U1288" t="str">
        <f t="shared" ca="1" si="447"/>
        <v>ICU</v>
      </c>
      <c r="V1288" t="str">
        <f t="shared" si="448"/>
        <v>BED1287</v>
      </c>
      <c r="W1288" t="str">
        <f t="shared" ca="1" si="449"/>
        <v>General</v>
      </c>
      <c r="X1288" t="str">
        <f t="shared" si="450"/>
        <v>NUR037</v>
      </c>
      <c r="Y1288" t="str">
        <f t="shared" ca="1" si="451"/>
        <v>Evening</v>
      </c>
      <c r="Z1288" t="str">
        <f t="shared" ca="1" si="452"/>
        <v>CT Scanner</v>
      </c>
      <c r="AA1288" t="str">
        <f t="shared" ca="1" si="453"/>
        <v>Available</v>
      </c>
      <c r="AB1288" t="str">
        <f t="shared" ca="1" si="454"/>
        <v>Paid</v>
      </c>
      <c r="AC1288" t="str">
        <f t="shared" ca="1" si="455"/>
        <v>Cash</v>
      </c>
      <c r="AD1288" t="str">
        <f t="shared" ca="1" si="456"/>
        <v>No</v>
      </c>
      <c r="AE1288" t="str">
        <f t="shared" ca="1" si="457"/>
        <v>Yes</v>
      </c>
      <c r="AF1288" t="str">
        <f t="shared" ca="1" si="458"/>
        <v>Transferred</v>
      </c>
      <c r="AG1288" t="str">
        <f t="shared" ca="1" si="459"/>
        <v>Southeast</v>
      </c>
      <c r="AH1288" t="str">
        <f t="shared" si="442"/>
        <v>December</v>
      </c>
      <c r="AI1288">
        <f t="shared" si="443"/>
        <v>2020</v>
      </c>
      <c r="AJ1288" t="str">
        <f t="shared" ca="1" si="460"/>
        <v>Occupied</v>
      </c>
      <c r="AK1288">
        <f t="shared" ca="1" si="461"/>
        <v>1</v>
      </c>
    </row>
    <row r="1289" spans="1:37" x14ac:dyDescent="0.3">
      <c r="A1289" t="s">
        <v>862</v>
      </c>
      <c r="B1289">
        <v>68</v>
      </c>
      <c r="C1289" t="s">
        <v>32</v>
      </c>
      <c r="D1289" t="s">
        <v>38</v>
      </c>
      <c r="E1289" t="s">
        <v>39</v>
      </c>
      <c r="F1289" s="1">
        <v>44543</v>
      </c>
      <c r="G1289" t="s">
        <v>2587</v>
      </c>
      <c r="H1289" t="s">
        <v>2588</v>
      </c>
      <c r="I1289" t="s">
        <v>28</v>
      </c>
      <c r="J1289">
        <v>21748</v>
      </c>
      <c r="K1289">
        <v>459</v>
      </c>
      <c r="L1289" t="s">
        <v>21</v>
      </c>
      <c r="M1289" s="1">
        <v>44562</v>
      </c>
      <c r="N1289" t="s">
        <v>37</v>
      </c>
      <c r="O1289" t="s">
        <v>43</v>
      </c>
      <c r="P1289" t="str">
        <f t="shared" si="444"/>
        <v>P1288</v>
      </c>
      <c r="Q1289" t="str">
        <f t="shared" si="440"/>
        <v>Endocrinology</v>
      </c>
      <c r="R1289">
        <f t="shared" si="441"/>
        <v>19</v>
      </c>
      <c r="S1289" t="str">
        <f t="shared" ca="1" si="445"/>
        <v>No</v>
      </c>
      <c r="T1289" t="str">
        <f t="shared" ca="1" si="446"/>
        <v>Severe</v>
      </c>
      <c r="U1289" t="str">
        <f t="shared" ca="1" si="447"/>
        <v>ICU</v>
      </c>
      <c r="V1289" t="str">
        <f t="shared" si="448"/>
        <v>BED1288</v>
      </c>
      <c r="W1289" t="str">
        <f t="shared" ca="1" si="449"/>
        <v>ICU</v>
      </c>
      <c r="X1289" t="str">
        <f t="shared" si="450"/>
        <v>NUR038</v>
      </c>
      <c r="Y1289" t="str">
        <f t="shared" ca="1" si="451"/>
        <v>Morning</v>
      </c>
      <c r="Z1289" t="str">
        <f t="shared" ca="1" si="452"/>
        <v>Ventilator</v>
      </c>
      <c r="AA1289" t="str">
        <f t="shared" ca="1" si="453"/>
        <v>Maintenance</v>
      </c>
      <c r="AB1289" t="str">
        <f t="shared" ca="1" si="454"/>
        <v>Paid</v>
      </c>
      <c r="AC1289" t="str">
        <f t="shared" ca="1" si="455"/>
        <v>Cash</v>
      </c>
      <c r="AD1289" t="str">
        <f t="shared" ca="1" si="456"/>
        <v>No</v>
      </c>
      <c r="AE1289" t="str">
        <f t="shared" ca="1" si="457"/>
        <v>No</v>
      </c>
      <c r="AF1289" t="str">
        <f t="shared" ca="1" si="458"/>
        <v>Transferred</v>
      </c>
      <c r="AG1289" t="str">
        <f t="shared" ca="1" si="459"/>
        <v>West Coast</v>
      </c>
      <c r="AH1289" t="str">
        <f t="shared" si="442"/>
        <v>December</v>
      </c>
      <c r="AI1289">
        <f t="shared" si="443"/>
        <v>2021</v>
      </c>
      <c r="AJ1289" t="str">
        <f t="shared" ca="1" si="460"/>
        <v>Vacant</v>
      </c>
      <c r="AK1289">
        <f t="shared" ca="1" si="461"/>
        <v>4</v>
      </c>
    </row>
    <row r="1290" spans="1:37" x14ac:dyDescent="0.3">
      <c r="A1290" t="s">
        <v>5693</v>
      </c>
      <c r="B1290">
        <v>41</v>
      </c>
      <c r="C1290" t="s">
        <v>32</v>
      </c>
      <c r="D1290" t="s">
        <v>52</v>
      </c>
      <c r="E1290" t="s">
        <v>17</v>
      </c>
      <c r="F1290" s="1">
        <v>45294</v>
      </c>
      <c r="G1290" t="s">
        <v>2589</v>
      </c>
      <c r="H1290" t="s">
        <v>2590</v>
      </c>
      <c r="I1290" t="s">
        <v>36</v>
      </c>
      <c r="J1290">
        <v>26037</v>
      </c>
      <c r="K1290">
        <v>266</v>
      </c>
      <c r="L1290" t="s">
        <v>29</v>
      </c>
      <c r="M1290" s="1">
        <v>45307</v>
      </c>
      <c r="N1290" t="s">
        <v>67</v>
      </c>
      <c r="O1290" t="s">
        <v>31</v>
      </c>
      <c r="P1290" t="str">
        <f t="shared" si="444"/>
        <v>P1289</v>
      </c>
      <c r="Q1290" t="str">
        <f t="shared" si="440"/>
        <v>Oncology</v>
      </c>
      <c r="R1290">
        <f t="shared" si="441"/>
        <v>13</v>
      </c>
      <c r="S1290" t="str">
        <f t="shared" ca="1" si="445"/>
        <v>Yes</v>
      </c>
      <c r="T1290" t="str">
        <f t="shared" ca="1" si="446"/>
        <v>Mild</v>
      </c>
      <c r="U1290" t="str">
        <f t="shared" ca="1" si="447"/>
        <v>Semi-Private</v>
      </c>
      <c r="V1290" t="str">
        <f t="shared" si="448"/>
        <v>BED1289</v>
      </c>
      <c r="W1290" t="str">
        <f t="shared" ca="1" si="449"/>
        <v>Private</v>
      </c>
      <c r="X1290" t="str">
        <f t="shared" si="450"/>
        <v>NUR039</v>
      </c>
      <c r="Y1290" t="str">
        <f t="shared" ca="1" si="451"/>
        <v>Night</v>
      </c>
      <c r="Z1290" t="str">
        <f t="shared" ca="1" si="452"/>
        <v>MRI Scanner</v>
      </c>
      <c r="AA1290" t="str">
        <f t="shared" ca="1" si="453"/>
        <v>Available</v>
      </c>
      <c r="AB1290" t="str">
        <f t="shared" ca="1" si="454"/>
        <v>Paid</v>
      </c>
      <c r="AC1290" t="str">
        <f t="shared" ca="1" si="455"/>
        <v>Debit Card</v>
      </c>
      <c r="AD1290" t="str">
        <f t="shared" ca="1" si="456"/>
        <v>Yes</v>
      </c>
      <c r="AE1290" t="str">
        <f t="shared" ca="1" si="457"/>
        <v>No</v>
      </c>
      <c r="AF1290" t="str">
        <f t="shared" ca="1" si="458"/>
        <v>Under Observation</v>
      </c>
      <c r="AG1290" t="str">
        <f t="shared" ca="1" si="459"/>
        <v>West Coast</v>
      </c>
      <c r="AH1290" t="str">
        <f t="shared" si="442"/>
        <v>January</v>
      </c>
      <c r="AI1290">
        <f t="shared" si="443"/>
        <v>2024</v>
      </c>
      <c r="AJ1290" t="str">
        <f t="shared" ca="1" si="460"/>
        <v>Occupied</v>
      </c>
      <c r="AK1290">
        <f t="shared" ca="1" si="461"/>
        <v>4</v>
      </c>
    </row>
    <row r="1291" spans="1:37" x14ac:dyDescent="0.3">
      <c r="A1291" t="s">
        <v>5694</v>
      </c>
      <c r="B1291">
        <v>84</v>
      </c>
      <c r="C1291" t="s">
        <v>15</v>
      </c>
      <c r="D1291" t="s">
        <v>33</v>
      </c>
      <c r="E1291" t="s">
        <v>48</v>
      </c>
      <c r="F1291" s="1">
        <v>43798</v>
      </c>
      <c r="G1291" t="s">
        <v>2591</v>
      </c>
      <c r="H1291" t="s">
        <v>2592</v>
      </c>
      <c r="I1291" t="s">
        <v>36</v>
      </c>
      <c r="J1291">
        <v>27480</v>
      </c>
      <c r="K1291">
        <v>253</v>
      </c>
      <c r="L1291" t="s">
        <v>21</v>
      </c>
      <c r="M1291" s="1">
        <v>43823</v>
      </c>
      <c r="N1291" t="s">
        <v>37</v>
      </c>
      <c r="O1291" t="s">
        <v>23</v>
      </c>
      <c r="P1291" t="str">
        <f t="shared" si="444"/>
        <v>P1290</v>
      </c>
      <c r="Q1291" t="str">
        <f t="shared" si="440"/>
        <v>Pulmonology</v>
      </c>
      <c r="R1291">
        <f t="shared" si="441"/>
        <v>25</v>
      </c>
      <c r="S1291" t="str">
        <f t="shared" ca="1" si="445"/>
        <v>No</v>
      </c>
      <c r="T1291" t="str">
        <f t="shared" ca="1" si="446"/>
        <v>Mild</v>
      </c>
      <c r="U1291" t="str">
        <f t="shared" ca="1" si="447"/>
        <v>Semi-Private</v>
      </c>
      <c r="V1291" t="str">
        <f t="shared" si="448"/>
        <v>BED1290</v>
      </c>
      <c r="W1291" t="str">
        <f t="shared" ca="1" si="449"/>
        <v>General</v>
      </c>
      <c r="X1291" t="str">
        <f t="shared" si="450"/>
        <v>NUR040</v>
      </c>
      <c r="Y1291" t="str">
        <f t="shared" ca="1" si="451"/>
        <v>Morning</v>
      </c>
      <c r="Z1291" t="str">
        <f t="shared" ca="1" si="452"/>
        <v>Ultrasound</v>
      </c>
      <c r="AA1291" t="str">
        <f t="shared" ca="1" si="453"/>
        <v>In Use</v>
      </c>
      <c r="AB1291" t="str">
        <f t="shared" ca="1" si="454"/>
        <v>Pending</v>
      </c>
      <c r="AC1291" t="str">
        <f t="shared" ca="1" si="455"/>
        <v>Cash</v>
      </c>
      <c r="AD1291" t="str">
        <f t="shared" ca="1" si="456"/>
        <v>No</v>
      </c>
      <c r="AE1291" t="str">
        <f t="shared" ca="1" si="457"/>
        <v>No</v>
      </c>
      <c r="AF1291" t="str">
        <f t="shared" ca="1" si="458"/>
        <v>Under Observation</v>
      </c>
      <c r="AG1291" t="str">
        <f t="shared" ca="1" si="459"/>
        <v>Southwest</v>
      </c>
      <c r="AH1291" t="str">
        <f t="shared" si="442"/>
        <v>November</v>
      </c>
      <c r="AI1291">
        <f t="shared" si="443"/>
        <v>2019</v>
      </c>
      <c r="AJ1291" t="str">
        <f t="shared" ca="1" si="460"/>
        <v>Vacant</v>
      </c>
      <c r="AK1291">
        <f t="shared" ca="1" si="461"/>
        <v>1</v>
      </c>
    </row>
    <row r="1292" spans="1:37" x14ac:dyDescent="0.3">
      <c r="A1292" t="s">
        <v>5695</v>
      </c>
      <c r="B1292">
        <v>70</v>
      </c>
      <c r="C1292" t="s">
        <v>15</v>
      </c>
      <c r="D1292" t="s">
        <v>33</v>
      </c>
      <c r="E1292" t="s">
        <v>48</v>
      </c>
      <c r="F1292" s="1">
        <v>43716</v>
      </c>
      <c r="G1292" t="s">
        <v>2593</v>
      </c>
      <c r="H1292" t="s">
        <v>2594</v>
      </c>
      <c r="I1292" t="s">
        <v>57</v>
      </c>
      <c r="J1292">
        <v>31267</v>
      </c>
      <c r="K1292">
        <v>394</v>
      </c>
      <c r="L1292" t="s">
        <v>21</v>
      </c>
      <c r="M1292" s="1">
        <v>43731</v>
      </c>
      <c r="N1292" t="s">
        <v>30</v>
      </c>
      <c r="O1292" t="s">
        <v>23</v>
      </c>
      <c r="P1292" t="str">
        <f t="shared" si="444"/>
        <v>P1291</v>
      </c>
      <c r="Q1292" t="str">
        <f t="shared" si="440"/>
        <v>Pulmonology</v>
      </c>
      <c r="R1292">
        <f t="shared" si="441"/>
        <v>15</v>
      </c>
      <c r="S1292" t="str">
        <f t="shared" ca="1" si="445"/>
        <v>No</v>
      </c>
      <c r="T1292" t="str">
        <f t="shared" ca="1" si="446"/>
        <v>Moderate</v>
      </c>
      <c r="U1292" t="str">
        <f t="shared" ca="1" si="447"/>
        <v>ICU</v>
      </c>
      <c r="V1292" t="str">
        <f t="shared" si="448"/>
        <v>BED1291</v>
      </c>
      <c r="W1292" t="str">
        <f t="shared" ca="1" si="449"/>
        <v>Private</v>
      </c>
      <c r="X1292" t="str">
        <f t="shared" si="450"/>
        <v>NUR041</v>
      </c>
      <c r="Y1292" t="str">
        <f t="shared" ca="1" si="451"/>
        <v>Evening</v>
      </c>
      <c r="Z1292" t="str">
        <f t="shared" ca="1" si="452"/>
        <v>MRI Scanner</v>
      </c>
      <c r="AA1292" t="str">
        <f t="shared" ca="1" si="453"/>
        <v>Maintenance</v>
      </c>
      <c r="AB1292" t="str">
        <f t="shared" ca="1" si="454"/>
        <v>Pending</v>
      </c>
      <c r="AC1292" t="str">
        <f t="shared" ca="1" si="455"/>
        <v>Cash</v>
      </c>
      <c r="AD1292" t="str">
        <f t="shared" ca="1" si="456"/>
        <v>Yes</v>
      </c>
      <c r="AE1292" t="str">
        <f t="shared" ca="1" si="457"/>
        <v>Yes</v>
      </c>
      <c r="AF1292" t="str">
        <f t="shared" ca="1" si="458"/>
        <v>Recovered</v>
      </c>
      <c r="AG1292" t="str">
        <f t="shared" ca="1" si="459"/>
        <v>Southwest</v>
      </c>
      <c r="AH1292" t="str">
        <f t="shared" si="442"/>
        <v>September</v>
      </c>
      <c r="AI1292">
        <f t="shared" si="443"/>
        <v>2019</v>
      </c>
      <c r="AJ1292" t="str">
        <f t="shared" ca="1" si="460"/>
        <v>Vacant</v>
      </c>
      <c r="AK1292">
        <f t="shared" ca="1" si="461"/>
        <v>4</v>
      </c>
    </row>
    <row r="1293" spans="1:37" x14ac:dyDescent="0.3">
      <c r="A1293" t="s">
        <v>5696</v>
      </c>
      <c r="B1293">
        <v>30</v>
      </c>
      <c r="C1293" t="s">
        <v>32</v>
      </c>
      <c r="D1293" t="s">
        <v>38</v>
      </c>
      <c r="E1293" t="s">
        <v>76</v>
      </c>
      <c r="F1293" s="1">
        <v>44208</v>
      </c>
      <c r="G1293" t="s">
        <v>2595</v>
      </c>
      <c r="H1293" t="s">
        <v>2596</v>
      </c>
      <c r="I1293" t="s">
        <v>36</v>
      </c>
      <c r="J1293">
        <v>36081</v>
      </c>
      <c r="K1293">
        <v>157</v>
      </c>
      <c r="L1293" t="s">
        <v>42</v>
      </c>
      <c r="M1293" s="1">
        <v>44231</v>
      </c>
      <c r="N1293" t="s">
        <v>30</v>
      </c>
      <c r="O1293" t="s">
        <v>43</v>
      </c>
      <c r="P1293" t="str">
        <f t="shared" si="444"/>
        <v>P1292</v>
      </c>
      <c r="Q1293" t="str">
        <f t="shared" si="440"/>
        <v>Orthopedics</v>
      </c>
      <c r="R1293">
        <f t="shared" si="441"/>
        <v>23</v>
      </c>
      <c r="S1293" t="str">
        <f t="shared" ca="1" si="445"/>
        <v>No</v>
      </c>
      <c r="T1293" t="str">
        <f t="shared" ca="1" si="446"/>
        <v>Severe</v>
      </c>
      <c r="U1293" t="str">
        <f t="shared" ca="1" si="447"/>
        <v>Emergency</v>
      </c>
      <c r="V1293" t="str">
        <f t="shared" si="448"/>
        <v>BED1292</v>
      </c>
      <c r="W1293" t="str">
        <f t="shared" ca="1" si="449"/>
        <v>Private</v>
      </c>
      <c r="X1293" t="str">
        <f t="shared" si="450"/>
        <v>NUR042</v>
      </c>
      <c r="Y1293" t="str">
        <f t="shared" ca="1" si="451"/>
        <v>Night</v>
      </c>
      <c r="Z1293" t="str">
        <f t="shared" ca="1" si="452"/>
        <v>Ultrasound</v>
      </c>
      <c r="AA1293" t="str">
        <f t="shared" ca="1" si="453"/>
        <v>Maintenance</v>
      </c>
      <c r="AB1293" t="str">
        <f t="shared" ca="1" si="454"/>
        <v>Paid</v>
      </c>
      <c r="AC1293" t="str">
        <f t="shared" ca="1" si="455"/>
        <v>Insurance</v>
      </c>
      <c r="AD1293" t="str">
        <f t="shared" ca="1" si="456"/>
        <v>No</v>
      </c>
      <c r="AE1293" t="str">
        <f t="shared" ca="1" si="457"/>
        <v>No</v>
      </c>
      <c r="AF1293" t="str">
        <f t="shared" ca="1" si="458"/>
        <v>Recovered</v>
      </c>
      <c r="AG1293" t="str">
        <f t="shared" ca="1" si="459"/>
        <v>Northeast</v>
      </c>
      <c r="AH1293" t="str">
        <f t="shared" si="442"/>
        <v>January</v>
      </c>
      <c r="AI1293">
        <f t="shared" si="443"/>
        <v>2021</v>
      </c>
      <c r="AJ1293" t="str">
        <f t="shared" ca="1" si="460"/>
        <v>Occupied</v>
      </c>
      <c r="AK1293">
        <f t="shared" ca="1" si="461"/>
        <v>4</v>
      </c>
    </row>
    <row r="1294" spans="1:37" x14ac:dyDescent="0.3">
      <c r="A1294" t="s">
        <v>5697</v>
      </c>
      <c r="B1294">
        <v>57</v>
      </c>
      <c r="C1294" t="s">
        <v>15</v>
      </c>
      <c r="D1294" t="s">
        <v>38</v>
      </c>
      <c r="E1294" t="s">
        <v>25</v>
      </c>
      <c r="F1294" s="1">
        <v>44113</v>
      </c>
      <c r="G1294" t="s">
        <v>2597</v>
      </c>
      <c r="H1294" t="s">
        <v>2598</v>
      </c>
      <c r="I1294" t="s">
        <v>57</v>
      </c>
      <c r="J1294">
        <v>24347</v>
      </c>
      <c r="K1294">
        <v>242</v>
      </c>
      <c r="L1294" t="s">
        <v>21</v>
      </c>
      <c r="M1294" s="1">
        <v>44142</v>
      </c>
      <c r="N1294" t="s">
        <v>47</v>
      </c>
      <c r="O1294" t="s">
        <v>23</v>
      </c>
      <c r="P1294" t="str">
        <f t="shared" si="444"/>
        <v>P1293</v>
      </c>
      <c r="Q1294" t="str">
        <f t="shared" si="440"/>
        <v>Nutrition</v>
      </c>
      <c r="R1294">
        <f t="shared" si="441"/>
        <v>29</v>
      </c>
      <c r="S1294" t="str">
        <f t="shared" ca="1" si="445"/>
        <v>No</v>
      </c>
      <c r="T1294" t="str">
        <f t="shared" ca="1" si="446"/>
        <v>Severe</v>
      </c>
      <c r="U1294" t="str">
        <f t="shared" ca="1" si="447"/>
        <v>General Ward</v>
      </c>
      <c r="V1294" t="str">
        <f t="shared" si="448"/>
        <v>BED1293</v>
      </c>
      <c r="W1294" t="str">
        <f t="shared" ca="1" si="449"/>
        <v>Semi-Private</v>
      </c>
      <c r="X1294" t="str">
        <f t="shared" si="450"/>
        <v>NUR043</v>
      </c>
      <c r="Y1294" t="str">
        <f t="shared" ca="1" si="451"/>
        <v>Evening</v>
      </c>
      <c r="Z1294" t="str">
        <f t="shared" ca="1" si="452"/>
        <v>X-Ray</v>
      </c>
      <c r="AA1294" t="str">
        <f t="shared" ca="1" si="453"/>
        <v>In Use</v>
      </c>
      <c r="AB1294" t="str">
        <f t="shared" ca="1" si="454"/>
        <v>Pending</v>
      </c>
      <c r="AC1294" t="str">
        <f t="shared" ca="1" si="455"/>
        <v>Credit Card</v>
      </c>
      <c r="AD1294" t="str">
        <f t="shared" ca="1" si="456"/>
        <v>No</v>
      </c>
      <c r="AE1294" t="str">
        <f t="shared" ca="1" si="457"/>
        <v>Yes</v>
      </c>
      <c r="AF1294" t="str">
        <f t="shared" ca="1" si="458"/>
        <v>Under Observation</v>
      </c>
      <c r="AG1294" t="str">
        <f t="shared" ca="1" si="459"/>
        <v>Midwest</v>
      </c>
      <c r="AH1294" t="str">
        <f t="shared" si="442"/>
        <v>October</v>
      </c>
      <c r="AI1294">
        <f t="shared" si="443"/>
        <v>2020</v>
      </c>
      <c r="AJ1294" t="str">
        <f t="shared" ca="1" si="460"/>
        <v>Vacant</v>
      </c>
      <c r="AK1294">
        <f t="shared" ca="1" si="461"/>
        <v>1</v>
      </c>
    </row>
    <row r="1295" spans="1:37" x14ac:dyDescent="0.3">
      <c r="A1295" t="s">
        <v>5698</v>
      </c>
      <c r="B1295">
        <v>63</v>
      </c>
      <c r="C1295" t="s">
        <v>15</v>
      </c>
      <c r="D1295" t="s">
        <v>16</v>
      </c>
      <c r="E1295" t="s">
        <v>17</v>
      </c>
      <c r="F1295" s="1">
        <v>45193</v>
      </c>
      <c r="G1295" t="s">
        <v>2599</v>
      </c>
      <c r="H1295" t="s">
        <v>2600</v>
      </c>
      <c r="I1295" t="s">
        <v>28</v>
      </c>
      <c r="J1295">
        <v>4022</v>
      </c>
      <c r="K1295">
        <v>383</v>
      </c>
      <c r="L1295" t="s">
        <v>42</v>
      </c>
      <c r="M1295" s="1">
        <v>45209</v>
      </c>
      <c r="N1295" t="s">
        <v>37</v>
      </c>
      <c r="O1295" t="s">
        <v>23</v>
      </c>
      <c r="P1295" t="str">
        <f t="shared" si="444"/>
        <v>P1294</v>
      </c>
      <c r="Q1295" t="str">
        <f t="shared" si="440"/>
        <v>Oncology</v>
      </c>
      <c r="R1295">
        <f t="shared" si="441"/>
        <v>16</v>
      </c>
      <c r="S1295" t="str">
        <f t="shared" ca="1" si="445"/>
        <v>No</v>
      </c>
      <c r="T1295" t="str">
        <f t="shared" ca="1" si="446"/>
        <v>Moderate</v>
      </c>
      <c r="U1295" t="str">
        <f t="shared" ca="1" si="447"/>
        <v>Emergency</v>
      </c>
      <c r="V1295" t="str">
        <f t="shared" si="448"/>
        <v>BED1294</v>
      </c>
      <c r="W1295" t="str">
        <f t="shared" ca="1" si="449"/>
        <v>Private</v>
      </c>
      <c r="X1295" t="str">
        <f t="shared" si="450"/>
        <v>NUR044</v>
      </c>
      <c r="Y1295" t="str">
        <f t="shared" ca="1" si="451"/>
        <v>Evening</v>
      </c>
      <c r="Z1295" t="str">
        <f t="shared" ca="1" si="452"/>
        <v>X-Ray</v>
      </c>
      <c r="AA1295" t="str">
        <f t="shared" ca="1" si="453"/>
        <v>Available</v>
      </c>
      <c r="AB1295" t="str">
        <f t="shared" ca="1" si="454"/>
        <v>Paid</v>
      </c>
      <c r="AC1295" t="str">
        <f t="shared" ca="1" si="455"/>
        <v>Credit Card</v>
      </c>
      <c r="AD1295" t="str">
        <f t="shared" ca="1" si="456"/>
        <v>No</v>
      </c>
      <c r="AE1295" t="str">
        <f t="shared" ca="1" si="457"/>
        <v>No</v>
      </c>
      <c r="AF1295" t="str">
        <f t="shared" ca="1" si="458"/>
        <v>Transferred</v>
      </c>
      <c r="AG1295" t="str">
        <f t="shared" ca="1" si="459"/>
        <v>Northeast</v>
      </c>
      <c r="AH1295" t="str">
        <f t="shared" si="442"/>
        <v>September</v>
      </c>
      <c r="AI1295">
        <f t="shared" si="443"/>
        <v>2023</v>
      </c>
      <c r="AJ1295" t="str">
        <f t="shared" ca="1" si="460"/>
        <v>Occupied</v>
      </c>
      <c r="AK1295">
        <f t="shared" ca="1" si="461"/>
        <v>1</v>
      </c>
    </row>
    <row r="1296" spans="1:37" x14ac:dyDescent="0.3">
      <c r="A1296" t="s">
        <v>5699</v>
      </c>
      <c r="B1296">
        <v>55</v>
      </c>
      <c r="C1296" t="s">
        <v>15</v>
      </c>
      <c r="D1296" t="s">
        <v>24</v>
      </c>
      <c r="E1296" t="s">
        <v>64</v>
      </c>
      <c r="F1296" s="1">
        <v>44838</v>
      </c>
      <c r="G1296" t="s">
        <v>2601</v>
      </c>
      <c r="H1296" t="s">
        <v>2602</v>
      </c>
      <c r="I1296" t="s">
        <v>28</v>
      </c>
      <c r="J1296">
        <v>31633</v>
      </c>
      <c r="K1296">
        <v>252</v>
      </c>
      <c r="L1296" t="s">
        <v>21</v>
      </c>
      <c r="M1296" s="1">
        <v>44845</v>
      </c>
      <c r="N1296" t="s">
        <v>30</v>
      </c>
      <c r="O1296" t="s">
        <v>23</v>
      </c>
      <c r="P1296" t="str">
        <f t="shared" si="444"/>
        <v>P1295</v>
      </c>
      <c r="Q1296" t="str">
        <f t="shared" si="440"/>
        <v>Cardiology</v>
      </c>
      <c r="R1296">
        <f t="shared" si="441"/>
        <v>7</v>
      </c>
      <c r="S1296" t="str">
        <f t="shared" ca="1" si="445"/>
        <v>No</v>
      </c>
      <c r="T1296" t="str">
        <f t="shared" ca="1" si="446"/>
        <v>Critical</v>
      </c>
      <c r="U1296" t="str">
        <f t="shared" ca="1" si="447"/>
        <v>Private Ward</v>
      </c>
      <c r="V1296" t="str">
        <f t="shared" si="448"/>
        <v>BED1295</v>
      </c>
      <c r="W1296" t="str">
        <f t="shared" ca="1" si="449"/>
        <v>ICU</v>
      </c>
      <c r="X1296" t="str">
        <f t="shared" si="450"/>
        <v>NUR045</v>
      </c>
      <c r="Y1296" t="str">
        <f t="shared" ca="1" si="451"/>
        <v>Morning</v>
      </c>
      <c r="Z1296" t="str">
        <f t="shared" ca="1" si="452"/>
        <v>X-Ray</v>
      </c>
      <c r="AA1296" t="str">
        <f t="shared" ca="1" si="453"/>
        <v>Available</v>
      </c>
      <c r="AB1296" t="str">
        <f t="shared" ca="1" si="454"/>
        <v>Paid</v>
      </c>
      <c r="AC1296" t="str">
        <f t="shared" ca="1" si="455"/>
        <v>Debit Card</v>
      </c>
      <c r="AD1296" t="str">
        <f t="shared" ca="1" si="456"/>
        <v>Yes</v>
      </c>
      <c r="AE1296" t="str">
        <f t="shared" ca="1" si="457"/>
        <v>No</v>
      </c>
      <c r="AF1296" t="str">
        <f t="shared" ca="1" si="458"/>
        <v>Transferred</v>
      </c>
      <c r="AG1296" t="str">
        <f t="shared" ca="1" si="459"/>
        <v>Southeast</v>
      </c>
      <c r="AH1296" t="str">
        <f t="shared" si="442"/>
        <v>October</v>
      </c>
      <c r="AI1296">
        <f t="shared" si="443"/>
        <v>2022</v>
      </c>
      <c r="AJ1296" t="str">
        <f t="shared" ca="1" si="460"/>
        <v>Occupied</v>
      </c>
      <c r="AK1296">
        <f t="shared" ca="1" si="461"/>
        <v>2</v>
      </c>
    </row>
    <row r="1297" spans="1:37" x14ac:dyDescent="0.3">
      <c r="A1297" t="s">
        <v>5700</v>
      </c>
      <c r="B1297">
        <v>30</v>
      </c>
      <c r="C1297" t="s">
        <v>32</v>
      </c>
      <c r="D1297" t="s">
        <v>24</v>
      </c>
      <c r="E1297" t="s">
        <v>48</v>
      </c>
      <c r="F1297" s="1">
        <v>43640</v>
      </c>
      <c r="G1297" t="s">
        <v>2603</v>
      </c>
      <c r="H1297" t="s">
        <v>2604</v>
      </c>
      <c r="I1297" t="s">
        <v>36</v>
      </c>
      <c r="J1297">
        <v>29807</v>
      </c>
      <c r="K1297">
        <v>224</v>
      </c>
      <c r="L1297" t="s">
        <v>42</v>
      </c>
      <c r="M1297" s="1">
        <v>43641</v>
      </c>
      <c r="N1297" t="s">
        <v>22</v>
      </c>
      <c r="O1297" t="s">
        <v>23</v>
      </c>
      <c r="P1297" t="str">
        <f t="shared" si="444"/>
        <v>P1296</v>
      </c>
      <c r="Q1297" t="str">
        <f t="shared" si="440"/>
        <v>Pulmonology</v>
      </c>
      <c r="R1297">
        <f t="shared" si="441"/>
        <v>1</v>
      </c>
      <c r="S1297" t="str">
        <f t="shared" ca="1" si="445"/>
        <v>No</v>
      </c>
      <c r="T1297" t="str">
        <f t="shared" ca="1" si="446"/>
        <v>Severe</v>
      </c>
      <c r="U1297" t="str">
        <f t="shared" ca="1" si="447"/>
        <v>Semi-Private</v>
      </c>
      <c r="V1297" t="str">
        <f t="shared" si="448"/>
        <v>BED1296</v>
      </c>
      <c r="W1297" t="str">
        <f t="shared" ca="1" si="449"/>
        <v>Private</v>
      </c>
      <c r="X1297" t="str">
        <f t="shared" si="450"/>
        <v>NUR046</v>
      </c>
      <c r="Y1297" t="str">
        <f t="shared" ca="1" si="451"/>
        <v>Morning</v>
      </c>
      <c r="Z1297" t="str">
        <f t="shared" ca="1" si="452"/>
        <v>X-Ray</v>
      </c>
      <c r="AA1297" t="str">
        <f t="shared" ca="1" si="453"/>
        <v>In Use</v>
      </c>
      <c r="AB1297" t="str">
        <f t="shared" ca="1" si="454"/>
        <v>Paid</v>
      </c>
      <c r="AC1297" t="str">
        <f t="shared" ca="1" si="455"/>
        <v>Credit Card</v>
      </c>
      <c r="AD1297" t="str">
        <f t="shared" ca="1" si="456"/>
        <v>No</v>
      </c>
      <c r="AE1297" t="str">
        <f t="shared" ca="1" si="457"/>
        <v>Yes</v>
      </c>
      <c r="AF1297" t="str">
        <f t="shared" ca="1" si="458"/>
        <v>Under Observation</v>
      </c>
      <c r="AG1297" t="str">
        <f t="shared" ca="1" si="459"/>
        <v>Northeast</v>
      </c>
      <c r="AH1297" t="str">
        <f t="shared" si="442"/>
        <v>June</v>
      </c>
      <c r="AI1297">
        <f t="shared" si="443"/>
        <v>2019</v>
      </c>
      <c r="AJ1297" t="str">
        <f t="shared" ca="1" si="460"/>
        <v>Occupied</v>
      </c>
      <c r="AK1297">
        <f t="shared" ca="1" si="461"/>
        <v>4</v>
      </c>
    </row>
    <row r="1298" spans="1:37" x14ac:dyDescent="0.3">
      <c r="A1298" t="s">
        <v>5701</v>
      </c>
      <c r="B1298">
        <v>45</v>
      </c>
      <c r="C1298" t="s">
        <v>15</v>
      </c>
      <c r="D1298" t="s">
        <v>98</v>
      </c>
      <c r="E1298" t="s">
        <v>76</v>
      </c>
      <c r="F1298" s="1">
        <v>44642</v>
      </c>
      <c r="G1298" t="s">
        <v>2605</v>
      </c>
      <c r="H1298" t="s">
        <v>2606</v>
      </c>
      <c r="I1298" t="s">
        <v>57</v>
      </c>
      <c r="J1298">
        <v>5956</v>
      </c>
      <c r="K1298">
        <v>168</v>
      </c>
      <c r="L1298" t="s">
        <v>21</v>
      </c>
      <c r="M1298" s="1">
        <v>44652</v>
      </c>
      <c r="N1298" t="s">
        <v>47</v>
      </c>
      <c r="O1298" t="s">
        <v>23</v>
      </c>
      <c r="P1298" t="str">
        <f t="shared" si="444"/>
        <v>P1297</v>
      </c>
      <c r="Q1298" t="str">
        <f t="shared" si="440"/>
        <v>Orthopedics</v>
      </c>
      <c r="R1298">
        <f t="shared" si="441"/>
        <v>10</v>
      </c>
      <c r="S1298" t="str">
        <f t="shared" ca="1" si="445"/>
        <v>No</v>
      </c>
      <c r="T1298" t="str">
        <f t="shared" ca="1" si="446"/>
        <v>Severe</v>
      </c>
      <c r="U1298" t="str">
        <f t="shared" ca="1" si="447"/>
        <v>Private Ward</v>
      </c>
      <c r="V1298" t="str">
        <f t="shared" si="448"/>
        <v>BED1297</v>
      </c>
      <c r="W1298" t="str">
        <f t="shared" ca="1" si="449"/>
        <v>Private</v>
      </c>
      <c r="X1298" t="str">
        <f t="shared" si="450"/>
        <v>NUR047</v>
      </c>
      <c r="Y1298" t="str">
        <f t="shared" ca="1" si="451"/>
        <v>Night</v>
      </c>
      <c r="Z1298" t="str">
        <f t="shared" ca="1" si="452"/>
        <v>X-Ray</v>
      </c>
      <c r="AA1298" t="str">
        <f t="shared" ca="1" si="453"/>
        <v>Maintenance</v>
      </c>
      <c r="AB1298" t="str">
        <f t="shared" ca="1" si="454"/>
        <v>Partially Paid</v>
      </c>
      <c r="AC1298" t="str">
        <f t="shared" ca="1" si="455"/>
        <v>Bank Transfer</v>
      </c>
      <c r="AD1298" t="str">
        <f t="shared" ca="1" si="456"/>
        <v>No</v>
      </c>
      <c r="AE1298" t="str">
        <f t="shared" ca="1" si="457"/>
        <v>No</v>
      </c>
      <c r="AF1298" t="str">
        <f t="shared" ca="1" si="458"/>
        <v>Recovered</v>
      </c>
      <c r="AG1298" t="str">
        <f t="shared" ca="1" si="459"/>
        <v>Northeast</v>
      </c>
      <c r="AH1298" t="str">
        <f t="shared" si="442"/>
        <v>March</v>
      </c>
      <c r="AI1298">
        <f t="shared" si="443"/>
        <v>2022</v>
      </c>
      <c r="AJ1298" t="str">
        <f t="shared" ca="1" si="460"/>
        <v>Occupied</v>
      </c>
      <c r="AK1298">
        <f t="shared" ca="1" si="461"/>
        <v>1</v>
      </c>
    </row>
    <row r="1299" spans="1:37" x14ac:dyDescent="0.3">
      <c r="A1299" t="s">
        <v>5702</v>
      </c>
      <c r="B1299">
        <v>75</v>
      </c>
      <c r="C1299" t="s">
        <v>32</v>
      </c>
      <c r="D1299" t="s">
        <v>83</v>
      </c>
      <c r="E1299" t="s">
        <v>17</v>
      </c>
      <c r="F1299" s="1">
        <v>45046</v>
      </c>
      <c r="G1299" t="s">
        <v>2607</v>
      </c>
      <c r="H1299" t="s">
        <v>1349</v>
      </c>
      <c r="I1299" t="s">
        <v>36</v>
      </c>
      <c r="J1299">
        <v>1493</v>
      </c>
      <c r="K1299">
        <v>319</v>
      </c>
      <c r="L1299" t="s">
        <v>29</v>
      </c>
      <c r="M1299" s="1">
        <v>45076</v>
      </c>
      <c r="N1299" t="s">
        <v>30</v>
      </c>
      <c r="O1299" t="s">
        <v>23</v>
      </c>
      <c r="P1299" t="str">
        <f t="shared" si="444"/>
        <v>P1298</v>
      </c>
      <c r="Q1299" t="str">
        <f t="shared" si="440"/>
        <v>Oncology</v>
      </c>
      <c r="R1299">
        <f t="shared" si="441"/>
        <v>30</v>
      </c>
      <c r="S1299" t="str">
        <f t="shared" ca="1" si="445"/>
        <v>No</v>
      </c>
      <c r="T1299" t="str">
        <f t="shared" ca="1" si="446"/>
        <v>Severe</v>
      </c>
      <c r="U1299" t="str">
        <f t="shared" ca="1" si="447"/>
        <v>Semi-Private</v>
      </c>
      <c r="V1299" t="str">
        <f t="shared" si="448"/>
        <v>BED1298</v>
      </c>
      <c r="W1299" t="str">
        <f t="shared" ca="1" si="449"/>
        <v>Private</v>
      </c>
      <c r="X1299" t="str">
        <f t="shared" si="450"/>
        <v>NUR048</v>
      </c>
      <c r="Y1299" t="str">
        <f t="shared" ca="1" si="451"/>
        <v>Night</v>
      </c>
      <c r="Z1299" t="str">
        <f t="shared" ca="1" si="452"/>
        <v>X-Ray</v>
      </c>
      <c r="AA1299" t="str">
        <f t="shared" ca="1" si="453"/>
        <v>Maintenance</v>
      </c>
      <c r="AB1299" t="str">
        <f t="shared" ca="1" si="454"/>
        <v>Pending</v>
      </c>
      <c r="AC1299" t="str">
        <f t="shared" ca="1" si="455"/>
        <v>Credit Card</v>
      </c>
      <c r="AD1299" t="str">
        <f t="shared" ca="1" si="456"/>
        <v>No</v>
      </c>
      <c r="AE1299" t="str">
        <f t="shared" ca="1" si="457"/>
        <v>Yes</v>
      </c>
      <c r="AF1299" t="str">
        <f t="shared" ca="1" si="458"/>
        <v>Recovered</v>
      </c>
      <c r="AG1299" t="str">
        <f t="shared" ca="1" si="459"/>
        <v>Southwest</v>
      </c>
      <c r="AH1299" t="str">
        <f t="shared" si="442"/>
        <v>April</v>
      </c>
      <c r="AI1299">
        <f t="shared" si="443"/>
        <v>2023</v>
      </c>
      <c r="AJ1299" t="str">
        <f t="shared" ca="1" si="460"/>
        <v>Occupied</v>
      </c>
      <c r="AK1299">
        <f t="shared" ca="1" si="461"/>
        <v>1</v>
      </c>
    </row>
    <row r="1300" spans="1:37" x14ac:dyDescent="0.3">
      <c r="A1300" t="s">
        <v>5703</v>
      </c>
      <c r="B1300">
        <v>42</v>
      </c>
      <c r="C1300" t="s">
        <v>32</v>
      </c>
      <c r="D1300" t="s">
        <v>24</v>
      </c>
      <c r="E1300" t="s">
        <v>17</v>
      </c>
      <c r="F1300" s="1">
        <v>45328</v>
      </c>
      <c r="G1300" t="s">
        <v>2608</v>
      </c>
      <c r="H1300" t="s">
        <v>2609</v>
      </c>
      <c r="I1300" t="s">
        <v>51</v>
      </c>
      <c r="J1300">
        <v>6257</v>
      </c>
      <c r="K1300">
        <v>259</v>
      </c>
      <c r="L1300" t="s">
        <v>42</v>
      </c>
      <c r="M1300" s="1">
        <v>45349</v>
      </c>
      <c r="N1300" t="s">
        <v>30</v>
      </c>
      <c r="O1300" t="s">
        <v>43</v>
      </c>
      <c r="P1300" t="str">
        <f t="shared" si="444"/>
        <v>P1299</v>
      </c>
      <c r="Q1300" t="str">
        <f t="shared" si="440"/>
        <v>Oncology</v>
      </c>
      <c r="R1300">
        <f t="shared" si="441"/>
        <v>21</v>
      </c>
      <c r="S1300" t="str">
        <f t="shared" ca="1" si="445"/>
        <v>No</v>
      </c>
      <c r="T1300" t="str">
        <f t="shared" ca="1" si="446"/>
        <v>Severe</v>
      </c>
      <c r="U1300" t="str">
        <f t="shared" ca="1" si="447"/>
        <v>Private Ward</v>
      </c>
      <c r="V1300" t="str">
        <f t="shared" si="448"/>
        <v>BED1299</v>
      </c>
      <c r="W1300" t="str">
        <f t="shared" ca="1" si="449"/>
        <v>General</v>
      </c>
      <c r="X1300" t="str">
        <f t="shared" si="450"/>
        <v>NUR049</v>
      </c>
      <c r="Y1300" t="str">
        <f t="shared" ca="1" si="451"/>
        <v>Evening</v>
      </c>
      <c r="Z1300" t="str">
        <f t="shared" ca="1" si="452"/>
        <v>ECG Machine</v>
      </c>
      <c r="AA1300" t="str">
        <f t="shared" ca="1" si="453"/>
        <v>Maintenance</v>
      </c>
      <c r="AB1300" t="str">
        <f t="shared" ca="1" si="454"/>
        <v>Pending</v>
      </c>
      <c r="AC1300" t="str">
        <f t="shared" ca="1" si="455"/>
        <v>Insurance</v>
      </c>
      <c r="AD1300" t="str">
        <f t="shared" ca="1" si="456"/>
        <v>Yes</v>
      </c>
      <c r="AE1300" t="str">
        <f t="shared" ca="1" si="457"/>
        <v>No</v>
      </c>
      <c r="AF1300" t="str">
        <f t="shared" ca="1" si="458"/>
        <v>Recovered</v>
      </c>
      <c r="AG1300" t="str">
        <f t="shared" ca="1" si="459"/>
        <v>Midwest</v>
      </c>
      <c r="AH1300" t="str">
        <f t="shared" si="442"/>
        <v>February</v>
      </c>
      <c r="AI1300">
        <f t="shared" si="443"/>
        <v>2024</v>
      </c>
      <c r="AJ1300" t="str">
        <f t="shared" ca="1" si="460"/>
        <v>Occupied</v>
      </c>
      <c r="AK1300">
        <f t="shared" ca="1" si="461"/>
        <v>4</v>
      </c>
    </row>
    <row r="1301" spans="1:37" x14ac:dyDescent="0.3">
      <c r="A1301" t="s">
        <v>5704</v>
      </c>
      <c r="B1301">
        <v>82</v>
      </c>
      <c r="C1301" t="s">
        <v>15</v>
      </c>
      <c r="D1301" t="s">
        <v>24</v>
      </c>
      <c r="E1301" t="s">
        <v>76</v>
      </c>
      <c r="F1301" s="1">
        <v>45391</v>
      </c>
      <c r="G1301" t="s">
        <v>2610</v>
      </c>
      <c r="H1301" t="s">
        <v>2611</v>
      </c>
      <c r="I1301" t="s">
        <v>36</v>
      </c>
      <c r="J1301">
        <v>32968</v>
      </c>
      <c r="K1301">
        <v>308</v>
      </c>
      <c r="L1301" t="s">
        <v>29</v>
      </c>
      <c r="M1301" s="1">
        <v>45413</v>
      </c>
      <c r="N1301" t="s">
        <v>37</v>
      </c>
      <c r="O1301" t="s">
        <v>23</v>
      </c>
      <c r="P1301" t="str">
        <f t="shared" si="444"/>
        <v>P1300</v>
      </c>
      <c r="Q1301" t="str">
        <f t="shared" si="440"/>
        <v>Orthopedics</v>
      </c>
      <c r="R1301">
        <f t="shared" si="441"/>
        <v>22</v>
      </c>
      <c r="S1301" t="str">
        <f t="shared" ca="1" si="445"/>
        <v>No</v>
      </c>
      <c r="T1301" t="str">
        <f t="shared" ca="1" si="446"/>
        <v>Moderate</v>
      </c>
      <c r="U1301" t="str">
        <f t="shared" ca="1" si="447"/>
        <v>Private Ward</v>
      </c>
      <c r="V1301" t="str">
        <f t="shared" si="448"/>
        <v>BED1300</v>
      </c>
      <c r="W1301" t="str">
        <f t="shared" ca="1" si="449"/>
        <v>General</v>
      </c>
      <c r="X1301" t="str">
        <f t="shared" si="450"/>
        <v>NUR050</v>
      </c>
      <c r="Y1301" t="str">
        <f t="shared" ca="1" si="451"/>
        <v>Morning</v>
      </c>
      <c r="Z1301" t="str">
        <f t="shared" ca="1" si="452"/>
        <v>ECG Machine</v>
      </c>
      <c r="AA1301" t="str">
        <f t="shared" ca="1" si="453"/>
        <v>Maintenance</v>
      </c>
      <c r="AB1301" t="str">
        <f t="shared" ca="1" si="454"/>
        <v>Partially Paid</v>
      </c>
      <c r="AC1301" t="str">
        <f t="shared" ca="1" si="455"/>
        <v>Debit Card</v>
      </c>
      <c r="AD1301" t="str">
        <f t="shared" ca="1" si="456"/>
        <v>No</v>
      </c>
      <c r="AE1301" t="str">
        <f t="shared" ca="1" si="457"/>
        <v>Yes</v>
      </c>
      <c r="AF1301" t="str">
        <f t="shared" ca="1" si="458"/>
        <v>Recovered</v>
      </c>
      <c r="AG1301" t="str">
        <f t="shared" ca="1" si="459"/>
        <v>Northeast</v>
      </c>
      <c r="AH1301" t="str">
        <f t="shared" si="442"/>
        <v>April</v>
      </c>
      <c r="AI1301">
        <f t="shared" si="443"/>
        <v>2024</v>
      </c>
      <c r="AJ1301" t="str">
        <f t="shared" ca="1" si="460"/>
        <v>Occupied</v>
      </c>
      <c r="AK1301">
        <f t="shared" ca="1" si="461"/>
        <v>1</v>
      </c>
    </row>
    <row r="1302" spans="1:37" x14ac:dyDescent="0.3">
      <c r="A1302" t="s">
        <v>5705</v>
      </c>
      <c r="B1302">
        <v>18</v>
      </c>
      <c r="C1302" t="s">
        <v>32</v>
      </c>
      <c r="D1302" t="s">
        <v>33</v>
      </c>
      <c r="E1302" t="s">
        <v>76</v>
      </c>
      <c r="F1302" s="1">
        <v>44531</v>
      </c>
      <c r="G1302" t="s">
        <v>2612</v>
      </c>
      <c r="H1302" t="s">
        <v>2613</v>
      </c>
      <c r="I1302" t="s">
        <v>28</v>
      </c>
      <c r="J1302">
        <v>35732</v>
      </c>
      <c r="K1302">
        <v>241</v>
      </c>
      <c r="L1302" t="s">
        <v>21</v>
      </c>
      <c r="M1302" s="1">
        <v>44548</v>
      </c>
      <c r="N1302" t="s">
        <v>47</v>
      </c>
      <c r="O1302" t="s">
        <v>43</v>
      </c>
      <c r="P1302" t="str">
        <f t="shared" si="444"/>
        <v>P1301</v>
      </c>
      <c r="Q1302" t="str">
        <f t="shared" si="440"/>
        <v>Orthopedics</v>
      </c>
      <c r="R1302">
        <f t="shared" si="441"/>
        <v>17</v>
      </c>
      <c r="S1302" t="str">
        <f t="shared" ca="1" si="445"/>
        <v>No</v>
      </c>
      <c r="T1302" t="str">
        <f t="shared" ca="1" si="446"/>
        <v>Moderate</v>
      </c>
      <c r="U1302" t="str">
        <f t="shared" ca="1" si="447"/>
        <v>ICU</v>
      </c>
      <c r="V1302" t="str">
        <f t="shared" si="448"/>
        <v>BED1301</v>
      </c>
      <c r="W1302" t="str">
        <f t="shared" ca="1" si="449"/>
        <v>Semi-Private</v>
      </c>
      <c r="X1302" t="str">
        <f t="shared" si="450"/>
        <v>NUR001</v>
      </c>
      <c r="Y1302" t="str">
        <f t="shared" ca="1" si="451"/>
        <v>Morning</v>
      </c>
      <c r="Z1302" t="str">
        <f t="shared" ca="1" si="452"/>
        <v>CT Scanner</v>
      </c>
      <c r="AA1302" t="str">
        <f t="shared" ca="1" si="453"/>
        <v>Maintenance</v>
      </c>
      <c r="AB1302" t="str">
        <f t="shared" ca="1" si="454"/>
        <v>Paid</v>
      </c>
      <c r="AC1302" t="str">
        <f t="shared" ca="1" si="455"/>
        <v>Bank Transfer</v>
      </c>
      <c r="AD1302" t="str">
        <f t="shared" ca="1" si="456"/>
        <v>No</v>
      </c>
      <c r="AE1302" t="str">
        <f t="shared" ca="1" si="457"/>
        <v>No</v>
      </c>
      <c r="AF1302" t="str">
        <f t="shared" ca="1" si="458"/>
        <v>Recovered</v>
      </c>
      <c r="AG1302" t="str">
        <f t="shared" ca="1" si="459"/>
        <v>Southwest</v>
      </c>
      <c r="AH1302" t="str">
        <f t="shared" si="442"/>
        <v>December</v>
      </c>
      <c r="AI1302">
        <f t="shared" si="443"/>
        <v>2021</v>
      </c>
      <c r="AJ1302" t="str">
        <f t="shared" ca="1" si="460"/>
        <v>Occupied</v>
      </c>
      <c r="AK1302">
        <f t="shared" ca="1" si="461"/>
        <v>4</v>
      </c>
    </row>
    <row r="1303" spans="1:37" x14ac:dyDescent="0.3">
      <c r="A1303" t="s">
        <v>5706</v>
      </c>
      <c r="B1303">
        <v>58</v>
      </c>
      <c r="C1303" t="s">
        <v>32</v>
      </c>
      <c r="D1303" t="s">
        <v>52</v>
      </c>
      <c r="E1303" t="s">
        <v>76</v>
      </c>
      <c r="F1303" s="1">
        <v>44107</v>
      </c>
      <c r="G1303" t="s">
        <v>2614</v>
      </c>
      <c r="H1303" t="s">
        <v>2615</v>
      </c>
      <c r="I1303" t="s">
        <v>28</v>
      </c>
      <c r="J1303">
        <v>13975</v>
      </c>
      <c r="K1303">
        <v>336</v>
      </c>
      <c r="L1303" t="s">
        <v>21</v>
      </c>
      <c r="M1303" s="1">
        <v>44134</v>
      </c>
      <c r="N1303" t="s">
        <v>30</v>
      </c>
      <c r="O1303" t="s">
        <v>23</v>
      </c>
      <c r="P1303" t="str">
        <f t="shared" si="444"/>
        <v>P1302</v>
      </c>
      <c r="Q1303" t="str">
        <f t="shared" si="440"/>
        <v>Orthopedics</v>
      </c>
      <c r="R1303">
        <f t="shared" si="441"/>
        <v>27</v>
      </c>
      <c r="S1303" t="str">
        <f t="shared" ca="1" si="445"/>
        <v>No</v>
      </c>
      <c r="T1303" t="str">
        <f t="shared" ca="1" si="446"/>
        <v>Severe</v>
      </c>
      <c r="U1303" t="str">
        <f t="shared" ca="1" si="447"/>
        <v>Semi-Private</v>
      </c>
      <c r="V1303" t="str">
        <f t="shared" si="448"/>
        <v>BED1302</v>
      </c>
      <c r="W1303" t="str">
        <f t="shared" ca="1" si="449"/>
        <v>Private</v>
      </c>
      <c r="X1303" t="str">
        <f t="shared" si="450"/>
        <v>NUR002</v>
      </c>
      <c r="Y1303" t="str">
        <f t="shared" ca="1" si="451"/>
        <v>Night</v>
      </c>
      <c r="Z1303" t="str">
        <f t="shared" ca="1" si="452"/>
        <v>Ventilator</v>
      </c>
      <c r="AA1303" t="str">
        <f t="shared" ca="1" si="453"/>
        <v>Available</v>
      </c>
      <c r="AB1303" t="str">
        <f t="shared" ca="1" si="454"/>
        <v>Paid</v>
      </c>
      <c r="AC1303" t="str">
        <f t="shared" ca="1" si="455"/>
        <v>Bank Transfer</v>
      </c>
      <c r="AD1303" t="str">
        <f t="shared" ca="1" si="456"/>
        <v>Yes</v>
      </c>
      <c r="AE1303" t="str">
        <f t="shared" ca="1" si="457"/>
        <v>Yes</v>
      </c>
      <c r="AF1303" t="str">
        <f t="shared" ca="1" si="458"/>
        <v>Recovered</v>
      </c>
      <c r="AG1303" t="str">
        <f t="shared" ca="1" si="459"/>
        <v>West Coast</v>
      </c>
      <c r="AH1303" t="str">
        <f t="shared" si="442"/>
        <v>October</v>
      </c>
      <c r="AI1303">
        <f t="shared" si="443"/>
        <v>2020</v>
      </c>
      <c r="AJ1303" t="str">
        <f t="shared" ca="1" si="460"/>
        <v>Vacant</v>
      </c>
      <c r="AK1303">
        <f t="shared" ca="1" si="461"/>
        <v>1</v>
      </c>
    </row>
    <row r="1304" spans="1:37" x14ac:dyDescent="0.3">
      <c r="A1304" t="s">
        <v>5707</v>
      </c>
      <c r="B1304">
        <v>69</v>
      </c>
      <c r="C1304" t="s">
        <v>32</v>
      </c>
      <c r="D1304" t="s">
        <v>16</v>
      </c>
      <c r="E1304" t="s">
        <v>48</v>
      </c>
      <c r="F1304" s="1">
        <v>44932</v>
      </c>
      <c r="G1304" t="s">
        <v>2616</v>
      </c>
      <c r="H1304" t="s">
        <v>2617</v>
      </c>
      <c r="I1304" t="s">
        <v>36</v>
      </c>
      <c r="J1304">
        <v>14109</v>
      </c>
      <c r="K1304">
        <v>279</v>
      </c>
      <c r="L1304" t="s">
        <v>42</v>
      </c>
      <c r="M1304" s="1">
        <v>44933</v>
      </c>
      <c r="N1304" t="s">
        <v>37</v>
      </c>
      <c r="O1304" t="s">
        <v>31</v>
      </c>
      <c r="P1304" t="str">
        <f t="shared" si="444"/>
        <v>P1303</v>
      </c>
      <c r="Q1304" t="str">
        <f t="shared" si="440"/>
        <v>Pulmonology</v>
      </c>
      <c r="R1304">
        <f t="shared" si="441"/>
        <v>1</v>
      </c>
      <c r="S1304" t="str">
        <f t="shared" ca="1" si="445"/>
        <v>No</v>
      </c>
      <c r="T1304" t="str">
        <f t="shared" ca="1" si="446"/>
        <v>Critical</v>
      </c>
      <c r="U1304" t="str">
        <f t="shared" ca="1" si="447"/>
        <v>Private Ward</v>
      </c>
      <c r="V1304" t="str">
        <f t="shared" si="448"/>
        <v>BED1303</v>
      </c>
      <c r="W1304" t="str">
        <f t="shared" ca="1" si="449"/>
        <v>Private</v>
      </c>
      <c r="X1304" t="str">
        <f t="shared" si="450"/>
        <v>NUR003</v>
      </c>
      <c r="Y1304" t="str">
        <f t="shared" ca="1" si="451"/>
        <v>Evening</v>
      </c>
      <c r="Z1304" t="str">
        <f t="shared" ca="1" si="452"/>
        <v>ECG Machine</v>
      </c>
      <c r="AA1304" t="str">
        <f t="shared" ca="1" si="453"/>
        <v>Maintenance</v>
      </c>
      <c r="AB1304" t="str">
        <f t="shared" ca="1" si="454"/>
        <v>Pending</v>
      </c>
      <c r="AC1304" t="str">
        <f t="shared" ca="1" si="455"/>
        <v>Bank Transfer</v>
      </c>
      <c r="AD1304" t="str">
        <f t="shared" ca="1" si="456"/>
        <v>No</v>
      </c>
      <c r="AE1304" t="str">
        <f t="shared" ca="1" si="457"/>
        <v>No</v>
      </c>
      <c r="AF1304" t="str">
        <f t="shared" ca="1" si="458"/>
        <v>Transferred</v>
      </c>
      <c r="AG1304" t="str">
        <f t="shared" ca="1" si="459"/>
        <v>Southwest</v>
      </c>
      <c r="AH1304" t="str">
        <f t="shared" si="442"/>
        <v>January</v>
      </c>
      <c r="AI1304">
        <f t="shared" si="443"/>
        <v>2023</v>
      </c>
      <c r="AJ1304" t="str">
        <f t="shared" ca="1" si="460"/>
        <v>Vacant</v>
      </c>
      <c r="AK1304">
        <f t="shared" ca="1" si="461"/>
        <v>4</v>
      </c>
    </row>
    <row r="1305" spans="1:37" x14ac:dyDescent="0.3">
      <c r="A1305" t="s">
        <v>5708</v>
      </c>
      <c r="B1305">
        <v>69</v>
      </c>
      <c r="C1305" t="s">
        <v>32</v>
      </c>
      <c r="D1305" t="s">
        <v>33</v>
      </c>
      <c r="E1305" t="s">
        <v>76</v>
      </c>
      <c r="F1305" s="1">
        <v>44617</v>
      </c>
      <c r="G1305" t="s">
        <v>2618</v>
      </c>
      <c r="H1305" t="s">
        <v>2619</v>
      </c>
      <c r="I1305" t="s">
        <v>20</v>
      </c>
      <c r="J1305">
        <v>44254</v>
      </c>
      <c r="K1305">
        <v>498</v>
      </c>
      <c r="L1305" t="s">
        <v>21</v>
      </c>
      <c r="M1305" s="1">
        <v>44618</v>
      </c>
      <c r="N1305" t="s">
        <v>22</v>
      </c>
      <c r="O1305" t="s">
        <v>23</v>
      </c>
      <c r="P1305" t="str">
        <f t="shared" si="444"/>
        <v>P1304</v>
      </c>
      <c r="Q1305" t="str">
        <f t="shared" si="440"/>
        <v>Orthopedics</v>
      </c>
      <c r="R1305">
        <f t="shared" si="441"/>
        <v>1</v>
      </c>
      <c r="S1305" t="str">
        <f t="shared" ca="1" si="445"/>
        <v>No</v>
      </c>
      <c r="T1305" t="str">
        <f t="shared" ca="1" si="446"/>
        <v>Mild</v>
      </c>
      <c r="U1305" t="str">
        <f t="shared" ca="1" si="447"/>
        <v>General Ward</v>
      </c>
      <c r="V1305" t="str">
        <f t="shared" si="448"/>
        <v>BED1304</v>
      </c>
      <c r="W1305" t="str">
        <f t="shared" ca="1" si="449"/>
        <v>Semi-Private</v>
      </c>
      <c r="X1305" t="str">
        <f t="shared" si="450"/>
        <v>NUR004</v>
      </c>
      <c r="Y1305" t="str">
        <f t="shared" ca="1" si="451"/>
        <v>Night</v>
      </c>
      <c r="Z1305" t="str">
        <f t="shared" ca="1" si="452"/>
        <v>Ventilator</v>
      </c>
      <c r="AA1305" t="str">
        <f t="shared" ca="1" si="453"/>
        <v>Maintenance</v>
      </c>
      <c r="AB1305" t="str">
        <f t="shared" ca="1" si="454"/>
        <v>Partially Paid</v>
      </c>
      <c r="AC1305" t="str">
        <f t="shared" ca="1" si="455"/>
        <v>Credit Card</v>
      </c>
      <c r="AD1305" t="str">
        <f t="shared" ca="1" si="456"/>
        <v>No</v>
      </c>
      <c r="AE1305" t="str">
        <f t="shared" ca="1" si="457"/>
        <v>Yes</v>
      </c>
      <c r="AF1305" t="str">
        <f t="shared" ca="1" si="458"/>
        <v>Transferred</v>
      </c>
      <c r="AG1305" t="str">
        <f t="shared" ca="1" si="459"/>
        <v>Southeast</v>
      </c>
      <c r="AH1305" t="str">
        <f t="shared" si="442"/>
        <v>February</v>
      </c>
      <c r="AI1305">
        <f t="shared" si="443"/>
        <v>2022</v>
      </c>
      <c r="AJ1305" t="str">
        <f t="shared" ca="1" si="460"/>
        <v>Vacant</v>
      </c>
      <c r="AK1305">
        <f t="shared" ca="1" si="461"/>
        <v>4</v>
      </c>
    </row>
    <row r="1306" spans="1:37" x14ac:dyDescent="0.3">
      <c r="A1306" t="s">
        <v>5709</v>
      </c>
      <c r="B1306">
        <v>47</v>
      </c>
      <c r="C1306" t="s">
        <v>15</v>
      </c>
      <c r="D1306" t="s">
        <v>44</v>
      </c>
      <c r="E1306" t="s">
        <v>39</v>
      </c>
      <c r="F1306" s="1">
        <v>43727</v>
      </c>
      <c r="G1306" t="s">
        <v>2620</v>
      </c>
      <c r="H1306" t="s">
        <v>2621</v>
      </c>
      <c r="I1306" t="s">
        <v>57</v>
      </c>
      <c r="J1306">
        <v>23137</v>
      </c>
      <c r="K1306">
        <v>426</v>
      </c>
      <c r="L1306" t="s">
        <v>29</v>
      </c>
      <c r="M1306" s="1">
        <v>43739</v>
      </c>
      <c r="N1306" t="s">
        <v>47</v>
      </c>
      <c r="O1306" t="s">
        <v>23</v>
      </c>
      <c r="P1306" t="str">
        <f t="shared" si="444"/>
        <v>P1305</v>
      </c>
      <c r="Q1306" t="str">
        <f t="shared" si="440"/>
        <v>Endocrinology</v>
      </c>
      <c r="R1306">
        <f t="shared" si="441"/>
        <v>12</v>
      </c>
      <c r="S1306" t="str">
        <f t="shared" ca="1" si="445"/>
        <v>No</v>
      </c>
      <c r="T1306" t="str">
        <f t="shared" ca="1" si="446"/>
        <v>Mild</v>
      </c>
      <c r="U1306" t="str">
        <f t="shared" ca="1" si="447"/>
        <v>Emergency</v>
      </c>
      <c r="V1306" t="str">
        <f t="shared" si="448"/>
        <v>BED1305</v>
      </c>
      <c r="W1306" t="str">
        <f t="shared" ca="1" si="449"/>
        <v>ICU</v>
      </c>
      <c r="X1306" t="str">
        <f t="shared" si="450"/>
        <v>NUR005</v>
      </c>
      <c r="Y1306" t="str">
        <f t="shared" ca="1" si="451"/>
        <v>Night</v>
      </c>
      <c r="Z1306" t="str">
        <f t="shared" ca="1" si="452"/>
        <v>X-Ray</v>
      </c>
      <c r="AA1306" t="str">
        <f t="shared" ca="1" si="453"/>
        <v>Maintenance</v>
      </c>
      <c r="AB1306" t="str">
        <f t="shared" ca="1" si="454"/>
        <v>Partially Paid</v>
      </c>
      <c r="AC1306" t="str">
        <f t="shared" ca="1" si="455"/>
        <v>Credit Card</v>
      </c>
      <c r="AD1306" t="str">
        <f t="shared" ca="1" si="456"/>
        <v>Yes</v>
      </c>
      <c r="AE1306" t="str">
        <f t="shared" ca="1" si="457"/>
        <v>No</v>
      </c>
      <c r="AF1306" t="str">
        <f t="shared" ca="1" si="458"/>
        <v>Under Observation</v>
      </c>
      <c r="AG1306" t="str">
        <f t="shared" ca="1" si="459"/>
        <v>Midwest</v>
      </c>
      <c r="AH1306" t="str">
        <f t="shared" si="442"/>
        <v>September</v>
      </c>
      <c r="AI1306">
        <f t="shared" si="443"/>
        <v>2019</v>
      </c>
      <c r="AJ1306" t="str">
        <f t="shared" ca="1" si="460"/>
        <v>Occupied</v>
      </c>
      <c r="AK1306">
        <f t="shared" ca="1" si="461"/>
        <v>1</v>
      </c>
    </row>
    <row r="1307" spans="1:37" x14ac:dyDescent="0.3">
      <c r="A1307" t="s">
        <v>5710</v>
      </c>
      <c r="B1307">
        <v>35</v>
      </c>
      <c r="C1307" t="s">
        <v>15</v>
      </c>
      <c r="D1307" t="s">
        <v>44</v>
      </c>
      <c r="E1307" t="s">
        <v>39</v>
      </c>
      <c r="F1307" s="1">
        <v>43964</v>
      </c>
      <c r="G1307" t="s">
        <v>2622</v>
      </c>
      <c r="H1307" t="s">
        <v>2623</v>
      </c>
      <c r="I1307" t="s">
        <v>57</v>
      </c>
      <c r="J1307">
        <v>38102</v>
      </c>
      <c r="K1307">
        <v>187</v>
      </c>
      <c r="L1307" t="s">
        <v>42</v>
      </c>
      <c r="M1307" s="1">
        <v>43976</v>
      </c>
      <c r="N1307" t="s">
        <v>67</v>
      </c>
      <c r="O1307" t="s">
        <v>43</v>
      </c>
      <c r="P1307" t="str">
        <f t="shared" si="444"/>
        <v>P1306</v>
      </c>
      <c r="Q1307" t="str">
        <f t="shared" si="440"/>
        <v>Endocrinology</v>
      </c>
      <c r="R1307">
        <f t="shared" si="441"/>
        <v>12</v>
      </c>
      <c r="S1307" t="str">
        <f t="shared" ca="1" si="445"/>
        <v>No</v>
      </c>
      <c r="T1307" t="str">
        <f t="shared" ca="1" si="446"/>
        <v>Mild</v>
      </c>
      <c r="U1307" t="str">
        <f t="shared" ca="1" si="447"/>
        <v>General Ward</v>
      </c>
      <c r="V1307" t="str">
        <f t="shared" si="448"/>
        <v>BED1306</v>
      </c>
      <c r="W1307" t="str">
        <f t="shared" ca="1" si="449"/>
        <v>Private</v>
      </c>
      <c r="X1307" t="str">
        <f t="shared" si="450"/>
        <v>NUR006</v>
      </c>
      <c r="Y1307" t="str">
        <f t="shared" ca="1" si="451"/>
        <v>Evening</v>
      </c>
      <c r="Z1307" t="str">
        <f t="shared" ca="1" si="452"/>
        <v>Ultrasound</v>
      </c>
      <c r="AA1307" t="str">
        <f t="shared" ca="1" si="453"/>
        <v>Available</v>
      </c>
      <c r="AB1307" t="str">
        <f t="shared" ca="1" si="454"/>
        <v>Partially Paid</v>
      </c>
      <c r="AC1307" t="str">
        <f t="shared" ca="1" si="455"/>
        <v>Insurance</v>
      </c>
      <c r="AD1307" t="str">
        <f t="shared" ca="1" si="456"/>
        <v>No</v>
      </c>
      <c r="AE1307" t="str">
        <f t="shared" ca="1" si="457"/>
        <v>No</v>
      </c>
      <c r="AF1307" t="str">
        <f t="shared" ca="1" si="458"/>
        <v>Transferred</v>
      </c>
      <c r="AG1307" t="str">
        <f t="shared" ca="1" si="459"/>
        <v>Southwest</v>
      </c>
      <c r="AH1307" t="str">
        <f t="shared" si="442"/>
        <v>May</v>
      </c>
      <c r="AI1307">
        <f t="shared" si="443"/>
        <v>2020</v>
      </c>
      <c r="AJ1307" t="str">
        <f t="shared" ca="1" si="460"/>
        <v>Vacant</v>
      </c>
      <c r="AK1307">
        <f t="shared" ca="1" si="461"/>
        <v>1</v>
      </c>
    </row>
    <row r="1308" spans="1:37" x14ac:dyDescent="0.3">
      <c r="A1308" t="s">
        <v>5711</v>
      </c>
      <c r="B1308">
        <v>44</v>
      </c>
      <c r="C1308" t="s">
        <v>15</v>
      </c>
      <c r="D1308" t="s">
        <v>98</v>
      </c>
      <c r="E1308" t="s">
        <v>64</v>
      </c>
      <c r="F1308" s="1">
        <v>43630</v>
      </c>
      <c r="G1308" t="s">
        <v>2624</v>
      </c>
      <c r="H1308" t="s">
        <v>2625</v>
      </c>
      <c r="I1308" t="s">
        <v>57</v>
      </c>
      <c r="J1308">
        <v>24948</v>
      </c>
      <c r="K1308">
        <v>278</v>
      </c>
      <c r="L1308" t="s">
        <v>42</v>
      </c>
      <c r="M1308" s="1">
        <v>43653</v>
      </c>
      <c r="N1308" t="s">
        <v>37</v>
      </c>
      <c r="O1308" t="s">
        <v>43</v>
      </c>
      <c r="P1308" t="str">
        <f t="shared" si="444"/>
        <v>P1307</v>
      </c>
      <c r="Q1308" t="str">
        <f t="shared" si="440"/>
        <v>Cardiology</v>
      </c>
      <c r="R1308">
        <f t="shared" si="441"/>
        <v>23</v>
      </c>
      <c r="S1308" t="str">
        <f t="shared" ca="1" si="445"/>
        <v>No</v>
      </c>
      <c r="T1308" t="str">
        <f t="shared" ca="1" si="446"/>
        <v>Severe</v>
      </c>
      <c r="U1308" t="str">
        <f t="shared" ca="1" si="447"/>
        <v>Emergency</v>
      </c>
      <c r="V1308" t="str">
        <f t="shared" si="448"/>
        <v>BED1307</v>
      </c>
      <c r="W1308" t="str">
        <f t="shared" ca="1" si="449"/>
        <v>General</v>
      </c>
      <c r="X1308" t="str">
        <f t="shared" si="450"/>
        <v>NUR007</v>
      </c>
      <c r="Y1308" t="str">
        <f t="shared" ca="1" si="451"/>
        <v>Night</v>
      </c>
      <c r="Z1308" t="str">
        <f t="shared" ca="1" si="452"/>
        <v>MRI Scanner</v>
      </c>
      <c r="AA1308" t="str">
        <f t="shared" ca="1" si="453"/>
        <v>In Use</v>
      </c>
      <c r="AB1308" t="str">
        <f t="shared" ca="1" si="454"/>
        <v>Pending</v>
      </c>
      <c r="AC1308" t="str">
        <f t="shared" ca="1" si="455"/>
        <v>Debit Card</v>
      </c>
      <c r="AD1308" t="str">
        <f t="shared" ca="1" si="456"/>
        <v>No</v>
      </c>
      <c r="AE1308" t="str">
        <f t="shared" ca="1" si="457"/>
        <v>No</v>
      </c>
      <c r="AF1308" t="str">
        <f t="shared" ca="1" si="458"/>
        <v>Transferred</v>
      </c>
      <c r="AG1308" t="str">
        <f t="shared" ca="1" si="459"/>
        <v>Northeast</v>
      </c>
      <c r="AH1308" t="str">
        <f t="shared" si="442"/>
        <v>June</v>
      </c>
      <c r="AI1308">
        <f t="shared" si="443"/>
        <v>2019</v>
      </c>
      <c r="AJ1308" t="str">
        <f t="shared" ca="1" si="460"/>
        <v>Occupied</v>
      </c>
      <c r="AK1308">
        <f t="shared" ca="1" si="461"/>
        <v>4</v>
      </c>
    </row>
    <row r="1309" spans="1:37" x14ac:dyDescent="0.3">
      <c r="A1309" t="s">
        <v>5712</v>
      </c>
      <c r="B1309">
        <v>76</v>
      </c>
      <c r="C1309" t="s">
        <v>15</v>
      </c>
      <c r="D1309" t="s">
        <v>52</v>
      </c>
      <c r="E1309" t="s">
        <v>39</v>
      </c>
      <c r="F1309" s="1">
        <v>44315</v>
      </c>
      <c r="G1309" t="s">
        <v>2626</v>
      </c>
      <c r="H1309" t="s">
        <v>2627</v>
      </c>
      <c r="I1309" t="s">
        <v>51</v>
      </c>
      <c r="J1309">
        <v>9633</v>
      </c>
      <c r="K1309">
        <v>369</v>
      </c>
      <c r="L1309" t="s">
        <v>21</v>
      </c>
      <c r="M1309" s="1">
        <v>44332</v>
      </c>
      <c r="N1309" t="s">
        <v>67</v>
      </c>
      <c r="O1309" t="s">
        <v>31</v>
      </c>
      <c r="P1309" t="str">
        <f t="shared" si="444"/>
        <v>P1308</v>
      </c>
      <c r="Q1309" t="str">
        <f t="shared" si="440"/>
        <v>Endocrinology</v>
      </c>
      <c r="R1309">
        <f t="shared" si="441"/>
        <v>17</v>
      </c>
      <c r="S1309" t="str">
        <f t="shared" ca="1" si="445"/>
        <v>No</v>
      </c>
      <c r="T1309" t="str">
        <f t="shared" ca="1" si="446"/>
        <v>Critical</v>
      </c>
      <c r="U1309" t="str">
        <f t="shared" ca="1" si="447"/>
        <v>ICU</v>
      </c>
      <c r="V1309" t="str">
        <f t="shared" si="448"/>
        <v>BED1308</v>
      </c>
      <c r="W1309" t="str">
        <f t="shared" ca="1" si="449"/>
        <v>General</v>
      </c>
      <c r="X1309" t="str">
        <f t="shared" si="450"/>
        <v>NUR008</v>
      </c>
      <c r="Y1309" t="str">
        <f t="shared" ca="1" si="451"/>
        <v>Evening</v>
      </c>
      <c r="Z1309" t="str">
        <f t="shared" ca="1" si="452"/>
        <v>X-Ray</v>
      </c>
      <c r="AA1309" t="str">
        <f t="shared" ca="1" si="453"/>
        <v>In Use</v>
      </c>
      <c r="AB1309" t="str">
        <f t="shared" ca="1" si="454"/>
        <v>Partially Paid</v>
      </c>
      <c r="AC1309" t="str">
        <f t="shared" ca="1" si="455"/>
        <v>Bank Transfer</v>
      </c>
      <c r="AD1309" t="str">
        <f t="shared" ca="1" si="456"/>
        <v>No</v>
      </c>
      <c r="AE1309" t="str">
        <f t="shared" ca="1" si="457"/>
        <v>No</v>
      </c>
      <c r="AF1309" t="str">
        <f t="shared" ca="1" si="458"/>
        <v>Under Observation</v>
      </c>
      <c r="AG1309" t="str">
        <f t="shared" ca="1" si="459"/>
        <v>Northeast</v>
      </c>
      <c r="AH1309" t="str">
        <f t="shared" si="442"/>
        <v>April</v>
      </c>
      <c r="AI1309">
        <f t="shared" si="443"/>
        <v>2021</v>
      </c>
      <c r="AJ1309" t="str">
        <f t="shared" ca="1" si="460"/>
        <v>Occupied</v>
      </c>
      <c r="AK1309">
        <f t="shared" ca="1" si="461"/>
        <v>1</v>
      </c>
    </row>
    <row r="1310" spans="1:37" x14ac:dyDescent="0.3">
      <c r="A1310" t="s">
        <v>5713</v>
      </c>
      <c r="B1310">
        <v>23</v>
      </c>
      <c r="C1310" t="s">
        <v>32</v>
      </c>
      <c r="D1310" t="s">
        <v>38</v>
      </c>
      <c r="E1310" t="s">
        <v>39</v>
      </c>
      <c r="F1310" s="1">
        <v>45237</v>
      </c>
      <c r="G1310" t="s">
        <v>2628</v>
      </c>
      <c r="H1310" t="s">
        <v>2629</v>
      </c>
      <c r="I1310" t="s">
        <v>28</v>
      </c>
      <c r="J1310">
        <v>11209</v>
      </c>
      <c r="K1310">
        <v>452</v>
      </c>
      <c r="L1310" t="s">
        <v>29</v>
      </c>
      <c r="M1310" s="1">
        <v>45265</v>
      </c>
      <c r="N1310" t="s">
        <v>67</v>
      </c>
      <c r="O1310" t="s">
        <v>43</v>
      </c>
      <c r="P1310" t="str">
        <f t="shared" si="444"/>
        <v>P1309</v>
      </c>
      <c r="Q1310" t="str">
        <f t="shared" si="440"/>
        <v>Endocrinology</v>
      </c>
      <c r="R1310">
        <f t="shared" si="441"/>
        <v>28</v>
      </c>
      <c r="S1310" t="str">
        <f t="shared" ca="1" si="445"/>
        <v>No</v>
      </c>
      <c r="T1310" t="str">
        <f t="shared" ca="1" si="446"/>
        <v>Moderate</v>
      </c>
      <c r="U1310" t="str">
        <f t="shared" ca="1" si="447"/>
        <v>ICU</v>
      </c>
      <c r="V1310" t="str">
        <f t="shared" si="448"/>
        <v>BED1309</v>
      </c>
      <c r="W1310" t="str">
        <f t="shared" ca="1" si="449"/>
        <v>General</v>
      </c>
      <c r="X1310" t="str">
        <f t="shared" si="450"/>
        <v>NUR009</v>
      </c>
      <c r="Y1310" t="str">
        <f t="shared" ca="1" si="451"/>
        <v>Morning</v>
      </c>
      <c r="Z1310" t="str">
        <f t="shared" ca="1" si="452"/>
        <v>X-Ray</v>
      </c>
      <c r="AA1310" t="str">
        <f t="shared" ca="1" si="453"/>
        <v>In Use</v>
      </c>
      <c r="AB1310" t="str">
        <f t="shared" ca="1" si="454"/>
        <v>Pending</v>
      </c>
      <c r="AC1310" t="str">
        <f t="shared" ca="1" si="455"/>
        <v>Credit Card</v>
      </c>
      <c r="AD1310" t="str">
        <f t="shared" ca="1" si="456"/>
        <v>No</v>
      </c>
      <c r="AE1310" t="str">
        <f t="shared" ca="1" si="457"/>
        <v>No</v>
      </c>
      <c r="AF1310" t="str">
        <f t="shared" ca="1" si="458"/>
        <v>Under Observation</v>
      </c>
      <c r="AG1310" t="str">
        <f t="shared" ca="1" si="459"/>
        <v>West Coast</v>
      </c>
      <c r="AH1310" t="str">
        <f t="shared" si="442"/>
        <v>November</v>
      </c>
      <c r="AI1310">
        <f t="shared" si="443"/>
        <v>2023</v>
      </c>
      <c r="AJ1310" t="str">
        <f t="shared" ca="1" si="460"/>
        <v>Occupied</v>
      </c>
      <c r="AK1310">
        <f t="shared" ca="1" si="461"/>
        <v>4</v>
      </c>
    </row>
    <row r="1311" spans="1:37" x14ac:dyDescent="0.3">
      <c r="A1311" t="s">
        <v>5714</v>
      </c>
      <c r="B1311">
        <v>82</v>
      </c>
      <c r="C1311" t="s">
        <v>32</v>
      </c>
      <c r="D1311" t="s">
        <v>33</v>
      </c>
      <c r="E1311" t="s">
        <v>39</v>
      </c>
      <c r="F1311" s="1">
        <v>43964</v>
      </c>
      <c r="G1311" t="s">
        <v>2630</v>
      </c>
      <c r="H1311" t="s">
        <v>2631</v>
      </c>
      <c r="I1311" t="s">
        <v>36</v>
      </c>
      <c r="J1311">
        <v>15850</v>
      </c>
      <c r="K1311">
        <v>337</v>
      </c>
      <c r="L1311" t="s">
        <v>21</v>
      </c>
      <c r="M1311" s="1">
        <v>43989</v>
      </c>
      <c r="N1311" t="s">
        <v>37</v>
      </c>
      <c r="O1311" t="s">
        <v>43</v>
      </c>
      <c r="P1311" t="str">
        <f t="shared" si="444"/>
        <v>P1310</v>
      </c>
      <c r="Q1311" t="str">
        <f t="shared" si="440"/>
        <v>Endocrinology</v>
      </c>
      <c r="R1311">
        <f t="shared" si="441"/>
        <v>25</v>
      </c>
      <c r="S1311" t="str">
        <f t="shared" ca="1" si="445"/>
        <v>No</v>
      </c>
      <c r="T1311" t="str">
        <f t="shared" ca="1" si="446"/>
        <v>Severe</v>
      </c>
      <c r="U1311" t="str">
        <f t="shared" ca="1" si="447"/>
        <v>Private Ward</v>
      </c>
      <c r="V1311" t="str">
        <f t="shared" si="448"/>
        <v>BED1310</v>
      </c>
      <c r="W1311" t="str">
        <f t="shared" ca="1" si="449"/>
        <v>ICU</v>
      </c>
      <c r="X1311" t="str">
        <f t="shared" si="450"/>
        <v>NUR010</v>
      </c>
      <c r="Y1311" t="str">
        <f t="shared" ca="1" si="451"/>
        <v>Evening</v>
      </c>
      <c r="Z1311" t="str">
        <f t="shared" ca="1" si="452"/>
        <v>ECG Machine</v>
      </c>
      <c r="AA1311" t="str">
        <f t="shared" ca="1" si="453"/>
        <v>Available</v>
      </c>
      <c r="AB1311" t="str">
        <f t="shared" ca="1" si="454"/>
        <v>Pending</v>
      </c>
      <c r="AC1311" t="str">
        <f t="shared" ca="1" si="455"/>
        <v>Credit Card</v>
      </c>
      <c r="AD1311" t="str">
        <f t="shared" ca="1" si="456"/>
        <v>No</v>
      </c>
      <c r="AE1311" t="str">
        <f t="shared" ca="1" si="457"/>
        <v>Yes</v>
      </c>
      <c r="AF1311" t="str">
        <f t="shared" ca="1" si="458"/>
        <v>Recovered</v>
      </c>
      <c r="AG1311" t="str">
        <f t="shared" ca="1" si="459"/>
        <v>Southeast</v>
      </c>
      <c r="AH1311" t="str">
        <f t="shared" si="442"/>
        <v>May</v>
      </c>
      <c r="AI1311">
        <f t="shared" si="443"/>
        <v>2020</v>
      </c>
      <c r="AJ1311" t="str">
        <f t="shared" ca="1" si="460"/>
        <v>Occupied</v>
      </c>
      <c r="AK1311">
        <f t="shared" ca="1" si="461"/>
        <v>2</v>
      </c>
    </row>
    <row r="1312" spans="1:37" x14ac:dyDescent="0.3">
      <c r="A1312" t="s">
        <v>5625</v>
      </c>
      <c r="B1312">
        <v>37</v>
      </c>
      <c r="C1312" t="s">
        <v>15</v>
      </c>
      <c r="D1312" t="s">
        <v>52</v>
      </c>
      <c r="E1312" t="s">
        <v>25</v>
      </c>
      <c r="F1312" s="1">
        <v>44026</v>
      </c>
      <c r="G1312" t="s">
        <v>2632</v>
      </c>
      <c r="H1312" t="s">
        <v>2633</v>
      </c>
      <c r="I1312" t="s">
        <v>28</v>
      </c>
      <c r="J1312">
        <v>28367</v>
      </c>
      <c r="K1312">
        <v>297</v>
      </c>
      <c r="L1312" t="s">
        <v>21</v>
      </c>
      <c r="M1312" s="1">
        <v>44035</v>
      </c>
      <c r="N1312" t="s">
        <v>67</v>
      </c>
      <c r="O1312" t="s">
        <v>43</v>
      </c>
      <c r="P1312" t="str">
        <f t="shared" si="444"/>
        <v>P1311</v>
      </c>
      <c r="Q1312" t="str">
        <f t="shared" si="440"/>
        <v>Nutrition</v>
      </c>
      <c r="R1312">
        <f t="shared" si="441"/>
        <v>9</v>
      </c>
      <c r="S1312" t="str">
        <f t="shared" ca="1" si="445"/>
        <v>No</v>
      </c>
      <c r="T1312" t="str">
        <f t="shared" ca="1" si="446"/>
        <v>Severe</v>
      </c>
      <c r="U1312" t="str">
        <f t="shared" ca="1" si="447"/>
        <v>Semi-Private</v>
      </c>
      <c r="V1312" t="str">
        <f t="shared" si="448"/>
        <v>BED1311</v>
      </c>
      <c r="W1312" t="str">
        <f t="shared" ca="1" si="449"/>
        <v>ICU</v>
      </c>
      <c r="X1312" t="str">
        <f t="shared" si="450"/>
        <v>NUR011</v>
      </c>
      <c r="Y1312" t="str">
        <f t="shared" ca="1" si="451"/>
        <v>Evening</v>
      </c>
      <c r="Z1312" t="str">
        <f t="shared" ca="1" si="452"/>
        <v>Ultrasound</v>
      </c>
      <c r="AA1312" t="str">
        <f t="shared" ca="1" si="453"/>
        <v>In Use</v>
      </c>
      <c r="AB1312" t="str">
        <f t="shared" ca="1" si="454"/>
        <v>Partially Paid</v>
      </c>
      <c r="AC1312" t="str">
        <f t="shared" ca="1" si="455"/>
        <v>Insurance</v>
      </c>
      <c r="AD1312" t="str">
        <f t="shared" ca="1" si="456"/>
        <v>No</v>
      </c>
      <c r="AE1312" t="str">
        <f t="shared" ca="1" si="457"/>
        <v>No</v>
      </c>
      <c r="AF1312" t="str">
        <f t="shared" ca="1" si="458"/>
        <v>Recovered</v>
      </c>
      <c r="AG1312" t="str">
        <f t="shared" ca="1" si="459"/>
        <v>Southeast</v>
      </c>
      <c r="AH1312" t="str">
        <f t="shared" si="442"/>
        <v>July</v>
      </c>
      <c r="AI1312">
        <f t="shared" si="443"/>
        <v>2020</v>
      </c>
      <c r="AJ1312" t="str">
        <f t="shared" ca="1" si="460"/>
        <v>Occupied</v>
      </c>
      <c r="AK1312">
        <f t="shared" ca="1" si="461"/>
        <v>1</v>
      </c>
    </row>
    <row r="1313" spans="1:37" x14ac:dyDescent="0.3">
      <c r="A1313" t="s">
        <v>5715</v>
      </c>
      <c r="B1313">
        <v>79</v>
      </c>
      <c r="C1313" t="s">
        <v>32</v>
      </c>
      <c r="D1313" t="s">
        <v>24</v>
      </c>
      <c r="E1313" t="s">
        <v>39</v>
      </c>
      <c r="F1313" s="1">
        <v>44481</v>
      </c>
      <c r="G1313" t="s">
        <v>2634</v>
      </c>
      <c r="H1313" t="s">
        <v>2635</v>
      </c>
      <c r="I1313" t="s">
        <v>51</v>
      </c>
      <c r="J1313">
        <v>49785</v>
      </c>
      <c r="K1313">
        <v>465</v>
      </c>
      <c r="L1313" t="s">
        <v>42</v>
      </c>
      <c r="M1313" s="1">
        <v>44482</v>
      </c>
      <c r="N1313" t="s">
        <v>47</v>
      </c>
      <c r="O1313" t="s">
        <v>31</v>
      </c>
      <c r="P1313" t="str">
        <f t="shared" si="444"/>
        <v>P1312</v>
      </c>
      <c r="Q1313" t="str">
        <f t="shared" si="440"/>
        <v>Endocrinology</v>
      </c>
      <c r="R1313">
        <f t="shared" si="441"/>
        <v>1</v>
      </c>
      <c r="S1313" t="str">
        <f t="shared" ca="1" si="445"/>
        <v>No</v>
      </c>
      <c r="T1313" t="str">
        <f t="shared" ca="1" si="446"/>
        <v>Critical</v>
      </c>
      <c r="U1313" t="str">
        <f t="shared" ca="1" si="447"/>
        <v>General Ward</v>
      </c>
      <c r="V1313" t="str">
        <f t="shared" si="448"/>
        <v>BED1312</v>
      </c>
      <c r="W1313" t="str">
        <f t="shared" ca="1" si="449"/>
        <v>Private</v>
      </c>
      <c r="X1313" t="str">
        <f t="shared" si="450"/>
        <v>NUR012</v>
      </c>
      <c r="Y1313" t="str">
        <f t="shared" ca="1" si="451"/>
        <v>Night</v>
      </c>
      <c r="Z1313" t="str">
        <f t="shared" ca="1" si="452"/>
        <v>Ventilator</v>
      </c>
      <c r="AA1313" t="str">
        <f t="shared" ca="1" si="453"/>
        <v>Maintenance</v>
      </c>
      <c r="AB1313" t="str">
        <f t="shared" ca="1" si="454"/>
        <v>Paid</v>
      </c>
      <c r="AC1313" t="str">
        <f t="shared" ca="1" si="455"/>
        <v>Insurance</v>
      </c>
      <c r="AD1313" t="str">
        <f t="shared" ca="1" si="456"/>
        <v>Yes</v>
      </c>
      <c r="AE1313" t="str">
        <f t="shared" ca="1" si="457"/>
        <v>No</v>
      </c>
      <c r="AF1313" t="str">
        <f t="shared" ca="1" si="458"/>
        <v>Under Observation</v>
      </c>
      <c r="AG1313" t="str">
        <f t="shared" ca="1" si="459"/>
        <v>Northeast</v>
      </c>
      <c r="AH1313" t="str">
        <f t="shared" si="442"/>
        <v>October</v>
      </c>
      <c r="AI1313">
        <f t="shared" si="443"/>
        <v>2021</v>
      </c>
      <c r="AJ1313" t="str">
        <f t="shared" ca="1" si="460"/>
        <v>Occupied</v>
      </c>
      <c r="AK1313">
        <f t="shared" ca="1" si="461"/>
        <v>4</v>
      </c>
    </row>
    <row r="1314" spans="1:37" x14ac:dyDescent="0.3">
      <c r="A1314" t="s">
        <v>5716</v>
      </c>
      <c r="B1314">
        <v>61</v>
      </c>
      <c r="C1314" t="s">
        <v>32</v>
      </c>
      <c r="D1314" t="s">
        <v>52</v>
      </c>
      <c r="E1314" t="s">
        <v>25</v>
      </c>
      <c r="F1314" s="1">
        <v>44127</v>
      </c>
      <c r="G1314" t="s">
        <v>2636</v>
      </c>
      <c r="H1314" t="s">
        <v>2637</v>
      </c>
      <c r="I1314" t="s">
        <v>36</v>
      </c>
      <c r="J1314">
        <v>16156</v>
      </c>
      <c r="K1314">
        <v>183</v>
      </c>
      <c r="L1314" t="s">
        <v>29</v>
      </c>
      <c r="M1314" s="1">
        <v>44150</v>
      </c>
      <c r="N1314" t="s">
        <v>30</v>
      </c>
      <c r="O1314" t="s">
        <v>31</v>
      </c>
      <c r="P1314" t="str">
        <f t="shared" si="444"/>
        <v>P1313</v>
      </c>
      <c r="Q1314" t="str">
        <f t="shared" si="440"/>
        <v>Nutrition</v>
      </c>
      <c r="R1314">
        <f t="shared" si="441"/>
        <v>23</v>
      </c>
      <c r="S1314" t="str">
        <f t="shared" ca="1" si="445"/>
        <v>No</v>
      </c>
      <c r="T1314" t="str">
        <f t="shared" ca="1" si="446"/>
        <v>Critical</v>
      </c>
      <c r="U1314" t="str">
        <f t="shared" ca="1" si="447"/>
        <v>General Ward</v>
      </c>
      <c r="V1314" t="str">
        <f t="shared" si="448"/>
        <v>BED1313</v>
      </c>
      <c r="W1314" t="str">
        <f t="shared" ca="1" si="449"/>
        <v>General</v>
      </c>
      <c r="X1314" t="str">
        <f t="shared" si="450"/>
        <v>NUR013</v>
      </c>
      <c r="Y1314" t="str">
        <f t="shared" ca="1" si="451"/>
        <v>Morning</v>
      </c>
      <c r="Z1314" t="str">
        <f t="shared" ca="1" si="452"/>
        <v>ECG Machine</v>
      </c>
      <c r="AA1314" t="str">
        <f t="shared" ca="1" si="453"/>
        <v>Available</v>
      </c>
      <c r="AB1314" t="str">
        <f t="shared" ca="1" si="454"/>
        <v>Partially Paid</v>
      </c>
      <c r="AC1314" t="str">
        <f t="shared" ca="1" si="455"/>
        <v>Cash</v>
      </c>
      <c r="AD1314" t="str">
        <f t="shared" ca="1" si="456"/>
        <v>No</v>
      </c>
      <c r="AE1314" t="str">
        <f t="shared" ca="1" si="457"/>
        <v>Yes</v>
      </c>
      <c r="AF1314" t="str">
        <f t="shared" ca="1" si="458"/>
        <v>Transferred</v>
      </c>
      <c r="AG1314" t="str">
        <f t="shared" ca="1" si="459"/>
        <v>Midwest</v>
      </c>
      <c r="AH1314" t="str">
        <f t="shared" si="442"/>
        <v>October</v>
      </c>
      <c r="AI1314">
        <f t="shared" si="443"/>
        <v>2020</v>
      </c>
      <c r="AJ1314" t="str">
        <f t="shared" ca="1" si="460"/>
        <v>Occupied</v>
      </c>
      <c r="AK1314">
        <f t="shared" ca="1" si="461"/>
        <v>4</v>
      </c>
    </row>
    <row r="1315" spans="1:37" x14ac:dyDescent="0.3">
      <c r="A1315" t="s">
        <v>5717</v>
      </c>
      <c r="B1315">
        <v>48</v>
      </c>
      <c r="C1315" t="s">
        <v>15</v>
      </c>
      <c r="D1315" t="s">
        <v>98</v>
      </c>
      <c r="E1315" t="s">
        <v>64</v>
      </c>
      <c r="F1315" s="1">
        <v>45354</v>
      </c>
      <c r="G1315" t="s">
        <v>2638</v>
      </c>
      <c r="H1315" t="s">
        <v>2639</v>
      </c>
      <c r="I1315" t="s">
        <v>57</v>
      </c>
      <c r="J1315">
        <v>5353</v>
      </c>
      <c r="K1315">
        <v>405</v>
      </c>
      <c r="L1315" t="s">
        <v>21</v>
      </c>
      <c r="M1315" s="1">
        <v>45378</v>
      </c>
      <c r="N1315" t="s">
        <v>30</v>
      </c>
      <c r="O1315" t="s">
        <v>43</v>
      </c>
      <c r="P1315" t="str">
        <f t="shared" si="444"/>
        <v>P1314</v>
      </c>
      <c r="Q1315" t="str">
        <f t="shared" si="440"/>
        <v>Cardiology</v>
      </c>
      <c r="R1315">
        <f t="shared" si="441"/>
        <v>24</v>
      </c>
      <c r="S1315" t="str">
        <f t="shared" ca="1" si="445"/>
        <v>No</v>
      </c>
      <c r="T1315" t="str">
        <f t="shared" ca="1" si="446"/>
        <v>Severe</v>
      </c>
      <c r="U1315" t="str">
        <f t="shared" ca="1" si="447"/>
        <v>Emergency</v>
      </c>
      <c r="V1315" t="str">
        <f t="shared" si="448"/>
        <v>BED1314</v>
      </c>
      <c r="W1315" t="str">
        <f t="shared" ca="1" si="449"/>
        <v>Private</v>
      </c>
      <c r="X1315" t="str">
        <f t="shared" si="450"/>
        <v>NUR014</v>
      </c>
      <c r="Y1315" t="str">
        <f t="shared" ca="1" si="451"/>
        <v>Night</v>
      </c>
      <c r="Z1315" t="str">
        <f t="shared" ca="1" si="452"/>
        <v>Ventilator</v>
      </c>
      <c r="AA1315" t="str">
        <f t="shared" ca="1" si="453"/>
        <v>Available</v>
      </c>
      <c r="AB1315" t="str">
        <f t="shared" ca="1" si="454"/>
        <v>Paid</v>
      </c>
      <c r="AC1315" t="str">
        <f t="shared" ca="1" si="455"/>
        <v>Insurance</v>
      </c>
      <c r="AD1315" t="str">
        <f t="shared" ca="1" si="456"/>
        <v>No</v>
      </c>
      <c r="AE1315" t="str">
        <f t="shared" ca="1" si="457"/>
        <v>No</v>
      </c>
      <c r="AF1315" t="str">
        <f t="shared" ca="1" si="458"/>
        <v>Recovered</v>
      </c>
      <c r="AG1315" t="str">
        <f t="shared" ca="1" si="459"/>
        <v>Southwest</v>
      </c>
      <c r="AH1315" t="str">
        <f t="shared" si="442"/>
        <v>March</v>
      </c>
      <c r="AI1315">
        <f t="shared" si="443"/>
        <v>2024</v>
      </c>
      <c r="AJ1315" t="str">
        <f t="shared" ca="1" si="460"/>
        <v>Occupied</v>
      </c>
      <c r="AK1315">
        <f t="shared" ca="1" si="461"/>
        <v>4</v>
      </c>
    </row>
    <row r="1316" spans="1:37" x14ac:dyDescent="0.3">
      <c r="A1316" t="s">
        <v>5718</v>
      </c>
      <c r="B1316">
        <v>70</v>
      </c>
      <c r="C1316" t="s">
        <v>32</v>
      </c>
      <c r="D1316" t="s">
        <v>33</v>
      </c>
      <c r="E1316" t="s">
        <v>76</v>
      </c>
      <c r="F1316" s="1">
        <v>43901</v>
      </c>
      <c r="G1316" t="s">
        <v>2640</v>
      </c>
      <c r="H1316" t="s">
        <v>2641</v>
      </c>
      <c r="I1316" t="s">
        <v>36</v>
      </c>
      <c r="J1316">
        <v>44694</v>
      </c>
      <c r="K1316">
        <v>280</v>
      </c>
      <c r="L1316" t="s">
        <v>42</v>
      </c>
      <c r="M1316" s="1">
        <v>43928</v>
      </c>
      <c r="N1316" t="s">
        <v>22</v>
      </c>
      <c r="O1316" t="s">
        <v>43</v>
      </c>
      <c r="P1316" t="str">
        <f t="shared" si="444"/>
        <v>P1315</v>
      </c>
      <c r="Q1316" t="str">
        <f t="shared" si="440"/>
        <v>Orthopedics</v>
      </c>
      <c r="R1316">
        <f t="shared" si="441"/>
        <v>27</v>
      </c>
      <c r="S1316" t="str">
        <f t="shared" ca="1" si="445"/>
        <v>No</v>
      </c>
      <c r="T1316" t="str">
        <f t="shared" ca="1" si="446"/>
        <v>Severe</v>
      </c>
      <c r="U1316" t="str">
        <f t="shared" ca="1" si="447"/>
        <v>Private Ward</v>
      </c>
      <c r="V1316" t="str">
        <f t="shared" si="448"/>
        <v>BED1315</v>
      </c>
      <c r="W1316" t="str">
        <f t="shared" ca="1" si="449"/>
        <v>Private</v>
      </c>
      <c r="X1316" t="str">
        <f t="shared" si="450"/>
        <v>NUR015</v>
      </c>
      <c r="Y1316" t="str">
        <f t="shared" ca="1" si="451"/>
        <v>Morning</v>
      </c>
      <c r="Z1316" t="str">
        <f t="shared" ca="1" si="452"/>
        <v>Ultrasound</v>
      </c>
      <c r="AA1316" t="str">
        <f t="shared" ca="1" si="453"/>
        <v>Available</v>
      </c>
      <c r="AB1316" t="str">
        <f t="shared" ca="1" si="454"/>
        <v>Pending</v>
      </c>
      <c r="AC1316" t="str">
        <f t="shared" ca="1" si="455"/>
        <v>Insurance</v>
      </c>
      <c r="AD1316" t="str">
        <f t="shared" ca="1" si="456"/>
        <v>No</v>
      </c>
      <c r="AE1316" t="str">
        <f t="shared" ca="1" si="457"/>
        <v>No</v>
      </c>
      <c r="AF1316" t="str">
        <f t="shared" ca="1" si="458"/>
        <v>Recovered</v>
      </c>
      <c r="AG1316" t="str">
        <f t="shared" ca="1" si="459"/>
        <v>Southwest</v>
      </c>
      <c r="AH1316" t="str">
        <f t="shared" si="442"/>
        <v>March</v>
      </c>
      <c r="AI1316">
        <f t="shared" si="443"/>
        <v>2020</v>
      </c>
      <c r="AJ1316" t="str">
        <f t="shared" ca="1" si="460"/>
        <v>Occupied</v>
      </c>
      <c r="AK1316">
        <f t="shared" ca="1" si="461"/>
        <v>1</v>
      </c>
    </row>
    <row r="1317" spans="1:37" x14ac:dyDescent="0.3">
      <c r="A1317" t="s">
        <v>5719</v>
      </c>
      <c r="B1317">
        <v>37</v>
      </c>
      <c r="C1317" t="s">
        <v>32</v>
      </c>
      <c r="D1317" t="s">
        <v>38</v>
      </c>
      <c r="E1317" t="s">
        <v>39</v>
      </c>
      <c r="F1317" s="1">
        <v>45167</v>
      </c>
      <c r="G1317" t="s">
        <v>2642</v>
      </c>
      <c r="H1317" t="s">
        <v>2643</v>
      </c>
      <c r="I1317" t="s">
        <v>28</v>
      </c>
      <c r="J1317">
        <v>8656</v>
      </c>
      <c r="K1317">
        <v>193</v>
      </c>
      <c r="L1317" t="s">
        <v>29</v>
      </c>
      <c r="M1317" s="1">
        <v>45177</v>
      </c>
      <c r="N1317" t="s">
        <v>47</v>
      </c>
      <c r="O1317" t="s">
        <v>23</v>
      </c>
      <c r="P1317" t="str">
        <f t="shared" si="444"/>
        <v>P1316</v>
      </c>
      <c r="Q1317" t="str">
        <f t="shared" si="440"/>
        <v>Endocrinology</v>
      </c>
      <c r="R1317">
        <f t="shared" si="441"/>
        <v>10</v>
      </c>
      <c r="S1317" t="str">
        <f t="shared" ca="1" si="445"/>
        <v>No</v>
      </c>
      <c r="T1317" t="str">
        <f t="shared" ca="1" si="446"/>
        <v>Critical</v>
      </c>
      <c r="U1317" t="str">
        <f t="shared" ca="1" si="447"/>
        <v>ICU</v>
      </c>
      <c r="V1317" t="str">
        <f t="shared" si="448"/>
        <v>BED1316</v>
      </c>
      <c r="W1317" t="str">
        <f t="shared" ca="1" si="449"/>
        <v>Private</v>
      </c>
      <c r="X1317" t="str">
        <f t="shared" si="450"/>
        <v>NUR016</v>
      </c>
      <c r="Y1317" t="str">
        <f t="shared" ca="1" si="451"/>
        <v>Night</v>
      </c>
      <c r="Z1317" t="str">
        <f t="shared" ca="1" si="452"/>
        <v>ECG Machine</v>
      </c>
      <c r="AA1317" t="str">
        <f t="shared" ca="1" si="453"/>
        <v>In Use</v>
      </c>
      <c r="AB1317" t="str">
        <f t="shared" ca="1" si="454"/>
        <v>Partially Paid</v>
      </c>
      <c r="AC1317" t="str">
        <f t="shared" ca="1" si="455"/>
        <v>Cash</v>
      </c>
      <c r="AD1317" t="str">
        <f t="shared" ca="1" si="456"/>
        <v>No</v>
      </c>
      <c r="AE1317" t="str">
        <f t="shared" ca="1" si="457"/>
        <v>No</v>
      </c>
      <c r="AF1317" t="str">
        <f t="shared" ca="1" si="458"/>
        <v>Recovered</v>
      </c>
      <c r="AG1317" t="str">
        <f t="shared" ca="1" si="459"/>
        <v>Northeast</v>
      </c>
      <c r="AH1317" t="str">
        <f t="shared" si="442"/>
        <v>August</v>
      </c>
      <c r="AI1317">
        <f t="shared" si="443"/>
        <v>2023</v>
      </c>
      <c r="AJ1317" t="str">
        <f t="shared" ca="1" si="460"/>
        <v>Vacant</v>
      </c>
      <c r="AK1317">
        <f t="shared" ca="1" si="461"/>
        <v>2</v>
      </c>
    </row>
    <row r="1318" spans="1:37" x14ac:dyDescent="0.3">
      <c r="A1318" t="s">
        <v>5720</v>
      </c>
      <c r="B1318">
        <v>40</v>
      </c>
      <c r="C1318" t="s">
        <v>15</v>
      </c>
      <c r="D1318" t="s">
        <v>52</v>
      </c>
      <c r="E1318" t="s">
        <v>25</v>
      </c>
      <c r="F1318" s="1">
        <v>43999</v>
      </c>
      <c r="G1318" t="s">
        <v>2644</v>
      </c>
      <c r="H1318" t="s">
        <v>2645</v>
      </c>
      <c r="I1318" t="s">
        <v>36</v>
      </c>
      <c r="J1318">
        <v>27009</v>
      </c>
      <c r="K1318">
        <v>287</v>
      </c>
      <c r="L1318" t="s">
        <v>29</v>
      </c>
      <c r="M1318" s="1">
        <v>44017</v>
      </c>
      <c r="N1318" t="s">
        <v>22</v>
      </c>
      <c r="O1318" t="s">
        <v>23</v>
      </c>
      <c r="P1318" t="str">
        <f t="shared" si="444"/>
        <v>P1317</v>
      </c>
      <c r="Q1318" t="str">
        <f t="shared" si="440"/>
        <v>Nutrition</v>
      </c>
      <c r="R1318">
        <f t="shared" si="441"/>
        <v>18</v>
      </c>
      <c r="S1318" t="str">
        <f t="shared" ca="1" si="445"/>
        <v>No</v>
      </c>
      <c r="T1318" t="str">
        <f t="shared" ca="1" si="446"/>
        <v>Moderate</v>
      </c>
      <c r="U1318" t="str">
        <f t="shared" ca="1" si="447"/>
        <v>ICU</v>
      </c>
      <c r="V1318" t="str">
        <f t="shared" si="448"/>
        <v>BED1317</v>
      </c>
      <c r="W1318" t="str">
        <f t="shared" ca="1" si="449"/>
        <v>General</v>
      </c>
      <c r="X1318" t="str">
        <f t="shared" si="450"/>
        <v>NUR017</v>
      </c>
      <c r="Y1318" t="str">
        <f t="shared" ca="1" si="451"/>
        <v>Evening</v>
      </c>
      <c r="Z1318" t="str">
        <f t="shared" ca="1" si="452"/>
        <v>ECG Machine</v>
      </c>
      <c r="AA1318" t="str">
        <f t="shared" ca="1" si="453"/>
        <v>Maintenance</v>
      </c>
      <c r="AB1318" t="str">
        <f t="shared" ca="1" si="454"/>
        <v>Partially Paid</v>
      </c>
      <c r="AC1318" t="str">
        <f t="shared" ca="1" si="455"/>
        <v>Debit Card</v>
      </c>
      <c r="AD1318" t="str">
        <f t="shared" ca="1" si="456"/>
        <v>No</v>
      </c>
      <c r="AE1318" t="str">
        <f t="shared" ca="1" si="457"/>
        <v>No</v>
      </c>
      <c r="AF1318" t="str">
        <f t="shared" ca="1" si="458"/>
        <v>Recovered</v>
      </c>
      <c r="AG1318" t="str">
        <f t="shared" ca="1" si="459"/>
        <v>Southeast</v>
      </c>
      <c r="AH1318" t="str">
        <f t="shared" si="442"/>
        <v>June</v>
      </c>
      <c r="AI1318">
        <f t="shared" si="443"/>
        <v>2020</v>
      </c>
      <c r="AJ1318" t="str">
        <f t="shared" ca="1" si="460"/>
        <v>Occupied</v>
      </c>
      <c r="AK1318">
        <f t="shared" ca="1" si="461"/>
        <v>2</v>
      </c>
    </row>
    <row r="1319" spans="1:37" x14ac:dyDescent="0.3">
      <c r="A1319" t="s">
        <v>5721</v>
      </c>
      <c r="B1319">
        <v>39</v>
      </c>
      <c r="C1319" t="s">
        <v>32</v>
      </c>
      <c r="D1319" t="s">
        <v>44</v>
      </c>
      <c r="E1319" t="s">
        <v>39</v>
      </c>
      <c r="F1319" s="1">
        <v>44983</v>
      </c>
      <c r="G1319" t="s">
        <v>2646</v>
      </c>
      <c r="H1319" t="s">
        <v>2647</v>
      </c>
      <c r="I1319" t="s">
        <v>28</v>
      </c>
      <c r="J1319">
        <v>24977</v>
      </c>
      <c r="K1319">
        <v>461</v>
      </c>
      <c r="L1319" t="s">
        <v>21</v>
      </c>
      <c r="M1319" s="1">
        <v>45013</v>
      </c>
      <c r="N1319" t="s">
        <v>67</v>
      </c>
      <c r="O1319" t="s">
        <v>31</v>
      </c>
      <c r="P1319" t="str">
        <f t="shared" si="444"/>
        <v>P1318</v>
      </c>
      <c r="Q1319" t="str">
        <f t="shared" si="440"/>
        <v>Endocrinology</v>
      </c>
      <c r="R1319">
        <f t="shared" si="441"/>
        <v>30</v>
      </c>
      <c r="S1319" t="str">
        <f t="shared" ca="1" si="445"/>
        <v>No</v>
      </c>
      <c r="T1319" t="str">
        <f t="shared" ca="1" si="446"/>
        <v>Severe</v>
      </c>
      <c r="U1319" t="str">
        <f t="shared" ca="1" si="447"/>
        <v>Emergency</v>
      </c>
      <c r="V1319" t="str">
        <f t="shared" si="448"/>
        <v>BED1318</v>
      </c>
      <c r="W1319" t="str">
        <f t="shared" ca="1" si="449"/>
        <v>General</v>
      </c>
      <c r="X1319" t="str">
        <f t="shared" si="450"/>
        <v>NUR018</v>
      </c>
      <c r="Y1319" t="str">
        <f t="shared" ca="1" si="451"/>
        <v>Night</v>
      </c>
      <c r="Z1319" t="str">
        <f t="shared" ca="1" si="452"/>
        <v>Ventilator</v>
      </c>
      <c r="AA1319" t="str">
        <f t="shared" ca="1" si="453"/>
        <v>Available</v>
      </c>
      <c r="AB1319" t="str">
        <f t="shared" ca="1" si="454"/>
        <v>Pending</v>
      </c>
      <c r="AC1319" t="str">
        <f t="shared" ca="1" si="455"/>
        <v>Debit Card</v>
      </c>
      <c r="AD1319" t="str">
        <f t="shared" ca="1" si="456"/>
        <v>Yes</v>
      </c>
      <c r="AE1319" t="str">
        <f t="shared" ca="1" si="457"/>
        <v>No</v>
      </c>
      <c r="AF1319" t="str">
        <f t="shared" ca="1" si="458"/>
        <v>Transferred</v>
      </c>
      <c r="AG1319" t="str">
        <f t="shared" ca="1" si="459"/>
        <v>West Coast</v>
      </c>
      <c r="AH1319" t="str">
        <f t="shared" si="442"/>
        <v>February</v>
      </c>
      <c r="AI1319">
        <f t="shared" si="443"/>
        <v>2023</v>
      </c>
      <c r="AJ1319" t="str">
        <f t="shared" ca="1" si="460"/>
        <v>Occupied</v>
      </c>
      <c r="AK1319">
        <f t="shared" ca="1" si="461"/>
        <v>4</v>
      </c>
    </row>
    <row r="1320" spans="1:37" x14ac:dyDescent="0.3">
      <c r="A1320" t="s">
        <v>5722</v>
      </c>
      <c r="B1320">
        <v>76</v>
      </c>
      <c r="C1320" t="s">
        <v>15</v>
      </c>
      <c r="D1320" t="s">
        <v>24</v>
      </c>
      <c r="E1320" t="s">
        <v>76</v>
      </c>
      <c r="F1320" s="1">
        <v>44235</v>
      </c>
      <c r="G1320" t="s">
        <v>2648</v>
      </c>
      <c r="H1320" t="s">
        <v>2649</v>
      </c>
      <c r="I1320" t="s">
        <v>57</v>
      </c>
      <c r="J1320">
        <v>12282</v>
      </c>
      <c r="K1320">
        <v>215</v>
      </c>
      <c r="L1320" t="s">
        <v>21</v>
      </c>
      <c r="M1320" s="1">
        <v>44239</v>
      </c>
      <c r="N1320" t="s">
        <v>37</v>
      </c>
      <c r="O1320" t="s">
        <v>43</v>
      </c>
      <c r="P1320" t="str">
        <f t="shared" si="444"/>
        <v>P1319</v>
      </c>
      <c r="Q1320" t="str">
        <f t="shared" si="440"/>
        <v>Orthopedics</v>
      </c>
      <c r="R1320">
        <f t="shared" si="441"/>
        <v>4</v>
      </c>
      <c r="S1320" t="str">
        <f t="shared" ca="1" si="445"/>
        <v>No</v>
      </c>
      <c r="T1320" t="str">
        <f t="shared" ca="1" si="446"/>
        <v>Critical</v>
      </c>
      <c r="U1320" t="str">
        <f t="shared" ca="1" si="447"/>
        <v>General Ward</v>
      </c>
      <c r="V1320" t="str">
        <f t="shared" si="448"/>
        <v>BED1319</v>
      </c>
      <c r="W1320" t="str">
        <f t="shared" ca="1" si="449"/>
        <v>ICU</v>
      </c>
      <c r="X1320" t="str">
        <f t="shared" si="450"/>
        <v>NUR019</v>
      </c>
      <c r="Y1320" t="str">
        <f t="shared" ca="1" si="451"/>
        <v>Morning</v>
      </c>
      <c r="Z1320" t="str">
        <f t="shared" ca="1" si="452"/>
        <v>Ventilator</v>
      </c>
      <c r="AA1320" t="str">
        <f t="shared" ca="1" si="453"/>
        <v>Available</v>
      </c>
      <c r="AB1320" t="str">
        <f t="shared" ca="1" si="454"/>
        <v>Pending</v>
      </c>
      <c r="AC1320" t="str">
        <f t="shared" ca="1" si="455"/>
        <v>Insurance</v>
      </c>
      <c r="AD1320" t="str">
        <f t="shared" ca="1" si="456"/>
        <v>Yes</v>
      </c>
      <c r="AE1320" t="str">
        <f t="shared" ca="1" si="457"/>
        <v>No</v>
      </c>
      <c r="AF1320" t="str">
        <f t="shared" ca="1" si="458"/>
        <v>Under Observation</v>
      </c>
      <c r="AG1320" t="str">
        <f t="shared" ca="1" si="459"/>
        <v>Northeast</v>
      </c>
      <c r="AH1320" t="str">
        <f t="shared" si="442"/>
        <v>February</v>
      </c>
      <c r="AI1320">
        <f t="shared" si="443"/>
        <v>2021</v>
      </c>
      <c r="AJ1320" t="str">
        <f t="shared" ca="1" si="460"/>
        <v>Occupied</v>
      </c>
      <c r="AK1320">
        <f t="shared" ca="1" si="461"/>
        <v>2</v>
      </c>
    </row>
    <row r="1321" spans="1:37" x14ac:dyDescent="0.3">
      <c r="A1321" t="s">
        <v>5723</v>
      </c>
      <c r="B1321">
        <v>74</v>
      </c>
      <c r="C1321" t="s">
        <v>15</v>
      </c>
      <c r="D1321" t="s">
        <v>83</v>
      </c>
      <c r="E1321" t="s">
        <v>17</v>
      </c>
      <c r="F1321" s="1">
        <v>44569</v>
      </c>
      <c r="G1321" t="s">
        <v>2650</v>
      </c>
      <c r="H1321" t="s">
        <v>2651</v>
      </c>
      <c r="I1321" t="s">
        <v>20</v>
      </c>
      <c r="J1321">
        <v>12989</v>
      </c>
      <c r="K1321">
        <v>162</v>
      </c>
      <c r="L1321" t="s">
        <v>29</v>
      </c>
      <c r="M1321" s="1">
        <v>44587</v>
      </c>
      <c r="N1321" t="s">
        <v>37</v>
      </c>
      <c r="O1321" t="s">
        <v>23</v>
      </c>
      <c r="P1321" t="str">
        <f t="shared" si="444"/>
        <v>P1320</v>
      </c>
      <c r="Q1321" t="str">
        <f t="shared" si="440"/>
        <v>Oncology</v>
      </c>
      <c r="R1321">
        <f t="shared" si="441"/>
        <v>18</v>
      </c>
      <c r="S1321" t="str">
        <f t="shared" ca="1" si="445"/>
        <v>Yes</v>
      </c>
      <c r="T1321" t="str">
        <f t="shared" ca="1" si="446"/>
        <v>Mild</v>
      </c>
      <c r="U1321" t="str">
        <f t="shared" ca="1" si="447"/>
        <v>General Ward</v>
      </c>
      <c r="V1321" t="str">
        <f t="shared" si="448"/>
        <v>BED1320</v>
      </c>
      <c r="W1321" t="str">
        <f t="shared" ca="1" si="449"/>
        <v>Private</v>
      </c>
      <c r="X1321" t="str">
        <f t="shared" si="450"/>
        <v>NUR020</v>
      </c>
      <c r="Y1321" t="str">
        <f t="shared" ca="1" si="451"/>
        <v>Morning</v>
      </c>
      <c r="Z1321" t="str">
        <f t="shared" ca="1" si="452"/>
        <v>X-Ray</v>
      </c>
      <c r="AA1321" t="str">
        <f t="shared" ca="1" si="453"/>
        <v>Available</v>
      </c>
      <c r="AB1321" t="str">
        <f t="shared" ca="1" si="454"/>
        <v>Paid</v>
      </c>
      <c r="AC1321" t="str">
        <f t="shared" ca="1" si="455"/>
        <v>Insurance</v>
      </c>
      <c r="AD1321" t="str">
        <f t="shared" ca="1" si="456"/>
        <v>No</v>
      </c>
      <c r="AE1321" t="str">
        <f t="shared" ca="1" si="457"/>
        <v>No</v>
      </c>
      <c r="AF1321" t="str">
        <f t="shared" ca="1" si="458"/>
        <v>Recovered</v>
      </c>
      <c r="AG1321" t="str">
        <f t="shared" ca="1" si="459"/>
        <v>Midwest</v>
      </c>
      <c r="AH1321" t="str">
        <f t="shared" si="442"/>
        <v>January</v>
      </c>
      <c r="AI1321">
        <f t="shared" si="443"/>
        <v>2022</v>
      </c>
      <c r="AJ1321" t="str">
        <f t="shared" ca="1" si="460"/>
        <v>Occupied</v>
      </c>
      <c r="AK1321">
        <f t="shared" ca="1" si="461"/>
        <v>2</v>
      </c>
    </row>
    <row r="1322" spans="1:37" x14ac:dyDescent="0.3">
      <c r="A1322" t="s">
        <v>5724</v>
      </c>
      <c r="B1322">
        <v>65</v>
      </c>
      <c r="C1322" t="s">
        <v>15</v>
      </c>
      <c r="D1322" t="s">
        <v>16</v>
      </c>
      <c r="E1322" t="s">
        <v>17</v>
      </c>
      <c r="F1322" s="1">
        <v>44967</v>
      </c>
      <c r="G1322" t="s">
        <v>2652</v>
      </c>
      <c r="H1322" t="s">
        <v>2653</v>
      </c>
      <c r="I1322" t="s">
        <v>20</v>
      </c>
      <c r="J1322">
        <v>22805</v>
      </c>
      <c r="K1322">
        <v>450</v>
      </c>
      <c r="L1322" t="s">
        <v>21</v>
      </c>
      <c r="M1322" s="1">
        <v>44995</v>
      </c>
      <c r="N1322" t="s">
        <v>67</v>
      </c>
      <c r="O1322" t="s">
        <v>43</v>
      </c>
      <c r="P1322" t="str">
        <f t="shared" si="444"/>
        <v>P1321</v>
      </c>
      <c r="Q1322" t="str">
        <f t="shared" si="440"/>
        <v>Oncology</v>
      </c>
      <c r="R1322">
        <f t="shared" si="441"/>
        <v>28</v>
      </c>
      <c r="S1322" t="str">
        <f t="shared" ca="1" si="445"/>
        <v>Yes</v>
      </c>
      <c r="T1322" t="str">
        <f t="shared" ca="1" si="446"/>
        <v>Moderate</v>
      </c>
      <c r="U1322" t="str">
        <f t="shared" ca="1" si="447"/>
        <v>ICU</v>
      </c>
      <c r="V1322" t="str">
        <f t="shared" si="448"/>
        <v>BED1321</v>
      </c>
      <c r="W1322" t="str">
        <f t="shared" ca="1" si="449"/>
        <v>Private</v>
      </c>
      <c r="X1322" t="str">
        <f t="shared" si="450"/>
        <v>NUR021</v>
      </c>
      <c r="Y1322" t="str">
        <f t="shared" ca="1" si="451"/>
        <v>Evening</v>
      </c>
      <c r="Z1322" t="str">
        <f t="shared" ca="1" si="452"/>
        <v>MRI Scanner</v>
      </c>
      <c r="AA1322" t="str">
        <f t="shared" ca="1" si="453"/>
        <v>In Use</v>
      </c>
      <c r="AB1322" t="str">
        <f t="shared" ca="1" si="454"/>
        <v>Partially Paid</v>
      </c>
      <c r="AC1322" t="str">
        <f t="shared" ca="1" si="455"/>
        <v>Insurance</v>
      </c>
      <c r="AD1322" t="str">
        <f t="shared" ca="1" si="456"/>
        <v>No</v>
      </c>
      <c r="AE1322" t="str">
        <f t="shared" ca="1" si="457"/>
        <v>Yes</v>
      </c>
      <c r="AF1322" t="str">
        <f t="shared" ca="1" si="458"/>
        <v>Transferred</v>
      </c>
      <c r="AG1322" t="str">
        <f t="shared" ca="1" si="459"/>
        <v>Southeast</v>
      </c>
      <c r="AH1322" t="str">
        <f t="shared" si="442"/>
        <v>February</v>
      </c>
      <c r="AI1322">
        <f t="shared" si="443"/>
        <v>2023</v>
      </c>
      <c r="AJ1322" t="str">
        <f t="shared" ca="1" si="460"/>
        <v>Occupied</v>
      </c>
      <c r="AK1322">
        <f t="shared" ca="1" si="461"/>
        <v>4</v>
      </c>
    </row>
    <row r="1323" spans="1:37" x14ac:dyDescent="0.3">
      <c r="A1323" t="s">
        <v>5725</v>
      </c>
      <c r="B1323">
        <v>44</v>
      </c>
      <c r="C1323" t="s">
        <v>32</v>
      </c>
      <c r="D1323" t="s">
        <v>52</v>
      </c>
      <c r="E1323" t="s">
        <v>39</v>
      </c>
      <c r="F1323" s="1">
        <v>44077</v>
      </c>
      <c r="G1323" t="s">
        <v>2654</v>
      </c>
      <c r="H1323" t="s">
        <v>2655</v>
      </c>
      <c r="I1323" t="s">
        <v>28</v>
      </c>
      <c r="J1323">
        <v>8195</v>
      </c>
      <c r="K1323">
        <v>297</v>
      </c>
      <c r="L1323" t="s">
        <v>29</v>
      </c>
      <c r="M1323" s="1">
        <v>44098</v>
      </c>
      <c r="N1323" t="s">
        <v>47</v>
      </c>
      <c r="O1323" t="s">
        <v>43</v>
      </c>
      <c r="P1323" t="str">
        <f t="shared" si="444"/>
        <v>P1322</v>
      </c>
      <c r="Q1323" t="str">
        <f t="shared" si="440"/>
        <v>Endocrinology</v>
      </c>
      <c r="R1323">
        <f t="shared" si="441"/>
        <v>21</v>
      </c>
      <c r="S1323" t="str">
        <f t="shared" ca="1" si="445"/>
        <v>No</v>
      </c>
      <c r="T1323" t="str">
        <f t="shared" ca="1" si="446"/>
        <v>Severe</v>
      </c>
      <c r="U1323" t="str">
        <f t="shared" ca="1" si="447"/>
        <v>Private Ward</v>
      </c>
      <c r="V1323" t="str">
        <f t="shared" si="448"/>
        <v>BED1322</v>
      </c>
      <c r="W1323" t="str">
        <f t="shared" ca="1" si="449"/>
        <v>ICU</v>
      </c>
      <c r="X1323" t="str">
        <f t="shared" si="450"/>
        <v>NUR022</v>
      </c>
      <c r="Y1323" t="str">
        <f t="shared" ca="1" si="451"/>
        <v>Morning</v>
      </c>
      <c r="Z1323" t="str">
        <f t="shared" ca="1" si="452"/>
        <v>Ultrasound</v>
      </c>
      <c r="AA1323" t="str">
        <f t="shared" ca="1" si="453"/>
        <v>Maintenance</v>
      </c>
      <c r="AB1323" t="str">
        <f t="shared" ca="1" si="454"/>
        <v>Pending</v>
      </c>
      <c r="AC1323" t="str">
        <f t="shared" ca="1" si="455"/>
        <v>Bank Transfer</v>
      </c>
      <c r="AD1323" t="str">
        <f t="shared" ca="1" si="456"/>
        <v>No</v>
      </c>
      <c r="AE1323" t="str">
        <f t="shared" ca="1" si="457"/>
        <v>No</v>
      </c>
      <c r="AF1323" t="str">
        <f t="shared" ca="1" si="458"/>
        <v>Under Observation</v>
      </c>
      <c r="AG1323" t="str">
        <f t="shared" ca="1" si="459"/>
        <v>Southeast</v>
      </c>
      <c r="AH1323" t="str">
        <f t="shared" si="442"/>
        <v>September</v>
      </c>
      <c r="AI1323">
        <f t="shared" si="443"/>
        <v>2020</v>
      </c>
      <c r="AJ1323" t="str">
        <f t="shared" ca="1" si="460"/>
        <v>Occupied</v>
      </c>
      <c r="AK1323">
        <f t="shared" ca="1" si="461"/>
        <v>2</v>
      </c>
    </row>
    <row r="1324" spans="1:37" x14ac:dyDescent="0.3">
      <c r="A1324" t="s">
        <v>5726</v>
      </c>
      <c r="B1324">
        <v>80</v>
      </c>
      <c r="C1324" t="s">
        <v>32</v>
      </c>
      <c r="D1324" t="s">
        <v>16</v>
      </c>
      <c r="E1324" t="s">
        <v>64</v>
      </c>
      <c r="F1324" s="1">
        <v>43599</v>
      </c>
      <c r="G1324" t="s">
        <v>2656</v>
      </c>
      <c r="H1324" t="s">
        <v>2657</v>
      </c>
      <c r="I1324" t="s">
        <v>57</v>
      </c>
      <c r="J1324">
        <v>39606</v>
      </c>
      <c r="K1324">
        <v>404</v>
      </c>
      <c r="L1324" t="s">
        <v>29</v>
      </c>
      <c r="M1324" s="1">
        <v>43600</v>
      </c>
      <c r="N1324" t="s">
        <v>47</v>
      </c>
      <c r="O1324" t="s">
        <v>23</v>
      </c>
      <c r="P1324" t="str">
        <f t="shared" si="444"/>
        <v>P1323</v>
      </c>
      <c r="Q1324" t="str">
        <f t="shared" si="440"/>
        <v>Cardiology</v>
      </c>
      <c r="R1324">
        <f t="shared" si="441"/>
        <v>1</v>
      </c>
      <c r="S1324" t="str">
        <f t="shared" ca="1" si="445"/>
        <v>No</v>
      </c>
      <c r="T1324" t="str">
        <f t="shared" ca="1" si="446"/>
        <v>Moderate</v>
      </c>
      <c r="U1324" t="str">
        <f t="shared" ca="1" si="447"/>
        <v>ICU</v>
      </c>
      <c r="V1324" t="str">
        <f t="shared" si="448"/>
        <v>BED1323</v>
      </c>
      <c r="W1324" t="str">
        <f t="shared" ca="1" si="449"/>
        <v>General</v>
      </c>
      <c r="X1324" t="str">
        <f t="shared" si="450"/>
        <v>NUR023</v>
      </c>
      <c r="Y1324" t="str">
        <f t="shared" ca="1" si="451"/>
        <v>Night</v>
      </c>
      <c r="Z1324" t="str">
        <f t="shared" ca="1" si="452"/>
        <v>Ultrasound</v>
      </c>
      <c r="AA1324" t="str">
        <f t="shared" ca="1" si="453"/>
        <v>Maintenance</v>
      </c>
      <c r="AB1324" t="str">
        <f t="shared" ca="1" si="454"/>
        <v>Partially Paid</v>
      </c>
      <c r="AC1324" t="str">
        <f t="shared" ca="1" si="455"/>
        <v>Cash</v>
      </c>
      <c r="AD1324" t="str">
        <f t="shared" ca="1" si="456"/>
        <v>Yes</v>
      </c>
      <c r="AE1324" t="str">
        <f t="shared" ca="1" si="457"/>
        <v>No</v>
      </c>
      <c r="AF1324" t="str">
        <f t="shared" ca="1" si="458"/>
        <v>Transferred</v>
      </c>
      <c r="AG1324" t="str">
        <f t="shared" ca="1" si="459"/>
        <v>Midwest</v>
      </c>
      <c r="AH1324" t="str">
        <f t="shared" si="442"/>
        <v>May</v>
      </c>
      <c r="AI1324">
        <f t="shared" si="443"/>
        <v>2019</v>
      </c>
      <c r="AJ1324" t="str">
        <f t="shared" ca="1" si="460"/>
        <v>Occupied</v>
      </c>
      <c r="AK1324">
        <f t="shared" ca="1" si="461"/>
        <v>1</v>
      </c>
    </row>
    <row r="1325" spans="1:37" x14ac:dyDescent="0.3">
      <c r="A1325" t="s">
        <v>5727</v>
      </c>
      <c r="B1325">
        <v>48</v>
      </c>
      <c r="C1325" t="s">
        <v>15</v>
      </c>
      <c r="D1325" t="s">
        <v>24</v>
      </c>
      <c r="E1325" t="s">
        <v>48</v>
      </c>
      <c r="F1325" s="1">
        <v>45079</v>
      </c>
      <c r="G1325" t="s">
        <v>2658</v>
      </c>
      <c r="H1325" t="s">
        <v>2659</v>
      </c>
      <c r="I1325" t="s">
        <v>28</v>
      </c>
      <c r="J1325">
        <v>50838</v>
      </c>
      <c r="K1325">
        <v>101</v>
      </c>
      <c r="L1325" t="s">
        <v>42</v>
      </c>
      <c r="M1325" s="1">
        <v>45104</v>
      </c>
      <c r="N1325" t="s">
        <v>67</v>
      </c>
      <c r="O1325" t="s">
        <v>43</v>
      </c>
      <c r="P1325" t="str">
        <f t="shared" si="444"/>
        <v>P1324</v>
      </c>
      <c r="Q1325" t="str">
        <f t="shared" si="440"/>
        <v>Pulmonology</v>
      </c>
      <c r="R1325">
        <f t="shared" si="441"/>
        <v>25</v>
      </c>
      <c r="S1325" t="str">
        <f t="shared" ca="1" si="445"/>
        <v>No</v>
      </c>
      <c r="T1325" t="str">
        <f t="shared" ca="1" si="446"/>
        <v>Severe</v>
      </c>
      <c r="U1325" t="str">
        <f t="shared" ca="1" si="447"/>
        <v>Emergency</v>
      </c>
      <c r="V1325" t="str">
        <f t="shared" si="448"/>
        <v>BED1324</v>
      </c>
      <c r="W1325" t="str">
        <f t="shared" ca="1" si="449"/>
        <v>ICU</v>
      </c>
      <c r="X1325" t="str">
        <f t="shared" si="450"/>
        <v>NUR024</v>
      </c>
      <c r="Y1325" t="str">
        <f t="shared" ca="1" si="451"/>
        <v>Morning</v>
      </c>
      <c r="Z1325" t="str">
        <f t="shared" ca="1" si="452"/>
        <v>CT Scanner</v>
      </c>
      <c r="AA1325" t="str">
        <f t="shared" ca="1" si="453"/>
        <v>Maintenance</v>
      </c>
      <c r="AB1325" t="str">
        <f t="shared" ca="1" si="454"/>
        <v>Pending</v>
      </c>
      <c r="AC1325" t="str">
        <f t="shared" ca="1" si="455"/>
        <v>Credit Card</v>
      </c>
      <c r="AD1325" t="str">
        <f t="shared" ca="1" si="456"/>
        <v>No</v>
      </c>
      <c r="AE1325" t="str">
        <f t="shared" ca="1" si="457"/>
        <v>No</v>
      </c>
      <c r="AF1325" t="str">
        <f t="shared" ca="1" si="458"/>
        <v>Recovered</v>
      </c>
      <c r="AG1325" t="str">
        <f t="shared" ca="1" si="459"/>
        <v>Midwest</v>
      </c>
      <c r="AH1325" t="str">
        <f t="shared" si="442"/>
        <v>June</v>
      </c>
      <c r="AI1325">
        <f t="shared" si="443"/>
        <v>2023</v>
      </c>
      <c r="AJ1325" t="str">
        <f t="shared" ca="1" si="460"/>
        <v>Occupied</v>
      </c>
      <c r="AK1325">
        <f t="shared" ca="1" si="461"/>
        <v>4</v>
      </c>
    </row>
    <row r="1326" spans="1:37" x14ac:dyDescent="0.3">
      <c r="A1326" t="s">
        <v>5728</v>
      </c>
      <c r="B1326">
        <v>76</v>
      </c>
      <c r="C1326" t="s">
        <v>15</v>
      </c>
      <c r="D1326" t="s">
        <v>52</v>
      </c>
      <c r="E1326" t="s">
        <v>64</v>
      </c>
      <c r="F1326" s="1">
        <v>44958</v>
      </c>
      <c r="G1326" t="s">
        <v>2660</v>
      </c>
      <c r="H1326" t="s">
        <v>2661</v>
      </c>
      <c r="I1326" t="s">
        <v>36</v>
      </c>
      <c r="J1326">
        <v>34020</v>
      </c>
      <c r="K1326">
        <v>309</v>
      </c>
      <c r="L1326" t="s">
        <v>21</v>
      </c>
      <c r="M1326" s="1">
        <v>44985</v>
      </c>
      <c r="N1326" t="s">
        <v>30</v>
      </c>
      <c r="O1326" t="s">
        <v>43</v>
      </c>
      <c r="P1326" t="str">
        <f t="shared" si="444"/>
        <v>P1325</v>
      </c>
      <c r="Q1326" t="str">
        <f t="shared" si="440"/>
        <v>Cardiology</v>
      </c>
      <c r="R1326">
        <f t="shared" si="441"/>
        <v>27</v>
      </c>
      <c r="S1326" t="str">
        <f t="shared" ca="1" si="445"/>
        <v>No</v>
      </c>
      <c r="T1326" t="str">
        <f t="shared" ca="1" si="446"/>
        <v>Mild</v>
      </c>
      <c r="U1326" t="str">
        <f t="shared" ca="1" si="447"/>
        <v>ICU</v>
      </c>
      <c r="V1326" t="str">
        <f t="shared" si="448"/>
        <v>BED1325</v>
      </c>
      <c r="W1326" t="str">
        <f t="shared" ca="1" si="449"/>
        <v>ICU</v>
      </c>
      <c r="X1326" t="str">
        <f t="shared" si="450"/>
        <v>NUR025</v>
      </c>
      <c r="Y1326" t="str">
        <f t="shared" ca="1" si="451"/>
        <v>Evening</v>
      </c>
      <c r="Z1326" t="str">
        <f t="shared" ca="1" si="452"/>
        <v>Ultrasound</v>
      </c>
      <c r="AA1326" t="str">
        <f t="shared" ca="1" si="453"/>
        <v>Maintenance</v>
      </c>
      <c r="AB1326" t="str">
        <f t="shared" ca="1" si="454"/>
        <v>Paid</v>
      </c>
      <c r="AC1326" t="str">
        <f t="shared" ca="1" si="455"/>
        <v>Credit Card</v>
      </c>
      <c r="AD1326" t="str">
        <f t="shared" ca="1" si="456"/>
        <v>No</v>
      </c>
      <c r="AE1326" t="str">
        <f t="shared" ca="1" si="457"/>
        <v>No</v>
      </c>
      <c r="AF1326" t="str">
        <f t="shared" ca="1" si="458"/>
        <v>Transferred</v>
      </c>
      <c r="AG1326" t="str">
        <f t="shared" ca="1" si="459"/>
        <v>West Coast</v>
      </c>
      <c r="AH1326" t="str">
        <f t="shared" si="442"/>
        <v>February</v>
      </c>
      <c r="AI1326">
        <f t="shared" si="443"/>
        <v>2023</v>
      </c>
      <c r="AJ1326" t="str">
        <f t="shared" ca="1" si="460"/>
        <v>Occupied</v>
      </c>
      <c r="AK1326">
        <f t="shared" ca="1" si="461"/>
        <v>2</v>
      </c>
    </row>
    <row r="1327" spans="1:37" x14ac:dyDescent="0.3">
      <c r="A1327" t="s">
        <v>5729</v>
      </c>
      <c r="B1327">
        <v>65</v>
      </c>
      <c r="C1327" t="s">
        <v>32</v>
      </c>
      <c r="D1327" t="s">
        <v>52</v>
      </c>
      <c r="E1327" t="s">
        <v>64</v>
      </c>
      <c r="F1327" s="1">
        <v>44840</v>
      </c>
      <c r="G1327" t="s">
        <v>2662</v>
      </c>
      <c r="H1327" t="s">
        <v>2663</v>
      </c>
      <c r="I1327" t="s">
        <v>51</v>
      </c>
      <c r="J1327">
        <v>43940</v>
      </c>
      <c r="K1327">
        <v>275</v>
      </c>
      <c r="L1327" t="s">
        <v>29</v>
      </c>
      <c r="M1327" s="1">
        <v>44857</v>
      </c>
      <c r="N1327" t="s">
        <v>47</v>
      </c>
      <c r="O1327" t="s">
        <v>43</v>
      </c>
      <c r="P1327" t="str">
        <f t="shared" si="444"/>
        <v>P1326</v>
      </c>
      <c r="Q1327" t="str">
        <f t="shared" si="440"/>
        <v>Cardiology</v>
      </c>
      <c r="R1327">
        <f t="shared" si="441"/>
        <v>17</v>
      </c>
      <c r="S1327" t="str">
        <f t="shared" ca="1" si="445"/>
        <v>No</v>
      </c>
      <c r="T1327" t="str">
        <f t="shared" ca="1" si="446"/>
        <v>Severe</v>
      </c>
      <c r="U1327" t="str">
        <f t="shared" ca="1" si="447"/>
        <v>Private Ward</v>
      </c>
      <c r="V1327" t="str">
        <f t="shared" si="448"/>
        <v>BED1326</v>
      </c>
      <c r="W1327" t="str">
        <f t="shared" ca="1" si="449"/>
        <v>Semi-Private</v>
      </c>
      <c r="X1327" t="str">
        <f t="shared" si="450"/>
        <v>NUR026</v>
      </c>
      <c r="Y1327" t="str">
        <f t="shared" ca="1" si="451"/>
        <v>Night</v>
      </c>
      <c r="Z1327" t="str">
        <f t="shared" ca="1" si="452"/>
        <v>ECG Machine</v>
      </c>
      <c r="AA1327" t="str">
        <f t="shared" ca="1" si="453"/>
        <v>In Use</v>
      </c>
      <c r="AB1327" t="str">
        <f t="shared" ca="1" si="454"/>
        <v>Paid</v>
      </c>
      <c r="AC1327" t="str">
        <f t="shared" ca="1" si="455"/>
        <v>Cash</v>
      </c>
      <c r="AD1327" t="str">
        <f t="shared" ca="1" si="456"/>
        <v>No</v>
      </c>
      <c r="AE1327" t="str">
        <f t="shared" ca="1" si="457"/>
        <v>No</v>
      </c>
      <c r="AF1327" t="str">
        <f t="shared" ca="1" si="458"/>
        <v>Transferred</v>
      </c>
      <c r="AG1327" t="str">
        <f t="shared" ca="1" si="459"/>
        <v>Southwest</v>
      </c>
      <c r="AH1327" t="str">
        <f t="shared" si="442"/>
        <v>October</v>
      </c>
      <c r="AI1327">
        <f t="shared" si="443"/>
        <v>2022</v>
      </c>
      <c r="AJ1327" t="str">
        <f t="shared" ca="1" si="460"/>
        <v>Occupied</v>
      </c>
      <c r="AK1327">
        <f t="shared" ca="1" si="461"/>
        <v>4</v>
      </c>
    </row>
    <row r="1328" spans="1:37" x14ac:dyDescent="0.3">
      <c r="A1328" t="s">
        <v>5730</v>
      </c>
      <c r="B1328">
        <v>52</v>
      </c>
      <c r="C1328" t="s">
        <v>15</v>
      </c>
      <c r="D1328" t="s">
        <v>83</v>
      </c>
      <c r="E1328" t="s">
        <v>39</v>
      </c>
      <c r="F1328" s="1">
        <v>45412</v>
      </c>
      <c r="G1328" t="s">
        <v>2664</v>
      </c>
      <c r="H1328" t="s">
        <v>2665</v>
      </c>
      <c r="I1328" t="s">
        <v>20</v>
      </c>
      <c r="J1328">
        <v>6790</v>
      </c>
      <c r="K1328">
        <v>301</v>
      </c>
      <c r="L1328" t="s">
        <v>21</v>
      </c>
      <c r="M1328" s="1">
        <v>45431</v>
      </c>
      <c r="N1328" t="s">
        <v>22</v>
      </c>
      <c r="O1328" t="s">
        <v>43</v>
      </c>
      <c r="P1328" t="str">
        <f t="shared" si="444"/>
        <v>P1327</v>
      </c>
      <c r="Q1328" t="str">
        <f t="shared" si="440"/>
        <v>Endocrinology</v>
      </c>
      <c r="R1328">
        <f t="shared" si="441"/>
        <v>19</v>
      </c>
      <c r="S1328" t="str">
        <f t="shared" ca="1" si="445"/>
        <v>No</v>
      </c>
      <c r="T1328" t="str">
        <f t="shared" ca="1" si="446"/>
        <v>Moderate</v>
      </c>
      <c r="U1328" t="str">
        <f t="shared" ca="1" si="447"/>
        <v>Emergency</v>
      </c>
      <c r="V1328" t="str">
        <f t="shared" si="448"/>
        <v>BED1327</v>
      </c>
      <c r="W1328" t="str">
        <f t="shared" ca="1" si="449"/>
        <v>General</v>
      </c>
      <c r="X1328" t="str">
        <f t="shared" si="450"/>
        <v>NUR027</v>
      </c>
      <c r="Y1328" t="str">
        <f t="shared" ca="1" si="451"/>
        <v>Night</v>
      </c>
      <c r="Z1328" t="str">
        <f t="shared" ca="1" si="452"/>
        <v>ECG Machine</v>
      </c>
      <c r="AA1328" t="str">
        <f t="shared" ca="1" si="453"/>
        <v>Available</v>
      </c>
      <c r="AB1328" t="str">
        <f t="shared" ca="1" si="454"/>
        <v>Partially Paid</v>
      </c>
      <c r="AC1328" t="str">
        <f t="shared" ca="1" si="455"/>
        <v>Debit Card</v>
      </c>
      <c r="AD1328" t="str">
        <f t="shared" ca="1" si="456"/>
        <v>No</v>
      </c>
      <c r="AE1328" t="str">
        <f t="shared" ca="1" si="457"/>
        <v>No</v>
      </c>
      <c r="AF1328" t="str">
        <f t="shared" ca="1" si="458"/>
        <v>Under Observation</v>
      </c>
      <c r="AG1328" t="str">
        <f t="shared" ca="1" si="459"/>
        <v>Midwest</v>
      </c>
      <c r="AH1328" t="str">
        <f t="shared" si="442"/>
        <v>April</v>
      </c>
      <c r="AI1328">
        <f t="shared" si="443"/>
        <v>2024</v>
      </c>
      <c r="AJ1328" t="str">
        <f t="shared" ca="1" si="460"/>
        <v>Vacant</v>
      </c>
      <c r="AK1328">
        <f t="shared" ca="1" si="461"/>
        <v>2</v>
      </c>
    </row>
    <row r="1329" spans="1:37" x14ac:dyDescent="0.3">
      <c r="A1329" t="s">
        <v>5731</v>
      </c>
      <c r="B1329">
        <v>19</v>
      </c>
      <c r="C1329" t="s">
        <v>15</v>
      </c>
      <c r="D1329" t="s">
        <v>33</v>
      </c>
      <c r="E1329" t="s">
        <v>76</v>
      </c>
      <c r="F1329" s="1">
        <v>43966</v>
      </c>
      <c r="G1329" t="s">
        <v>2666</v>
      </c>
      <c r="H1329" t="s">
        <v>2667</v>
      </c>
      <c r="I1329" t="s">
        <v>28</v>
      </c>
      <c r="J1329">
        <v>12073</v>
      </c>
      <c r="K1329">
        <v>128</v>
      </c>
      <c r="L1329" t="s">
        <v>42</v>
      </c>
      <c r="M1329" s="1">
        <v>43972</v>
      </c>
      <c r="N1329" t="s">
        <v>22</v>
      </c>
      <c r="O1329" t="s">
        <v>43</v>
      </c>
      <c r="P1329" t="str">
        <f t="shared" si="444"/>
        <v>P1328</v>
      </c>
      <c r="Q1329" t="str">
        <f t="shared" si="440"/>
        <v>Orthopedics</v>
      </c>
      <c r="R1329">
        <f t="shared" si="441"/>
        <v>6</v>
      </c>
      <c r="S1329" t="str">
        <f t="shared" ca="1" si="445"/>
        <v>No</v>
      </c>
      <c r="T1329" t="str">
        <f t="shared" ca="1" si="446"/>
        <v>Critical</v>
      </c>
      <c r="U1329" t="str">
        <f t="shared" ca="1" si="447"/>
        <v>Emergency</v>
      </c>
      <c r="V1329" t="str">
        <f t="shared" si="448"/>
        <v>BED1328</v>
      </c>
      <c r="W1329" t="str">
        <f t="shared" ca="1" si="449"/>
        <v>ICU</v>
      </c>
      <c r="X1329" t="str">
        <f t="shared" si="450"/>
        <v>NUR028</v>
      </c>
      <c r="Y1329" t="str">
        <f t="shared" ca="1" si="451"/>
        <v>Evening</v>
      </c>
      <c r="Z1329" t="str">
        <f t="shared" ca="1" si="452"/>
        <v>CT Scanner</v>
      </c>
      <c r="AA1329" t="str">
        <f t="shared" ca="1" si="453"/>
        <v>In Use</v>
      </c>
      <c r="AB1329" t="str">
        <f t="shared" ca="1" si="454"/>
        <v>Partially Paid</v>
      </c>
      <c r="AC1329" t="str">
        <f t="shared" ca="1" si="455"/>
        <v>Cash</v>
      </c>
      <c r="AD1329" t="str">
        <f t="shared" ca="1" si="456"/>
        <v>No</v>
      </c>
      <c r="AE1329" t="str">
        <f t="shared" ca="1" si="457"/>
        <v>Yes</v>
      </c>
      <c r="AF1329" t="str">
        <f t="shared" ca="1" si="458"/>
        <v>Recovered</v>
      </c>
      <c r="AG1329" t="str">
        <f t="shared" ca="1" si="459"/>
        <v>Southwest</v>
      </c>
      <c r="AH1329" t="str">
        <f t="shared" si="442"/>
        <v>May</v>
      </c>
      <c r="AI1329">
        <f t="shared" si="443"/>
        <v>2020</v>
      </c>
      <c r="AJ1329" t="str">
        <f t="shared" ca="1" si="460"/>
        <v>Occupied</v>
      </c>
      <c r="AK1329">
        <f t="shared" ca="1" si="461"/>
        <v>4</v>
      </c>
    </row>
    <row r="1330" spans="1:37" x14ac:dyDescent="0.3">
      <c r="A1330" t="s">
        <v>5732</v>
      </c>
      <c r="B1330">
        <v>26</v>
      </c>
      <c r="C1330" t="s">
        <v>15</v>
      </c>
      <c r="D1330" t="s">
        <v>33</v>
      </c>
      <c r="E1330" t="s">
        <v>39</v>
      </c>
      <c r="F1330" s="1">
        <v>45399</v>
      </c>
      <c r="G1330" t="s">
        <v>2668</v>
      </c>
      <c r="H1330" t="s">
        <v>2669</v>
      </c>
      <c r="I1330" t="s">
        <v>51</v>
      </c>
      <c r="J1330">
        <v>29284</v>
      </c>
      <c r="K1330">
        <v>271</v>
      </c>
      <c r="L1330" t="s">
        <v>29</v>
      </c>
      <c r="M1330" s="1">
        <v>45404</v>
      </c>
      <c r="N1330" t="s">
        <v>30</v>
      </c>
      <c r="O1330" t="s">
        <v>23</v>
      </c>
      <c r="P1330" t="str">
        <f t="shared" si="444"/>
        <v>P1329</v>
      </c>
      <c r="Q1330" t="str">
        <f t="shared" si="440"/>
        <v>Endocrinology</v>
      </c>
      <c r="R1330">
        <f t="shared" si="441"/>
        <v>5</v>
      </c>
      <c r="S1330" t="str">
        <f t="shared" ca="1" si="445"/>
        <v>No</v>
      </c>
      <c r="T1330" t="str">
        <f t="shared" ca="1" si="446"/>
        <v>Critical</v>
      </c>
      <c r="U1330" t="str">
        <f t="shared" ca="1" si="447"/>
        <v>ICU</v>
      </c>
      <c r="V1330" t="str">
        <f t="shared" si="448"/>
        <v>BED1329</v>
      </c>
      <c r="W1330" t="str">
        <f t="shared" ca="1" si="449"/>
        <v>Private</v>
      </c>
      <c r="X1330" t="str">
        <f t="shared" si="450"/>
        <v>NUR029</v>
      </c>
      <c r="Y1330" t="str">
        <f t="shared" ca="1" si="451"/>
        <v>Night</v>
      </c>
      <c r="Z1330" t="str">
        <f t="shared" ca="1" si="452"/>
        <v>X-Ray</v>
      </c>
      <c r="AA1330" t="str">
        <f t="shared" ca="1" si="453"/>
        <v>Maintenance</v>
      </c>
      <c r="AB1330" t="str">
        <f t="shared" ca="1" si="454"/>
        <v>Partially Paid</v>
      </c>
      <c r="AC1330" t="str">
        <f t="shared" ca="1" si="455"/>
        <v>Bank Transfer</v>
      </c>
      <c r="AD1330" t="str">
        <f t="shared" ca="1" si="456"/>
        <v>No</v>
      </c>
      <c r="AE1330" t="str">
        <f t="shared" ca="1" si="457"/>
        <v>No</v>
      </c>
      <c r="AF1330" t="str">
        <f t="shared" ca="1" si="458"/>
        <v>Recovered</v>
      </c>
      <c r="AG1330" t="str">
        <f t="shared" ca="1" si="459"/>
        <v>Southwest</v>
      </c>
      <c r="AH1330" t="str">
        <f t="shared" si="442"/>
        <v>April</v>
      </c>
      <c r="AI1330">
        <f t="shared" si="443"/>
        <v>2024</v>
      </c>
      <c r="AJ1330" t="str">
        <f t="shared" ca="1" si="460"/>
        <v>Occupied</v>
      </c>
      <c r="AK1330">
        <f t="shared" ca="1" si="461"/>
        <v>4</v>
      </c>
    </row>
    <row r="1331" spans="1:37" x14ac:dyDescent="0.3">
      <c r="A1331" t="s">
        <v>5733</v>
      </c>
      <c r="B1331">
        <v>31</v>
      </c>
      <c r="C1331" t="s">
        <v>32</v>
      </c>
      <c r="D1331" t="s">
        <v>98</v>
      </c>
      <c r="E1331" t="s">
        <v>25</v>
      </c>
      <c r="F1331" s="1">
        <v>43725</v>
      </c>
      <c r="G1331" t="s">
        <v>2670</v>
      </c>
      <c r="H1331" t="s">
        <v>2671</v>
      </c>
      <c r="I1331" t="s">
        <v>28</v>
      </c>
      <c r="J1331">
        <v>14266</v>
      </c>
      <c r="K1331">
        <v>303</v>
      </c>
      <c r="L1331" t="s">
        <v>29</v>
      </c>
      <c r="M1331" s="1">
        <v>43755</v>
      </c>
      <c r="N1331" t="s">
        <v>37</v>
      </c>
      <c r="O1331" t="s">
        <v>43</v>
      </c>
      <c r="P1331" t="str">
        <f t="shared" si="444"/>
        <v>P1330</v>
      </c>
      <c r="Q1331" t="str">
        <f t="shared" si="440"/>
        <v>Nutrition</v>
      </c>
      <c r="R1331">
        <f t="shared" si="441"/>
        <v>30</v>
      </c>
      <c r="S1331" t="str">
        <f t="shared" ca="1" si="445"/>
        <v>No</v>
      </c>
      <c r="T1331" t="str">
        <f t="shared" ca="1" si="446"/>
        <v>Mild</v>
      </c>
      <c r="U1331" t="str">
        <f t="shared" ca="1" si="447"/>
        <v>Emergency</v>
      </c>
      <c r="V1331" t="str">
        <f t="shared" si="448"/>
        <v>BED1330</v>
      </c>
      <c r="W1331" t="str">
        <f t="shared" ca="1" si="449"/>
        <v>General</v>
      </c>
      <c r="X1331" t="str">
        <f t="shared" si="450"/>
        <v>NUR030</v>
      </c>
      <c r="Y1331" t="str">
        <f t="shared" ca="1" si="451"/>
        <v>Night</v>
      </c>
      <c r="Z1331" t="str">
        <f t="shared" ca="1" si="452"/>
        <v>MRI Scanner</v>
      </c>
      <c r="AA1331" t="str">
        <f t="shared" ca="1" si="453"/>
        <v>Available</v>
      </c>
      <c r="AB1331" t="str">
        <f t="shared" ca="1" si="454"/>
        <v>Pending</v>
      </c>
      <c r="AC1331" t="str">
        <f t="shared" ca="1" si="455"/>
        <v>Credit Card</v>
      </c>
      <c r="AD1331" t="str">
        <f t="shared" ca="1" si="456"/>
        <v>Yes</v>
      </c>
      <c r="AE1331" t="str">
        <f t="shared" ca="1" si="457"/>
        <v>No</v>
      </c>
      <c r="AF1331" t="str">
        <f t="shared" ca="1" si="458"/>
        <v>Transferred</v>
      </c>
      <c r="AG1331" t="str">
        <f t="shared" ca="1" si="459"/>
        <v>West Coast</v>
      </c>
      <c r="AH1331" t="str">
        <f t="shared" si="442"/>
        <v>September</v>
      </c>
      <c r="AI1331">
        <f t="shared" si="443"/>
        <v>2019</v>
      </c>
      <c r="AJ1331" t="str">
        <f t="shared" ca="1" si="460"/>
        <v>Occupied</v>
      </c>
      <c r="AK1331">
        <f t="shared" ca="1" si="461"/>
        <v>1</v>
      </c>
    </row>
    <row r="1332" spans="1:37" x14ac:dyDescent="0.3">
      <c r="A1332" t="s">
        <v>5734</v>
      </c>
      <c r="B1332">
        <v>84</v>
      </c>
      <c r="C1332" t="s">
        <v>15</v>
      </c>
      <c r="D1332" t="s">
        <v>24</v>
      </c>
      <c r="E1332" t="s">
        <v>64</v>
      </c>
      <c r="F1332" s="1">
        <v>43632</v>
      </c>
      <c r="G1332" t="s">
        <v>2672</v>
      </c>
      <c r="H1332" t="s">
        <v>2673</v>
      </c>
      <c r="I1332" t="s">
        <v>20</v>
      </c>
      <c r="J1332">
        <v>25664</v>
      </c>
      <c r="K1332">
        <v>482</v>
      </c>
      <c r="L1332" t="s">
        <v>29</v>
      </c>
      <c r="M1332" s="1">
        <v>43646</v>
      </c>
      <c r="N1332" t="s">
        <v>67</v>
      </c>
      <c r="O1332" t="s">
        <v>31</v>
      </c>
      <c r="P1332" t="str">
        <f t="shared" si="444"/>
        <v>P1331</v>
      </c>
      <c r="Q1332" t="str">
        <f t="shared" si="440"/>
        <v>Cardiology</v>
      </c>
      <c r="R1332">
        <f t="shared" si="441"/>
        <v>14</v>
      </c>
      <c r="S1332" t="str">
        <f t="shared" ca="1" si="445"/>
        <v>No</v>
      </c>
      <c r="T1332" t="str">
        <f t="shared" ca="1" si="446"/>
        <v>Mild</v>
      </c>
      <c r="U1332" t="str">
        <f t="shared" ca="1" si="447"/>
        <v>Private Ward</v>
      </c>
      <c r="V1332" t="str">
        <f t="shared" si="448"/>
        <v>BED1331</v>
      </c>
      <c r="W1332" t="str">
        <f t="shared" ca="1" si="449"/>
        <v>Semi-Private</v>
      </c>
      <c r="X1332" t="str">
        <f t="shared" si="450"/>
        <v>NUR031</v>
      </c>
      <c r="Y1332" t="str">
        <f t="shared" ca="1" si="451"/>
        <v>Night</v>
      </c>
      <c r="Z1332" t="str">
        <f t="shared" ca="1" si="452"/>
        <v>CT Scanner</v>
      </c>
      <c r="AA1332" t="str">
        <f t="shared" ca="1" si="453"/>
        <v>Maintenance</v>
      </c>
      <c r="AB1332" t="str">
        <f t="shared" ca="1" si="454"/>
        <v>Paid</v>
      </c>
      <c r="AC1332" t="str">
        <f t="shared" ca="1" si="455"/>
        <v>Debit Card</v>
      </c>
      <c r="AD1332" t="str">
        <f t="shared" ca="1" si="456"/>
        <v>No</v>
      </c>
      <c r="AE1332" t="str">
        <f t="shared" ca="1" si="457"/>
        <v>No</v>
      </c>
      <c r="AF1332" t="str">
        <f t="shared" ca="1" si="458"/>
        <v>Recovered</v>
      </c>
      <c r="AG1332" t="str">
        <f t="shared" ca="1" si="459"/>
        <v>Northeast</v>
      </c>
      <c r="AH1332" t="str">
        <f t="shared" si="442"/>
        <v>June</v>
      </c>
      <c r="AI1332">
        <f t="shared" si="443"/>
        <v>2019</v>
      </c>
      <c r="AJ1332" t="str">
        <f t="shared" ca="1" si="460"/>
        <v>Occupied</v>
      </c>
      <c r="AK1332">
        <f t="shared" ca="1" si="461"/>
        <v>2</v>
      </c>
    </row>
    <row r="1333" spans="1:37" x14ac:dyDescent="0.3">
      <c r="A1333" t="s">
        <v>5735</v>
      </c>
      <c r="B1333">
        <v>54</v>
      </c>
      <c r="C1333" t="s">
        <v>15</v>
      </c>
      <c r="D1333" t="s">
        <v>24</v>
      </c>
      <c r="E1333" t="s">
        <v>48</v>
      </c>
      <c r="F1333" s="1">
        <v>44320</v>
      </c>
      <c r="G1333" t="s">
        <v>2674</v>
      </c>
      <c r="H1333" t="s">
        <v>2675</v>
      </c>
      <c r="I1333" t="s">
        <v>36</v>
      </c>
      <c r="J1333">
        <v>29245</v>
      </c>
      <c r="K1333">
        <v>238</v>
      </c>
      <c r="L1333" t="s">
        <v>29</v>
      </c>
      <c r="M1333" s="1">
        <v>44331</v>
      </c>
      <c r="N1333" t="s">
        <v>47</v>
      </c>
      <c r="O1333" t="s">
        <v>31</v>
      </c>
      <c r="P1333" t="str">
        <f t="shared" si="444"/>
        <v>P1332</v>
      </c>
      <c r="Q1333" t="str">
        <f t="shared" si="440"/>
        <v>Pulmonology</v>
      </c>
      <c r="R1333">
        <f t="shared" si="441"/>
        <v>11</v>
      </c>
      <c r="S1333" t="str">
        <f t="shared" ca="1" si="445"/>
        <v>No</v>
      </c>
      <c r="T1333" t="str">
        <f t="shared" ca="1" si="446"/>
        <v>Moderate</v>
      </c>
      <c r="U1333" t="str">
        <f t="shared" ca="1" si="447"/>
        <v>Semi-Private</v>
      </c>
      <c r="V1333" t="str">
        <f t="shared" si="448"/>
        <v>BED1332</v>
      </c>
      <c r="W1333" t="str">
        <f t="shared" ca="1" si="449"/>
        <v>General</v>
      </c>
      <c r="X1333" t="str">
        <f t="shared" si="450"/>
        <v>NUR032</v>
      </c>
      <c r="Y1333" t="str">
        <f t="shared" ca="1" si="451"/>
        <v>Evening</v>
      </c>
      <c r="Z1333" t="str">
        <f t="shared" ca="1" si="452"/>
        <v>ECG Machine</v>
      </c>
      <c r="AA1333" t="str">
        <f t="shared" ca="1" si="453"/>
        <v>Maintenance</v>
      </c>
      <c r="AB1333" t="str">
        <f t="shared" ca="1" si="454"/>
        <v>Partially Paid</v>
      </c>
      <c r="AC1333" t="str">
        <f t="shared" ca="1" si="455"/>
        <v>Debit Card</v>
      </c>
      <c r="AD1333" t="str">
        <f t="shared" ca="1" si="456"/>
        <v>No</v>
      </c>
      <c r="AE1333" t="str">
        <f t="shared" ca="1" si="457"/>
        <v>No</v>
      </c>
      <c r="AF1333" t="str">
        <f t="shared" ca="1" si="458"/>
        <v>Transferred</v>
      </c>
      <c r="AG1333" t="str">
        <f t="shared" ca="1" si="459"/>
        <v>Northeast</v>
      </c>
      <c r="AH1333" t="str">
        <f t="shared" si="442"/>
        <v>May</v>
      </c>
      <c r="AI1333">
        <f t="shared" si="443"/>
        <v>2021</v>
      </c>
      <c r="AJ1333" t="str">
        <f t="shared" ca="1" si="460"/>
        <v>Vacant</v>
      </c>
      <c r="AK1333">
        <f t="shared" ca="1" si="461"/>
        <v>4</v>
      </c>
    </row>
    <row r="1334" spans="1:37" x14ac:dyDescent="0.3">
      <c r="A1334" t="s">
        <v>5736</v>
      </c>
      <c r="B1334">
        <v>84</v>
      </c>
      <c r="C1334" t="s">
        <v>32</v>
      </c>
      <c r="D1334" t="s">
        <v>16</v>
      </c>
      <c r="E1334" t="s">
        <v>17</v>
      </c>
      <c r="F1334" s="1">
        <v>44567</v>
      </c>
      <c r="G1334" t="s">
        <v>2676</v>
      </c>
      <c r="H1334" t="s">
        <v>2677</v>
      </c>
      <c r="I1334" t="s">
        <v>36</v>
      </c>
      <c r="J1334">
        <v>24558</v>
      </c>
      <c r="K1334">
        <v>119</v>
      </c>
      <c r="L1334" t="s">
        <v>21</v>
      </c>
      <c r="M1334" s="1">
        <v>44570</v>
      </c>
      <c r="N1334" t="s">
        <v>37</v>
      </c>
      <c r="O1334" t="s">
        <v>23</v>
      </c>
      <c r="P1334" t="str">
        <f t="shared" si="444"/>
        <v>P1333</v>
      </c>
      <c r="Q1334" t="str">
        <f t="shared" si="440"/>
        <v>Oncology</v>
      </c>
      <c r="R1334">
        <f t="shared" si="441"/>
        <v>3</v>
      </c>
      <c r="S1334" t="str">
        <f t="shared" ca="1" si="445"/>
        <v>No</v>
      </c>
      <c r="T1334" t="str">
        <f t="shared" ca="1" si="446"/>
        <v>Severe</v>
      </c>
      <c r="U1334" t="str">
        <f t="shared" ca="1" si="447"/>
        <v>General Ward</v>
      </c>
      <c r="V1334" t="str">
        <f t="shared" si="448"/>
        <v>BED1333</v>
      </c>
      <c r="W1334" t="str">
        <f t="shared" ca="1" si="449"/>
        <v>Private</v>
      </c>
      <c r="X1334" t="str">
        <f t="shared" si="450"/>
        <v>NUR033</v>
      </c>
      <c r="Y1334" t="str">
        <f t="shared" ca="1" si="451"/>
        <v>Evening</v>
      </c>
      <c r="Z1334" t="str">
        <f t="shared" ca="1" si="452"/>
        <v>ECG Machine</v>
      </c>
      <c r="AA1334" t="str">
        <f t="shared" ca="1" si="453"/>
        <v>Maintenance</v>
      </c>
      <c r="AB1334" t="str">
        <f t="shared" ca="1" si="454"/>
        <v>Pending</v>
      </c>
      <c r="AC1334" t="str">
        <f t="shared" ca="1" si="455"/>
        <v>Debit Card</v>
      </c>
      <c r="AD1334" t="str">
        <f t="shared" ca="1" si="456"/>
        <v>No</v>
      </c>
      <c r="AE1334" t="str">
        <f t="shared" ca="1" si="457"/>
        <v>No</v>
      </c>
      <c r="AF1334" t="str">
        <f t="shared" ca="1" si="458"/>
        <v>Transferred</v>
      </c>
      <c r="AG1334" t="str">
        <f t="shared" ca="1" si="459"/>
        <v>Northeast</v>
      </c>
      <c r="AH1334" t="str">
        <f t="shared" si="442"/>
        <v>January</v>
      </c>
      <c r="AI1334">
        <f t="shared" si="443"/>
        <v>2022</v>
      </c>
      <c r="AJ1334" t="str">
        <f t="shared" ca="1" si="460"/>
        <v>Occupied</v>
      </c>
      <c r="AK1334">
        <f t="shared" ca="1" si="461"/>
        <v>4</v>
      </c>
    </row>
    <row r="1335" spans="1:37" x14ac:dyDescent="0.3">
      <c r="A1335" t="s">
        <v>5737</v>
      </c>
      <c r="B1335">
        <v>82</v>
      </c>
      <c r="C1335" t="s">
        <v>15</v>
      </c>
      <c r="D1335" t="s">
        <v>98</v>
      </c>
      <c r="E1335" t="s">
        <v>39</v>
      </c>
      <c r="F1335" s="1">
        <v>44055</v>
      </c>
      <c r="G1335" t="s">
        <v>2678</v>
      </c>
      <c r="H1335" t="s">
        <v>2679</v>
      </c>
      <c r="I1335" t="s">
        <v>36</v>
      </c>
      <c r="J1335">
        <v>23437</v>
      </c>
      <c r="K1335">
        <v>120</v>
      </c>
      <c r="L1335" t="s">
        <v>29</v>
      </c>
      <c r="M1335" s="1">
        <v>44081</v>
      </c>
      <c r="N1335" t="s">
        <v>47</v>
      </c>
      <c r="O1335" t="s">
        <v>31</v>
      </c>
      <c r="P1335" t="str">
        <f t="shared" si="444"/>
        <v>P1334</v>
      </c>
      <c r="Q1335" t="str">
        <f t="shared" si="440"/>
        <v>Endocrinology</v>
      </c>
      <c r="R1335">
        <f t="shared" si="441"/>
        <v>26</v>
      </c>
      <c r="S1335" t="str">
        <f t="shared" ca="1" si="445"/>
        <v>Yes</v>
      </c>
      <c r="T1335" t="str">
        <f t="shared" ca="1" si="446"/>
        <v>Moderate</v>
      </c>
      <c r="U1335" t="str">
        <f t="shared" ca="1" si="447"/>
        <v>Private Ward</v>
      </c>
      <c r="V1335" t="str">
        <f t="shared" si="448"/>
        <v>BED1334</v>
      </c>
      <c r="W1335" t="str">
        <f t="shared" ca="1" si="449"/>
        <v>Semi-Private</v>
      </c>
      <c r="X1335" t="str">
        <f t="shared" si="450"/>
        <v>NUR034</v>
      </c>
      <c r="Y1335" t="str">
        <f t="shared" ca="1" si="451"/>
        <v>Night</v>
      </c>
      <c r="Z1335" t="str">
        <f t="shared" ca="1" si="452"/>
        <v>Ultrasound</v>
      </c>
      <c r="AA1335" t="str">
        <f t="shared" ca="1" si="453"/>
        <v>In Use</v>
      </c>
      <c r="AB1335" t="str">
        <f t="shared" ca="1" si="454"/>
        <v>Pending</v>
      </c>
      <c r="AC1335" t="str">
        <f t="shared" ca="1" si="455"/>
        <v>Bank Transfer</v>
      </c>
      <c r="AD1335" t="str">
        <f t="shared" ca="1" si="456"/>
        <v>No</v>
      </c>
      <c r="AE1335" t="str">
        <f t="shared" ca="1" si="457"/>
        <v>No</v>
      </c>
      <c r="AF1335" t="str">
        <f t="shared" ca="1" si="458"/>
        <v>Recovered</v>
      </c>
      <c r="AG1335" t="str">
        <f t="shared" ca="1" si="459"/>
        <v>Northeast</v>
      </c>
      <c r="AH1335" t="str">
        <f t="shared" si="442"/>
        <v>August</v>
      </c>
      <c r="AI1335">
        <f t="shared" si="443"/>
        <v>2020</v>
      </c>
      <c r="AJ1335" t="str">
        <f t="shared" ca="1" si="460"/>
        <v>Occupied</v>
      </c>
      <c r="AK1335">
        <f t="shared" ca="1" si="461"/>
        <v>2</v>
      </c>
    </row>
    <row r="1336" spans="1:37" x14ac:dyDescent="0.3">
      <c r="A1336" t="s">
        <v>5738</v>
      </c>
      <c r="B1336">
        <v>22</v>
      </c>
      <c r="C1336" t="s">
        <v>32</v>
      </c>
      <c r="D1336" t="s">
        <v>44</v>
      </c>
      <c r="E1336" t="s">
        <v>64</v>
      </c>
      <c r="F1336" s="1">
        <v>44825</v>
      </c>
      <c r="G1336" t="s">
        <v>2680</v>
      </c>
      <c r="H1336" t="s">
        <v>2681</v>
      </c>
      <c r="I1336" t="s">
        <v>51</v>
      </c>
      <c r="J1336">
        <v>12074</v>
      </c>
      <c r="K1336">
        <v>220</v>
      </c>
      <c r="L1336" t="s">
        <v>21</v>
      </c>
      <c r="M1336" s="1">
        <v>44833</v>
      </c>
      <c r="N1336" t="s">
        <v>30</v>
      </c>
      <c r="O1336" t="s">
        <v>43</v>
      </c>
      <c r="P1336" t="str">
        <f t="shared" si="444"/>
        <v>P1335</v>
      </c>
      <c r="Q1336" t="str">
        <f t="shared" si="440"/>
        <v>Cardiology</v>
      </c>
      <c r="R1336">
        <f t="shared" si="441"/>
        <v>8</v>
      </c>
      <c r="S1336" t="str">
        <f t="shared" ca="1" si="445"/>
        <v>No</v>
      </c>
      <c r="T1336" t="str">
        <f t="shared" ca="1" si="446"/>
        <v>Critical</v>
      </c>
      <c r="U1336" t="str">
        <f t="shared" ca="1" si="447"/>
        <v>Semi-Private</v>
      </c>
      <c r="V1336" t="str">
        <f t="shared" si="448"/>
        <v>BED1335</v>
      </c>
      <c r="W1336" t="str">
        <f t="shared" ca="1" si="449"/>
        <v>General</v>
      </c>
      <c r="X1336" t="str">
        <f t="shared" si="450"/>
        <v>NUR035</v>
      </c>
      <c r="Y1336" t="str">
        <f t="shared" ca="1" si="451"/>
        <v>Night</v>
      </c>
      <c r="Z1336" t="str">
        <f t="shared" ca="1" si="452"/>
        <v>MRI Scanner</v>
      </c>
      <c r="AA1336" t="str">
        <f t="shared" ca="1" si="453"/>
        <v>Available</v>
      </c>
      <c r="AB1336" t="str">
        <f t="shared" ca="1" si="454"/>
        <v>Partially Paid</v>
      </c>
      <c r="AC1336" t="str">
        <f t="shared" ca="1" si="455"/>
        <v>Cash</v>
      </c>
      <c r="AD1336" t="str">
        <f t="shared" ca="1" si="456"/>
        <v>Yes</v>
      </c>
      <c r="AE1336" t="str">
        <f t="shared" ca="1" si="457"/>
        <v>No</v>
      </c>
      <c r="AF1336" t="str">
        <f t="shared" ca="1" si="458"/>
        <v>Under Observation</v>
      </c>
      <c r="AG1336" t="str">
        <f t="shared" ca="1" si="459"/>
        <v>Midwest</v>
      </c>
      <c r="AH1336" t="str">
        <f t="shared" si="442"/>
        <v>September</v>
      </c>
      <c r="AI1336">
        <f t="shared" si="443"/>
        <v>2022</v>
      </c>
      <c r="AJ1336" t="str">
        <f t="shared" ca="1" si="460"/>
        <v>Occupied</v>
      </c>
      <c r="AK1336">
        <f t="shared" ca="1" si="461"/>
        <v>4</v>
      </c>
    </row>
    <row r="1337" spans="1:37" x14ac:dyDescent="0.3">
      <c r="A1337" t="s">
        <v>5739</v>
      </c>
      <c r="B1337">
        <v>76</v>
      </c>
      <c r="C1337" t="s">
        <v>15</v>
      </c>
      <c r="D1337" t="s">
        <v>52</v>
      </c>
      <c r="E1337" t="s">
        <v>76</v>
      </c>
      <c r="F1337" s="1">
        <v>44838</v>
      </c>
      <c r="G1337" t="s">
        <v>2682</v>
      </c>
      <c r="H1337" t="s">
        <v>2683</v>
      </c>
      <c r="I1337" t="s">
        <v>51</v>
      </c>
      <c r="J1337">
        <v>26434</v>
      </c>
      <c r="K1337">
        <v>354</v>
      </c>
      <c r="L1337" t="s">
        <v>21</v>
      </c>
      <c r="M1337" s="1">
        <v>44841</v>
      </c>
      <c r="N1337" t="s">
        <v>67</v>
      </c>
      <c r="O1337" t="s">
        <v>23</v>
      </c>
      <c r="P1337" t="str">
        <f t="shared" si="444"/>
        <v>P1336</v>
      </c>
      <c r="Q1337" t="str">
        <f t="shared" si="440"/>
        <v>Orthopedics</v>
      </c>
      <c r="R1337">
        <f t="shared" si="441"/>
        <v>3</v>
      </c>
      <c r="S1337" t="str">
        <f t="shared" ca="1" si="445"/>
        <v>Yes</v>
      </c>
      <c r="T1337" t="str">
        <f t="shared" ca="1" si="446"/>
        <v>Moderate</v>
      </c>
      <c r="U1337" t="str">
        <f t="shared" ca="1" si="447"/>
        <v>Semi-Private</v>
      </c>
      <c r="V1337" t="str">
        <f t="shared" si="448"/>
        <v>BED1336</v>
      </c>
      <c r="W1337" t="str">
        <f t="shared" ca="1" si="449"/>
        <v>Private</v>
      </c>
      <c r="X1337" t="str">
        <f t="shared" si="450"/>
        <v>NUR036</v>
      </c>
      <c r="Y1337" t="str">
        <f t="shared" ca="1" si="451"/>
        <v>Evening</v>
      </c>
      <c r="Z1337" t="str">
        <f t="shared" ca="1" si="452"/>
        <v>CT Scanner</v>
      </c>
      <c r="AA1337" t="str">
        <f t="shared" ca="1" si="453"/>
        <v>Maintenance</v>
      </c>
      <c r="AB1337" t="str">
        <f t="shared" ca="1" si="454"/>
        <v>Partially Paid</v>
      </c>
      <c r="AC1337" t="str">
        <f t="shared" ca="1" si="455"/>
        <v>Debit Card</v>
      </c>
      <c r="AD1337" t="str">
        <f t="shared" ca="1" si="456"/>
        <v>No</v>
      </c>
      <c r="AE1337" t="str">
        <f t="shared" ca="1" si="457"/>
        <v>No</v>
      </c>
      <c r="AF1337" t="str">
        <f t="shared" ca="1" si="458"/>
        <v>Under Observation</v>
      </c>
      <c r="AG1337" t="str">
        <f t="shared" ca="1" si="459"/>
        <v>Midwest</v>
      </c>
      <c r="AH1337" t="str">
        <f t="shared" si="442"/>
        <v>October</v>
      </c>
      <c r="AI1337">
        <f t="shared" si="443"/>
        <v>2022</v>
      </c>
      <c r="AJ1337" t="str">
        <f t="shared" ca="1" si="460"/>
        <v>Occupied</v>
      </c>
      <c r="AK1337">
        <f t="shared" ca="1" si="461"/>
        <v>1</v>
      </c>
    </row>
    <row r="1338" spans="1:37" x14ac:dyDescent="0.3">
      <c r="A1338" t="s">
        <v>5740</v>
      </c>
      <c r="B1338">
        <v>26</v>
      </c>
      <c r="C1338" t="s">
        <v>15</v>
      </c>
      <c r="D1338" t="s">
        <v>33</v>
      </c>
      <c r="E1338" t="s">
        <v>25</v>
      </c>
      <c r="F1338" s="1">
        <v>45222</v>
      </c>
      <c r="G1338" t="s">
        <v>2684</v>
      </c>
      <c r="H1338" t="s">
        <v>2685</v>
      </c>
      <c r="I1338" t="s">
        <v>51</v>
      </c>
      <c r="J1338">
        <v>38142</v>
      </c>
      <c r="K1338">
        <v>313</v>
      </c>
      <c r="L1338" t="s">
        <v>21</v>
      </c>
      <c r="M1338" s="1">
        <v>45248</v>
      </c>
      <c r="N1338" t="s">
        <v>47</v>
      </c>
      <c r="O1338" t="s">
        <v>43</v>
      </c>
      <c r="P1338" t="str">
        <f t="shared" si="444"/>
        <v>P1337</v>
      </c>
      <c r="Q1338" t="str">
        <f t="shared" si="440"/>
        <v>Nutrition</v>
      </c>
      <c r="R1338">
        <f t="shared" si="441"/>
        <v>26</v>
      </c>
      <c r="S1338" t="str">
        <f t="shared" ca="1" si="445"/>
        <v>No</v>
      </c>
      <c r="T1338" t="str">
        <f t="shared" ca="1" si="446"/>
        <v>Mild</v>
      </c>
      <c r="U1338" t="str">
        <f t="shared" ca="1" si="447"/>
        <v>Emergency</v>
      </c>
      <c r="V1338" t="str">
        <f t="shared" si="448"/>
        <v>BED1337</v>
      </c>
      <c r="W1338" t="str">
        <f t="shared" ca="1" si="449"/>
        <v>Private</v>
      </c>
      <c r="X1338" t="str">
        <f t="shared" si="450"/>
        <v>NUR037</v>
      </c>
      <c r="Y1338" t="str">
        <f t="shared" ca="1" si="451"/>
        <v>Evening</v>
      </c>
      <c r="Z1338" t="str">
        <f t="shared" ca="1" si="452"/>
        <v>X-Ray</v>
      </c>
      <c r="AA1338" t="str">
        <f t="shared" ca="1" si="453"/>
        <v>Maintenance</v>
      </c>
      <c r="AB1338" t="str">
        <f t="shared" ca="1" si="454"/>
        <v>Pending</v>
      </c>
      <c r="AC1338" t="str">
        <f t="shared" ca="1" si="455"/>
        <v>Debit Card</v>
      </c>
      <c r="AD1338" t="str">
        <f t="shared" ca="1" si="456"/>
        <v>No</v>
      </c>
      <c r="AE1338" t="str">
        <f t="shared" ca="1" si="457"/>
        <v>Yes</v>
      </c>
      <c r="AF1338" t="str">
        <f t="shared" ca="1" si="458"/>
        <v>Under Observation</v>
      </c>
      <c r="AG1338" t="str">
        <f t="shared" ca="1" si="459"/>
        <v>Southeast</v>
      </c>
      <c r="AH1338" t="str">
        <f t="shared" si="442"/>
        <v>October</v>
      </c>
      <c r="AI1338">
        <f t="shared" si="443"/>
        <v>2023</v>
      </c>
      <c r="AJ1338" t="str">
        <f t="shared" ca="1" si="460"/>
        <v>Occupied</v>
      </c>
      <c r="AK1338">
        <f t="shared" ca="1" si="461"/>
        <v>2</v>
      </c>
    </row>
    <row r="1339" spans="1:37" x14ac:dyDescent="0.3">
      <c r="A1339" t="s">
        <v>5741</v>
      </c>
      <c r="B1339">
        <v>77</v>
      </c>
      <c r="C1339" t="s">
        <v>15</v>
      </c>
      <c r="D1339" t="s">
        <v>83</v>
      </c>
      <c r="E1339" t="s">
        <v>48</v>
      </c>
      <c r="F1339" s="1">
        <v>44746</v>
      </c>
      <c r="G1339" t="s">
        <v>2686</v>
      </c>
      <c r="H1339" t="s">
        <v>2687</v>
      </c>
      <c r="I1339" t="s">
        <v>28</v>
      </c>
      <c r="J1339">
        <v>3825</v>
      </c>
      <c r="K1339">
        <v>425</v>
      </c>
      <c r="L1339" t="s">
        <v>42</v>
      </c>
      <c r="M1339" s="1">
        <v>44772</v>
      </c>
      <c r="N1339" t="s">
        <v>67</v>
      </c>
      <c r="O1339" t="s">
        <v>23</v>
      </c>
      <c r="P1339" t="str">
        <f t="shared" si="444"/>
        <v>P1338</v>
      </c>
      <c r="Q1339" t="str">
        <f t="shared" si="440"/>
        <v>Pulmonology</v>
      </c>
      <c r="R1339">
        <f t="shared" si="441"/>
        <v>26</v>
      </c>
      <c r="S1339" t="str">
        <f t="shared" ca="1" si="445"/>
        <v>No</v>
      </c>
      <c r="T1339" t="str">
        <f t="shared" ca="1" si="446"/>
        <v>Moderate</v>
      </c>
      <c r="U1339" t="str">
        <f t="shared" ca="1" si="447"/>
        <v>Semi-Private</v>
      </c>
      <c r="V1339" t="str">
        <f t="shared" si="448"/>
        <v>BED1338</v>
      </c>
      <c r="W1339" t="str">
        <f t="shared" ca="1" si="449"/>
        <v>Private</v>
      </c>
      <c r="X1339" t="str">
        <f t="shared" si="450"/>
        <v>NUR038</v>
      </c>
      <c r="Y1339" t="str">
        <f t="shared" ca="1" si="451"/>
        <v>Night</v>
      </c>
      <c r="Z1339" t="str">
        <f t="shared" ca="1" si="452"/>
        <v>MRI Scanner</v>
      </c>
      <c r="AA1339" t="str">
        <f t="shared" ca="1" si="453"/>
        <v>Maintenance</v>
      </c>
      <c r="AB1339" t="str">
        <f t="shared" ca="1" si="454"/>
        <v>Paid</v>
      </c>
      <c r="AC1339" t="str">
        <f t="shared" ca="1" si="455"/>
        <v>Cash</v>
      </c>
      <c r="AD1339" t="str">
        <f t="shared" ca="1" si="456"/>
        <v>No</v>
      </c>
      <c r="AE1339" t="str">
        <f t="shared" ca="1" si="457"/>
        <v>No</v>
      </c>
      <c r="AF1339" t="str">
        <f t="shared" ca="1" si="458"/>
        <v>Under Observation</v>
      </c>
      <c r="AG1339" t="str">
        <f t="shared" ca="1" si="459"/>
        <v>Southeast</v>
      </c>
      <c r="AH1339" t="str">
        <f t="shared" si="442"/>
        <v>July</v>
      </c>
      <c r="AI1339">
        <f t="shared" si="443"/>
        <v>2022</v>
      </c>
      <c r="AJ1339" t="str">
        <f t="shared" ca="1" si="460"/>
        <v>Occupied</v>
      </c>
      <c r="AK1339">
        <f t="shared" ca="1" si="461"/>
        <v>2</v>
      </c>
    </row>
    <row r="1340" spans="1:37" x14ac:dyDescent="0.3">
      <c r="A1340" t="s">
        <v>5742</v>
      </c>
      <c r="B1340">
        <v>77</v>
      </c>
      <c r="C1340" t="s">
        <v>32</v>
      </c>
      <c r="D1340" t="s">
        <v>33</v>
      </c>
      <c r="E1340" t="s">
        <v>25</v>
      </c>
      <c r="F1340" s="1">
        <v>44651</v>
      </c>
      <c r="G1340" t="s">
        <v>2688</v>
      </c>
      <c r="H1340" t="s">
        <v>2689</v>
      </c>
      <c r="I1340" t="s">
        <v>57</v>
      </c>
      <c r="J1340">
        <v>28158</v>
      </c>
      <c r="K1340">
        <v>379</v>
      </c>
      <c r="L1340" t="s">
        <v>29</v>
      </c>
      <c r="M1340" s="1">
        <v>44672</v>
      </c>
      <c r="N1340" t="s">
        <v>37</v>
      </c>
      <c r="O1340" t="s">
        <v>31</v>
      </c>
      <c r="P1340" t="str">
        <f t="shared" si="444"/>
        <v>P1339</v>
      </c>
      <c r="Q1340" t="str">
        <f t="shared" si="440"/>
        <v>Nutrition</v>
      </c>
      <c r="R1340">
        <f t="shared" si="441"/>
        <v>21</v>
      </c>
      <c r="S1340" t="str">
        <f t="shared" ca="1" si="445"/>
        <v>No</v>
      </c>
      <c r="T1340" t="str">
        <f t="shared" ca="1" si="446"/>
        <v>Mild</v>
      </c>
      <c r="U1340" t="str">
        <f t="shared" ca="1" si="447"/>
        <v>General Ward</v>
      </c>
      <c r="V1340" t="str">
        <f t="shared" si="448"/>
        <v>BED1339</v>
      </c>
      <c r="W1340" t="str">
        <f t="shared" ca="1" si="449"/>
        <v>ICU</v>
      </c>
      <c r="X1340" t="str">
        <f t="shared" si="450"/>
        <v>NUR039</v>
      </c>
      <c r="Y1340" t="str">
        <f t="shared" ca="1" si="451"/>
        <v>Night</v>
      </c>
      <c r="Z1340" t="str">
        <f t="shared" ca="1" si="452"/>
        <v>ECG Machine</v>
      </c>
      <c r="AA1340" t="str">
        <f t="shared" ca="1" si="453"/>
        <v>Maintenance</v>
      </c>
      <c r="AB1340" t="str">
        <f t="shared" ca="1" si="454"/>
        <v>Paid</v>
      </c>
      <c r="AC1340" t="str">
        <f t="shared" ca="1" si="455"/>
        <v>Cash</v>
      </c>
      <c r="AD1340" t="str">
        <f t="shared" ca="1" si="456"/>
        <v>No</v>
      </c>
      <c r="AE1340" t="str">
        <f t="shared" ca="1" si="457"/>
        <v>No</v>
      </c>
      <c r="AF1340" t="str">
        <f t="shared" ca="1" si="458"/>
        <v>Under Observation</v>
      </c>
      <c r="AG1340" t="str">
        <f t="shared" ca="1" si="459"/>
        <v>Southeast</v>
      </c>
      <c r="AH1340" t="str">
        <f t="shared" si="442"/>
        <v>March</v>
      </c>
      <c r="AI1340">
        <f t="shared" si="443"/>
        <v>2022</v>
      </c>
      <c r="AJ1340" t="str">
        <f t="shared" ca="1" si="460"/>
        <v>Occupied</v>
      </c>
      <c r="AK1340">
        <f t="shared" ca="1" si="461"/>
        <v>2</v>
      </c>
    </row>
    <row r="1341" spans="1:37" x14ac:dyDescent="0.3">
      <c r="A1341" t="s">
        <v>5743</v>
      </c>
      <c r="B1341">
        <v>43</v>
      </c>
      <c r="C1341" t="s">
        <v>15</v>
      </c>
      <c r="D1341" t="s">
        <v>44</v>
      </c>
      <c r="E1341" t="s">
        <v>64</v>
      </c>
      <c r="F1341" s="1">
        <v>43893</v>
      </c>
      <c r="G1341" t="s">
        <v>2690</v>
      </c>
      <c r="H1341" t="s">
        <v>2691</v>
      </c>
      <c r="I1341" t="s">
        <v>28</v>
      </c>
      <c r="J1341">
        <v>44211</v>
      </c>
      <c r="K1341">
        <v>324</v>
      </c>
      <c r="L1341" t="s">
        <v>21</v>
      </c>
      <c r="M1341" s="1">
        <v>43905</v>
      </c>
      <c r="N1341" t="s">
        <v>30</v>
      </c>
      <c r="O1341" t="s">
        <v>43</v>
      </c>
      <c r="P1341" t="str">
        <f t="shared" si="444"/>
        <v>P1340</v>
      </c>
      <c r="Q1341" t="str">
        <f t="shared" si="440"/>
        <v>Cardiology</v>
      </c>
      <c r="R1341">
        <f t="shared" si="441"/>
        <v>12</v>
      </c>
      <c r="S1341" t="str">
        <f t="shared" ca="1" si="445"/>
        <v>Yes</v>
      </c>
      <c r="T1341" t="str">
        <f t="shared" ca="1" si="446"/>
        <v>Mild</v>
      </c>
      <c r="U1341" t="str">
        <f t="shared" ca="1" si="447"/>
        <v>ICU</v>
      </c>
      <c r="V1341" t="str">
        <f t="shared" si="448"/>
        <v>BED1340</v>
      </c>
      <c r="W1341" t="str">
        <f t="shared" ca="1" si="449"/>
        <v>General</v>
      </c>
      <c r="X1341" t="str">
        <f t="shared" si="450"/>
        <v>NUR040</v>
      </c>
      <c r="Y1341" t="str">
        <f t="shared" ca="1" si="451"/>
        <v>Night</v>
      </c>
      <c r="Z1341" t="str">
        <f t="shared" ca="1" si="452"/>
        <v>CT Scanner</v>
      </c>
      <c r="AA1341" t="str">
        <f t="shared" ca="1" si="453"/>
        <v>In Use</v>
      </c>
      <c r="AB1341" t="str">
        <f t="shared" ca="1" si="454"/>
        <v>Partially Paid</v>
      </c>
      <c r="AC1341" t="str">
        <f t="shared" ca="1" si="455"/>
        <v>Insurance</v>
      </c>
      <c r="AD1341" t="str">
        <f t="shared" ca="1" si="456"/>
        <v>No</v>
      </c>
      <c r="AE1341" t="str">
        <f t="shared" ca="1" si="457"/>
        <v>No</v>
      </c>
      <c r="AF1341" t="str">
        <f t="shared" ca="1" si="458"/>
        <v>Under Observation</v>
      </c>
      <c r="AG1341" t="str">
        <f t="shared" ca="1" si="459"/>
        <v>Southeast</v>
      </c>
      <c r="AH1341" t="str">
        <f t="shared" si="442"/>
        <v>March</v>
      </c>
      <c r="AI1341">
        <f t="shared" si="443"/>
        <v>2020</v>
      </c>
      <c r="AJ1341" t="str">
        <f t="shared" ca="1" si="460"/>
        <v>Vacant</v>
      </c>
      <c r="AK1341">
        <f t="shared" ca="1" si="461"/>
        <v>1</v>
      </c>
    </row>
    <row r="1342" spans="1:37" x14ac:dyDescent="0.3">
      <c r="A1342" t="s">
        <v>5744</v>
      </c>
      <c r="B1342">
        <v>18</v>
      </c>
      <c r="C1342" t="s">
        <v>32</v>
      </c>
      <c r="D1342" t="s">
        <v>38</v>
      </c>
      <c r="E1342" t="s">
        <v>64</v>
      </c>
      <c r="F1342" s="1">
        <v>44204</v>
      </c>
      <c r="G1342" t="s">
        <v>2692</v>
      </c>
      <c r="H1342" t="s">
        <v>2693</v>
      </c>
      <c r="I1342" t="s">
        <v>36</v>
      </c>
      <c r="J1342">
        <v>21073</v>
      </c>
      <c r="K1342">
        <v>189</v>
      </c>
      <c r="L1342" t="s">
        <v>42</v>
      </c>
      <c r="M1342" s="1">
        <v>44224</v>
      </c>
      <c r="N1342" t="s">
        <v>22</v>
      </c>
      <c r="O1342" t="s">
        <v>31</v>
      </c>
      <c r="P1342" t="str">
        <f t="shared" si="444"/>
        <v>P1341</v>
      </c>
      <c r="Q1342" t="str">
        <f t="shared" si="440"/>
        <v>Cardiology</v>
      </c>
      <c r="R1342">
        <f t="shared" si="441"/>
        <v>20</v>
      </c>
      <c r="S1342" t="str">
        <f t="shared" ca="1" si="445"/>
        <v>No</v>
      </c>
      <c r="T1342" t="str">
        <f t="shared" ca="1" si="446"/>
        <v>Mild</v>
      </c>
      <c r="U1342" t="str">
        <f t="shared" ca="1" si="447"/>
        <v>ICU</v>
      </c>
      <c r="V1342" t="str">
        <f t="shared" si="448"/>
        <v>BED1341</v>
      </c>
      <c r="W1342" t="str">
        <f t="shared" ca="1" si="449"/>
        <v>Semi-Private</v>
      </c>
      <c r="X1342" t="str">
        <f t="shared" si="450"/>
        <v>NUR041</v>
      </c>
      <c r="Y1342" t="str">
        <f t="shared" ca="1" si="451"/>
        <v>Morning</v>
      </c>
      <c r="Z1342" t="str">
        <f t="shared" ca="1" si="452"/>
        <v>Ultrasound</v>
      </c>
      <c r="AA1342" t="str">
        <f t="shared" ca="1" si="453"/>
        <v>Maintenance</v>
      </c>
      <c r="AB1342" t="str">
        <f t="shared" ca="1" si="454"/>
        <v>Paid</v>
      </c>
      <c r="AC1342" t="str">
        <f t="shared" ca="1" si="455"/>
        <v>Insurance</v>
      </c>
      <c r="AD1342" t="str">
        <f t="shared" ca="1" si="456"/>
        <v>No</v>
      </c>
      <c r="AE1342" t="str">
        <f t="shared" ca="1" si="457"/>
        <v>No</v>
      </c>
      <c r="AF1342" t="str">
        <f t="shared" ca="1" si="458"/>
        <v>Transferred</v>
      </c>
      <c r="AG1342" t="str">
        <f t="shared" ca="1" si="459"/>
        <v>West Coast</v>
      </c>
      <c r="AH1342" t="str">
        <f t="shared" si="442"/>
        <v>January</v>
      </c>
      <c r="AI1342">
        <f t="shared" si="443"/>
        <v>2021</v>
      </c>
      <c r="AJ1342" t="str">
        <f t="shared" ca="1" si="460"/>
        <v>Vacant</v>
      </c>
      <c r="AK1342">
        <f t="shared" ca="1" si="461"/>
        <v>2</v>
      </c>
    </row>
    <row r="1343" spans="1:37" x14ac:dyDescent="0.3">
      <c r="A1343" t="s">
        <v>5745</v>
      </c>
      <c r="B1343">
        <v>71</v>
      </c>
      <c r="C1343" t="s">
        <v>15</v>
      </c>
      <c r="D1343" t="s">
        <v>83</v>
      </c>
      <c r="E1343" t="s">
        <v>39</v>
      </c>
      <c r="F1343" s="1">
        <v>44425</v>
      </c>
      <c r="G1343" t="s">
        <v>2694</v>
      </c>
      <c r="H1343" t="s">
        <v>2695</v>
      </c>
      <c r="I1343" t="s">
        <v>36</v>
      </c>
      <c r="J1343">
        <v>25100</v>
      </c>
      <c r="K1343">
        <v>110</v>
      </c>
      <c r="L1343" t="s">
        <v>29</v>
      </c>
      <c r="M1343" s="1">
        <v>44446</v>
      </c>
      <c r="N1343" t="s">
        <v>30</v>
      </c>
      <c r="O1343" t="s">
        <v>23</v>
      </c>
      <c r="P1343" t="str">
        <f t="shared" si="444"/>
        <v>P1342</v>
      </c>
      <c r="Q1343" t="str">
        <f t="shared" si="440"/>
        <v>Endocrinology</v>
      </c>
      <c r="R1343">
        <f t="shared" si="441"/>
        <v>21</v>
      </c>
      <c r="S1343" t="str">
        <f t="shared" ca="1" si="445"/>
        <v>No</v>
      </c>
      <c r="T1343" t="str">
        <f t="shared" ca="1" si="446"/>
        <v>Mild</v>
      </c>
      <c r="U1343" t="str">
        <f t="shared" ca="1" si="447"/>
        <v>Emergency</v>
      </c>
      <c r="V1343" t="str">
        <f t="shared" si="448"/>
        <v>BED1342</v>
      </c>
      <c r="W1343" t="str">
        <f t="shared" ca="1" si="449"/>
        <v>General</v>
      </c>
      <c r="X1343" t="str">
        <f t="shared" si="450"/>
        <v>NUR042</v>
      </c>
      <c r="Y1343" t="str">
        <f t="shared" ca="1" si="451"/>
        <v>Night</v>
      </c>
      <c r="Z1343" t="str">
        <f t="shared" ca="1" si="452"/>
        <v>ECG Machine</v>
      </c>
      <c r="AA1343" t="str">
        <f t="shared" ca="1" si="453"/>
        <v>In Use</v>
      </c>
      <c r="AB1343" t="str">
        <f t="shared" ca="1" si="454"/>
        <v>Partially Paid</v>
      </c>
      <c r="AC1343" t="str">
        <f t="shared" ca="1" si="455"/>
        <v>Debit Card</v>
      </c>
      <c r="AD1343" t="str">
        <f t="shared" ca="1" si="456"/>
        <v>No</v>
      </c>
      <c r="AE1343" t="str">
        <f t="shared" ca="1" si="457"/>
        <v>No</v>
      </c>
      <c r="AF1343" t="str">
        <f t="shared" ca="1" si="458"/>
        <v>Under Observation</v>
      </c>
      <c r="AG1343" t="str">
        <f t="shared" ca="1" si="459"/>
        <v>Southwest</v>
      </c>
      <c r="AH1343" t="str">
        <f t="shared" si="442"/>
        <v>August</v>
      </c>
      <c r="AI1343">
        <f t="shared" si="443"/>
        <v>2021</v>
      </c>
      <c r="AJ1343" t="str">
        <f t="shared" ca="1" si="460"/>
        <v>Occupied</v>
      </c>
      <c r="AK1343">
        <f t="shared" ca="1" si="461"/>
        <v>2</v>
      </c>
    </row>
    <row r="1344" spans="1:37" x14ac:dyDescent="0.3">
      <c r="A1344" t="s">
        <v>5746</v>
      </c>
      <c r="B1344">
        <v>77</v>
      </c>
      <c r="C1344" t="s">
        <v>15</v>
      </c>
      <c r="D1344" t="s">
        <v>33</v>
      </c>
      <c r="E1344" t="s">
        <v>64</v>
      </c>
      <c r="F1344" s="1">
        <v>45336</v>
      </c>
      <c r="G1344" t="s">
        <v>2696</v>
      </c>
      <c r="H1344" t="s">
        <v>2697</v>
      </c>
      <c r="I1344" t="s">
        <v>28</v>
      </c>
      <c r="J1344">
        <v>34007</v>
      </c>
      <c r="K1344">
        <v>411</v>
      </c>
      <c r="L1344" t="s">
        <v>21</v>
      </c>
      <c r="M1344" s="1">
        <v>45340</v>
      </c>
      <c r="N1344" t="s">
        <v>22</v>
      </c>
      <c r="O1344" t="s">
        <v>43</v>
      </c>
      <c r="P1344" t="str">
        <f t="shared" si="444"/>
        <v>P1343</v>
      </c>
      <c r="Q1344" t="str">
        <f t="shared" si="440"/>
        <v>Cardiology</v>
      </c>
      <c r="R1344">
        <f t="shared" si="441"/>
        <v>4</v>
      </c>
      <c r="S1344" t="str">
        <f t="shared" ca="1" si="445"/>
        <v>No</v>
      </c>
      <c r="T1344" t="str">
        <f t="shared" ca="1" si="446"/>
        <v>Moderate</v>
      </c>
      <c r="U1344" t="str">
        <f t="shared" ca="1" si="447"/>
        <v>General Ward</v>
      </c>
      <c r="V1344" t="str">
        <f t="shared" si="448"/>
        <v>BED1343</v>
      </c>
      <c r="W1344" t="str">
        <f t="shared" ca="1" si="449"/>
        <v>Private</v>
      </c>
      <c r="X1344" t="str">
        <f t="shared" si="450"/>
        <v>NUR043</v>
      </c>
      <c r="Y1344" t="str">
        <f t="shared" ca="1" si="451"/>
        <v>Morning</v>
      </c>
      <c r="Z1344" t="str">
        <f t="shared" ca="1" si="452"/>
        <v>MRI Scanner</v>
      </c>
      <c r="AA1344" t="str">
        <f t="shared" ca="1" si="453"/>
        <v>In Use</v>
      </c>
      <c r="AB1344" t="str">
        <f t="shared" ca="1" si="454"/>
        <v>Paid</v>
      </c>
      <c r="AC1344" t="str">
        <f t="shared" ca="1" si="455"/>
        <v>Credit Card</v>
      </c>
      <c r="AD1344" t="str">
        <f t="shared" ca="1" si="456"/>
        <v>No</v>
      </c>
      <c r="AE1344" t="str">
        <f t="shared" ca="1" si="457"/>
        <v>No</v>
      </c>
      <c r="AF1344" t="str">
        <f t="shared" ca="1" si="458"/>
        <v>Recovered</v>
      </c>
      <c r="AG1344" t="str">
        <f t="shared" ca="1" si="459"/>
        <v>Northeast</v>
      </c>
      <c r="AH1344" t="str">
        <f t="shared" si="442"/>
        <v>February</v>
      </c>
      <c r="AI1344">
        <f t="shared" si="443"/>
        <v>2024</v>
      </c>
      <c r="AJ1344" t="str">
        <f t="shared" ca="1" si="460"/>
        <v>Occupied</v>
      </c>
      <c r="AK1344">
        <f t="shared" ca="1" si="461"/>
        <v>4</v>
      </c>
    </row>
    <row r="1345" spans="1:37" x14ac:dyDescent="0.3">
      <c r="A1345" t="s">
        <v>5747</v>
      </c>
      <c r="B1345">
        <v>34</v>
      </c>
      <c r="C1345" t="s">
        <v>15</v>
      </c>
      <c r="D1345" t="s">
        <v>52</v>
      </c>
      <c r="E1345" t="s">
        <v>64</v>
      </c>
      <c r="F1345" s="1">
        <v>44385</v>
      </c>
      <c r="G1345" t="s">
        <v>2698</v>
      </c>
      <c r="H1345" t="s">
        <v>2699</v>
      </c>
      <c r="I1345" t="s">
        <v>57</v>
      </c>
      <c r="J1345">
        <v>15343</v>
      </c>
      <c r="K1345">
        <v>450</v>
      </c>
      <c r="L1345" t="s">
        <v>29</v>
      </c>
      <c r="M1345" s="1">
        <v>44398</v>
      </c>
      <c r="N1345" t="s">
        <v>22</v>
      </c>
      <c r="O1345" t="s">
        <v>23</v>
      </c>
      <c r="P1345" t="str">
        <f t="shared" si="444"/>
        <v>P1344</v>
      </c>
      <c r="Q1345" t="str">
        <f t="shared" si="440"/>
        <v>Cardiology</v>
      </c>
      <c r="R1345">
        <f t="shared" si="441"/>
        <v>13</v>
      </c>
      <c r="S1345" t="str">
        <f t="shared" ca="1" si="445"/>
        <v>No</v>
      </c>
      <c r="T1345" t="str">
        <f t="shared" ca="1" si="446"/>
        <v>Mild</v>
      </c>
      <c r="U1345" t="str">
        <f t="shared" ca="1" si="447"/>
        <v>ICU</v>
      </c>
      <c r="V1345" t="str">
        <f t="shared" si="448"/>
        <v>BED1344</v>
      </c>
      <c r="W1345" t="str">
        <f t="shared" ca="1" si="449"/>
        <v>Private</v>
      </c>
      <c r="X1345" t="str">
        <f t="shared" si="450"/>
        <v>NUR044</v>
      </c>
      <c r="Y1345" t="str">
        <f t="shared" ca="1" si="451"/>
        <v>Evening</v>
      </c>
      <c r="Z1345" t="str">
        <f t="shared" ca="1" si="452"/>
        <v>CT Scanner</v>
      </c>
      <c r="AA1345" t="str">
        <f t="shared" ca="1" si="453"/>
        <v>Available</v>
      </c>
      <c r="AB1345" t="str">
        <f t="shared" ca="1" si="454"/>
        <v>Paid</v>
      </c>
      <c r="AC1345" t="str">
        <f t="shared" ca="1" si="455"/>
        <v>Bank Transfer</v>
      </c>
      <c r="AD1345" t="str">
        <f t="shared" ca="1" si="456"/>
        <v>No</v>
      </c>
      <c r="AE1345" t="str">
        <f t="shared" ca="1" si="457"/>
        <v>No</v>
      </c>
      <c r="AF1345" t="str">
        <f t="shared" ca="1" si="458"/>
        <v>Transferred</v>
      </c>
      <c r="AG1345" t="str">
        <f t="shared" ca="1" si="459"/>
        <v>Southwest</v>
      </c>
      <c r="AH1345" t="str">
        <f t="shared" si="442"/>
        <v>July</v>
      </c>
      <c r="AI1345">
        <f t="shared" si="443"/>
        <v>2021</v>
      </c>
      <c r="AJ1345" t="str">
        <f t="shared" ca="1" si="460"/>
        <v>Occupied</v>
      </c>
      <c r="AK1345">
        <f t="shared" ca="1" si="461"/>
        <v>2</v>
      </c>
    </row>
    <row r="1346" spans="1:37" x14ac:dyDescent="0.3">
      <c r="A1346" t="s">
        <v>5501</v>
      </c>
      <c r="B1346">
        <v>63</v>
      </c>
      <c r="C1346" t="s">
        <v>15</v>
      </c>
      <c r="D1346" t="s">
        <v>83</v>
      </c>
      <c r="E1346" t="s">
        <v>39</v>
      </c>
      <c r="F1346" s="1">
        <v>43706</v>
      </c>
      <c r="G1346" t="s">
        <v>2700</v>
      </c>
      <c r="H1346" t="s">
        <v>2701</v>
      </c>
      <c r="I1346" t="s">
        <v>28</v>
      </c>
      <c r="J1346">
        <v>39935</v>
      </c>
      <c r="K1346">
        <v>212</v>
      </c>
      <c r="L1346" t="s">
        <v>21</v>
      </c>
      <c r="M1346" s="1">
        <v>43729</v>
      </c>
      <c r="N1346" t="s">
        <v>30</v>
      </c>
      <c r="O1346" t="s">
        <v>43</v>
      </c>
      <c r="P1346" t="str">
        <f t="shared" si="444"/>
        <v>P1345</v>
      </c>
      <c r="Q1346" t="str">
        <f t="shared" ref="Q1346:Q1409" si="462">IF(E1346="Cancer","Oncology",IF(E1346="Obesity","Nutrition",IF(E1346="Diabetes","Endocrinology",IF(E1346="Asthma","Pulmonology",IF(E1346="Arthritis","Orthopedics",IF(E1346="Hypertension","Cardiology","General Medicine"))))))</f>
        <v>Endocrinology</v>
      </c>
      <c r="R1346">
        <f t="shared" ref="R1346:R1409" si="463">M1346-F1346</f>
        <v>23</v>
      </c>
      <c r="S1346" t="str">
        <f t="shared" ca="1" si="445"/>
        <v>No</v>
      </c>
      <c r="T1346" t="str">
        <f t="shared" ca="1" si="446"/>
        <v>Severe</v>
      </c>
      <c r="U1346" t="str">
        <f t="shared" ca="1" si="447"/>
        <v>Emergency</v>
      </c>
      <c r="V1346" t="str">
        <f t="shared" si="448"/>
        <v>BED1345</v>
      </c>
      <c r="W1346" t="str">
        <f t="shared" ca="1" si="449"/>
        <v>ICU</v>
      </c>
      <c r="X1346" t="str">
        <f t="shared" si="450"/>
        <v>NUR045</v>
      </c>
      <c r="Y1346" t="str">
        <f t="shared" ca="1" si="451"/>
        <v>Evening</v>
      </c>
      <c r="Z1346" t="str">
        <f t="shared" ca="1" si="452"/>
        <v>Ventilator</v>
      </c>
      <c r="AA1346" t="str">
        <f t="shared" ca="1" si="453"/>
        <v>In Use</v>
      </c>
      <c r="AB1346" t="str">
        <f t="shared" ca="1" si="454"/>
        <v>Paid</v>
      </c>
      <c r="AC1346" t="str">
        <f t="shared" ca="1" si="455"/>
        <v>Debit Card</v>
      </c>
      <c r="AD1346" t="str">
        <f t="shared" ca="1" si="456"/>
        <v>No</v>
      </c>
      <c r="AE1346" t="str">
        <f t="shared" ca="1" si="457"/>
        <v>Yes</v>
      </c>
      <c r="AF1346" t="str">
        <f t="shared" ca="1" si="458"/>
        <v>Transferred</v>
      </c>
      <c r="AG1346" t="str">
        <f t="shared" ca="1" si="459"/>
        <v>West Coast</v>
      </c>
      <c r="AH1346" t="str">
        <f t="shared" ref="AH1346:AH1409" si="464">TEXT(F1346,"MMMM")</f>
        <v>August</v>
      </c>
      <c r="AI1346">
        <f t="shared" ref="AI1346:AI1409" si="465">YEAR(F1346)</f>
        <v>2019</v>
      </c>
      <c r="AJ1346" t="str">
        <f t="shared" ca="1" si="460"/>
        <v>Occupied</v>
      </c>
      <c r="AK1346">
        <f t="shared" ca="1" si="461"/>
        <v>1</v>
      </c>
    </row>
    <row r="1347" spans="1:37" x14ac:dyDescent="0.3">
      <c r="A1347" t="s">
        <v>5748</v>
      </c>
      <c r="B1347">
        <v>77</v>
      </c>
      <c r="C1347" t="s">
        <v>15</v>
      </c>
      <c r="D1347" t="s">
        <v>24</v>
      </c>
      <c r="E1347" t="s">
        <v>25</v>
      </c>
      <c r="F1347" s="1">
        <v>45127</v>
      </c>
      <c r="G1347" t="s">
        <v>2702</v>
      </c>
      <c r="H1347" t="s">
        <v>2703</v>
      </c>
      <c r="I1347" t="s">
        <v>36</v>
      </c>
      <c r="J1347">
        <v>42830</v>
      </c>
      <c r="K1347">
        <v>193</v>
      </c>
      <c r="L1347" t="s">
        <v>21</v>
      </c>
      <c r="M1347" s="1">
        <v>45152</v>
      </c>
      <c r="N1347" t="s">
        <v>67</v>
      </c>
      <c r="O1347" t="s">
        <v>43</v>
      </c>
      <c r="P1347" t="str">
        <f t="shared" ref="P1347:P1410" si="466">"P"&amp;TEXT(ROW()-1,"0000")</f>
        <v>P1346</v>
      </c>
      <c r="Q1347" t="str">
        <f t="shared" si="462"/>
        <v>Nutrition</v>
      </c>
      <c r="R1347">
        <f t="shared" si="463"/>
        <v>25</v>
      </c>
      <c r="S1347" t="str">
        <f t="shared" ref="S1347:S1410" ca="1" si="467">IF(RAND()&lt;0.1,"Yes","No")</f>
        <v>No</v>
      </c>
      <c r="T1347" t="str">
        <f t="shared" ref="T1347:T1410" ca="1" si="468">CHOOSE(RANDBETWEEN(1,4),"Mild","Moderate","Severe","Critical")</f>
        <v>Critical</v>
      </c>
      <c r="U1347" t="str">
        <f t="shared" ref="U1347:U1410" ca="1" si="469">CHOOSE(RANDBETWEEN(1,5),"General Ward","ICU","Emergency","Private Ward","Semi-Private")</f>
        <v>General Ward</v>
      </c>
      <c r="V1347" t="str">
        <f t="shared" ref="V1347:V1410" si="470">"BED"&amp;TEXT(ROW()-1,"0000")</f>
        <v>BED1346</v>
      </c>
      <c r="W1347" t="str">
        <f t="shared" ref="W1347:W1410" ca="1" si="471">CHOOSE(RANDBETWEEN(1,4),"General","Private","Semi-Private","ICU")</f>
        <v>Private</v>
      </c>
      <c r="X1347" t="str">
        <f t="shared" ref="X1347:X1410" si="472">"NUR"&amp;TEXT(MOD(ROW()-2,50)+1,"000")</f>
        <v>NUR046</v>
      </c>
      <c r="Y1347" t="str">
        <f t="shared" ref="Y1347:Y1410" ca="1" si="473">CHOOSE(RANDBETWEEN(1,3),"Morning","Evening","Night")</f>
        <v>Night</v>
      </c>
      <c r="Z1347" t="str">
        <f t="shared" ref="Z1347:Z1410" ca="1" si="474">CHOOSE(RANDBETWEEN(1,6),"MRI Scanner","CT Scanner","Ventilator","X-Ray","ECG Machine","Ultrasound")</f>
        <v>Ultrasound</v>
      </c>
      <c r="AA1347" t="str">
        <f t="shared" ref="AA1347:AA1410" ca="1" si="475">CHOOSE(RANDBETWEEN(1,3),"Available","In Use","Maintenance")</f>
        <v>Available</v>
      </c>
      <c r="AB1347" t="str">
        <f t="shared" ref="AB1347:AB1410" ca="1" si="476">CHOOSE(RANDBETWEEN(1,3),"Paid","Pending","Partially Paid")</f>
        <v>Pending</v>
      </c>
      <c r="AC1347" t="str">
        <f t="shared" ref="AC1347:AC1410" ca="1" si="477">CHOOSE(RANDBETWEEN(1,5),"Cash","Credit Card","Debit Card","Insurance","Bank Transfer")</f>
        <v>Cash</v>
      </c>
      <c r="AD1347" t="str">
        <f t="shared" ref="AD1347:AD1410" ca="1" si="478">IF(RAND()&lt;0.2,"Yes","No")</f>
        <v>Yes</v>
      </c>
      <c r="AE1347" t="str">
        <f t="shared" ref="AE1347:AE1410" ca="1" si="479">IF(RAND()&lt;0.15,"Yes","No")</f>
        <v>No</v>
      </c>
      <c r="AF1347" t="str">
        <f t="shared" ref="AF1347:AF1410" ca="1" si="480">CHOOSE(RANDBETWEEN(1,3),"Recovered","Transferred","Under Observation")</f>
        <v>Transferred</v>
      </c>
      <c r="AG1347" t="str">
        <f t="shared" ref="AG1347:AG1410" ca="1" si="481">CHOOSE(RANDBETWEEN(1,5),"Northeast","Southeast","Midwest","Southwest","West Coast")</f>
        <v>West Coast</v>
      </c>
      <c r="AH1347" t="str">
        <f t="shared" si="464"/>
        <v>July</v>
      </c>
      <c r="AI1347">
        <f t="shared" si="465"/>
        <v>2023</v>
      </c>
      <c r="AJ1347" t="str">
        <f t="shared" ref="AJ1347:AJ1410" ca="1" si="482">IF(RANDBETWEEN(1,100)&lt;=80,"Occupied","Vacant")</f>
        <v>Occupied</v>
      </c>
      <c r="AK1347">
        <f t="shared" ref="AK1347:AK1410" ca="1" si="483">CHOOSE(RANDBETWEEN(1,3),1,2,4)</f>
        <v>4</v>
      </c>
    </row>
    <row r="1348" spans="1:37" x14ac:dyDescent="0.3">
      <c r="A1348" t="s">
        <v>5749</v>
      </c>
      <c r="B1348">
        <v>70</v>
      </c>
      <c r="C1348" t="s">
        <v>15</v>
      </c>
      <c r="D1348" t="s">
        <v>33</v>
      </c>
      <c r="E1348" t="s">
        <v>39</v>
      </c>
      <c r="F1348" s="1">
        <v>43748</v>
      </c>
      <c r="G1348" t="s">
        <v>2704</v>
      </c>
      <c r="H1348" t="s">
        <v>2705</v>
      </c>
      <c r="I1348" t="s">
        <v>20</v>
      </c>
      <c r="J1348">
        <v>26499</v>
      </c>
      <c r="K1348">
        <v>116</v>
      </c>
      <c r="L1348" t="s">
        <v>21</v>
      </c>
      <c r="M1348" s="1">
        <v>43765</v>
      </c>
      <c r="N1348" t="s">
        <v>37</v>
      </c>
      <c r="O1348" t="s">
        <v>23</v>
      </c>
      <c r="P1348" t="str">
        <f t="shared" si="466"/>
        <v>P1347</v>
      </c>
      <c r="Q1348" t="str">
        <f t="shared" si="462"/>
        <v>Endocrinology</v>
      </c>
      <c r="R1348">
        <f t="shared" si="463"/>
        <v>17</v>
      </c>
      <c r="S1348" t="str">
        <f t="shared" ca="1" si="467"/>
        <v>No</v>
      </c>
      <c r="T1348" t="str">
        <f t="shared" ca="1" si="468"/>
        <v>Critical</v>
      </c>
      <c r="U1348" t="str">
        <f t="shared" ca="1" si="469"/>
        <v>ICU</v>
      </c>
      <c r="V1348" t="str">
        <f t="shared" si="470"/>
        <v>BED1347</v>
      </c>
      <c r="W1348" t="str">
        <f t="shared" ca="1" si="471"/>
        <v>Private</v>
      </c>
      <c r="X1348" t="str">
        <f t="shared" si="472"/>
        <v>NUR047</v>
      </c>
      <c r="Y1348" t="str">
        <f t="shared" ca="1" si="473"/>
        <v>Night</v>
      </c>
      <c r="Z1348" t="str">
        <f t="shared" ca="1" si="474"/>
        <v>ECG Machine</v>
      </c>
      <c r="AA1348" t="str">
        <f t="shared" ca="1" si="475"/>
        <v>Available</v>
      </c>
      <c r="AB1348" t="str">
        <f t="shared" ca="1" si="476"/>
        <v>Paid</v>
      </c>
      <c r="AC1348" t="str">
        <f t="shared" ca="1" si="477"/>
        <v>Cash</v>
      </c>
      <c r="AD1348" t="str">
        <f t="shared" ca="1" si="478"/>
        <v>No</v>
      </c>
      <c r="AE1348" t="str">
        <f t="shared" ca="1" si="479"/>
        <v>No</v>
      </c>
      <c r="AF1348" t="str">
        <f t="shared" ca="1" si="480"/>
        <v>Under Observation</v>
      </c>
      <c r="AG1348" t="str">
        <f t="shared" ca="1" si="481"/>
        <v>Southeast</v>
      </c>
      <c r="AH1348" t="str">
        <f t="shared" si="464"/>
        <v>October</v>
      </c>
      <c r="AI1348">
        <f t="shared" si="465"/>
        <v>2019</v>
      </c>
      <c r="AJ1348" t="str">
        <f t="shared" ca="1" si="482"/>
        <v>Occupied</v>
      </c>
      <c r="AK1348">
        <f t="shared" ca="1" si="483"/>
        <v>2</v>
      </c>
    </row>
    <row r="1349" spans="1:37" x14ac:dyDescent="0.3">
      <c r="A1349" t="s">
        <v>5750</v>
      </c>
      <c r="B1349">
        <v>26</v>
      </c>
      <c r="C1349" t="s">
        <v>15</v>
      </c>
      <c r="D1349" t="s">
        <v>98</v>
      </c>
      <c r="E1349" t="s">
        <v>64</v>
      </c>
      <c r="F1349" s="1">
        <v>43781</v>
      </c>
      <c r="G1349" t="s">
        <v>2706</v>
      </c>
      <c r="H1349" t="s">
        <v>2707</v>
      </c>
      <c r="I1349" t="s">
        <v>20</v>
      </c>
      <c r="J1349">
        <v>47840</v>
      </c>
      <c r="K1349">
        <v>199</v>
      </c>
      <c r="L1349" t="s">
        <v>21</v>
      </c>
      <c r="M1349" s="1">
        <v>43785</v>
      </c>
      <c r="N1349" t="s">
        <v>47</v>
      </c>
      <c r="O1349" t="s">
        <v>23</v>
      </c>
      <c r="P1349" t="str">
        <f t="shared" si="466"/>
        <v>P1348</v>
      </c>
      <c r="Q1349" t="str">
        <f t="shared" si="462"/>
        <v>Cardiology</v>
      </c>
      <c r="R1349">
        <f t="shared" si="463"/>
        <v>4</v>
      </c>
      <c r="S1349" t="str">
        <f t="shared" ca="1" si="467"/>
        <v>No</v>
      </c>
      <c r="T1349" t="str">
        <f t="shared" ca="1" si="468"/>
        <v>Severe</v>
      </c>
      <c r="U1349" t="str">
        <f t="shared" ca="1" si="469"/>
        <v>Private Ward</v>
      </c>
      <c r="V1349" t="str">
        <f t="shared" si="470"/>
        <v>BED1348</v>
      </c>
      <c r="W1349" t="str">
        <f t="shared" ca="1" si="471"/>
        <v>Semi-Private</v>
      </c>
      <c r="X1349" t="str">
        <f t="shared" si="472"/>
        <v>NUR048</v>
      </c>
      <c r="Y1349" t="str">
        <f t="shared" ca="1" si="473"/>
        <v>Evening</v>
      </c>
      <c r="Z1349" t="str">
        <f t="shared" ca="1" si="474"/>
        <v>ECG Machine</v>
      </c>
      <c r="AA1349" t="str">
        <f t="shared" ca="1" si="475"/>
        <v>In Use</v>
      </c>
      <c r="AB1349" t="str">
        <f t="shared" ca="1" si="476"/>
        <v>Partially Paid</v>
      </c>
      <c r="AC1349" t="str">
        <f t="shared" ca="1" si="477"/>
        <v>Credit Card</v>
      </c>
      <c r="AD1349" t="str">
        <f t="shared" ca="1" si="478"/>
        <v>No</v>
      </c>
      <c r="AE1349" t="str">
        <f t="shared" ca="1" si="479"/>
        <v>No</v>
      </c>
      <c r="AF1349" t="str">
        <f t="shared" ca="1" si="480"/>
        <v>Transferred</v>
      </c>
      <c r="AG1349" t="str">
        <f t="shared" ca="1" si="481"/>
        <v>Northeast</v>
      </c>
      <c r="AH1349" t="str">
        <f t="shared" si="464"/>
        <v>November</v>
      </c>
      <c r="AI1349">
        <f t="shared" si="465"/>
        <v>2019</v>
      </c>
      <c r="AJ1349" t="str">
        <f t="shared" ca="1" si="482"/>
        <v>Occupied</v>
      </c>
      <c r="AK1349">
        <f t="shared" ca="1" si="483"/>
        <v>4</v>
      </c>
    </row>
    <row r="1350" spans="1:37" x14ac:dyDescent="0.3">
      <c r="A1350" t="s">
        <v>5751</v>
      </c>
      <c r="B1350">
        <v>36</v>
      </c>
      <c r="C1350" t="s">
        <v>15</v>
      </c>
      <c r="D1350" t="s">
        <v>38</v>
      </c>
      <c r="E1350" t="s">
        <v>48</v>
      </c>
      <c r="F1350" s="1">
        <v>43899</v>
      </c>
      <c r="G1350" t="s">
        <v>2708</v>
      </c>
      <c r="H1350" t="s">
        <v>2709</v>
      </c>
      <c r="I1350" t="s">
        <v>51</v>
      </c>
      <c r="J1350">
        <v>45413</v>
      </c>
      <c r="K1350">
        <v>352</v>
      </c>
      <c r="L1350" t="s">
        <v>29</v>
      </c>
      <c r="M1350" s="1">
        <v>43924</v>
      </c>
      <c r="N1350" t="s">
        <v>22</v>
      </c>
      <c r="O1350" t="s">
        <v>43</v>
      </c>
      <c r="P1350" t="str">
        <f t="shared" si="466"/>
        <v>P1349</v>
      </c>
      <c r="Q1350" t="str">
        <f t="shared" si="462"/>
        <v>Pulmonology</v>
      </c>
      <c r="R1350">
        <f t="shared" si="463"/>
        <v>25</v>
      </c>
      <c r="S1350" t="str">
        <f t="shared" ca="1" si="467"/>
        <v>No</v>
      </c>
      <c r="T1350" t="str">
        <f t="shared" ca="1" si="468"/>
        <v>Moderate</v>
      </c>
      <c r="U1350" t="str">
        <f t="shared" ca="1" si="469"/>
        <v>Private Ward</v>
      </c>
      <c r="V1350" t="str">
        <f t="shared" si="470"/>
        <v>BED1349</v>
      </c>
      <c r="W1350" t="str">
        <f t="shared" ca="1" si="471"/>
        <v>ICU</v>
      </c>
      <c r="X1350" t="str">
        <f t="shared" si="472"/>
        <v>NUR049</v>
      </c>
      <c r="Y1350" t="str">
        <f t="shared" ca="1" si="473"/>
        <v>Evening</v>
      </c>
      <c r="Z1350" t="str">
        <f t="shared" ca="1" si="474"/>
        <v>Ventilator</v>
      </c>
      <c r="AA1350" t="str">
        <f t="shared" ca="1" si="475"/>
        <v>Available</v>
      </c>
      <c r="AB1350" t="str">
        <f t="shared" ca="1" si="476"/>
        <v>Partially Paid</v>
      </c>
      <c r="AC1350" t="str">
        <f t="shared" ca="1" si="477"/>
        <v>Credit Card</v>
      </c>
      <c r="AD1350" t="str">
        <f t="shared" ca="1" si="478"/>
        <v>Yes</v>
      </c>
      <c r="AE1350" t="str">
        <f t="shared" ca="1" si="479"/>
        <v>No</v>
      </c>
      <c r="AF1350" t="str">
        <f t="shared" ca="1" si="480"/>
        <v>Under Observation</v>
      </c>
      <c r="AG1350" t="str">
        <f t="shared" ca="1" si="481"/>
        <v>Northeast</v>
      </c>
      <c r="AH1350" t="str">
        <f t="shared" si="464"/>
        <v>March</v>
      </c>
      <c r="AI1350">
        <f t="shared" si="465"/>
        <v>2020</v>
      </c>
      <c r="AJ1350" t="str">
        <f t="shared" ca="1" si="482"/>
        <v>Occupied</v>
      </c>
      <c r="AK1350">
        <f t="shared" ca="1" si="483"/>
        <v>4</v>
      </c>
    </row>
    <row r="1351" spans="1:37" x14ac:dyDescent="0.3">
      <c r="A1351" t="s">
        <v>5752</v>
      </c>
      <c r="B1351">
        <v>68</v>
      </c>
      <c r="C1351" t="s">
        <v>32</v>
      </c>
      <c r="D1351" t="s">
        <v>24</v>
      </c>
      <c r="E1351" t="s">
        <v>64</v>
      </c>
      <c r="F1351" s="1">
        <v>44431</v>
      </c>
      <c r="G1351" t="s">
        <v>2710</v>
      </c>
      <c r="H1351" t="s">
        <v>2711</v>
      </c>
      <c r="I1351" t="s">
        <v>28</v>
      </c>
      <c r="J1351">
        <v>45477</v>
      </c>
      <c r="K1351">
        <v>473</v>
      </c>
      <c r="L1351" t="s">
        <v>29</v>
      </c>
      <c r="M1351" s="1">
        <v>44457</v>
      </c>
      <c r="N1351" t="s">
        <v>47</v>
      </c>
      <c r="O1351" t="s">
        <v>43</v>
      </c>
      <c r="P1351" t="str">
        <f t="shared" si="466"/>
        <v>P1350</v>
      </c>
      <c r="Q1351" t="str">
        <f t="shared" si="462"/>
        <v>Cardiology</v>
      </c>
      <c r="R1351">
        <f t="shared" si="463"/>
        <v>26</v>
      </c>
      <c r="S1351" t="str">
        <f t="shared" ca="1" si="467"/>
        <v>No</v>
      </c>
      <c r="T1351" t="str">
        <f t="shared" ca="1" si="468"/>
        <v>Severe</v>
      </c>
      <c r="U1351" t="str">
        <f t="shared" ca="1" si="469"/>
        <v>General Ward</v>
      </c>
      <c r="V1351" t="str">
        <f t="shared" si="470"/>
        <v>BED1350</v>
      </c>
      <c r="W1351" t="str">
        <f t="shared" ca="1" si="471"/>
        <v>Private</v>
      </c>
      <c r="X1351" t="str">
        <f t="shared" si="472"/>
        <v>NUR050</v>
      </c>
      <c r="Y1351" t="str">
        <f t="shared" ca="1" si="473"/>
        <v>Morning</v>
      </c>
      <c r="Z1351" t="str">
        <f t="shared" ca="1" si="474"/>
        <v>MRI Scanner</v>
      </c>
      <c r="AA1351" t="str">
        <f t="shared" ca="1" si="475"/>
        <v>In Use</v>
      </c>
      <c r="AB1351" t="str">
        <f t="shared" ca="1" si="476"/>
        <v>Paid</v>
      </c>
      <c r="AC1351" t="str">
        <f t="shared" ca="1" si="477"/>
        <v>Credit Card</v>
      </c>
      <c r="AD1351" t="str">
        <f t="shared" ca="1" si="478"/>
        <v>No</v>
      </c>
      <c r="AE1351" t="str">
        <f t="shared" ca="1" si="479"/>
        <v>Yes</v>
      </c>
      <c r="AF1351" t="str">
        <f t="shared" ca="1" si="480"/>
        <v>Recovered</v>
      </c>
      <c r="AG1351" t="str">
        <f t="shared" ca="1" si="481"/>
        <v>Southeast</v>
      </c>
      <c r="AH1351" t="str">
        <f t="shared" si="464"/>
        <v>August</v>
      </c>
      <c r="AI1351">
        <f t="shared" si="465"/>
        <v>2021</v>
      </c>
      <c r="AJ1351" t="str">
        <f t="shared" ca="1" si="482"/>
        <v>Occupied</v>
      </c>
      <c r="AK1351">
        <f t="shared" ca="1" si="483"/>
        <v>4</v>
      </c>
    </row>
    <row r="1352" spans="1:37" x14ac:dyDescent="0.3">
      <c r="A1352" t="s">
        <v>5753</v>
      </c>
      <c r="B1352">
        <v>51</v>
      </c>
      <c r="C1352" t="s">
        <v>15</v>
      </c>
      <c r="D1352" t="s">
        <v>38</v>
      </c>
      <c r="E1352" t="s">
        <v>48</v>
      </c>
      <c r="F1352" s="1">
        <v>45209</v>
      </c>
      <c r="G1352" t="s">
        <v>2712</v>
      </c>
      <c r="H1352" t="s">
        <v>2713</v>
      </c>
      <c r="I1352" t="s">
        <v>51</v>
      </c>
      <c r="J1352">
        <v>44927</v>
      </c>
      <c r="K1352">
        <v>453</v>
      </c>
      <c r="L1352" t="s">
        <v>29</v>
      </c>
      <c r="M1352" s="1">
        <v>45214</v>
      </c>
      <c r="N1352" t="s">
        <v>22</v>
      </c>
      <c r="O1352" t="s">
        <v>31</v>
      </c>
      <c r="P1352" t="str">
        <f t="shared" si="466"/>
        <v>P1351</v>
      </c>
      <c r="Q1352" t="str">
        <f t="shared" si="462"/>
        <v>Pulmonology</v>
      </c>
      <c r="R1352">
        <f t="shared" si="463"/>
        <v>5</v>
      </c>
      <c r="S1352" t="str">
        <f t="shared" ca="1" si="467"/>
        <v>No</v>
      </c>
      <c r="T1352" t="str">
        <f t="shared" ca="1" si="468"/>
        <v>Critical</v>
      </c>
      <c r="U1352" t="str">
        <f t="shared" ca="1" si="469"/>
        <v>ICU</v>
      </c>
      <c r="V1352" t="str">
        <f t="shared" si="470"/>
        <v>BED1351</v>
      </c>
      <c r="W1352" t="str">
        <f t="shared" ca="1" si="471"/>
        <v>Semi-Private</v>
      </c>
      <c r="X1352" t="str">
        <f t="shared" si="472"/>
        <v>NUR001</v>
      </c>
      <c r="Y1352" t="str">
        <f t="shared" ca="1" si="473"/>
        <v>Evening</v>
      </c>
      <c r="Z1352" t="str">
        <f t="shared" ca="1" si="474"/>
        <v>CT Scanner</v>
      </c>
      <c r="AA1352" t="str">
        <f t="shared" ca="1" si="475"/>
        <v>Available</v>
      </c>
      <c r="AB1352" t="str">
        <f t="shared" ca="1" si="476"/>
        <v>Paid</v>
      </c>
      <c r="AC1352" t="str">
        <f t="shared" ca="1" si="477"/>
        <v>Credit Card</v>
      </c>
      <c r="AD1352" t="str">
        <f t="shared" ca="1" si="478"/>
        <v>No</v>
      </c>
      <c r="AE1352" t="str">
        <f t="shared" ca="1" si="479"/>
        <v>No</v>
      </c>
      <c r="AF1352" t="str">
        <f t="shared" ca="1" si="480"/>
        <v>Transferred</v>
      </c>
      <c r="AG1352" t="str">
        <f t="shared" ca="1" si="481"/>
        <v>Northeast</v>
      </c>
      <c r="AH1352" t="str">
        <f t="shared" si="464"/>
        <v>October</v>
      </c>
      <c r="AI1352">
        <f t="shared" si="465"/>
        <v>2023</v>
      </c>
      <c r="AJ1352" t="str">
        <f t="shared" ca="1" si="482"/>
        <v>Occupied</v>
      </c>
      <c r="AK1352">
        <f t="shared" ca="1" si="483"/>
        <v>4</v>
      </c>
    </row>
    <row r="1353" spans="1:37" x14ac:dyDescent="0.3">
      <c r="A1353" t="s">
        <v>5754</v>
      </c>
      <c r="B1353">
        <v>46</v>
      </c>
      <c r="C1353" t="s">
        <v>32</v>
      </c>
      <c r="D1353" t="s">
        <v>98</v>
      </c>
      <c r="E1353" t="s">
        <v>76</v>
      </c>
      <c r="F1353" s="1">
        <v>44265</v>
      </c>
      <c r="G1353" t="s">
        <v>2714</v>
      </c>
      <c r="H1353" t="s">
        <v>2715</v>
      </c>
      <c r="I1353" t="s">
        <v>36</v>
      </c>
      <c r="J1353">
        <v>8018</v>
      </c>
      <c r="K1353">
        <v>104</v>
      </c>
      <c r="L1353" t="s">
        <v>21</v>
      </c>
      <c r="M1353" s="1">
        <v>44267</v>
      </c>
      <c r="N1353" t="s">
        <v>67</v>
      </c>
      <c r="O1353" t="s">
        <v>43</v>
      </c>
      <c r="P1353" t="str">
        <f t="shared" si="466"/>
        <v>P1352</v>
      </c>
      <c r="Q1353" t="str">
        <f t="shared" si="462"/>
        <v>Orthopedics</v>
      </c>
      <c r="R1353">
        <f t="shared" si="463"/>
        <v>2</v>
      </c>
      <c r="S1353" t="str">
        <f t="shared" ca="1" si="467"/>
        <v>No</v>
      </c>
      <c r="T1353" t="str">
        <f t="shared" ca="1" si="468"/>
        <v>Critical</v>
      </c>
      <c r="U1353" t="str">
        <f t="shared" ca="1" si="469"/>
        <v>Semi-Private</v>
      </c>
      <c r="V1353" t="str">
        <f t="shared" si="470"/>
        <v>BED1352</v>
      </c>
      <c r="W1353" t="str">
        <f t="shared" ca="1" si="471"/>
        <v>General</v>
      </c>
      <c r="X1353" t="str">
        <f t="shared" si="472"/>
        <v>NUR002</v>
      </c>
      <c r="Y1353" t="str">
        <f t="shared" ca="1" si="473"/>
        <v>Evening</v>
      </c>
      <c r="Z1353" t="str">
        <f t="shared" ca="1" si="474"/>
        <v>ECG Machine</v>
      </c>
      <c r="AA1353" t="str">
        <f t="shared" ca="1" si="475"/>
        <v>In Use</v>
      </c>
      <c r="AB1353" t="str">
        <f t="shared" ca="1" si="476"/>
        <v>Pending</v>
      </c>
      <c r="AC1353" t="str">
        <f t="shared" ca="1" si="477"/>
        <v>Debit Card</v>
      </c>
      <c r="AD1353" t="str">
        <f t="shared" ca="1" si="478"/>
        <v>No</v>
      </c>
      <c r="AE1353" t="str">
        <f t="shared" ca="1" si="479"/>
        <v>No</v>
      </c>
      <c r="AF1353" t="str">
        <f t="shared" ca="1" si="480"/>
        <v>Transferred</v>
      </c>
      <c r="AG1353" t="str">
        <f t="shared" ca="1" si="481"/>
        <v>Southwest</v>
      </c>
      <c r="AH1353" t="str">
        <f t="shared" si="464"/>
        <v>March</v>
      </c>
      <c r="AI1353">
        <f t="shared" si="465"/>
        <v>2021</v>
      </c>
      <c r="AJ1353" t="str">
        <f t="shared" ca="1" si="482"/>
        <v>Occupied</v>
      </c>
      <c r="AK1353">
        <f t="shared" ca="1" si="483"/>
        <v>1</v>
      </c>
    </row>
    <row r="1354" spans="1:37" x14ac:dyDescent="0.3">
      <c r="A1354" t="s">
        <v>5755</v>
      </c>
      <c r="B1354">
        <v>58</v>
      </c>
      <c r="C1354" t="s">
        <v>15</v>
      </c>
      <c r="D1354" t="s">
        <v>33</v>
      </c>
      <c r="E1354" t="s">
        <v>76</v>
      </c>
      <c r="F1354" s="1">
        <v>44811</v>
      </c>
      <c r="G1354" t="s">
        <v>2716</v>
      </c>
      <c r="H1354" t="s">
        <v>2717</v>
      </c>
      <c r="I1354" t="s">
        <v>51</v>
      </c>
      <c r="J1354">
        <v>27565</v>
      </c>
      <c r="K1354">
        <v>414</v>
      </c>
      <c r="L1354" t="s">
        <v>29</v>
      </c>
      <c r="M1354" s="1">
        <v>44833</v>
      </c>
      <c r="N1354" t="s">
        <v>22</v>
      </c>
      <c r="O1354" t="s">
        <v>23</v>
      </c>
      <c r="P1354" t="str">
        <f t="shared" si="466"/>
        <v>P1353</v>
      </c>
      <c r="Q1354" t="str">
        <f t="shared" si="462"/>
        <v>Orthopedics</v>
      </c>
      <c r="R1354">
        <f t="shared" si="463"/>
        <v>22</v>
      </c>
      <c r="S1354" t="str">
        <f t="shared" ca="1" si="467"/>
        <v>No</v>
      </c>
      <c r="T1354" t="str">
        <f t="shared" ca="1" si="468"/>
        <v>Critical</v>
      </c>
      <c r="U1354" t="str">
        <f t="shared" ca="1" si="469"/>
        <v>Semi-Private</v>
      </c>
      <c r="V1354" t="str">
        <f t="shared" si="470"/>
        <v>BED1353</v>
      </c>
      <c r="W1354" t="str">
        <f t="shared" ca="1" si="471"/>
        <v>Semi-Private</v>
      </c>
      <c r="X1354" t="str">
        <f t="shared" si="472"/>
        <v>NUR003</v>
      </c>
      <c r="Y1354" t="str">
        <f t="shared" ca="1" si="473"/>
        <v>Night</v>
      </c>
      <c r="Z1354" t="str">
        <f t="shared" ca="1" si="474"/>
        <v>X-Ray</v>
      </c>
      <c r="AA1354" t="str">
        <f t="shared" ca="1" si="475"/>
        <v>Maintenance</v>
      </c>
      <c r="AB1354" t="str">
        <f t="shared" ca="1" si="476"/>
        <v>Partially Paid</v>
      </c>
      <c r="AC1354" t="str">
        <f t="shared" ca="1" si="477"/>
        <v>Debit Card</v>
      </c>
      <c r="AD1354" t="str">
        <f t="shared" ca="1" si="478"/>
        <v>No</v>
      </c>
      <c r="AE1354" t="str">
        <f t="shared" ca="1" si="479"/>
        <v>Yes</v>
      </c>
      <c r="AF1354" t="str">
        <f t="shared" ca="1" si="480"/>
        <v>Under Observation</v>
      </c>
      <c r="AG1354" t="str">
        <f t="shared" ca="1" si="481"/>
        <v>Southeast</v>
      </c>
      <c r="AH1354" t="str">
        <f t="shared" si="464"/>
        <v>September</v>
      </c>
      <c r="AI1354">
        <f t="shared" si="465"/>
        <v>2022</v>
      </c>
      <c r="AJ1354" t="str">
        <f t="shared" ca="1" si="482"/>
        <v>Occupied</v>
      </c>
      <c r="AK1354">
        <f t="shared" ca="1" si="483"/>
        <v>2</v>
      </c>
    </row>
    <row r="1355" spans="1:37" x14ac:dyDescent="0.3">
      <c r="A1355" t="s">
        <v>5756</v>
      </c>
      <c r="B1355">
        <v>38</v>
      </c>
      <c r="C1355" t="s">
        <v>32</v>
      </c>
      <c r="D1355" t="s">
        <v>52</v>
      </c>
      <c r="E1355" t="s">
        <v>64</v>
      </c>
      <c r="F1355" s="1">
        <v>45111</v>
      </c>
      <c r="G1355" t="s">
        <v>2718</v>
      </c>
      <c r="H1355" t="s">
        <v>2719</v>
      </c>
      <c r="I1355" t="s">
        <v>57</v>
      </c>
      <c r="J1355">
        <v>44443</v>
      </c>
      <c r="K1355">
        <v>456</v>
      </c>
      <c r="L1355" t="s">
        <v>29</v>
      </c>
      <c r="M1355" s="1">
        <v>45124</v>
      </c>
      <c r="N1355" t="s">
        <v>30</v>
      </c>
      <c r="O1355" t="s">
        <v>43</v>
      </c>
      <c r="P1355" t="str">
        <f t="shared" si="466"/>
        <v>P1354</v>
      </c>
      <c r="Q1355" t="str">
        <f t="shared" si="462"/>
        <v>Cardiology</v>
      </c>
      <c r="R1355">
        <f t="shared" si="463"/>
        <v>13</v>
      </c>
      <c r="S1355" t="str">
        <f t="shared" ca="1" si="467"/>
        <v>No</v>
      </c>
      <c r="T1355" t="str">
        <f t="shared" ca="1" si="468"/>
        <v>Severe</v>
      </c>
      <c r="U1355" t="str">
        <f t="shared" ca="1" si="469"/>
        <v>Emergency</v>
      </c>
      <c r="V1355" t="str">
        <f t="shared" si="470"/>
        <v>BED1354</v>
      </c>
      <c r="W1355" t="str">
        <f t="shared" ca="1" si="471"/>
        <v>Semi-Private</v>
      </c>
      <c r="X1355" t="str">
        <f t="shared" si="472"/>
        <v>NUR004</v>
      </c>
      <c r="Y1355" t="str">
        <f t="shared" ca="1" si="473"/>
        <v>Evening</v>
      </c>
      <c r="Z1355" t="str">
        <f t="shared" ca="1" si="474"/>
        <v>MRI Scanner</v>
      </c>
      <c r="AA1355" t="str">
        <f t="shared" ca="1" si="475"/>
        <v>In Use</v>
      </c>
      <c r="AB1355" t="str">
        <f t="shared" ca="1" si="476"/>
        <v>Partially Paid</v>
      </c>
      <c r="AC1355" t="str">
        <f t="shared" ca="1" si="477"/>
        <v>Insurance</v>
      </c>
      <c r="AD1355" t="str">
        <f t="shared" ca="1" si="478"/>
        <v>No</v>
      </c>
      <c r="AE1355" t="str">
        <f t="shared" ca="1" si="479"/>
        <v>Yes</v>
      </c>
      <c r="AF1355" t="str">
        <f t="shared" ca="1" si="480"/>
        <v>Recovered</v>
      </c>
      <c r="AG1355" t="str">
        <f t="shared" ca="1" si="481"/>
        <v>West Coast</v>
      </c>
      <c r="AH1355" t="str">
        <f t="shared" si="464"/>
        <v>July</v>
      </c>
      <c r="AI1355">
        <f t="shared" si="465"/>
        <v>2023</v>
      </c>
      <c r="AJ1355" t="str">
        <f t="shared" ca="1" si="482"/>
        <v>Occupied</v>
      </c>
      <c r="AK1355">
        <f t="shared" ca="1" si="483"/>
        <v>4</v>
      </c>
    </row>
    <row r="1356" spans="1:37" x14ac:dyDescent="0.3">
      <c r="A1356" t="s">
        <v>5757</v>
      </c>
      <c r="B1356">
        <v>55</v>
      </c>
      <c r="C1356" t="s">
        <v>32</v>
      </c>
      <c r="D1356" t="s">
        <v>38</v>
      </c>
      <c r="E1356" t="s">
        <v>76</v>
      </c>
      <c r="F1356" s="1">
        <v>44733</v>
      </c>
      <c r="G1356" t="s">
        <v>2720</v>
      </c>
      <c r="H1356" t="s">
        <v>1120</v>
      </c>
      <c r="I1356" t="s">
        <v>57</v>
      </c>
      <c r="J1356">
        <v>27643</v>
      </c>
      <c r="K1356">
        <v>183</v>
      </c>
      <c r="L1356" t="s">
        <v>42</v>
      </c>
      <c r="M1356" s="1">
        <v>44740</v>
      </c>
      <c r="N1356" t="s">
        <v>37</v>
      </c>
      <c r="O1356" t="s">
        <v>23</v>
      </c>
      <c r="P1356" t="str">
        <f t="shared" si="466"/>
        <v>P1355</v>
      </c>
      <c r="Q1356" t="str">
        <f t="shared" si="462"/>
        <v>Orthopedics</v>
      </c>
      <c r="R1356">
        <f t="shared" si="463"/>
        <v>7</v>
      </c>
      <c r="S1356" t="str">
        <f t="shared" ca="1" si="467"/>
        <v>No</v>
      </c>
      <c r="T1356" t="str">
        <f t="shared" ca="1" si="468"/>
        <v>Mild</v>
      </c>
      <c r="U1356" t="str">
        <f t="shared" ca="1" si="469"/>
        <v>Emergency</v>
      </c>
      <c r="V1356" t="str">
        <f t="shared" si="470"/>
        <v>BED1355</v>
      </c>
      <c r="W1356" t="str">
        <f t="shared" ca="1" si="471"/>
        <v>Private</v>
      </c>
      <c r="X1356" t="str">
        <f t="shared" si="472"/>
        <v>NUR005</v>
      </c>
      <c r="Y1356" t="str">
        <f t="shared" ca="1" si="473"/>
        <v>Morning</v>
      </c>
      <c r="Z1356" t="str">
        <f t="shared" ca="1" si="474"/>
        <v>Ultrasound</v>
      </c>
      <c r="AA1356" t="str">
        <f t="shared" ca="1" si="475"/>
        <v>Available</v>
      </c>
      <c r="AB1356" t="str">
        <f t="shared" ca="1" si="476"/>
        <v>Paid</v>
      </c>
      <c r="AC1356" t="str">
        <f t="shared" ca="1" si="477"/>
        <v>Cash</v>
      </c>
      <c r="AD1356" t="str">
        <f t="shared" ca="1" si="478"/>
        <v>No</v>
      </c>
      <c r="AE1356" t="str">
        <f t="shared" ca="1" si="479"/>
        <v>No</v>
      </c>
      <c r="AF1356" t="str">
        <f t="shared" ca="1" si="480"/>
        <v>Transferred</v>
      </c>
      <c r="AG1356" t="str">
        <f t="shared" ca="1" si="481"/>
        <v>Midwest</v>
      </c>
      <c r="AH1356" t="str">
        <f t="shared" si="464"/>
        <v>June</v>
      </c>
      <c r="AI1356">
        <f t="shared" si="465"/>
        <v>2022</v>
      </c>
      <c r="AJ1356" t="str">
        <f t="shared" ca="1" si="482"/>
        <v>Occupied</v>
      </c>
      <c r="AK1356">
        <f t="shared" ca="1" si="483"/>
        <v>1</v>
      </c>
    </row>
    <row r="1357" spans="1:37" x14ac:dyDescent="0.3">
      <c r="A1357" t="s">
        <v>5758</v>
      </c>
      <c r="B1357">
        <v>77</v>
      </c>
      <c r="C1357" t="s">
        <v>15</v>
      </c>
      <c r="D1357" t="s">
        <v>98</v>
      </c>
      <c r="E1357" t="s">
        <v>17</v>
      </c>
      <c r="F1357" s="1">
        <v>43651</v>
      </c>
      <c r="G1357" t="s">
        <v>2721</v>
      </c>
      <c r="H1357" t="s">
        <v>2722</v>
      </c>
      <c r="I1357" t="s">
        <v>36</v>
      </c>
      <c r="J1357">
        <v>27530</v>
      </c>
      <c r="K1357">
        <v>491</v>
      </c>
      <c r="L1357" t="s">
        <v>42</v>
      </c>
      <c r="M1357" s="1">
        <v>43661</v>
      </c>
      <c r="N1357" t="s">
        <v>22</v>
      </c>
      <c r="O1357" t="s">
        <v>31</v>
      </c>
      <c r="P1357" t="str">
        <f t="shared" si="466"/>
        <v>P1356</v>
      </c>
      <c r="Q1357" t="str">
        <f t="shared" si="462"/>
        <v>Oncology</v>
      </c>
      <c r="R1357">
        <f t="shared" si="463"/>
        <v>10</v>
      </c>
      <c r="S1357" t="str">
        <f t="shared" ca="1" si="467"/>
        <v>No</v>
      </c>
      <c r="T1357" t="str">
        <f t="shared" ca="1" si="468"/>
        <v>Moderate</v>
      </c>
      <c r="U1357" t="str">
        <f t="shared" ca="1" si="469"/>
        <v>ICU</v>
      </c>
      <c r="V1357" t="str">
        <f t="shared" si="470"/>
        <v>BED1356</v>
      </c>
      <c r="W1357" t="str">
        <f t="shared" ca="1" si="471"/>
        <v>Private</v>
      </c>
      <c r="X1357" t="str">
        <f t="shared" si="472"/>
        <v>NUR006</v>
      </c>
      <c r="Y1357" t="str">
        <f t="shared" ca="1" si="473"/>
        <v>Morning</v>
      </c>
      <c r="Z1357" t="str">
        <f t="shared" ca="1" si="474"/>
        <v>Ultrasound</v>
      </c>
      <c r="AA1357" t="str">
        <f t="shared" ca="1" si="475"/>
        <v>Available</v>
      </c>
      <c r="AB1357" t="str">
        <f t="shared" ca="1" si="476"/>
        <v>Paid</v>
      </c>
      <c r="AC1357" t="str">
        <f t="shared" ca="1" si="477"/>
        <v>Credit Card</v>
      </c>
      <c r="AD1357" t="str">
        <f t="shared" ca="1" si="478"/>
        <v>No</v>
      </c>
      <c r="AE1357" t="str">
        <f t="shared" ca="1" si="479"/>
        <v>No</v>
      </c>
      <c r="AF1357" t="str">
        <f t="shared" ca="1" si="480"/>
        <v>Under Observation</v>
      </c>
      <c r="AG1357" t="str">
        <f t="shared" ca="1" si="481"/>
        <v>West Coast</v>
      </c>
      <c r="AH1357" t="str">
        <f t="shared" si="464"/>
        <v>July</v>
      </c>
      <c r="AI1357">
        <f t="shared" si="465"/>
        <v>2019</v>
      </c>
      <c r="AJ1357" t="str">
        <f t="shared" ca="1" si="482"/>
        <v>Occupied</v>
      </c>
      <c r="AK1357">
        <f t="shared" ca="1" si="483"/>
        <v>1</v>
      </c>
    </row>
    <row r="1358" spans="1:37" x14ac:dyDescent="0.3">
      <c r="A1358" t="s">
        <v>5759</v>
      </c>
      <c r="B1358">
        <v>72</v>
      </c>
      <c r="C1358" t="s">
        <v>32</v>
      </c>
      <c r="D1358" t="s">
        <v>83</v>
      </c>
      <c r="E1358" t="s">
        <v>64</v>
      </c>
      <c r="F1358" s="1">
        <v>43871</v>
      </c>
      <c r="G1358" t="s">
        <v>2723</v>
      </c>
      <c r="H1358" t="s">
        <v>2724</v>
      </c>
      <c r="I1358" t="s">
        <v>36</v>
      </c>
      <c r="J1358">
        <v>47602</v>
      </c>
      <c r="K1358">
        <v>384</v>
      </c>
      <c r="L1358" t="s">
        <v>29</v>
      </c>
      <c r="M1358" s="1">
        <v>43875</v>
      </c>
      <c r="N1358" t="s">
        <v>67</v>
      </c>
      <c r="O1358" t="s">
        <v>31</v>
      </c>
      <c r="P1358" t="str">
        <f t="shared" si="466"/>
        <v>P1357</v>
      </c>
      <c r="Q1358" t="str">
        <f t="shared" si="462"/>
        <v>Cardiology</v>
      </c>
      <c r="R1358">
        <f t="shared" si="463"/>
        <v>4</v>
      </c>
      <c r="S1358" t="str">
        <f t="shared" ca="1" si="467"/>
        <v>No</v>
      </c>
      <c r="T1358" t="str">
        <f t="shared" ca="1" si="468"/>
        <v>Severe</v>
      </c>
      <c r="U1358" t="str">
        <f t="shared" ca="1" si="469"/>
        <v>ICU</v>
      </c>
      <c r="V1358" t="str">
        <f t="shared" si="470"/>
        <v>BED1357</v>
      </c>
      <c r="W1358" t="str">
        <f t="shared" ca="1" si="471"/>
        <v>Semi-Private</v>
      </c>
      <c r="X1358" t="str">
        <f t="shared" si="472"/>
        <v>NUR007</v>
      </c>
      <c r="Y1358" t="str">
        <f t="shared" ca="1" si="473"/>
        <v>Evening</v>
      </c>
      <c r="Z1358" t="str">
        <f t="shared" ca="1" si="474"/>
        <v>CT Scanner</v>
      </c>
      <c r="AA1358" t="str">
        <f t="shared" ca="1" si="475"/>
        <v>Maintenance</v>
      </c>
      <c r="AB1358" t="str">
        <f t="shared" ca="1" si="476"/>
        <v>Partially Paid</v>
      </c>
      <c r="AC1358" t="str">
        <f t="shared" ca="1" si="477"/>
        <v>Credit Card</v>
      </c>
      <c r="AD1358" t="str">
        <f t="shared" ca="1" si="478"/>
        <v>No</v>
      </c>
      <c r="AE1358" t="str">
        <f t="shared" ca="1" si="479"/>
        <v>No</v>
      </c>
      <c r="AF1358" t="str">
        <f t="shared" ca="1" si="480"/>
        <v>Transferred</v>
      </c>
      <c r="AG1358" t="str">
        <f t="shared" ca="1" si="481"/>
        <v>Southeast</v>
      </c>
      <c r="AH1358" t="str">
        <f t="shared" si="464"/>
        <v>February</v>
      </c>
      <c r="AI1358">
        <f t="shared" si="465"/>
        <v>2020</v>
      </c>
      <c r="AJ1358" t="str">
        <f t="shared" ca="1" si="482"/>
        <v>Occupied</v>
      </c>
      <c r="AK1358">
        <f t="shared" ca="1" si="483"/>
        <v>2</v>
      </c>
    </row>
    <row r="1359" spans="1:37" x14ac:dyDescent="0.3">
      <c r="A1359" t="s">
        <v>5760</v>
      </c>
      <c r="B1359">
        <v>26</v>
      </c>
      <c r="C1359" t="s">
        <v>32</v>
      </c>
      <c r="D1359" t="s">
        <v>83</v>
      </c>
      <c r="E1359" t="s">
        <v>76</v>
      </c>
      <c r="F1359" s="1">
        <v>44816</v>
      </c>
      <c r="G1359" t="s">
        <v>2725</v>
      </c>
      <c r="H1359" t="s">
        <v>2143</v>
      </c>
      <c r="I1359" t="s">
        <v>36</v>
      </c>
      <c r="J1359">
        <v>36680</v>
      </c>
      <c r="K1359">
        <v>162</v>
      </c>
      <c r="L1359" t="s">
        <v>21</v>
      </c>
      <c r="M1359" s="1">
        <v>44823</v>
      </c>
      <c r="N1359" t="s">
        <v>22</v>
      </c>
      <c r="O1359" t="s">
        <v>31</v>
      </c>
      <c r="P1359" t="str">
        <f t="shared" si="466"/>
        <v>P1358</v>
      </c>
      <c r="Q1359" t="str">
        <f t="shared" si="462"/>
        <v>Orthopedics</v>
      </c>
      <c r="R1359">
        <f t="shared" si="463"/>
        <v>7</v>
      </c>
      <c r="S1359" t="str">
        <f t="shared" ca="1" si="467"/>
        <v>No</v>
      </c>
      <c r="T1359" t="str">
        <f t="shared" ca="1" si="468"/>
        <v>Mild</v>
      </c>
      <c r="U1359" t="str">
        <f t="shared" ca="1" si="469"/>
        <v>ICU</v>
      </c>
      <c r="V1359" t="str">
        <f t="shared" si="470"/>
        <v>BED1358</v>
      </c>
      <c r="W1359" t="str">
        <f t="shared" ca="1" si="471"/>
        <v>ICU</v>
      </c>
      <c r="X1359" t="str">
        <f t="shared" si="472"/>
        <v>NUR008</v>
      </c>
      <c r="Y1359" t="str">
        <f t="shared" ca="1" si="473"/>
        <v>Evening</v>
      </c>
      <c r="Z1359" t="str">
        <f t="shared" ca="1" si="474"/>
        <v>Ultrasound</v>
      </c>
      <c r="AA1359" t="str">
        <f t="shared" ca="1" si="475"/>
        <v>In Use</v>
      </c>
      <c r="AB1359" t="str">
        <f t="shared" ca="1" si="476"/>
        <v>Partially Paid</v>
      </c>
      <c r="AC1359" t="str">
        <f t="shared" ca="1" si="477"/>
        <v>Bank Transfer</v>
      </c>
      <c r="AD1359" t="str">
        <f t="shared" ca="1" si="478"/>
        <v>No</v>
      </c>
      <c r="AE1359" t="str">
        <f t="shared" ca="1" si="479"/>
        <v>No</v>
      </c>
      <c r="AF1359" t="str">
        <f t="shared" ca="1" si="480"/>
        <v>Recovered</v>
      </c>
      <c r="AG1359" t="str">
        <f t="shared" ca="1" si="481"/>
        <v>Southeast</v>
      </c>
      <c r="AH1359" t="str">
        <f t="shared" si="464"/>
        <v>September</v>
      </c>
      <c r="AI1359">
        <f t="shared" si="465"/>
        <v>2022</v>
      </c>
      <c r="AJ1359" t="str">
        <f t="shared" ca="1" si="482"/>
        <v>Occupied</v>
      </c>
      <c r="AK1359">
        <f t="shared" ca="1" si="483"/>
        <v>2</v>
      </c>
    </row>
    <row r="1360" spans="1:37" x14ac:dyDescent="0.3">
      <c r="A1360" t="s">
        <v>5761</v>
      </c>
      <c r="B1360">
        <v>29</v>
      </c>
      <c r="C1360" t="s">
        <v>32</v>
      </c>
      <c r="D1360" t="s">
        <v>98</v>
      </c>
      <c r="E1360" t="s">
        <v>48</v>
      </c>
      <c r="F1360" s="1">
        <v>44361</v>
      </c>
      <c r="G1360" t="s">
        <v>2726</v>
      </c>
      <c r="H1360" t="s">
        <v>2727</v>
      </c>
      <c r="I1360" t="s">
        <v>28</v>
      </c>
      <c r="J1360">
        <v>29561</v>
      </c>
      <c r="K1360">
        <v>363</v>
      </c>
      <c r="L1360" t="s">
        <v>21</v>
      </c>
      <c r="M1360" s="1">
        <v>44378</v>
      </c>
      <c r="N1360" t="s">
        <v>47</v>
      </c>
      <c r="O1360" t="s">
        <v>23</v>
      </c>
      <c r="P1360" t="str">
        <f t="shared" si="466"/>
        <v>P1359</v>
      </c>
      <c r="Q1360" t="str">
        <f t="shared" si="462"/>
        <v>Pulmonology</v>
      </c>
      <c r="R1360">
        <f t="shared" si="463"/>
        <v>17</v>
      </c>
      <c r="S1360" t="str">
        <f t="shared" ca="1" si="467"/>
        <v>No</v>
      </c>
      <c r="T1360" t="str">
        <f t="shared" ca="1" si="468"/>
        <v>Moderate</v>
      </c>
      <c r="U1360" t="str">
        <f t="shared" ca="1" si="469"/>
        <v>General Ward</v>
      </c>
      <c r="V1360" t="str">
        <f t="shared" si="470"/>
        <v>BED1359</v>
      </c>
      <c r="W1360" t="str">
        <f t="shared" ca="1" si="471"/>
        <v>ICU</v>
      </c>
      <c r="X1360" t="str">
        <f t="shared" si="472"/>
        <v>NUR009</v>
      </c>
      <c r="Y1360" t="str">
        <f t="shared" ca="1" si="473"/>
        <v>Night</v>
      </c>
      <c r="Z1360" t="str">
        <f t="shared" ca="1" si="474"/>
        <v>X-Ray</v>
      </c>
      <c r="AA1360" t="str">
        <f t="shared" ca="1" si="475"/>
        <v>In Use</v>
      </c>
      <c r="AB1360" t="str">
        <f t="shared" ca="1" si="476"/>
        <v>Pending</v>
      </c>
      <c r="AC1360" t="str">
        <f t="shared" ca="1" si="477"/>
        <v>Debit Card</v>
      </c>
      <c r="AD1360" t="str">
        <f t="shared" ca="1" si="478"/>
        <v>No</v>
      </c>
      <c r="AE1360" t="str">
        <f t="shared" ca="1" si="479"/>
        <v>Yes</v>
      </c>
      <c r="AF1360" t="str">
        <f t="shared" ca="1" si="480"/>
        <v>Recovered</v>
      </c>
      <c r="AG1360" t="str">
        <f t="shared" ca="1" si="481"/>
        <v>Southeast</v>
      </c>
      <c r="AH1360" t="str">
        <f t="shared" si="464"/>
        <v>June</v>
      </c>
      <c r="AI1360">
        <f t="shared" si="465"/>
        <v>2021</v>
      </c>
      <c r="AJ1360" t="str">
        <f t="shared" ca="1" si="482"/>
        <v>Occupied</v>
      </c>
      <c r="AK1360">
        <f t="shared" ca="1" si="483"/>
        <v>2</v>
      </c>
    </row>
    <row r="1361" spans="1:37" x14ac:dyDescent="0.3">
      <c r="A1361" t="s">
        <v>5762</v>
      </c>
      <c r="B1361">
        <v>85</v>
      </c>
      <c r="C1361" t="s">
        <v>32</v>
      </c>
      <c r="D1361" t="s">
        <v>33</v>
      </c>
      <c r="E1361" t="s">
        <v>17</v>
      </c>
      <c r="F1361" s="1">
        <v>44236</v>
      </c>
      <c r="G1361" t="s">
        <v>2728</v>
      </c>
      <c r="H1361" t="s">
        <v>2729</v>
      </c>
      <c r="I1361" t="s">
        <v>20</v>
      </c>
      <c r="J1361">
        <v>49121</v>
      </c>
      <c r="K1361">
        <v>281</v>
      </c>
      <c r="L1361" t="s">
        <v>21</v>
      </c>
      <c r="M1361" s="1">
        <v>44264</v>
      </c>
      <c r="N1361" t="s">
        <v>47</v>
      </c>
      <c r="O1361" t="s">
        <v>31</v>
      </c>
      <c r="P1361" t="str">
        <f t="shared" si="466"/>
        <v>P1360</v>
      </c>
      <c r="Q1361" t="str">
        <f t="shared" si="462"/>
        <v>Oncology</v>
      </c>
      <c r="R1361">
        <f t="shared" si="463"/>
        <v>28</v>
      </c>
      <c r="S1361" t="str">
        <f t="shared" ca="1" si="467"/>
        <v>No</v>
      </c>
      <c r="T1361" t="str">
        <f t="shared" ca="1" si="468"/>
        <v>Severe</v>
      </c>
      <c r="U1361" t="str">
        <f t="shared" ca="1" si="469"/>
        <v>Private Ward</v>
      </c>
      <c r="V1361" t="str">
        <f t="shared" si="470"/>
        <v>BED1360</v>
      </c>
      <c r="W1361" t="str">
        <f t="shared" ca="1" si="471"/>
        <v>General</v>
      </c>
      <c r="X1361" t="str">
        <f t="shared" si="472"/>
        <v>NUR010</v>
      </c>
      <c r="Y1361" t="str">
        <f t="shared" ca="1" si="473"/>
        <v>Night</v>
      </c>
      <c r="Z1361" t="str">
        <f t="shared" ca="1" si="474"/>
        <v>CT Scanner</v>
      </c>
      <c r="AA1361" t="str">
        <f t="shared" ca="1" si="475"/>
        <v>In Use</v>
      </c>
      <c r="AB1361" t="str">
        <f t="shared" ca="1" si="476"/>
        <v>Pending</v>
      </c>
      <c r="AC1361" t="str">
        <f t="shared" ca="1" si="477"/>
        <v>Insurance</v>
      </c>
      <c r="AD1361" t="str">
        <f t="shared" ca="1" si="478"/>
        <v>No</v>
      </c>
      <c r="AE1361" t="str">
        <f t="shared" ca="1" si="479"/>
        <v>No</v>
      </c>
      <c r="AF1361" t="str">
        <f t="shared" ca="1" si="480"/>
        <v>Under Observation</v>
      </c>
      <c r="AG1361" t="str">
        <f t="shared" ca="1" si="481"/>
        <v>Midwest</v>
      </c>
      <c r="AH1361" t="str">
        <f t="shared" si="464"/>
        <v>February</v>
      </c>
      <c r="AI1361">
        <f t="shared" si="465"/>
        <v>2021</v>
      </c>
      <c r="AJ1361" t="str">
        <f t="shared" ca="1" si="482"/>
        <v>Vacant</v>
      </c>
      <c r="AK1361">
        <f t="shared" ca="1" si="483"/>
        <v>1</v>
      </c>
    </row>
    <row r="1362" spans="1:37" x14ac:dyDescent="0.3">
      <c r="A1362" t="s">
        <v>5763</v>
      </c>
      <c r="B1362">
        <v>37</v>
      </c>
      <c r="C1362" t="s">
        <v>32</v>
      </c>
      <c r="D1362" t="s">
        <v>24</v>
      </c>
      <c r="E1362" t="s">
        <v>17</v>
      </c>
      <c r="F1362" s="1">
        <v>45246</v>
      </c>
      <c r="G1362" t="s">
        <v>2730</v>
      </c>
      <c r="H1362" t="s">
        <v>2731</v>
      </c>
      <c r="I1362" t="s">
        <v>20</v>
      </c>
      <c r="J1362">
        <v>35722</v>
      </c>
      <c r="K1362">
        <v>257</v>
      </c>
      <c r="L1362" t="s">
        <v>29</v>
      </c>
      <c r="M1362" s="1">
        <v>45263</v>
      </c>
      <c r="N1362" t="s">
        <v>22</v>
      </c>
      <c r="O1362" t="s">
        <v>31</v>
      </c>
      <c r="P1362" t="str">
        <f t="shared" si="466"/>
        <v>P1361</v>
      </c>
      <c r="Q1362" t="str">
        <f t="shared" si="462"/>
        <v>Oncology</v>
      </c>
      <c r="R1362">
        <f t="shared" si="463"/>
        <v>17</v>
      </c>
      <c r="S1362" t="str">
        <f t="shared" ca="1" si="467"/>
        <v>No</v>
      </c>
      <c r="T1362" t="str">
        <f t="shared" ca="1" si="468"/>
        <v>Critical</v>
      </c>
      <c r="U1362" t="str">
        <f t="shared" ca="1" si="469"/>
        <v>Semi-Private</v>
      </c>
      <c r="V1362" t="str">
        <f t="shared" si="470"/>
        <v>BED1361</v>
      </c>
      <c r="W1362" t="str">
        <f t="shared" ca="1" si="471"/>
        <v>General</v>
      </c>
      <c r="X1362" t="str">
        <f t="shared" si="472"/>
        <v>NUR011</v>
      </c>
      <c r="Y1362" t="str">
        <f t="shared" ca="1" si="473"/>
        <v>Morning</v>
      </c>
      <c r="Z1362" t="str">
        <f t="shared" ca="1" si="474"/>
        <v>X-Ray</v>
      </c>
      <c r="AA1362" t="str">
        <f t="shared" ca="1" si="475"/>
        <v>Available</v>
      </c>
      <c r="AB1362" t="str">
        <f t="shared" ca="1" si="476"/>
        <v>Pending</v>
      </c>
      <c r="AC1362" t="str">
        <f t="shared" ca="1" si="477"/>
        <v>Credit Card</v>
      </c>
      <c r="AD1362" t="str">
        <f t="shared" ca="1" si="478"/>
        <v>No</v>
      </c>
      <c r="AE1362" t="str">
        <f t="shared" ca="1" si="479"/>
        <v>No</v>
      </c>
      <c r="AF1362" t="str">
        <f t="shared" ca="1" si="480"/>
        <v>Under Observation</v>
      </c>
      <c r="AG1362" t="str">
        <f t="shared" ca="1" si="481"/>
        <v>Southeast</v>
      </c>
      <c r="AH1362" t="str">
        <f t="shared" si="464"/>
        <v>November</v>
      </c>
      <c r="AI1362">
        <f t="shared" si="465"/>
        <v>2023</v>
      </c>
      <c r="AJ1362" t="str">
        <f t="shared" ca="1" si="482"/>
        <v>Occupied</v>
      </c>
      <c r="AK1362">
        <f t="shared" ca="1" si="483"/>
        <v>2</v>
      </c>
    </row>
    <row r="1363" spans="1:37" x14ac:dyDescent="0.3">
      <c r="A1363" t="s">
        <v>5764</v>
      </c>
      <c r="B1363">
        <v>69</v>
      </c>
      <c r="C1363" t="s">
        <v>32</v>
      </c>
      <c r="D1363" t="s">
        <v>33</v>
      </c>
      <c r="E1363" t="s">
        <v>48</v>
      </c>
      <c r="F1363" s="1">
        <v>44276</v>
      </c>
      <c r="G1363" t="s">
        <v>2732</v>
      </c>
      <c r="H1363" t="s">
        <v>2733</v>
      </c>
      <c r="I1363" t="s">
        <v>51</v>
      </c>
      <c r="J1363">
        <v>11202</v>
      </c>
      <c r="K1363">
        <v>145</v>
      </c>
      <c r="L1363" t="s">
        <v>42</v>
      </c>
      <c r="M1363" s="1">
        <v>44280</v>
      </c>
      <c r="N1363" t="s">
        <v>37</v>
      </c>
      <c r="O1363" t="s">
        <v>43</v>
      </c>
      <c r="P1363" t="str">
        <f t="shared" si="466"/>
        <v>P1362</v>
      </c>
      <c r="Q1363" t="str">
        <f t="shared" si="462"/>
        <v>Pulmonology</v>
      </c>
      <c r="R1363">
        <f t="shared" si="463"/>
        <v>4</v>
      </c>
      <c r="S1363" t="str">
        <f t="shared" ca="1" si="467"/>
        <v>No</v>
      </c>
      <c r="T1363" t="str">
        <f t="shared" ca="1" si="468"/>
        <v>Moderate</v>
      </c>
      <c r="U1363" t="str">
        <f t="shared" ca="1" si="469"/>
        <v>Semi-Private</v>
      </c>
      <c r="V1363" t="str">
        <f t="shared" si="470"/>
        <v>BED1362</v>
      </c>
      <c r="W1363" t="str">
        <f t="shared" ca="1" si="471"/>
        <v>General</v>
      </c>
      <c r="X1363" t="str">
        <f t="shared" si="472"/>
        <v>NUR012</v>
      </c>
      <c r="Y1363" t="str">
        <f t="shared" ca="1" si="473"/>
        <v>Night</v>
      </c>
      <c r="Z1363" t="str">
        <f t="shared" ca="1" si="474"/>
        <v>Ventilator</v>
      </c>
      <c r="AA1363" t="str">
        <f t="shared" ca="1" si="475"/>
        <v>Available</v>
      </c>
      <c r="AB1363" t="str">
        <f t="shared" ca="1" si="476"/>
        <v>Pending</v>
      </c>
      <c r="AC1363" t="str">
        <f t="shared" ca="1" si="477"/>
        <v>Bank Transfer</v>
      </c>
      <c r="AD1363" t="str">
        <f t="shared" ca="1" si="478"/>
        <v>No</v>
      </c>
      <c r="AE1363" t="str">
        <f t="shared" ca="1" si="479"/>
        <v>Yes</v>
      </c>
      <c r="AF1363" t="str">
        <f t="shared" ca="1" si="480"/>
        <v>Under Observation</v>
      </c>
      <c r="AG1363" t="str">
        <f t="shared" ca="1" si="481"/>
        <v>Midwest</v>
      </c>
      <c r="AH1363" t="str">
        <f t="shared" si="464"/>
        <v>March</v>
      </c>
      <c r="AI1363">
        <f t="shared" si="465"/>
        <v>2021</v>
      </c>
      <c r="AJ1363" t="str">
        <f t="shared" ca="1" si="482"/>
        <v>Occupied</v>
      </c>
      <c r="AK1363">
        <f t="shared" ca="1" si="483"/>
        <v>2</v>
      </c>
    </row>
    <row r="1364" spans="1:37" x14ac:dyDescent="0.3">
      <c r="A1364" t="s">
        <v>5765</v>
      </c>
      <c r="B1364">
        <v>27</v>
      </c>
      <c r="C1364" t="s">
        <v>15</v>
      </c>
      <c r="D1364" t="s">
        <v>16</v>
      </c>
      <c r="E1364" t="s">
        <v>39</v>
      </c>
      <c r="F1364" s="1">
        <v>44370</v>
      </c>
      <c r="G1364" t="s">
        <v>2734</v>
      </c>
      <c r="H1364" t="s">
        <v>2735</v>
      </c>
      <c r="I1364" t="s">
        <v>28</v>
      </c>
      <c r="J1364">
        <v>31556</v>
      </c>
      <c r="K1364">
        <v>403</v>
      </c>
      <c r="L1364" t="s">
        <v>21</v>
      </c>
      <c r="M1364" s="1">
        <v>44400</v>
      </c>
      <c r="N1364" t="s">
        <v>37</v>
      </c>
      <c r="O1364" t="s">
        <v>23</v>
      </c>
      <c r="P1364" t="str">
        <f t="shared" si="466"/>
        <v>P1363</v>
      </c>
      <c r="Q1364" t="str">
        <f t="shared" si="462"/>
        <v>Endocrinology</v>
      </c>
      <c r="R1364">
        <f t="shared" si="463"/>
        <v>30</v>
      </c>
      <c r="S1364" t="str">
        <f t="shared" ca="1" si="467"/>
        <v>No</v>
      </c>
      <c r="T1364" t="str">
        <f t="shared" ca="1" si="468"/>
        <v>Critical</v>
      </c>
      <c r="U1364" t="str">
        <f t="shared" ca="1" si="469"/>
        <v>Semi-Private</v>
      </c>
      <c r="V1364" t="str">
        <f t="shared" si="470"/>
        <v>BED1363</v>
      </c>
      <c r="W1364" t="str">
        <f t="shared" ca="1" si="471"/>
        <v>Semi-Private</v>
      </c>
      <c r="X1364" t="str">
        <f t="shared" si="472"/>
        <v>NUR013</v>
      </c>
      <c r="Y1364" t="str">
        <f t="shared" ca="1" si="473"/>
        <v>Night</v>
      </c>
      <c r="Z1364" t="str">
        <f t="shared" ca="1" si="474"/>
        <v>CT Scanner</v>
      </c>
      <c r="AA1364" t="str">
        <f t="shared" ca="1" si="475"/>
        <v>Available</v>
      </c>
      <c r="AB1364" t="str">
        <f t="shared" ca="1" si="476"/>
        <v>Partially Paid</v>
      </c>
      <c r="AC1364" t="str">
        <f t="shared" ca="1" si="477"/>
        <v>Credit Card</v>
      </c>
      <c r="AD1364" t="str">
        <f t="shared" ca="1" si="478"/>
        <v>Yes</v>
      </c>
      <c r="AE1364" t="str">
        <f t="shared" ca="1" si="479"/>
        <v>No</v>
      </c>
      <c r="AF1364" t="str">
        <f t="shared" ca="1" si="480"/>
        <v>Under Observation</v>
      </c>
      <c r="AG1364" t="str">
        <f t="shared" ca="1" si="481"/>
        <v>Midwest</v>
      </c>
      <c r="AH1364" t="str">
        <f t="shared" si="464"/>
        <v>June</v>
      </c>
      <c r="AI1364">
        <f t="shared" si="465"/>
        <v>2021</v>
      </c>
      <c r="AJ1364" t="str">
        <f t="shared" ca="1" si="482"/>
        <v>Vacant</v>
      </c>
      <c r="AK1364">
        <f t="shared" ca="1" si="483"/>
        <v>2</v>
      </c>
    </row>
    <row r="1365" spans="1:37" x14ac:dyDescent="0.3">
      <c r="A1365" t="s">
        <v>5766</v>
      </c>
      <c r="B1365">
        <v>77</v>
      </c>
      <c r="C1365" t="s">
        <v>15</v>
      </c>
      <c r="D1365" t="s">
        <v>83</v>
      </c>
      <c r="E1365" t="s">
        <v>25</v>
      </c>
      <c r="F1365" s="1">
        <v>45060</v>
      </c>
      <c r="G1365" t="s">
        <v>2736</v>
      </c>
      <c r="H1365" t="s">
        <v>2737</v>
      </c>
      <c r="I1365" t="s">
        <v>28</v>
      </c>
      <c r="J1365">
        <v>44075</v>
      </c>
      <c r="K1365">
        <v>288</v>
      </c>
      <c r="L1365" t="s">
        <v>21</v>
      </c>
      <c r="M1365" s="1">
        <v>45073</v>
      </c>
      <c r="N1365" t="s">
        <v>47</v>
      </c>
      <c r="O1365" t="s">
        <v>43</v>
      </c>
      <c r="P1365" t="str">
        <f t="shared" si="466"/>
        <v>P1364</v>
      </c>
      <c r="Q1365" t="str">
        <f t="shared" si="462"/>
        <v>Nutrition</v>
      </c>
      <c r="R1365">
        <f t="shared" si="463"/>
        <v>13</v>
      </c>
      <c r="S1365" t="str">
        <f t="shared" ca="1" si="467"/>
        <v>No</v>
      </c>
      <c r="T1365" t="str">
        <f t="shared" ca="1" si="468"/>
        <v>Moderate</v>
      </c>
      <c r="U1365" t="str">
        <f t="shared" ca="1" si="469"/>
        <v>Emergency</v>
      </c>
      <c r="V1365" t="str">
        <f t="shared" si="470"/>
        <v>BED1364</v>
      </c>
      <c r="W1365" t="str">
        <f t="shared" ca="1" si="471"/>
        <v>Semi-Private</v>
      </c>
      <c r="X1365" t="str">
        <f t="shared" si="472"/>
        <v>NUR014</v>
      </c>
      <c r="Y1365" t="str">
        <f t="shared" ca="1" si="473"/>
        <v>Evening</v>
      </c>
      <c r="Z1365" t="str">
        <f t="shared" ca="1" si="474"/>
        <v>Ventilator</v>
      </c>
      <c r="AA1365" t="str">
        <f t="shared" ca="1" si="475"/>
        <v>Maintenance</v>
      </c>
      <c r="AB1365" t="str">
        <f t="shared" ca="1" si="476"/>
        <v>Pending</v>
      </c>
      <c r="AC1365" t="str">
        <f t="shared" ca="1" si="477"/>
        <v>Insurance</v>
      </c>
      <c r="AD1365" t="str">
        <f t="shared" ca="1" si="478"/>
        <v>No</v>
      </c>
      <c r="AE1365" t="str">
        <f t="shared" ca="1" si="479"/>
        <v>No</v>
      </c>
      <c r="AF1365" t="str">
        <f t="shared" ca="1" si="480"/>
        <v>Recovered</v>
      </c>
      <c r="AG1365" t="str">
        <f t="shared" ca="1" si="481"/>
        <v>Southeast</v>
      </c>
      <c r="AH1365" t="str">
        <f t="shared" si="464"/>
        <v>May</v>
      </c>
      <c r="AI1365">
        <f t="shared" si="465"/>
        <v>2023</v>
      </c>
      <c r="AJ1365" t="str">
        <f t="shared" ca="1" si="482"/>
        <v>Occupied</v>
      </c>
      <c r="AK1365">
        <f t="shared" ca="1" si="483"/>
        <v>2</v>
      </c>
    </row>
    <row r="1366" spans="1:37" x14ac:dyDescent="0.3">
      <c r="A1366" t="s">
        <v>5767</v>
      </c>
      <c r="B1366">
        <v>55</v>
      </c>
      <c r="C1366" t="s">
        <v>32</v>
      </c>
      <c r="D1366" t="s">
        <v>16</v>
      </c>
      <c r="E1366" t="s">
        <v>25</v>
      </c>
      <c r="F1366" s="1">
        <v>45323</v>
      </c>
      <c r="G1366" t="s">
        <v>2738</v>
      </c>
      <c r="H1366" t="s">
        <v>2739</v>
      </c>
      <c r="I1366" t="s">
        <v>51</v>
      </c>
      <c r="J1366">
        <v>26408</v>
      </c>
      <c r="K1366">
        <v>236</v>
      </c>
      <c r="L1366" t="s">
        <v>42</v>
      </c>
      <c r="M1366" s="1">
        <v>45343</v>
      </c>
      <c r="N1366" t="s">
        <v>22</v>
      </c>
      <c r="O1366" t="s">
        <v>43</v>
      </c>
      <c r="P1366" t="str">
        <f t="shared" si="466"/>
        <v>P1365</v>
      </c>
      <c r="Q1366" t="str">
        <f t="shared" si="462"/>
        <v>Nutrition</v>
      </c>
      <c r="R1366">
        <f t="shared" si="463"/>
        <v>20</v>
      </c>
      <c r="S1366" t="str">
        <f t="shared" ca="1" si="467"/>
        <v>Yes</v>
      </c>
      <c r="T1366" t="str">
        <f t="shared" ca="1" si="468"/>
        <v>Critical</v>
      </c>
      <c r="U1366" t="str">
        <f t="shared" ca="1" si="469"/>
        <v>Emergency</v>
      </c>
      <c r="V1366" t="str">
        <f t="shared" si="470"/>
        <v>BED1365</v>
      </c>
      <c r="W1366" t="str">
        <f t="shared" ca="1" si="471"/>
        <v>Semi-Private</v>
      </c>
      <c r="X1366" t="str">
        <f t="shared" si="472"/>
        <v>NUR015</v>
      </c>
      <c r="Y1366" t="str">
        <f t="shared" ca="1" si="473"/>
        <v>Morning</v>
      </c>
      <c r="Z1366" t="str">
        <f t="shared" ca="1" si="474"/>
        <v>Ventilator</v>
      </c>
      <c r="AA1366" t="str">
        <f t="shared" ca="1" si="475"/>
        <v>Available</v>
      </c>
      <c r="AB1366" t="str">
        <f t="shared" ca="1" si="476"/>
        <v>Partially Paid</v>
      </c>
      <c r="AC1366" t="str">
        <f t="shared" ca="1" si="477"/>
        <v>Cash</v>
      </c>
      <c r="AD1366" t="str">
        <f t="shared" ca="1" si="478"/>
        <v>Yes</v>
      </c>
      <c r="AE1366" t="str">
        <f t="shared" ca="1" si="479"/>
        <v>No</v>
      </c>
      <c r="AF1366" t="str">
        <f t="shared" ca="1" si="480"/>
        <v>Recovered</v>
      </c>
      <c r="AG1366" t="str">
        <f t="shared" ca="1" si="481"/>
        <v>Northeast</v>
      </c>
      <c r="AH1366" t="str">
        <f t="shared" si="464"/>
        <v>February</v>
      </c>
      <c r="AI1366">
        <f t="shared" si="465"/>
        <v>2024</v>
      </c>
      <c r="AJ1366" t="str">
        <f t="shared" ca="1" si="482"/>
        <v>Vacant</v>
      </c>
      <c r="AK1366">
        <f t="shared" ca="1" si="483"/>
        <v>2</v>
      </c>
    </row>
    <row r="1367" spans="1:37" x14ac:dyDescent="0.3">
      <c r="A1367" t="s">
        <v>5768</v>
      </c>
      <c r="B1367">
        <v>75</v>
      </c>
      <c r="C1367" t="s">
        <v>15</v>
      </c>
      <c r="D1367" t="s">
        <v>38</v>
      </c>
      <c r="E1367" t="s">
        <v>76</v>
      </c>
      <c r="F1367" s="1">
        <v>45097</v>
      </c>
      <c r="G1367" t="s">
        <v>2740</v>
      </c>
      <c r="H1367" t="s">
        <v>2741</v>
      </c>
      <c r="I1367" t="s">
        <v>28</v>
      </c>
      <c r="J1367">
        <v>43770</v>
      </c>
      <c r="K1367">
        <v>193</v>
      </c>
      <c r="L1367" t="s">
        <v>29</v>
      </c>
      <c r="M1367" s="1">
        <v>45115</v>
      </c>
      <c r="N1367" t="s">
        <v>67</v>
      </c>
      <c r="O1367" t="s">
        <v>43</v>
      </c>
      <c r="P1367" t="str">
        <f t="shared" si="466"/>
        <v>P1366</v>
      </c>
      <c r="Q1367" t="str">
        <f t="shared" si="462"/>
        <v>Orthopedics</v>
      </c>
      <c r="R1367">
        <f t="shared" si="463"/>
        <v>18</v>
      </c>
      <c r="S1367" t="str">
        <f t="shared" ca="1" si="467"/>
        <v>No</v>
      </c>
      <c r="T1367" t="str">
        <f t="shared" ca="1" si="468"/>
        <v>Moderate</v>
      </c>
      <c r="U1367" t="str">
        <f t="shared" ca="1" si="469"/>
        <v>General Ward</v>
      </c>
      <c r="V1367" t="str">
        <f t="shared" si="470"/>
        <v>BED1366</v>
      </c>
      <c r="W1367" t="str">
        <f t="shared" ca="1" si="471"/>
        <v>Semi-Private</v>
      </c>
      <c r="X1367" t="str">
        <f t="shared" si="472"/>
        <v>NUR016</v>
      </c>
      <c r="Y1367" t="str">
        <f t="shared" ca="1" si="473"/>
        <v>Night</v>
      </c>
      <c r="Z1367" t="str">
        <f t="shared" ca="1" si="474"/>
        <v>X-Ray</v>
      </c>
      <c r="AA1367" t="str">
        <f t="shared" ca="1" si="475"/>
        <v>Maintenance</v>
      </c>
      <c r="AB1367" t="str">
        <f t="shared" ca="1" si="476"/>
        <v>Partially Paid</v>
      </c>
      <c r="AC1367" t="str">
        <f t="shared" ca="1" si="477"/>
        <v>Bank Transfer</v>
      </c>
      <c r="AD1367" t="str">
        <f t="shared" ca="1" si="478"/>
        <v>No</v>
      </c>
      <c r="AE1367" t="str">
        <f t="shared" ca="1" si="479"/>
        <v>No</v>
      </c>
      <c r="AF1367" t="str">
        <f t="shared" ca="1" si="480"/>
        <v>Under Observation</v>
      </c>
      <c r="AG1367" t="str">
        <f t="shared" ca="1" si="481"/>
        <v>West Coast</v>
      </c>
      <c r="AH1367" t="str">
        <f t="shared" si="464"/>
        <v>June</v>
      </c>
      <c r="AI1367">
        <f t="shared" si="465"/>
        <v>2023</v>
      </c>
      <c r="AJ1367" t="str">
        <f t="shared" ca="1" si="482"/>
        <v>Occupied</v>
      </c>
      <c r="AK1367">
        <f t="shared" ca="1" si="483"/>
        <v>1</v>
      </c>
    </row>
    <row r="1368" spans="1:37" x14ac:dyDescent="0.3">
      <c r="A1368" t="s">
        <v>5769</v>
      </c>
      <c r="B1368">
        <v>74</v>
      </c>
      <c r="C1368" t="s">
        <v>32</v>
      </c>
      <c r="D1368" t="s">
        <v>98</v>
      </c>
      <c r="E1368" t="s">
        <v>48</v>
      </c>
      <c r="F1368" s="1">
        <v>43804</v>
      </c>
      <c r="G1368" t="s">
        <v>2742</v>
      </c>
      <c r="H1368" t="s">
        <v>2743</v>
      </c>
      <c r="I1368" t="s">
        <v>36</v>
      </c>
      <c r="J1368">
        <v>3354</v>
      </c>
      <c r="K1368">
        <v>406</v>
      </c>
      <c r="L1368" t="s">
        <v>29</v>
      </c>
      <c r="M1368" s="1">
        <v>43805</v>
      </c>
      <c r="N1368" t="s">
        <v>67</v>
      </c>
      <c r="O1368" t="s">
        <v>43</v>
      </c>
      <c r="P1368" t="str">
        <f t="shared" si="466"/>
        <v>P1367</v>
      </c>
      <c r="Q1368" t="str">
        <f t="shared" si="462"/>
        <v>Pulmonology</v>
      </c>
      <c r="R1368">
        <f t="shared" si="463"/>
        <v>1</v>
      </c>
      <c r="S1368" t="str">
        <f t="shared" ca="1" si="467"/>
        <v>No</v>
      </c>
      <c r="T1368" t="str">
        <f t="shared" ca="1" si="468"/>
        <v>Moderate</v>
      </c>
      <c r="U1368" t="str">
        <f t="shared" ca="1" si="469"/>
        <v>Emergency</v>
      </c>
      <c r="V1368" t="str">
        <f t="shared" si="470"/>
        <v>BED1367</v>
      </c>
      <c r="W1368" t="str">
        <f t="shared" ca="1" si="471"/>
        <v>Private</v>
      </c>
      <c r="X1368" t="str">
        <f t="shared" si="472"/>
        <v>NUR017</v>
      </c>
      <c r="Y1368" t="str">
        <f t="shared" ca="1" si="473"/>
        <v>Night</v>
      </c>
      <c r="Z1368" t="str">
        <f t="shared" ca="1" si="474"/>
        <v>Ventilator</v>
      </c>
      <c r="AA1368" t="str">
        <f t="shared" ca="1" si="475"/>
        <v>Available</v>
      </c>
      <c r="AB1368" t="str">
        <f t="shared" ca="1" si="476"/>
        <v>Pending</v>
      </c>
      <c r="AC1368" t="str">
        <f t="shared" ca="1" si="477"/>
        <v>Credit Card</v>
      </c>
      <c r="AD1368" t="str">
        <f t="shared" ca="1" si="478"/>
        <v>Yes</v>
      </c>
      <c r="AE1368" t="str">
        <f t="shared" ca="1" si="479"/>
        <v>No</v>
      </c>
      <c r="AF1368" t="str">
        <f t="shared" ca="1" si="480"/>
        <v>Under Observation</v>
      </c>
      <c r="AG1368" t="str">
        <f t="shared" ca="1" si="481"/>
        <v>Northeast</v>
      </c>
      <c r="AH1368" t="str">
        <f t="shared" si="464"/>
        <v>December</v>
      </c>
      <c r="AI1368">
        <f t="shared" si="465"/>
        <v>2019</v>
      </c>
      <c r="AJ1368" t="str">
        <f t="shared" ca="1" si="482"/>
        <v>Vacant</v>
      </c>
      <c r="AK1368">
        <f t="shared" ca="1" si="483"/>
        <v>4</v>
      </c>
    </row>
    <row r="1369" spans="1:37" x14ac:dyDescent="0.3">
      <c r="A1369" t="s">
        <v>5770</v>
      </c>
      <c r="B1369">
        <v>38</v>
      </c>
      <c r="C1369" t="s">
        <v>15</v>
      </c>
      <c r="D1369" t="s">
        <v>83</v>
      </c>
      <c r="E1369" t="s">
        <v>48</v>
      </c>
      <c r="F1369" s="1">
        <v>44522</v>
      </c>
      <c r="G1369" t="s">
        <v>2744</v>
      </c>
      <c r="H1369" t="s">
        <v>2745</v>
      </c>
      <c r="I1369" t="s">
        <v>36</v>
      </c>
      <c r="J1369">
        <v>34470</v>
      </c>
      <c r="K1369">
        <v>255</v>
      </c>
      <c r="L1369" t="s">
        <v>29</v>
      </c>
      <c r="M1369" s="1">
        <v>44532</v>
      </c>
      <c r="N1369" t="s">
        <v>30</v>
      </c>
      <c r="O1369" t="s">
        <v>43</v>
      </c>
      <c r="P1369" t="str">
        <f t="shared" si="466"/>
        <v>P1368</v>
      </c>
      <c r="Q1369" t="str">
        <f t="shared" si="462"/>
        <v>Pulmonology</v>
      </c>
      <c r="R1369">
        <f t="shared" si="463"/>
        <v>10</v>
      </c>
      <c r="S1369" t="str">
        <f t="shared" ca="1" si="467"/>
        <v>Yes</v>
      </c>
      <c r="T1369" t="str">
        <f t="shared" ca="1" si="468"/>
        <v>Critical</v>
      </c>
      <c r="U1369" t="str">
        <f t="shared" ca="1" si="469"/>
        <v>Private Ward</v>
      </c>
      <c r="V1369" t="str">
        <f t="shared" si="470"/>
        <v>BED1368</v>
      </c>
      <c r="W1369" t="str">
        <f t="shared" ca="1" si="471"/>
        <v>Private</v>
      </c>
      <c r="X1369" t="str">
        <f t="shared" si="472"/>
        <v>NUR018</v>
      </c>
      <c r="Y1369" t="str">
        <f t="shared" ca="1" si="473"/>
        <v>Morning</v>
      </c>
      <c r="Z1369" t="str">
        <f t="shared" ca="1" si="474"/>
        <v>Ultrasound</v>
      </c>
      <c r="AA1369" t="str">
        <f t="shared" ca="1" si="475"/>
        <v>Maintenance</v>
      </c>
      <c r="AB1369" t="str">
        <f t="shared" ca="1" si="476"/>
        <v>Paid</v>
      </c>
      <c r="AC1369" t="str">
        <f t="shared" ca="1" si="477"/>
        <v>Insurance</v>
      </c>
      <c r="AD1369" t="str">
        <f t="shared" ca="1" si="478"/>
        <v>Yes</v>
      </c>
      <c r="AE1369" t="str">
        <f t="shared" ca="1" si="479"/>
        <v>No</v>
      </c>
      <c r="AF1369" t="str">
        <f t="shared" ca="1" si="480"/>
        <v>Under Observation</v>
      </c>
      <c r="AG1369" t="str">
        <f t="shared" ca="1" si="481"/>
        <v>Northeast</v>
      </c>
      <c r="AH1369" t="str">
        <f t="shared" si="464"/>
        <v>November</v>
      </c>
      <c r="AI1369">
        <f t="shared" si="465"/>
        <v>2021</v>
      </c>
      <c r="AJ1369" t="str">
        <f t="shared" ca="1" si="482"/>
        <v>Occupied</v>
      </c>
      <c r="AK1369">
        <f t="shared" ca="1" si="483"/>
        <v>1</v>
      </c>
    </row>
    <row r="1370" spans="1:37" x14ac:dyDescent="0.3">
      <c r="A1370" t="s">
        <v>5771</v>
      </c>
      <c r="B1370">
        <v>61</v>
      </c>
      <c r="C1370" t="s">
        <v>15</v>
      </c>
      <c r="D1370" t="s">
        <v>52</v>
      </c>
      <c r="E1370" t="s">
        <v>48</v>
      </c>
      <c r="F1370" s="1">
        <v>45136</v>
      </c>
      <c r="G1370" t="s">
        <v>2746</v>
      </c>
      <c r="H1370" t="s">
        <v>1812</v>
      </c>
      <c r="I1370" t="s">
        <v>28</v>
      </c>
      <c r="J1370">
        <v>30305</v>
      </c>
      <c r="K1370">
        <v>273</v>
      </c>
      <c r="L1370" t="s">
        <v>29</v>
      </c>
      <c r="M1370" s="1">
        <v>45152</v>
      </c>
      <c r="N1370" t="s">
        <v>30</v>
      </c>
      <c r="O1370" t="s">
        <v>23</v>
      </c>
      <c r="P1370" t="str">
        <f t="shared" si="466"/>
        <v>P1369</v>
      </c>
      <c r="Q1370" t="str">
        <f t="shared" si="462"/>
        <v>Pulmonology</v>
      </c>
      <c r="R1370">
        <f t="shared" si="463"/>
        <v>16</v>
      </c>
      <c r="S1370" t="str">
        <f t="shared" ca="1" si="467"/>
        <v>Yes</v>
      </c>
      <c r="T1370" t="str">
        <f t="shared" ca="1" si="468"/>
        <v>Severe</v>
      </c>
      <c r="U1370" t="str">
        <f t="shared" ca="1" si="469"/>
        <v>ICU</v>
      </c>
      <c r="V1370" t="str">
        <f t="shared" si="470"/>
        <v>BED1369</v>
      </c>
      <c r="W1370" t="str">
        <f t="shared" ca="1" si="471"/>
        <v>General</v>
      </c>
      <c r="X1370" t="str">
        <f t="shared" si="472"/>
        <v>NUR019</v>
      </c>
      <c r="Y1370" t="str">
        <f t="shared" ca="1" si="473"/>
        <v>Night</v>
      </c>
      <c r="Z1370" t="str">
        <f t="shared" ca="1" si="474"/>
        <v>Ventilator</v>
      </c>
      <c r="AA1370" t="str">
        <f t="shared" ca="1" si="475"/>
        <v>In Use</v>
      </c>
      <c r="AB1370" t="str">
        <f t="shared" ca="1" si="476"/>
        <v>Partially Paid</v>
      </c>
      <c r="AC1370" t="str">
        <f t="shared" ca="1" si="477"/>
        <v>Insurance</v>
      </c>
      <c r="AD1370" t="str">
        <f t="shared" ca="1" si="478"/>
        <v>No</v>
      </c>
      <c r="AE1370" t="str">
        <f t="shared" ca="1" si="479"/>
        <v>No</v>
      </c>
      <c r="AF1370" t="str">
        <f t="shared" ca="1" si="480"/>
        <v>Transferred</v>
      </c>
      <c r="AG1370" t="str">
        <f t="shared" ca="1" si="481"/>
        <v>Southeast</v>
      </c>
      <c r="AH1370" t="str">
        <f t="shared" si="464"/>
        <v>July</v>
      </c>
      <c r="AI1370">
        <f t="shared" si="465"/>
        <v>2023</v>
      </c>
      <c r="AJ1370" t="str">
        <f t="shared" ca="1" si="482"/>
        <v>Occupied</v>
      </c>
      <c r="AK1370">
        <f t="shared" ca="1" si="483"/>
        <v>1</v>
      </c>
    </row>
    <row r="1371" spans="1:37" x14ac:dyDescent="0.3">
      <c r="A1371" t="s">
        <v>5772</v>
      </c>
      <c r="B1371">
        <v>38</v>
      </c>
      <c r="C1371" t="s">
        <v>32</v>
      </c>
      <c r="D1371" t="s">
        <v>44</v>
      </c>
      <c r="E1371" t="s">
        <v>25</v>
      </c>
      <c r="F1371" s="1">
        <v>43609</v>
      </c>
      <c r="G1371" t="s">
        <v>2747</v>
      </c>
      <c r="H1371" t="s">
        <v>2748</v>
      </c>
      <c r="I1371" t="s">
        <v>57</v>
      </c>
      <c r="J1371">
        <v>20023</v>
      </c>
      <c r="K1371">
        <v>301</v>
      </c>
      <c r="L1371" t="s">
        <v>21</v>
      </c>
      <c r="M1371" s="1">
        <v>43632</v>
      </c>
      <c r="N1371" t="s">
        <v>22</v>
      </c>
      <c r="O1371" t="s">
        <v>31</v>
      </c>
      <c r="P1371" t="str">
        <f t="shared" si="466"/>
        <v>P1370</v>
      </c>
      <c r="Q1371" t="str">
        <f t="shared" si="462"/>
        <v>Nutrition</v>
      </c>
      <c r="R1371">
        <f t="shared" si="463"/>
        <v>23</v>
      </c>
      <c r="S1371" t="str">
        <f t="shared" ca="1" si="467"/>
        <v>Yes</v>
      </c>
      <c r="T1371" t="str">
        <f t="shared" ca="1" si="468"/>
        <v>Moderate</v>
      </c>
      <c r="U1371" t="str">
        <f t="shared" ca="1" si="469"/>
        <v>ICU</v>
      </c>
      <c r="V1371" t="str">
        <f t="shared" si="470"/>
        <v>BED1370</v>
      </c>
      <c r="W1371" t="str">
        <f t="shared" ca="1" si="471"/>
        <v>ICU</v>
      </c>
      <c r="X1371" t="str">
        <f t="shared" si="472"/>
        <v>NUR020</v>
      </c>
      <c r="Y1371" t="str">
        <f t="shared" ca="1" si="473"/>
        <v>Night</v>
      </c>
      <c r="Z1371" t="str">
        <f t="shared" ca="1" si="474"/>
        <v>Ventilator</v>
      </c>
      <c r="AA1371" t="str">
        <f t="shared" ca="1" si="475"/>
        <v>Maintenance</v>
      </c>
      <c r="AB1371" t="str">
        <f t="shared" ca="1" si="476"/>
        <v>Paid</v>
      </c>
      <c r="AC1371" t="str">
        <f t="shared" ca="1" si="477"/>
        <v>Debit Card</v>
      </c>
      <c r="AD1371" t="str">
        <f t="shared" ca="1" si="478"/>
        <v>Yes</v>
      </c>
      <c r="AE1371" t="str">
        <f t="shared" ca="1" si="479"/>
        <v>No</v>
      </c>
      <c r="AF1371" t="str">
        <f t="shared" ca="1" si="480"/>
        <v>Transferred</v>
      </c>
      <c r="AG1371" t="str">
        <f t="shared" ca="1" si="481"/>
        <v>Southwest</v>
      </c>
      <c r="AH1371" t="str">
        <f t="shared" si="464"/>
        <v>May</v>
      </c>
      <c r="AI1371">
        <f t="shared" si="465"/>
        <v>2019</v>
      </c>
      <c r="AJ1371" t="str">
        <f t="shared" ca="1" si="482"/>
        <v>Occupied</v>
      </c>
      <c r="AK1371">
        <f t="shared" ca="1" si="483"/>
        <v>2</v>
      </c>
    </row>
    <row r="1372" spans="1:37" x14ac:dyDescent="0.3">
      <c r="A1372" t="s">
        <v>5773</v>
      </c>
      <c r="B1372">
        <v>28</v>
      </c>
      <c r="C1372" t="s">
        <v>15</v>
      </c>
      <c r="D1372" t="s">
        <v>24</v>
      </c>
      <c r="E1372" t="s">
        <v>17</v>
      </c>
      <c r="F1372" s="1">
        <v>44131</v>
      </c>
      <c r="G1372" t="s">
        <v>2749</v>
      </c>
      <c r="H1372" t="s">
        <v>2750</v>
      </c>
      <c r="I1372" t="s">
        <v>36</v>
      </c>
      <c r="J1372">
        <v>19994</v>
      </c>
      <c r="K1372">
        <v>168</v>
      </c>
      <c r="L1372" t="s">
        <v>29</v>
      </c>
      <c r="M1372" s="1">
        <v>44146</v>
      </c>
      <c r="N1372" t="s">
        <v>47</v>
      </c>
      <c r="O1372" t="s">
        <v>23</v>
      </c>
      <c r="P1372" t="str">
        <f t="shared" si="466"/>
        <v>P1371</v>
      </c>
      <c r="Q1372" t="str">
        <f t="shared" si="462"/>
        <v>Oncology</v>
      </c>
      <c r="R1372">
        <f t="shared" si="463"/>
        <v>15</v>
      </c>
      <c r="S1372" t="str">
        <f t="shared" ca="1" si="467"/>
        <v>No</v>
      </c>
      <c r="T1372" t="str">
        <f t="shared" ca="1" si="468"/>
        <v>Critical</v>
      </c>
      <c r="U1372" t="str">
        <f t="shared" ca="1" si="469"/>
        <v>General Ward</v>
      </c>
      <c r="V1372" t="str">
        <f t="shared" si="470"/>
        <v>BED1371</v>
      </c>
      <c r="W1372" t="str">
        <f t="shared" ca="1" si="471"/>
        <v>Semi-Private</v>
      </c>
      <c r="X1372" t="str">
        <f t="shared" si="472"/>
        <v>NUR021</v>
      </c>
      <c r="Y1372" t="str">
        <f t="shared" ca="1" si="473"/>
        <v>Evening</v>
      </c>
      <c r="Z1372" t="str">
        <f t="shared" ca="1" si="474"/>
        <v>CT Scanner</v>
      </c>
      <c r="AA1372" t="str">
        <f t="shared" ca="1" si="475"/>
        <v>Available</v>
      </c>
      <c r="AB1372" t="str">
        <f t="shared" ca="1" si="476"/>
        <v>Partially Paid</v>
      </c>
      <c r="AC1372" t="str">
        <f t="shared" ca="1" si="477"/>
        <v>Insurance</v>
      </c>
      <c r="AD1372" t="str">
        <f t="shared" ca="1" si="478"/>
        <v>Yes</v>
      </c>
      <c r="AE1372" t="str">
        <f t="shared" ca="1" si="479"/>
        <v>No</v>
      </c>
      <c r="AF1372" t="str">
        <f t="shared" ca="1" si="480"/>
        <v>Transferred</v>
      </c>
      <c r="AG1372" t="str">
        <f t="shared" ca="1" si="481"/>
        <v>West Coast</v>
      </c>
      <c r="AH1372" t="str">
        <f t="shared" si="464"/>
        <v>October</v>
      </c>
      <c r="AI1372">
        <f t="shared" si="465"/>
        <v>2020</v>
      </c>
      <c r="AJ1372" t="str">
        <f t="shared" ca="1" si="482"/>
        <v>Occupied</v>
      </c>
      <c r="AK1372">
        <f t="shared" ca="1" si="483"/>
        <v>1</v>
      </c>
    </row>
    <row r="1373" spans="1:37" x14ac:dyDescent="0.3">
      <c r="A1373" t="s">
        <v>5774</v>
      </c>
      <c r="B1373">
        <v>65</v>
      </c>
      <c r="C1373" t="s">
        <v>15</v>
      </c>
      <c r="D1373" t="s">
        <v>33</v>
      </c>
      <c r="E1373" t="s">
        <v>25</v>
      </c>
      <c r="F1373" s="1">
        <v>44092</v>
      </c>
      <c r="G1373" t="s">
        <v>2751</v>
      </c>
      <c r="H1373" t="s">
        <v>1430</v>
      </c>
      <c r="I1373" t="s">
        <v>51</v>
      </c>
      <c r="J1373">
        <v>29921</v>
      </c>
      <c r="K1373">
        <v>369</v>
      </c>
      <c r="L1373" t="s">
        <v>42</v>
      </c>
      <c r="M1373" s="1">
        <v>44113</v>
      </c>
      <c r="N1373" t="s">
        <v>30</v>
      </c>
      <c r="O1373" t="s">
        <v>23</v>
      </c>
      <c r="P1373" t="str">
        <f t="shared" si="466"/>
        <v>P1372</v>
      </c>
      <c r="Q1373" t="str">
        <f t="shared" si="462"/>
        <v>Nutrition</v>
      </c>
      <c r="R1373">
        <f t="shared" si="463"/>
        <v>21</v>
      </c>
      <c r="S1373" t="str">
        <f t="shared" ca="1" si="467"/>
        <v>No</v>
      </c>
      <c r="T1373" t="str">
        <f t="shared" ca="1" si="468"/>
        <v>Moderate</v>
      </c>
      <c r="U1373" t="str">
        <f t="shared" ca="1" si="469"/>
        <v>ICU</v>
      </c>
      <c r="V1373" t="str">
        <f t="shared" si="470"/>
        <v>BED1372</v>
      </c>
      <c r="W1373" t="str">
        <f t="shared" ca="1" si="471"/>
        <v>Private</v>
      </c>
      <c r="X1373" t="str">
        <f t="shared" si="472"/>
        <v>NUR022</v>
      </c>
      <c r="Y1373" t="str">
        <f t="shared" ca="1" si="473"/>
        <v>Evening</v>
      </c>
      <c r="Z1373" t="str">
        <f t="shared" ca="1" si="474"/>
        <v>Ultrasound</v>
      </c>
      <c r="AA1373" t="str">
        <f t="shared" ca="1" si="475"/>
        <v>In Use</v>
      </c>
      <c r="AB1373" t="str">
        <f t="shared" ca="1" si="476"/>
        <v>Pending</v>
      </c>
      <c r="AC1373" t="str">
        <f t="shared" ca="1" si="477"/>
        <v>Debit Card</v>
      </c>
      <c r="AD1373" t="str">
        <f t="shared" ca="1" si="478"/>
        <v>Yes</v>
      </c>
      <c r="AE1373" t="str">
        <f t="shared" ca="1" si="479"/>
        <v>No</v>
      </c>
      <c r="AF1373" t="str">
        <f t="shared" ca="1" si="480"/>
        <v>Under Observation</v>
      </c>
      <c r="AG1373" t="str">
        <f t="shared" ca="1" si="481"/>
        <v>Southwest</v>
      </c>
      <c r="AH1373" t="str">
        <f t="shared" si="464"/>
        <v>September</v>
      </c>
      <c r="AI1373">
        <f t="shared" si="465"/>
        <v>2020</v>
      </c>
      <c r="AJ1373" t="str">
        <f t="shared" ca="1" si="482"/>
        <v>Occupied</v>
      </c>
      <c r="AK1373">
        <f t="shared" ca="1" si="483"/>
        <v>2</v>
      </c>
    </row>
    <row r="1374" spans="1:37" x14ac:dyDescent="0.3">
      <c r="A1374" t="s">
        <v>5775</v>
      </c>
      <c r="B1374">
        <v>44</v>
      </c>
      <c r="C1374" t="s">
        <v>32</v>
      </c>
      <c r="D1374" t="s">
        <v>98</v>
      </c>
      <c r="E1374" t="s">
        <v>76</v>
      </c>
      <c r="F1374" s="1">
        <v>43967</v>
      </c>
      <c r="G1374" t="s">
        <v>2752</v>
      </c>
      <c r="H1374" t="s">
        <v>2753</v>
      </c>
      <c r="I1374" t="s">
        <v>57</v>
      </c>
      <c r="J1374">
        <v>36509</v>
      </c>
      <c r="K1374">
        <v>304</v>
      </c>
      <c r="L1374" t="s">
        <v>42</v>
      </c>
      <c r="M1374" s="1">
        <v>43977</v>
      </c>
      <c r="N1374" t="s">
        <v>67</v>
      </c>
      <c r="O1374" t="s">
        <v>23</v>
      </c>
      <c r="P1374" t="str">
        <f t="shared" si="466"/>
        <v>P1373</v>
      </c>
      <c r="Q1374" t="str">
        <f t="shared" si="462"/>
        <v>Orthopedics</v>
      </c>
      <c r="R1374">
        <f t="shared" si="463"/>
        <v>10</v>
      </c>
      <c r="S1374" t="str">
        <f t="shared" ca="1" si="467"/>
        <v>No</v>
      </c>
      <c r="T1374" t="str">
        <f t="shared" ca="1" si="468"/>
        <v>Moderate</v>
      </c>
      <c r="U1374" t="str">
        <f t="shared" ca="1" si="469"/>
        <v>General Ward</v>
      </c>
      <c r="V1374" t="str">
        <f t="shared" si="470"/>
        <v>BED1373</v>
      </c>
      <c r="W1374" t="str">
        <f t="shared" ca="1" si="471"/>
        <v>ICU</v>
      </c>
      <c r="X1374" t="str">
        <f t="shared" si="472"/>
        <v>NUR023</v>
      </c>
      <c r="Y1374" t="str">
        <f t="shared" ca="1" si="473"/>
        <v>Night</v>
      </c>
      <c r="Z1374" t="str">
        <f t="shared" ca="1" si="474"/>
        <v>ECG Machine</v>
      </c>
      <c r="AA1374" t="str">
        <f t="shared" ca="1" si="475"/>
        <v>In Use</v>
      </c>
      <c r="AB1374" t="str">
        <f t="shared" ca="1" si="476"/>
        <v>Paid</v>
      </c>
      <c r="AC1374" t="str">
        <f t="shared" ca="1" si="477"/>
        <v>Credit Card</v>
      </c>
      <c r="AD1374" t="str">
        <f t="shared" ca="1" si="478"/>
        <v>No</v>
      </c>
      <c r="AE1374" t="str">
        <f t="shared" ca="1" si="479"/>
        <v>No</v>
      </c>
      <c r="AF1374" t="str">
        <f t="shared" ca="1" si="480"/>
        <v>Under Observation</v>
      </c>
      <c r="AG1374" t="str">
        <f t="shared" ca="1" si="481"/>
        <v>Northeast</v>
      </c>
      <c r="AH1374" t="str">
        <f t="shared" si="464"/>
        <v>May</v>
      </c>
      <c r="AI1374">
        <f t="shared" si="465"/>
        <v>2020</v>
      </c>
      <c r="AJ1374" t="str">
        <f t="shared" ca="1" si="482"/>
        <v>Occupied</v>
      </c>
      <c r="AK1374">
        <f t="shared" ca="1" si="483"/>
        <v>1</v>
      </c>
    </row>
    <row r="1375" spans="1:37" x14ac:dyDescent="0.3">
      <c r="A1375" t="s">
        <v>5776</v>
      </c>
      <c r="B1375">
        <v>58</v>
      </c>
      <c r="C1375" t="s">
        <v>15</v>
      </c>
      <c r="D1375" t="s">
        <v>16</v>
      </c>
      <c r="E1375" t="s">
        <v>25</v>
      </c>
      <c r="F1375" s="1">
        <v>43966</v>
      </c>
      <c r="G1375" t="s">
        <v>2754</v>
      </c>
      <c r="H1375" t="s">
        <v>2755</v>
      </c>
      <c r="I1375" t="s">
        <v>36</v>
      </c>
      <c r="J1375">
        <v>26697</v>
      </c>
      <c r="K1375">
        <v>355</v>
      </c>
      <c r="L1375" t="s">
        <v>21</v>
      </c>
      <c r="M1375" s="1">
        <v>43993</v>
      </c>
      <c r="N1375" t="s">
        <v>37</v>
      </c>
      <c r="O1375" t="s">
        <v>43</v>
      </c>
      <c r="P1375" t="str">
        <f t="shared" si="466"/>
        <v>P1374</v>
      </c>
      <c r="Q1375" t="str">
        <f t="shared" si="462"/>
        <v>Nutrition</v>
      </c>
      <c r="R1375">
        <f t="shared" si="463"/>
        <v>27</v>
      </c>
      <c r="S1375" t="str">
        <f t="shared" ca="1" si="467"/>
        <v>No</v>
      </c>
      <c r="T1375" t="str">
        <f t="shared" ca="1" si="468"/>
        <v>Critical</v>
      </c>
      <c r="U1375" t="str">
        <f t="shared" ca="1" si="469"/>
        <v>Emergency</v>
      </c>
      <c r="V1375" t="str">
        <f t="shared" si="470"/>
        <v>BED1374</v>
      </c>
      <c r="W1375" t="str">
        <f t="shared" ca="1" si="471"/>
        <v>General</v>
      </c>
      <c r="X1375" t="str">
        <f t="shared" si="472"/>
        <v>NUR024</v>
      </c>
      <c r="Y1375" t="str">
        <f t="shared" ca="1" si="473"/>
        <v>Night</v>
      </c>
      <c r="Z1375" t="str">
        <f t="shared" ca="1" si="474"/>
        <v>Ventilator</v>
      </c>
      <c r="AA1375" t="str">
        <f t="shared" ca="1" si="475"/>
        <v>Available</v>
      </c>
      <c r="AB1375" t="str">
        <f t="shared" ca="1" si="476"/>
        <v>Paid</v>
      </c>
      <c r="AC1375" t="str">
        <f t="shared" ca="1" si="477"/>
        <v>Cash</v>
      </c>
      <c r="AD1375" t="str">
        <f t="shared" ca="1" si="478"/>
        <v>No</v>
      </c>
      <c r="AE1375" t="str">
        <f t="shared" ca="1" si="479"/>
        <v>No</v>
      </c>
      <c r="AF1375" t="str">
        <f t="shared" ca="1" si="480"/>
        <v>Under Observation</v>
      </c>
      <c r="AG1375" t="str">
        <f t="shared" ca="1" si="481"/>
        <v>Southwest</v>
      </c>
      <c r="AH1375" t="str">
        <f t="shared" si="464"/>
        <v>May</v>
      </c>
      <c r="AI1375">
        <f t="shared" si="465"/>
        <v>2020</v>
      </c>
      <c r="AJ1375" t="str">
        <f t="shared" ca="1" si="482"/>
        <v>Occupied</v>
      </c>
      <c r="AK1375">
        <f t="shared" ca="1" si="483"/>
        <v>2</v>
      </c>
    </row>
    <row r="1376" spans="1:37" x14ac:dyDescent="0.3">
      <c r="A1376" t="s">
        <v>5777</v>
      </c>
      <c r="B1376">
        <v>38</v>
      </c>
      <c r="C1376" t="s">
        <v>32</v>
      </c>
      <c r="D1376" t="s">
        <v>44</v>
      </c>
      <c r="E1376" t="s">
        <v>25</v>
      </c>
      <c r="F1376" s="1">
        <v>44373</v>
      </c>
      <c r="G1376" t="s">
        <v>2756</v>
      </c>
      <c r="H1376" t="s">
        <v>2757</v>
      </c>
      <c r="I1376" t="s">
        <v>20</v>
      </c>
      <c r="J1376">
        <v>4289</v>
      </c>
      <c r="K1376">
        <v>441</v>
      </c>
      <c r="L1376" t="s">
        <v>42</v>
      </c>
      <c r="M1376" s="1">
        <v>44377</v>
      </c>
      <c r="N1376" t="s">
        <v>30</v>
      </c>
      <c r="O1376" t="s">
        <v>31</v>
      </c>
      <c r="P1376" t="str">
        <f t="shared" si="466"/>
        <v>P1375</v>
      </c>
      <c r="Q1376" t="str">
        <f t="shared" si="462"/>
        <v>Nutrition</v>
      </c>
      <c r="R1376">
        <f t="shared" si="463"/>
        <v>4</v>
      </c>
      <c r="S1376" t="str">
        <f t="shared" ca="1" si="467"/>
        <v>No</v>
      </c>
      <c r="T1376" t="str">
        <f t="shared" ca="1" si="468"/>
        <v>Critical</v>
      </c>
      <c r="U1376" t="str">
        <f t="shared" ca="1" si="469"/>
        <v>General Ward</v>
      </c>
      <c r="V1376" t="str">
        <f t="shared" si="470"/>
        <v>BED1375</v>
      </c>
      <c r="W1376" t="str">
        <f t="shared" ca="1" si="471"/>
        <v>Semi-Private</v>
      </c>
      <c r="X1376" t="str">
        <f t="shared" si="472"/>
        <v>NUR025</v>
      </c>
      <c r="Y1376" t="str">
        <f t="shared" ca="1" si="473"/>
        <v>Evening</v>
      </c>
      <c r="Z1376" t="str">
        <f t="shared" ca="1" si="474"/>
        <v>ECG Machine</v>
      </c>
      <c r="AA1376" t="str">
        <f t="shared" ca="1" si="475"/>
        <v>Available</v>
      </c>
      <c r="AB1376" t="str">
        <f t="shared" ca="1" si="476"/>
        <v>Paid</v>
      </c>
      <c r="AC1376" t="str">
        <f t="shared" ca="1" si="477"/>
        <v>Bank Transfer</v>
      </c>
      <c r="AD1376" t="str">
        <f t="shared" ca="1" si="478"/>
        <v>No</v>
      </c>
      <c r="AE1376" t="str">
        <f t="shared" ca="1" si="479"/>
        <v>No</v>
      </c>
      <c r="AF1376" t="str">
        <f t="shared" ca="1" si="480"/>
        <v>Recovered</v>
      </c>
      <c r="AG1376" t="str">
        <f t="shared" ca="1" si="481"/>
        <v>Northeast</v>
      </c>
      <c r="AH1376" t="str">
        <f t="shared" si="464"/>
        <v>June</v>
      </c>
      <c r="AI1376">
        <f t="shared" si="465"/>
        <v>2021</v>
      </c>
      <c r="AJ1376" t="str">
        <f t="shared" ca="1" si="482"/>
        <v>Occupied</v>
      </c>
      <c r="AK1376">
        <f t="shared" ca="1" si="483"/>
        <v>2</v>
      </c>
    </row>
    <row r="1377" spans="1:37" x14ac:dyDescent="0.3">
      <c r="A1377" t="s">
        <v>5778</v>
      </c>
      <c r="B1377">
        <v>49</v>
      </c>
      <c r="C1377" t="s">
        <v>32</v>
      </c>
      <c r="D1377" t="s">
        <v>33</v>
      </c>
      <c r="E1377" t="s">
        <v>48</v>
      </c>
      <c r="F1377" s="1">
        <v>44237</v>
      </c>
      <c r="G1377" t="s">
        <v>2758</v>
      </c>
      <c r="H1377" t="s">
        <v>2759</v>
      </c>
      <c r="I1377" t="s">
        <v>57</v>
      </c>
      <c r="J1377">
        <v>34805</v>
      </c>
      <c r="K1377">
        <v>456</v>
      </c>
      <c r="L1377" t="s">
        <v>21</v>
      </c>
      <c r="M1377" s="1">
        <v>44243</v>
      </c>
      <c r="N1377" t="s">
        <v>30</v>
      </c>
      <c r="O1377" t="s">
        <v>43</v>
      </c>
      <c r="P1377" t="str">
        <f t="shared" si="466"/>
        <v>P1376</v>
      </c>
      <c r="Q1377" t="str">
        <f t="shared" si="462"/>
        <v>Pulmonology</v>
      </c>
      <c r="R1377">
        <f t="shared" si="463"/>
        <v>6</v>
      </c>
      <c r="S1377" t="str">
        <f t="shared" ca="1" si="467"/>
        <v>No</v>
      </c>
      <c r="T1377" t="str">
        <f t="shared" ca="1" si="468"/>
        <v>Critical</v>
      </c>
      <c r="U1377" t="str">
        <f t="shared" ca="1" si="469"/>
        <v>Emergency</v>
      </c>
      <c r="V1377" t="str">
        <f t="shared" si="470"/>
        <v>BED1376</v>
      </c>
      <c r="W1377" t="str">
        <f t="shared" ca="1" si="471"/>
        <v>Semi-Private</v>
      </c>
      <c r="X1377" t="str">
        <f t="shared" si="472"/>
        <v>NUR026</v>
      </c>
      <c r="Y1377" t="str">
        <f t="shared" ca="1" si="473"/>
        <v>Evening</v>
      </c>
      <c r="Z1377" t="str">
        <f t="shared" ca="1" si="474"/>
        <v>X-Ray</v>
      </c>
      <c r="AA1377" t="str">
        <f t="shared" ca="1" si="475"/>
        <v>In Use</v>
      </c>
      <c r="AB1377" t="str">
        <f t="shared" ca="1" si="476"/>
        <v>Pending</v>
      </c>
      <c r="AC1377" t="str">
        <f t="shared" ca="1" si="477"/>
        <v>Cash</v>
      </c>
      <c r="AD1377" t="str">
        <f t="shared" ca="1" si="478"/>
        <v>Yes</v>
      </c>
      <c r="AE1377" t="str">
        <f t="shared" ca="1" si="479"/>
        <v>No</v>
      </c>
      <c r="AF1377" t="str">
        <f t="shared" ca="1" si="480"/>
        <v>Recovered</v>
      </c>
      <c r="AG1377" t="str">
        <f t="shared" ca="1" si="481"/>
        <v>Southwest</v>
      </c>
      <c r="AH1377" t="str">
        <f t="shared" si="464"/>
        <v>February</v>
      </c>
      <c r="AI1377">
        <f t="shared" si="465"/>
        <v>2021</v>
      </c>
      <c r="AJ1377" t="str">
        <f t="shared" ca="1" si="482"/>
        <v>Occupied</v>
      </c>
      <c r="AK1377">
        <f t="shared" ca="1" si="483"/>
        <v>2</v>
      </c>
    </row>
    <row r="1378" spans="1:37" x14ac:dyDescent="0.3">
      <c r="A1378" t="s">
        <v>5779</v>
      </c>
      <c r="B1378">
        <v>35</v>
      </c>
      <c r="C1378" t="s">
        <v>32</v>
      </c>
      <c r="D1378" t="s">
        <v>33</v>
      </c>
      <c r="E1378" t="s">
        <v>25</v>
      </c>
      <c r="F1378" s="1">
        <v>43974</v>
      </c>
      <c r="G1378" t="s">
        <v>2760</v>
      </c>
      <c r="H1378" t="s">
        <v>2761</v>
      </c>
      <c r="I1378" t="s">
        <v>57</v>
      </c>
      <c r="J1378">
        <v>2281</v>
      </c>
      <c r="K1378">
        <v>210</v>
      </c>
      <c r="L1378" t="s">
        <v>21</v>
      </c>
      <c r="M1378" s="1">
        <v>44004</v>
      </c>
      <c r="N1378" t="s">
        <v>67</v>
      </c>
      <c r="O1378" t="s">
        <v>43</v>
      </c>
      <c r="P1378" t="str">
        <f t="shared" si="466"/>
        <v>P1377</v>
      </c>
      <c r="Q1378" t="str">
        <f t="shared" si="462"/>
        <v>Nutrition</v>
      </c>
      <c r="R1378">
        <f t="shared" si="463"/>
        <v>30</v>
      </c>
      <c r="S1378" t="str">
        <f t="shared" ca="1" si="467"/>
        <v>No</v>
      </c>
      <c r="T1378" t="str">
        <f t="shared" ca="1" si="468"/>
        <v>Moderate</v>
      </c>
      <c r="U1378" t="str">
        <f t="shared" ca="1" si="469"/>
        <v>Emergency</v>
      </c>
      <c r="V1378" t="str">
        <f t="shared" si="470"/>
        <v>BED1377</v>
      </c>
      <c r="W1378" t="str">
        <f t="shared" ca="1" si="471"/>
        <v>General</v>
      </c>
      <c r="X1378" t="str">
        <f t="shared" si="472"/>
        <v>NUR027</v>
      </c>
      <c r="Y1378" t="str">
        <f t="shared" ca="1" si="473"/>
        <v>Evening</v>
      </c>
      <c r="Z1378" t="str">
        <f t="shared" ca="1" si="474"/>
        <v>CT Scanner</v>
      </c>
      <c r="AA1378" t="str">
        <f t="shared" ca="1" si="475"/>
        <v>Available</v>
      </c>
      <c r="AB1378" t="str">
        <f t="shared" ca="1" si="476"/>
        <v>Partially Paid</v>
      </c>
      <c r="AC1378" t="str">
        <f t="shared" ca="1" si="477"/>
        <v>Credit Card</v>
      </c>
      <c r="AD1378" t="str">
        <f t="shared" ca="1" si="478"/>
        <v>No</v>
      </c>
      <c r="AE1378" t="str">
        <f t="shared" ca="1" si="479"/>
        <v>No</v>
      </c>
      <c r="AF1378" t="str">
        <f t="shared" ca="1" si="480"/>
        <v>Under Observation</v>
      </c>
      <c r="AG1378" t="str">
        <f t="shared" ca="1" si="481"/>
        <v>Southeast</v>
      </c>
      <c r="AH1378" t="str">
        <f t="shared" si="464"/>
        <v>May</v>
      </c>
      <c r="AI1378">
        <f t="shared" si="465"/>
        <v>2020</v>
      </c>
      <c r="AJ1378" t="str">
        <f t="shared" ca="1" si="482"/>
        <v>Occupied</v>
      </c>
      <c r="AK1378">
        <f t="shared" ca="1" si="483"/>
        <v>2</v>
      </c>
    </row>
    <row r="1379" spans="1:37" x14ac:dyDescent="0.3">
      <c r="A1379" t="s">
        <v>5780</v>
      </c>
      <c r="B1379">
        <v>45</v>
      </c>
      <c r="C1379" t="s">
        <v>32</v>
      </c>
      <c r="D1379" t="s">
        <v>38</v>
      </c>
      <c r="E1379" t="s">
        <v>17</v>
      </c>
      <c r="F1379" s="1">
        <v>44097</v>
      </c>
      <c r="G1379" t="s">
        <v>2762</v>
      </c>
      <c r="H1379" t="s">
        <v>2763</v>
      </c>
      <c r="I1379" t="s">
        <v>51</v>
      </c>
      <c r="J1379">
        <v>3290</v>
      </c>
      <c r="K1379">
        <v>208</v>
      </c>
      <c r="L1379" t="s">
        <v>42</v>
      </c>
      <c r="M1379" s="1">
        <v>44120</v>
      </c>
      <c r="N1379" t="s">
        <v>30</v>
      </c>
      <c r="O1379" t="s">
        <v>23</v>
      </c>
      <c r="P1379" t="str">
        <f t="shared" si="466"/>
        <v>P1378</v>
      </c>
      <c r="Q1379" t="str">
        <f t="shared" si="462"/>
        <v>Oncology</v>
      </c>
      <c r="R1379">
        <f t="shared" si="463"/>
        <v>23</v>
      </c>
      <c r="S1379" t="str">
        <f t="shared" ca="1" si="467"/>
        <v>No</v>
      </c>
      <c r="T1379" t="str">
        <f t="shared" ca="1" si="468"/>
        <v>Critical</v>
      </c>
      <c r="U1379" t="str">
        <f t="shared" ca="1" si="469"/>
        <v>Semi-Private</v>
      </c>
      <c r="V1379" t="str">
        <f t="shared" si="470"/>
        <v>BED1378</v>
      </c>
      <c r="W1379" t="str">
        <f t="shared" ca="1" si="471"/>
        <v>General</v>
      </c>
      <c r="X1379" t="str">
        <f t="shared" si="472"/>
        <v>NUR028</v>
      </c>
      <c r="Y1379" t="str">
        <f t="shared" ca="1" si="473"/>
        <v>Night</v>
      </c>
      <c r="Z1379" t="str">
        <f t="shared" ca="1" si="474"/>
        <v>Ventilator</v>
      </c>
      <c r="AA1379" t="str">
        <f t="shared" ca="1" si="475"/>
        <v>Available</v>
      </c>
      <c r="AB1379" t="str">
        <f t="shared" ca="1" si="476"/>
        <v>Partially Paid</v>
      </c>
      <c r="AC1379" t="str">
        <f t="shared" ca="1" si="477"/>
        <v>Cash</v>
      </c>
      <c r="AD1379" t="str">
        <f t="shared" ca="1" si="478"/>
        <v>Yes</v>
      </c>
      <c r="AE1379" t="str">
        <f t="shared" ca="1" si="479"/>
        <v>No</v>
      </c>
      <c r="AF1379" t="str">
        <f t="shared" ca="1" si="480"/>
        <v>Recovered</v>
      </c>
      <c r="AG1379" t="str">
        <f t="shared" ca="1" si="481"/>
        <v>Southwest</v>
      </c>
      <c r="AH1379" t="str">
        <f t="shared" si="464"/>
        <v>September</v>
      </c>
      <c r="AI1379">
        <f t="shared" si="465"/>
        <v>2020</v>
      </c>
      <c r="AJ1379" t="str">
        <f t="shared" ca="1" si="482"/>
        <v>Vacant</v>
      </c>
      <c r="AK1379">
        <f t="shared" ca="1" si="483"/>
        <v>4</v>
      </c>
    </row>
    <row r="1380" spans="1:37" x14ac:dyDescent="0.3">
      <c r="A1380" t="s">
        <v>5781</v>
      </c>
      <c r="B1380">
        <v>41</v>
      </c>
      <c r="C1380" t="s">
        <v>15</v>
      </c>
      <c r="D1380" t="s">
        <v>33</v>
      </c>
      <c r="E1380" t="s">
        <v>76</v>
      </c>
      <c r="F1380" s="1">
        <v>45100</v>
      </c>
      <c r="G1380" t="s">
        <v>2764</v>
      </c>
      <c r="H1380" t="s">
        <v>2765</v>
      </c>
      <c r="I1380" t="s">
        <v>20</v>
      </c>
      <c r="J1380">
        <v>44839</v>
      </c>
      <c r="K1380">
        <v>138</v>
      </c>
      <c r="L1380" t="s">
        <v>29</v>
      </c>
      <c r="M1380" s="1">
        <v>45104</v>
      </c>
      <c r="N1380" t="s">
        <v>47</v>
      </c>
      <c r="O1380" t="s">
        <v>43</v>
      </c>
      <c r="P1380" t="str">
        <f t="shared" si="466"/>
        <v>P1379</v>
      </c>
      <c r="Q1380" t="str">
        <f t="shared" si="462"/>
        <v>Orthopedics</v>
      </c>
      <c r="R1380">
        <f t="shared" si="463"/>
        <v>4</v>
      </c>
      <c r="S1380" t="str">
        <f t="shared" ca="1" si="467"/>
        <v>No</v>
      </c>
      <c r="T1380" t="str">
        <f t="shared" ca="1" si="468"/>
        <v>Critical</v>
      </c>
      <c r="U1380" t="str">
        <f t="shared" ca="1" si="469"/>
        <v>ICU</v>
      </c>
      <c r="V1380" t="str">
        <f t="shared" si="470"/>
        <v>BED1379</v>
      </c>
      <c r="W1380" t="str">
        <f t="shared" ca="1" si="471"/>
        <v>ICU</v>
      </c>
      <c r="X1380" t="str">
        <f t="shared" si="472"/>
        <v>NUR029</v>
      </c>
      <c r="Y1380" t="str">
        <f t="shared" ca="1" si="473"/>
        <v>Evening</v>
      </c>
      <c r="Z1380" t="str">
        <f t="shared" ca="1" si="474"/>
        <v>CT Scanner</v>
      </c>
      <c r="AA1380" t="str">
        <f t="shared" ca="1" si="475"/>
        <v>Available</v>
      </c>
      <c r="AB1380" t="str">
        <f t="shared" ca="1" si="476"/>
        <v>Paid</v>
      </c>
      <c r="AC1380" t="str">
        <f t="shared" ca="1" si="477"/>
        <v>Insurance</v>
      </c>
      <c r="AD1380" t="str">
        <f t="shared" ca="1" si="478"/>
        <v>No</v>
      </c>
      <c r="AE1380" t="str">
        <f t="shared" ca="1" si="479"/>
        <v>No</v>
      </c>
      <c r="AF1380" t="str">
        <f t="shared" ca="1" si="480"/>
        <v>Under Observation</v>
      </c>
      <c r="AG1380" t="str">
        <f t="shared" ca="1" si="481"/>
        <v>Midwest</v>
      </c>
      <c r="AH1380" t="str">
        <f t="shared" si="464"/>
        <v>June</v>
      </c>
      <c r="AI1380">
        <f t="shared" si="465"/>
        <v>2023</v>
      </c>
      <c r="AJ1380" t="str">
        <f t="shared" ca="1" si="482"/>
        <v>Occupied</v>
      </c>
      <c r="AK1380">
        <f t="shared" ca="1" si="483"/>
        <v>2</v>
      </c>
    </row>
    <row r="1381" spans="1:37" x14ac:dyDescent="0.3">
      <c r="A1381" t="s">
        <v>5782</v>
      </c>
      <c r="B1381">
        <v>77</v>
      </c>
      <c r="C1381" t="s">
        <v>32</v>
      </c>
      <c r="D1381" t="s">
        <v>24</v>
      </c>
      <c r="E1381" t="s">
        <v>64</v>
      </c>
      <c r="F1381" s="1">
        <v>44490</v>
      </c>
      <c r="G1381" t="s">
        <v>2229</v>
      </c>
      <c r="H1381" t="s">
        <v>1717</v>
      </c>
      <c r="I1381" t="s">
        <v>28</v>
      </c>
      <c r="J1381">
        <v>15018</v>
      </c>
      <c r="K1381">
        <v>473</v>
      </c>
      <c r="L1381" t="s">
        <v>42</v>
      </c>
      <c r="M1381" s="1">
        <v>44493</v>
      </c>
      <c r="N1381" t="s">
        <v>37</v>
      </c>
      <c r="O1381" t="s">
        <v>43</v>
      </c>
      <c r="P1381" t="str">
        <f t="shared" si="466"/>
        <v>P1380</v>
      </c>
      <c r="Q1381" t="str">
        <f t="shared" si="462"/>
        <v>Cardiology</v>
      </c>
      <c r="R1381">
        <f t="shared" si="463"/>
        <v>3</v>
      </c>
      <c r="S1381" t="str">
        <f t="shared" ca="1" si="467"/>
        <v>Yes</v>
      </c>
      <c r="T1381" t="str">
        <f t="shared" ca="1" si="468"/>
        <v>Severe</v>
      </c>
      <c r="U1381" t="str">
        <f t="shared" ca="1" si="469"/>
        <v>Private Ward</v>
      </c>
      <c r="V1381" t="str">
        <f t="shared" si="470"/>
        <v>BED1380</v>
      </c>
      <c r="W1381" t="str">
        <f t="shared" ca="1" si="471"/>
        <v>General</v>
      </c>
      <c r="X1381" t="str">
        <f t="shared" si="472"/>
        <v>NUR030</v>
      </c>
      <c r="Y1381" t="str">
        <f t="shared" ca="1" si="473"/>
        <v>Morning</v>
      </c>
      <c r="Z1381" t="str">
        <f t="shared" ca="1" si="474"/>
        <v>Ventilator</v>
      </c>
      <c r="AA1381" t="str">
        <f t="shared" ca="1" si="475"/>
        <v>Available</v>
      </c>
      <c r="AB1381" t="str">
        <f t="shared" ca="1" si="476"/>
        <v>Paid</v>
      </c>
      <c r="AC1381" t="str">
        <f t="shared" ca="1" si="477"/>
        <v>Insurance</v>
      </c>
      <c r="AD1381" t="str">
        <f t="shared" ca="1" si="478"/>
        <v>No</v>
      </c>
      <c r="AE1381" t="str">
        <f t="shared" ca="1" si="479"/>
        <v>No</v>
      </c>
      <c r="AF1381" t="str">
        <f t="shared" ca="1" si="480"/>
        <v>Transferred</v>
      </c>
      <c r="AG1381" t="str">
        <f t="shared" ca="1" si="481"/>
        <v>Midwest</v>
      </c>
      <c r="AH1381" t="str">
        <f t="shared" si="464"/>
        <v>October</v>
      </c>
      <c r="AI1381">
        <f t="shared" si="465"/>
        <v>2021</v>
      </c>
      <c r="AJ1381" t="str">
        <f t="shared" ca="1" si="482"/>
        <v>Occupied</v>
      </c>
      <c r="AK1381">
        <f t="shared" ca="1" si="483"/>
        <v>2</v>
      </c>
    </row>
    <row r="1382" spans="1:37" x14ac:dyDescent="0.3">
      <c r="A1382" t="s">
        <v>5783</v>
      </c>
      <c r="B1382">
        <v>66</v>
      </c>
      <c r="C1382" t="s">
        <v>32</v>
      </c>
      <c r="D1382" t="s">
        <v>38</v>
      </c>
      <c r="E1382" t="s">
        <v>64</v>
      </c>
      <c r="F1382" s="1">
        <v>44831</v>
      </c>
      <c r="G1382" t="s">
        <v>2766</v>
      </c>
      <c r="H1382" t="s">
        <v>2767</v>
      </c>
      <c r="I1382" t="s">
        <v>57</v>
      </c>
      <c r="J1382">
        <v>23094</v>
      </c>
      <c r="K1382">
        <v>384</v>
      </c>
      <c r="L1382" t="s">
        <v>21</v>
      </c>
      <c r="M1382" s="1">
        <v>44839</v>
      </c>
      <c r="N1382" t="s">
        <v>30</v>
      </c>
      <c r="O1382" t="s">
        <v>43</v>
      </c>
      <c r="P1382" t="str">
        <f t="shared" si="466"/>
        <v>P1381</v>
      </c>
      <c r="Q1382" t="str">
        <f t="shared" si="462"/>
        <v>Cardiology</v>
      </c>
      <c r="R1382">
        <f t="shared" si="463"/>
        <v>8</v>
      </c>
      <c r="S1382" t="str">
        <f t="shared" ca="1" si="467"/>
        <v>No</v>
      </c>
      <c r="T1382" t="str">
        <f t="shared" ca="1" si="468"/>
        <v>Critical</v>
      </c>
      <c r="U1382" t="str">
        <f t="shared" ca="1" si="469"/>
        <v>Emergency</v>
      </c>
      <c r="V1382" t="str">
        <f t="shared" si="470"/>
        <v>BED1381</v>
      </c>
      <c r="W1382" t="str">
        <f t="shared" ca="1" si="471"/>
        <v>Semi-Private</v>
      </c>
      <c r="X1382" t="str">
        <f t="shared" si="472"/>
        <v>NUR031</v>
      </c>
      <c r="Y1382" t="str">
        <f t="shared" ca="1" si="473"/>
        <v>Morning</v>
      </c>
      <c r="Z1382" t="str">
        <f t="shared" ca="1" si="474"/>
        <v>MRI Scanner</v>
      </c>
      <c r="AA1382" t="str">
        <f t="shared" ca="1" si="475"/>
        <v>Maintenance</v>
      </c>
      <c r="AB1382" t="str">
        <f t="shared" ca="1" si="476"/>
        <v>Pending</v>
      </c>
      <c r="AC1382" t="str">
        <f t="shared" ca="1" si="477"/>
        <v>Insurance</v>
      </c>
      <c r="AD1382" t="str">
        <f t="shared" ca="1" si="478"/>
        <v>No</v>
      </c>
      <c r="AE1382" t="str">
        <f t="shared" ca="1" si="479"/>
        <v>Yes</v>
      </c>
      <c r="AF1382" t="str">
        <f t="shared" ca="1" si="480"/>
        <v>Under Observation</v>
      </c>
      <c r="AG1382" t="str">
        <f t="shared" ca="1" si="481"/>
        <v>Southwest</v>
      </c>
      <c r="AH1382" t="str">
        <f t="shared" si="464"/>
        <v>September</v>
      </c>
      <c r="AI1382">
        <f t="shared" si="465"/>
        <v>2022</v>
      </c>
      <c r="AJ1382" t="str">
        <f t="shared" ca="1" si="482"/>
        <v>Occupied</v>
      </c>
      <c r="AK1382">
        <f t="shared" ca="1" si="483"/>
        <v>2</v>
      </c>
    </row>
    <row r="1383" spans="1:37" x14ac:dyDescent="0.3">
      <c r="A1383" t="s">
        <v>5784</v>
      </c>
      <c r="B1383">
        <v>72</v>
      </c>
      <c r="C1383" t="s">
        <v>32</v>
      </c>
      <c r="D1383" t="s">
        <v>24</v>
      </c>
      <c r="E1383" t="s">
        <v>76</v>
      </c>
      <c r="F1383" s="1">
        <v>44147</v>
      </c>
      <c r="G1383" t="s">
        <v>2768</v>
      </c>
      <c r="H1383" t="s">
        <v>2769</v>
      </c>
      <c r="I1383" t="s">
        <v>36</v>
      </c>
      <c r="J1383">
        <v>49032</v>
      </c>
      <c r="K1383">
        <v>128</v>
      </c>
      <c r="L1383" t="s">
        <v>21</v>
      </c>
      <c r="M1383" s="1">
        <v>44174</v>
      </c>
      <c r="N1383" t="s">
        <v>30</v>
      </c>
      <c r="O1383" t="s">
        <v>23</v>
      </c>
      <c r="P1383" t="str">
        <f t="shared" si="466"/>
        <v>P1382</v>
      </c>
      <c r="Q1383" t="str">
        <f t="shared" si="462"/>
        <v>Orthopedics</v>
      </c>
      <c r="R1383">
        <f t="shared" si="463"/>
        <v>27</v>
      </c>
      <c r="S1383" t="str">
        <f t="shared" ca="1" si="467"/>
        <v>No</v>
      </c>
      <c r="T1383" t="str">
        <f t="shared" ca="1" si="468"/>
        <v>Mild</v>
      </c>
      <c r="U1383" t="str">
        <f t="shared" ca="1" si="469"/>
        <v>Private Ward</v>
      </c>
      <c r="V1383" t="str">
        <f t="shared" si="470"/>
        <v>BED1382</v>
      </c>
      <c r="W1383" t="str">
        <f t="shared" ca="1" si="471"/>
        <v>ICU</v>
      </c>
      <c r="X1383" t="str">
        <f t="shared" si="472"/>
        <v>NUR032</v>
      </c>
      <c r="Y1383" t="str">
        <f t="shared" ca="1" si="473"/>
        <v>Evening</v>
      </c>
      <c r="Z1383" t="str">
        <f t="shared" ca="1" si="474"/>
        <v>CT Scanner</v>
      </c>
      <c r="AA1383" t="str">
        <f t="shared" ca="1" si="475"/>
        <v>In Use</v>
      </c>
      <c r="AB1383" t="str">
        <f t="shared" ca="1" si="476"/>
        <v>Pending</v>
      </c>
      <c r="AC1383" t="str">
        <f t="shared" ca="1" si="477"/>
        <v>Bank Transfer</v>
      </c>
      <c r="AD1383" t="str">
        <f t="shared" ca="1" si="478"/>
        <v>No</v>
      </c>
      <c r="AE1383" t="str">
        <f t="shared" ca="1" si="479"/>
        <v>No</v>
      </c>
      <c r="AF1383" t="str">
        <f t="shared" ca="1" si="480"/>
        <v>Transferred</v>
      </c>
      <c r="AG1383" t="str">
        <f t="shared" ca="1" si="481"/>
        <v>Midwest</v>
      </c>
      <c r="AH1383" t="str">
        <f t="shared" si="464"/>
        <v>November</v>
      </c>
      <c r="AI1383">
        <f t="shared" si="465"/>
        <v>2020</v>
      </c>
      <c r="AJ1383" t="str">
        <f t="shared" ca="1" si="482"/>
        <v>Occupied</v>
      </c>
      <c r="AK1383">
        <f t="shared" ca="1" si="483"/>
        <v>2</v>
      </c>
    </row>
    <row r="1384" spans="1:37" x14ac:dyDescent="0.3">
      <c r="A1384" t="s">
        <v>5785</v>
      </c>
      <c r="B1384">
        <v>85</v>
      </c>
      <c r="C1384" t="s">
        <v>32</v>
      </c>
      <c r="D1384" t="s">
        <v>24</v>
      </c>
      <c r="E1384" t="s">
        <v>48</v>
      </c>
      <c r="F1384" s="1">
        <v>45229</v>
      </c>
      <c r="G1384" t="s">
        <v>2770</v>
      </c>
      <c r="H1384" t="s">
        <v>2771</v>
      </c>
      <c r="I1384" t="s">
        <v>57</v>
      </c>
      <c r="J1384">
        <v>27784</v>
      </c>
      <c r="K1384">
        <v>326</v>
      </c>
      <c r="L1384" t="s">
        <v>21</v>
      </c>
      <c r="M1384" s="1">
        <v>45255</v>
      </c>
      <c r="N1384" t="s">
        <v>47</v>
      </c>
      <c r="O1384" t="s">
        <v>31</v>
      </c>
      <c r="P1384" t="str">
        <f t="shared" si="466"/>
        <v>P1383</v>
      </c>
      <c r="Q1384" t="str">
        <f t="shared" si="462"/>
        <v>Pulmonology</v>
      </c>
      <c r="R1384">
        <f t="shared" si="463"/>
        <v>26</v>
      </c>
      <c r="S1384" t="str">
        <f t="shared" ca="1" si="467"/>
        <v>No</v>
      </c>
      <c r="T1384" t="str">
        <f t="shared" ca="1" si="468"/>
        <v>Moderate</v>
      </c>
      <c r="U1384" t="str">
        <f t="shared" ca="1" si="469"/>
        <v>Emergency</v>
      </c>
      <c r="V1384" t="str">
        <f t="shared" si="470"/>
        <v>BED1383</v>
      </c>
      <c r="W1384" t="str">
        <f t="shared" ca="1" si="471"/>
        <v>ICU</v>
      </c>
      <c r="X1384" t="str">
        <f t="shared" si="472"/>
        <v>NUR033</v>
      </c>
      <c r="Y1384" t="str">
        <f t="shared" ca="1" si="473"/>
        <v>Night</v>
      </c>
      <c r="Z1384" t="str">
        <f t="shared" ca="1" si="474"/>
        <v>Ventilator</v>
      </c>
      <c r="AA1384" t="str">
        <f t="shared" ca="1" si="475"/>
        <v>In Use</v>
      </c>
      <c r="AB1384" t="str">
        <f t="shared" ca="1" si="476"/>
        <v>Pending</v>
      </c>
      <c r="AC1384" t="str">
        <f t="shared" ca="1" si="477"/>
        <v>Debit Card</v>
      </c>
      <c r="AD1384" t="str">
        <f t="shared" ca="1" si="478"/>
        <v>No</v>
      </c>
      <c r="AE1384" t="str">
        <f t="shared" ca="1" si="479"/>
        <v>No</v>
      </c>
      <c r="AF1384" t="str">
        <f t="shared" ca="1" si="480"/>
        <v>Recovered</v>
      </c>
      <c r="AG1384" t="str">
        <f t="shared" ca="1" si="481"/>
        <v>Southwest</v>
      </c>
      <c r="AH1384" t="str">
        <f t="shared" si="464"/>
        <v>October</v>
      </c>
      <c r="AI1384">
        <f t="shared" si="465"/>
        <v>2023</v>
      </c>
      <c r="AJ1384" t="str">
        <f t="shared" ca="1" si="482"/>
        <v>Occupied</v>
      </c>
      <c r="AK1384">
        <f t="shared" ca="1" si="483"/>
        <v>4</v>
      </c>
    </row>
    <row r="1385" spans="1:37" x14ac:dyDescent="0.3">
      <c r="A1385" t="s">
        <v>5786</v>
      </c>
      <c r="B1385">
        <v>52</v>
      </c>
      <c r="C1385" t="s">
        <v>15</v>
      </c>
      <c r="D1385" t="s">
        <v>24</v>
      </c>
      <c r="E1385" t="s">
        <v>39</v>
      </c>
      <c r="F1385" s="1">
        <v>44581</v>
      </c>
      <c r="G1385" t="s">
        <v>2772</v>
      </c>
      <c r="H1385" t="s">
        <v>2773</v>
      </c>
      <c r="I1385" t="s">
        <v>28</v>
      </c>
      <c r="J1385">
        <v>16661</v>
      </c>
      <c r="K1385">
        <v>409</v>
      </c>
      <c r="L1385" t="s">
        <v>21</v>
      </c>
      <c r="M1385" s="1">
        <v>44607</v>
      </c>
      <c r="N1385" t="s">
        <v>22</v>
      </c>
      <c r="O1385" t="s">
        <v>31</v>
      </c>
      <c r="P1385" t="str">
        <f t="shared" si="466"/>
        <v>P1384</v>
      </c>
      <c r="Q1385" t="str">
        <f t="shared" si="462"/>
        <v>Endocrinology</v>
      </c>
      <c r="R1385">
        <f t="shared" si="463"/>
        <v>26</v>
      </c>
      <c r="S1385" t="str">
        <f t="shared" ca="1" si="467"/>
        <v>No</v>
      </c>
      <c r="T1385" t="str">
        <f t="shared" ca="1" si="468"/>
        <v>Severe</v>
      </c>
      <c r="U1385" t="str">
        <f t="shared" ca="1" si="469"/>
        <v>ICU</v>
      </c>
      <c r="V1385" t="str">
        <f t="shared" si="470"/>
        <v>BED1384</v>
      </c>
      <c r="W1385" t="str">
        <f t="shared" ca="1" si="471"/>
        <v>Private</v>
      </c>
      <c r="X1385" t="str">
        <f t="shared" si="472"/>
        <v>NUR034</v>
      </c>
      <c r="Y1385" t="str">
        <f t="shared" ca="1" si="473"/>
        <v>Evening</v>
      </c>
      <c r="Z1385" t="str">
        <f t="shared" ca="1" si="474"/>
        <v>Ventilator</v>
      </c>
      <c r="AA1385" t="str">
        <f t="shared" ca="1" si="475"/>
        <v>In Use</v>
      </c>
      <c r="AB1385" t="str">
        <f t="shared" ca="1" si="476"/>
        <v>Paid</v>
      </c>
      <c r="AC1385" t="str">
        <f t="shared" ca="1" si="477"/>
        <v>Debit Card</v>
      </c>
      <c r="AD1385" t="str">
        <f t="shared" ca="1" si="478"/>
        <v>No</v>
      </c>
      <c r="AE1385" t="str">
        <f t="shared" ca="1" si="479"/>
        <v>No</v>
      </c>
      <c r="AF1385" t="str">
        <f t="shared" ca="1" si="480"/>
        <v>Transferred</v>
      </c>
      <c r="AG1385" t="str">
        <f t="shared" ca="1" si="481"/>
        <v>Southeast</v>
      </c>
      <c r="AH1385" t="str">
        <f t="shared" si="464"/>
        <v>January</v>
      </c>
      <c r="AI1385">
        <f t="shared" si="465"/>
        <v>2022</v>
      </c>
      <c r="AJ1385" t="str">
        <f t="shared" ca="1" si="482"/>
        <v>Occupied</v>
      </c>
      <c r="AK1385">
        <f t="shared" ca="1" si="483"/>
        <v>1</v>
      </c>
    </row>
    <row r="1386" spans="1:37" x14ac:dyDescent="0.3">
      <c r="A1386" t="s">
        <v>5787</v>
      </c>
      <c r="B1386">
        <v>78</v>
      </c>
      <c r="C1386" t="s">
        <v>15</v>
      </c>
      <c r="D1386" t="s">
        <v>83</v>
      </c>
      <c r="E1386" t="s">
        <v>17</v>
      </c>
      <c r="F1386" s="1">
        <v>44544</v>
      </c>
      <c r="G1386" t="s">
        <v>2774</v>
      </c>
      <c r="H1386" t="s">
        <v>2775</v>
      </c>
      <c r="I1386" t="s">
        <v>36</v>
      </c>
      <c r="J1386">
        <v>28922</v>
      </c>
      <c r="K1386">
        <v>359</v>
      </c>
      <c r="L1386" t="s">
        <v>29</v>
      </c>
      <c r="M1386" s="1">
        <v>44566</v>
      </c>
      <c r="N1386" t="s">
        <v>67</v>
      </c>
      <c r="O1386" t="s">
        <v>43</v>
      </c>
      <c r="P1386" t="str">
        <f t="shared" si="466"/>
        <v>P1385</v>
      </c>
      <c r="Q1386" t="str">
        <f t="shared" si="462"/>
        <v>Oncology</v>
      </c>
      <c r="R1386">
        <f t="shared" si="463"/>
        <v>22</v>
      </c>
      <c r="S1386" t="str">
        <f t="shared" ca="1" si="467"/>
        <v>No</v>
      </c>
      <c r="T1386" t="str">
        <f t="shared" ca="1" si="468"/>
        <v>Moderate</v>
      </c>
      <c r="U1386" t="str">
        <f t="shared" ca="1" si="469"/>
        <v>Semi-Private</v>
      </c>
      <c r="V1386" t="str">
        <f t="shared" si="470"/>
        <v>BED1385</v>
      </c>
      <c r="W1386" t="str">
        <f t="shared" ca="1" si="471"/>
        <v>ICU</v>
      </c>
      <c r="X1386" t="str">
        <f t="shared" si="472"/>
        <v>NUR035</v>
      </c>
      <c r="Y1386" t="str">
        <f t="shared" ca="1" si="473"/>
        <v>Morning</v>
      </c>
      <c r="Z1386" t="str">
        <f t="shared" ca="1" si="474"/>
        <v>Ultrasound</v>
      </c>
      <c r="AA1386" t="str">
        <f t="shared" ca="1" si="475"/>
        <v>Maintenance</v>
      </c>
      <c r="AB1386" t="str">
        <f t="shared" ca="1" si="476"/>
        <v>Paid</v>
      </c>
      <c r="AC1386" t="str">
        <f t="shared" ca="1" si="477"/>
        <v>Bank Transfer</v>
      </c>
      <c r="AD1386" t="str">
        <f t="shared" ca="1" si="478"/>
        <v>No</v>
      </c>
      <c r="AE1386" t="str">
        <f t="shared" ca="1" si="479"/>
        <v>Yes</v>
      </c>
      <c r="AF1386" t="str">
        <f t="shared" ca="1" si="480"/>
        <v>Transferred</v>
      </c>
      <c r="AG1386" t="str">
        <f t="shared" ca="1" si="481"/>
        <v>Northeast</v>
      </c>
      <c r="AH1386" t="str">
        <f t="shared" si="464"/>
        <v>December</v>
      </c>
      <c r="AI1386">
        <f t="shared" si="465"/>
        <v>2021</v>
      </c>
      <c r="AJ1386" t="str">
        <f t="shared" ca="1" si="482"/>
        <v>Vacant</v>
      </c>
      <c r="AK1386">
        <f t="shared" ca="1" si="483"/>
        <v>1</v>
      </c>
    </row>
    <row r="1387" spans="1:37" x14ac:dyDescent="0.3">
      <c r="A1387" t="s">
        <v>5788</v>
      </c>
      <c r="B1387">
        <v>55</v>
      </c>
      <c r="C1387" t="s">
        <v>32</v>
      </c>
      <c r="D1387" t="s">
        <v>24</v>
      </c>
      <c r="E1387" t="s">
        <v>76</v>
      </c>
      <c r="F1387" s="1">
        <v>44664</v>
      </c>
      <c r="G1387" t="s">
        <v>2776</v>
      </c>
      <c r="H1387" t="s">
        <v>2777</v>
      </c>
      <c r="I1387" t="s">
        <v>36</v>
      </c>
      <c r="J1387">
        <v>27100</v>
      </c>
      <c r="K1387">
        <v>397</v>
      </c>
      <c r="L1387" t="s">
        <v>42</v>
      </c>
      <c r="M1387" s="1">
        <v>44673</v>
      </c>
      <c r="N1387" t="s">
        <v>30</v>
      </c>
      <c r="O1387" t="s">
        <v>31</v>
      </c>
      <c r="P1387" t="str">
        <f t="shared" si="466"/>
        <v>P1386</v>
      </c>
      <c r="Q1387" t="str">
        <f t="shared" si="462"/>
        <v>Orthopedics</v>
      </c>
      <c r="R1387">
        <f t="shared" si="463"/>
        <v>9</v>
      </c>
      <c r="S1387" t="str">
        <f t="shared" ca="1" si="467"/>
        <v>No</v>
      </c>
      <c r="T1387" t="str">
        <f t="shared" ca="1" si="468"/>
        <v>Moderate</v>
      </c>
      <c r="U1387" t="str">
        <f t="shared" ca="1" si="469"/>
        <v>Private Ward</v>
      </c>
      <c r="V1387" t="str">
        <f t="shared" si="470"/>
        <v>BED1386</v>
      </c>
      <c r="W1387" t="str">
        <f t="shared" ca="1" si="471"/>
        <v>Private</v>
      </c>
      <c r="X1387" t="str">
        <f t="shared" si="472"/>
        <v>NUR036</v>
      </c>
      <c r="Y1387" t="str">
        <f t="shared" ca="1" si="473"/>
        <v>Evening</v>
      </c>
      <c r="Z1387" t="str">
        <f t="shared" ca="1" si="474"/>
        <v>CT Scanner</v>
      </c>
      <c r="AA1387" t="str">
        <f t="shared" ca="1" si="475"/>
        <v>In Use</v>
      </c>
      <c r="AB1387" t="str">
        <f t="shared" ca="1" si="476"/>
        <v>Pending</v>
      </c>
      <c r="AC1387" t="str">
        <f t="shared" ca="1" si="477"/>
        <v>Bank Transfer</v>
      </c>
      <c r="AD1387" t="str">
        <f t="shared" ca="1" si="478"/>
        <v>No</v>
      </c>
      <c r="AE1387" t="str">
        <f t="shared" ca="1" si="479"/>
        <v>No</v>
      </c>
      <c r="AF1387" t="str">
        <f t="shared" ca="1" si="480"/>
        <v>Recovered</v>
      </c>
      <c r="AG1387" t="str">
        <f t="shared" ca="1" si="481"/>
        <v>West Coast</v>
      </c>
      <c r="AH1387" t="str">
        <f t="shared" si="464"/>
        <v>April</v>
      </c>
      <c r="AI1387">
        <f t="shared" si="465"/>
        <v>2022</v>
      </c>
      <c r="AJ1387" t="str">
        <f t="shared" ca="1" si="482"/>
        <v>Occupied</v>
      </c>
      <c r="AK1387">
        <f t="shared" ca="1" si="483"/>
        <v>1</v>
      </c>
    </row>
    <row r="1388" spans="1:37" x14ac:dyDescent="0.3">
      <c r="A1388" t="s">
        <v>5789</v>
      </c>
      <c r="B1388">
        <v>19</v>
      </c>
      <c r="C1388" t="s">
        <v>15</v>
      </c>
      <c r="D1388" t="s">
        <v>16</v>
      </c>
      <c r="E1388" t="s">
        <v>25</v>
      </c>
      <c r="F1388" s="1">
        <v>45378</v>
      </c>
      <c r="G1388" t="s">
        <v>2778</v>
      </c>
      <c r="H1388" t="s">
        <v>2779</v>
      </c>
      <c r="I1388" t="s">
        <v>20</v>
      </c>
      <c r="J1388">
        <v>37309</v>
      </c>
      <c r="K1388">
        <v>431</v>
      </c>
      <c r="L1388" t="s">
        <v>29</v>
      </c>
      <c r="M1388" s="1">
        <v>45382</v>
      </c>
      <c r="N1388" t="s">
        <v>47</v>
      </c>
      <c r="O1388" t="s">
        <v>31</v>
      </c>
      <c r="P1388" t="str">
        <f t="shared" si="466"/>
        <v>P1387</v>
      </c>
      <c r="Q1388" t="str">
        <f t="shared" si="462"/>
        <v>Nutrition</v>
      </c>
      <c r="R1388">
        <f t="shared" si="463"/>
        <v>4</v>
      </c>
      <c r="S1388" t="str">
        <f t="shared" ca="1" si="467"/>
        <v>No</v>
      </c>
      <c r="T1388" t="str">
        <f t="shared" ca="1" si="468"/>
        <v>Severe</v>
      </c>
      <c r="U1388" t="str">
        <f t="shared" ca="1" si="469"/>
        <v>ICU</v>
      </c>
      <c r="V1388" t="str">
        <f t="shared" si="470"/>
        <v>BED1387</v>
      </c>
      <c r="W1388" t="str">
        <f t="shared" ca="1" si="471"/>
        <v>General</v>
      </c>
      <c r="X1388" t="str">
        <f t="shared" si="472"/>
        <v>NUR037</v>
      </c>
      <c r="Y1388" t="str">
        <f t="shared" ca="1" si="473"/>
        <v>Morning</v>
      </c>
      <c r="Z1388" t="str">
        <f t="shared" ca="1" si="474"/>
        <v>MRI Scanner</v>
      </c>
      <c r="AA1388" t="str">
        <f t="shared" ca="1" si="475"/>
        <v>In Use</v>
      </c>
      <c r="AB1388" t="str">
        <f t="shared" ca="1" si="476"/>
        <v>Paid</v>
      </c>
      <c r="AC1388" t="str">
        <f t="shared" ca="1" si="477"/>
        <v>Insurance</v>
      </c>
      <c r="AD1388" t="str">
        <f t="shared" ca="1" si="478"/>
        <v>Yes</v>
      </c>
      <c r="AE1388" t="str">
        <f t="shared" ca="1" si="479"/>
        <v>Yes</v>
      </c>
      <c r="AF1388" t="str">
        <f t="shared" ca="1" si="480"/>
        <v>Recovered</v>
      </c>
      <c r="AG1388" t="str">
        <f t="shared" ca="1" si="481"/>
        <v>Midwest</v>
      </c>
      <c r="AH1388" t="str">
        <f t="shared" si="464"/>
        <v>March</v>
      </c>
      <c r="AI1388">
        <f t="shared" si="465"/>
        <v>2024</v>
      </c>
      <c r="AJ1388" t="str">
        <f t="shared" ca="1" si="482"/>
        <v>Vacant</v>
      </c>
      <c r="AK1388">
        <f t="shared" ca="1" si="483"/>
        <v>4</v>
      </c>
    </row>
    <row r="1389" spans="1:37" x14ac:dyDescent="0.3">
      <c r="A1389" t="s">
        <v>5790</v>
      </c>
      <c r="B1389">
        <v>47</v>
      </c>
      <c r="C1389" t="s">
        <v>15</v>
      </c>
      <c r="D1389" t="s">
        <v>33</v>
      </c>
      <c r="E1389" t="s">
        <v>17</v>
      </c>
      <c r="F1389" s="1">
        <v>45369</v>
      </c>
      <c r="G1389" t="s">
        <v>2780</v>
      </c>
      <c r="H1389" t="s">
        <v>2781</v>
      </c>
      <c r="I1389" t="s">
        <v>57</v>
      </c>
      <c r="J1389">
        <v>23995</v>
      </c>
      <c r="K1389">
        <v>302</v>
      </c>
      <c r="L1389" t="s">
        <v>21</v>
      </c>
      <c r="M1389" s="1">
        <v>45372</v>
      </c>
      <c r="N1389" t="s">
        <v>37</v>
      </c>
      <c r="O1389" t="s">
        <v>31</v>
      </c>
      <c r="P1389" t="str">
        <f t="shared" si="466"/>
        <v>P1388</v>
      </c>
      <c r="Q1389" t="str">
        <f t="shared" si="462"/>
        <v>Oncology</v>
      </c>
      <c r="R1389">
        <f t="shared" si="463"/>
        <v>3</v>
      </c>
      <c r="S1389" t="str">
        <f t="shared" ca="1" si="467"/>
        <v>No</v>
      </c>
      <c r="T1389" t="str">
        <f t="shared" ca="1" si="468"/>
        <v>Critical</v>
      </c>
      <c r="U1389" t="str">
        <f t="shared" ca="1" si="469"/>
        <v>Private Ward</v>
      </c>
      <c r="V1389" t="str">
        <f t="shared" si="470"/>
        <v>BED1388</v>
      </c>
      <c r="W1389" t="str">
        <f t="shared" ca="1" si="471"/>
        <v>Private</v>
      </c>
      <c r="X1389" t="str">
        <f t="shared" si="472"/>
        <v>NUR038</v>
      </c>
      <c r="Y1389" t="str">
        <f t="shared" ca="1" si="473"/>
        <v>Morning</v>
      </c>
      <c r="Z1389" t="str">
        <f t="shared" ca="1" si="474"/>
        <v>Ventilator</v>
      </c>
      <c r="AA1389" t="str">
        <f t="shared" ca="1" si="475"/>
        <v>In Use</v>
      </c>
      <c r="AB1389" t="str">
        <f t="shared" ca="1" si="476"/>
        <v>Pending</v>
      </c>
      <c r="AC1389" t="str">
        <f t="shared" ca="1" si="477"/>
        <v>Bank Transfer</v>
      </c>
      <c r="AD1389" t="str">
        <f t="shared" ca="1" si="478"/>
        <v>No</v>
      </c>
      <c r="AE1389" t="str">
        <f t="shared" ca="1" si="479"/>
        <v>No</v>
      </c>
      <c r="AF1389" t="str">
        <f t="shared" ca="1" si="480"/>
        <v>Transferred</v>
      </c>
      <c r="AG1389" t="str">
        <f t="shared" ca="1" si="481"/>
        <v>Northeast</v>
      </c>
      <c r="AH1389" t="str">
        <f t="shared" si="464"/>
        <v>March</v>
      </c>
      <c r="AI1389">
        <f t="shared" si="465"/>
        <v>2024</v>
      </c>
      <c r="AJ1389" t="str">
        <f t="shared" ca="1" si="482"/>
        <v>Occupied</v>
      </c>
      <c r="AK1389">
        <f t="shared" ca="1" si="483"/>
        <v>4</v>
      </c>
    </row>
    <row r="1390" spans="1:37" x14ac:dyDescent="0.3">
      <c r="A1390" t="s">
        <v>5791</v>
      </c>
      <c r="B1390">
        <v>41</v>
      </c>
      <c r="C1390" t="s">
        <v>32</v>
      </c>
      <c r="D1390" t="s">
        <v>83</v>
      </c>
      <c r="E1390" t="s">
        <v>76</v>
      </c>
      <c r="F1390" s="1">
        <v>44932</v>
      </c>
      <c r="G1390" t="s">
        <v>2782</v>
      </c>
      <c r="H1390" t="s">
        <v>2783</v>
      </c>
      <c r="I1390" t="s">
        <v>51</v>
      </c>
      <c r="J1390">
        <v>43882</v>
      </c>
      <c r="K1390">
        <v>434</v>
      </c>
      <c r="L1390" t="s">
        <v>42</v>
      </c>
      <c r="M1390" s="1">
        <v>44954</v>
      </c>
      <c r="N1390" t="s">
        <v>37</v>
      </c>
      <c r="O1390" t="s">
        <v>23</v>
      </c>
      <c r="P1390" t="str">
        <f t="shared" si="466"/>
        <v>P1389</v>
      </c>
      <c r="Q1390" t="str">
        <f t="shared" si="462"/>
        <v>Orthopedics</v>
      </c>
      <c r="R1390">
        <f t="shared" si="463"/>
        <v>22</v>
      </c>
      <c r="S1390" t="str">
        <f t="shared" ca="1" si="467"/>
        <v>No</v>
      </c>
      <c r="T1390" t="str">
        <f t="shared" ca="1" si="468"/>
        <v>Critical</v>
      </c>
      <c r="U1390" t="str">
        <f t="shared" ca="1" si="469"/>
        <v>Emergency</v>
      </c>
      <c r="V1390" t="str">
        <f t="shared" si="470"/>
        <v>BED1389</v>
      </c>
      <c r="W1390" t="str">
        <f t="shared" ca="1" si="471"/>
        <v>General</v>
      </c>
      <c r="X1390" t="str">
        <f t="shared" si="472"/>
        <v>NUR039</v>
      </c>
      <c r="Y1390" t="str">
        <f t="shared" ca="1" si="473"/>
        <v>Morning</v>
      </c>
      <c r="Z1390" t="str">
        <f t="shared" ca="1" si="474"/>
        <v>Ventilator</v>
      </c>
      <c r="AA1390" t="str">
        <f t="shared" ca="1" si="475"/>
        <v>In Use</v>
      </c>
      <c r="AB1390" t="str">
        <f t="shared" ca="1" si="476"/>
        <v>Partially Paid</v>
      </c>
      <c r="AC1390" t="str">
        <f t="shared" ca="1" si="477"/>
        <v>Insurance</v>
      </c>
      <c r="AD1390" t="str">
        <f t="shared" ca="1" si="478"/>
        <v>Yes</v>
      </c>
      <c r="AE1390" t="str">
        <f t="shared" ca="1" si="479"/>
        <v>Yes</v>
      </c>
      <c r="AF1390" t="str">
        <f t="shared" ca="1" si="480"/>
        <v>Under Observation</v>
      </c>
      <c r="AG1390" t="str">
        <f t="shared" ca="1" si="481"/>
        <v>Midwest</v>
      </c>
      <c r="AH1390" t="str">
        <f t="shared" si="464"/>
        <v>January</v>
      </c>
      <c r="AI1390">
        <f t="shared" si="465"/>
        <v>2023</v>
      </c>
      <c r="AJ1390" t="str">
        <f t="shared" ca="1" si="482"/>
        <v>Occupied</v>
      </c>
      <c r="AK1390">
        <f t="shared" ca="1" si="483"/>
        <v>1</v>
      </c>
    </row>
    <row r="1391" spans="1:37" x14ac:dyDescent="0.3">
      <c r="A1391" t="s">
        <v>5792</v>
      </c>
      <c r="B1391">
        <v>36</v>
      </c>
      <c r="C1391" t="s">
        <v>32</v>
      </c>
      <c r="D1391" t="s">
        <v>38</v>
      </c>
      <c r="E1391" t="s">
        <v>17</v>
      </c>
      <c r="F1391" s="1">
        <v>43711</v>
      </c>
      <c r="G1391" t="s">
        <v>2784</v>
      </c>
      <c r="H1391" t="s">
        <v>2785</v>
      </c>
      <c r="I1391" t="s">
        <v>51</v>
      </c>
      <c r="J1391">
        <v>21562</v>
      </c>
      <c r="K1391">
        <v>127</v>
      </c>
      <c r="L1391" t="s">
        <v>21</v>
      </c>
      <c r="M1391" s="1">
        <v>43713</v>
      </c>
      <c r="N1391" t="s">
        <v>67</v>
      </c>
      <c r="O1391" t="s">
        <v>43</v>
      </c>
      <c r="P1391" t="str">
        <f t="shared" si="466"/>
        <v>P1390</v>
      </c>
      <c r="Q1391" t="str">
        <f t="shared" si="462"/>
        <v>Oncology</v>
      </c>
      <c r="R1391">
        <f t="shared" si="463"/>
        <v>2</v>
      </c>
      <c r="S1391" t="str">
        <f t="shared" ca="1" si="467"/>
        <v>No</v>
      </c>
      <c r="T1391" t="str">
        <f t="shared" ca="1" si="468"/>
        <v>Critical</v>
      </c>
      <c r="U1391" t="str">
        <f t="shared" ca="1" si="469"/>
        <v>Private Ward</v>
      </c>
      <c r="V1391" t="str">
        <f t="shared" si="470"/>
        <v>BED1390</v>
      </c>
      <c r="W1391" t="str">
        <f t="shared" ca="1" si="471"/>
        <v>ICU</v>
      </c>
      <c r="X1391" t="str">
        <f t="shared" si="472"/>
        <v>NUR040</v>
      </c>
      <c r="Y1391" t="str">
        <f t="shared" ca="1" si="473"/>
        <v>Morning</v>
      </c>
      <c r="Z1391" t="str">
        <f t="shared" ca="1" si="474"/>
        <v>MRI Scanner</v>
      </c>
      <c r="AA1391" t="str">
        <f t="shared" ca="1" si="475"/>
        <v>Available</v>
      </c>
      <c r="AB1391" t="str">
        <f t="shared" ca="1" si="476"/>
        <v>Partially Paid</v>
      </c>
      <c r="AC1391" t="str">
        <f t="shared" ca="1" si="477"/>
        <v>Bank Transfer</v>
      </c>
      <c r="AD1391" t="str">
        <f t="shared" ca="1" si="478"/>
        <v>Yes</v>
      </c>
      <c r="AE1391" t="str">
        <f t="shared" ca="1" si="479"/>
        <v>No</v>
      </c>
      <c r="AF1391" t="str">
        <f t="shared" ca="1" si="480"/>
        <v>Under Observation</v>
      </c>
      <c r="AG1391" t="str">
        <f t="shared" ca="1" si="481"/>
        <v>Northeast</v>
      </c>
      <c r="AH1391" t="str">
        <f t="shared" si="464"/>
        <v>September</v>
      </c>
      <c r="AI1391">
        <f t="shared" si="465"/>
        <v>2019</v>
      </c>
      <c r="AJ1391" t="str">
        <f t="shared" ca="1" si="482"/>
        <v>Vacant</v>
      </c>
      <c r="AK1391">
        <f t="shared" ca="1" si="483"/>
        <v>2</v>
      </c>
    </row>
    <row r="1392" spans="1:37" x14ac:dyDescent="0.3">
      <c r="A1392" t="s">
        <v>5793</v>
      </c>
      <c r="B1392">
        <v>77</v>
      </c>
      <c r="C1392" t="s">
        <v>32</v>
      </c>
      <c r="D1392" t="s">
        <v>38</v>
      </c>
      <c r="E1392" t="s">
        <v>48</v>
      </c>
      <c r="F1392" s="1">
        <v>44966</v>
      </c>
      <c r="G1392" t="s">
        <v>2786</v>
      </c>
      <c r="H1392" t="s">
        <v>2787</v>
      </c>
      <c r="I1392" t="s">
        <v>20</v>
      </c>
      <c r="J1392">
        <v>44206</v>
      </c>
      <c r="K1392">
        <v>169</v>
      </c>
      <c r="L1392" t="s">
        <v>29</v>
      </c>
      <c r="M1392" s="1">
        <v>44988</v>
      </c>
      <c r="N1392" t="s">
        <v>22</v>
      </c>
      <c r="O1392" t="s">
        <v>23</v>
      </c>
      <c r="P1392" t="str">
        <f t="shared" si="466"/>
        <v>P1391</v>
      </c>
      <c r="Q1392" t="str">
        <f t="shared" si="462"/>
        <v>Pulmonology</v>
      </c>
      <c r="R1392">
        <f t="shared" si="463"/>
        <v>22</v>
      </c>
      <c r="S1392" t="str">
        <f t="shared" ca="1" si="467"/>
        <v>No</v>
      </c>
      <c r="T1392" t="str">
        <f t="shared" ca="1" si="468"/>
        <v>Critical</v>
      </c>
      <c r="U1392" t="str">
        <f t="shared" ca="1" si="469"/>
        <v>ICU</v>
      </c>
      <c r="V1392" t="str">
        <f t="shared" si="470"/>
        <v>BED1391</v>
      </c>
      <c r="W1392" t="str">
        <f t="shared" ca="1" si="471"/>
        <v>ICU</v>
      </c>
      <c r="X1392" t="str">
        <f t="shared" si="472"/>
        <v>NUR041</v>
      </c>
      <c r="Y1392" t="str">
        <f t="shared" ca="1" si="473"/>
        <v>Night</v>
      </c>
      <c r="Z1392" t="str">
        <f t="shared" ca="1" si="474"/>
        <v>ECG Machine</v>
      </c>
      <c r="AA1392" t="str">
        <f t="shared" ca="1" si="475"/>
        <v>Available</v>
      </c>
      <c r="AB1392" t="str">
        <f t="shared" ca="1" si="476"/>
        <v>Pending</v>
      </c>
      <c r="AC1392" t="str">
        <f t="shared" ca="1" si="477"/>
        <v>Credit Card</v>
      </c>
      <c r="AD1392" t="str">
        <f t="shared" ca="1" si="478"/>
        <v>Yes</v>
      </c>
      <c r="AE1392" t="str">
        <f t="shared" ca="1" si="479"/>
        <v>No</v>
      </c>
      <c r="AF1392" t="str">
        <f t="shared" ca="1" si="480"/>
        <v>Recovered</v>
      </c>
      <c r="AG1392" t="str">
        <f t="shared" ca="1" si="481"/>
        <v>Southeast</v>
      </c>
      <c r="AH1392" t="str">
        <f t="shared" si="464"/>
        <v>February</v>
      </c>
      <c r="AI1392">
        <f t="shared" si="465"/>
        <v>2023</v>
      </c>
      <c r="AJ1392" t="str">
        <f t="shared" ca="1" si="482"/>
        <v>Vacant</v>
      </c>
      <c r="AK1392">
        <f t="shared" ca="1" si="483"/>
        <v>1</v>
      </c>
    </row>
    <row r="1393" spans="1:37" x14ac:dyDescent="0.3">
      <c r="A1393" t="s">
        <v>5794</v>
      </c>
      <c r="B1393">
        <v>55</v>
      </c>
      <c r="C1393" t="s">
        <v>15</v>
      </c>
      <c r="D1393" t="s">
        <v>16</v>
      </c>
      <c r="E1393" t="s">
        <v>64</v>
      </c>
      <c r="F1393" s="1">
        <v>44651</v>
      </c>
      <c r="G1393" t="s">
        <v>2788</v>
      </c>
      <c r="H1393" t="s">
        <v>2504</v>
      </c>
      <c r="I1393" t="s">
        <v>20</v>
      </c>
      <c r="J1393">
        <v>17463</v>
      </c>
      <c r="K1393">
        <v>329</v>
      </c>
      <c r="L1393" t="s">
        <v>21</v>
      </c>
      <c r="M1393" s="1">
        <v>44654</v>
      </c>
      <c r="N1393" t="s">
        <v>37</v>
      </c>
      <c r="O1393" t="s">
        <v>23</v>
      </c>
      <c r="P1393" t="str">
        <f t="shared" si="466"/>
        <v>P1392</v>
      </c>
      <c r="Q1393" t="str">
        <f t="shared" si="462"/>
        <v>Cardiology</v>
      </c>
      <c r="R1393">
        <f t="shared" si="463"/>
        <v>3</v>
      </c>
      <c r="S1393" t="str">
        <f t="shared" ca="1" si="467"/>
        <v>Yes</v>
      </c>
      <c r="T1393" t="str">
        <f t="shared" ca="1" si="468"/>
        <v>Severe</v>
      </c>
      <c r="U1393" t="str">
        <f t="shared" ca="1" si="469"/>
        <v>Emergency</v>
      </c>
      <c r="V1393" t="str">
        <f t="shared" si="470"/>
        <v>BED1392</v>
      </c>
      <c r="W1393" t="str">
        <f t="shared" ca="1" si="471"/>
        <v>Semi-Private</v>
      </c>
      <c r="X1393" t="str">
        <f t="shared" si="472"/>
        <v>NUR042</v>
      </c>
      <c r="Y1393" t="str">
        <f t="shared" ca="1" si="473"/>
        <v>Night</v>
      </c>
      <c r="Z1393" t="str">
        <f t="shared" ca="1" si="474"/>
        <v>Ultrasound</v>
      </c>
      <c r="AA1393" t="str">
        <f t="shared" ca="1" si="475"/>
        <v>Available</v>
      </c>
      <c r="AB1393" t="str">
        <f t="shared" ca="1" si="476"/>
        <v>Partially Paid</v>
      </c>
      <c r="AC1393" t="str">
        <f t="shared" ca="1" si="477"/>
        <v>Debit Card</v>
      </c>
      <c r="AD1393" t="str">
        <f t="shared" ca="1" si="478"/>
        <v>No</v>
      </c>
      <c r="AE1393" t="str">
        <f t="shared" ca="1" si="479"/>
        <v>No</v>
      </c>
      <c r="AF1393" t="str">
        <f t="shared" ca="1" si="480"/>
        <v>Under Observation</v>
      </c>
      <c r="AG1393" t="str">
        <f t="shared" ca="1" si="481"/>
        <v>Midwest</v>
      </c>
      <c r="AH1393" t="str">
        <f t="shared" si="464"/>
        <v>March</v>
      </c>
      <c r="AI1393">
        <f t="shared" si="465"/>
        <v>2022</v>
      </c>
      <c r="AJ1393" t="str">
        <f t="shared" ca="1" si="482"/>
        <v>Vacant</v>
      </c>
      <c r="AK1393">
        <f t="shared" ca="1" si="483"/>
        <v>4</v>
      </c>
    </row>
    <row r="1394" spans="1:37" x14ac:dyDescent="0.3">
      <c r="A1394" t="s">
        <v>5253</v>
      </c>
      <c r="B1394">
        <v>50</v>
      </c>
      <c r="C1394" t="s">
        <v>32</v>
      </c>
      <c r="D1394" t="s">
        <v>52</v>
      </c>
      <c r="E1394" t="s">
        <v>25</v>
      </c>
      <c r="F1394" s="1">
        <v>43814</v>
      </c>
      <c r="G1394" t="s">
        <v>2789</v>
      </c>
      <c r="H1394" t="s">
        <v>2790</v>
      </c>
      <c r="I1394" t="s">
        <v>36</v>
      </c>
      <c r="J1394">
        <v>45886</v>
      </c>
      <c r="K1394">
        <v>427</v>
      </c>
      <c r="L1394" t="s">
        <v>29</v>
      </c>
      <c r="M1394" s="1">
        <v>43835</v>
      </c>
      <c r="N1394" t="s">
        <v>37</v>
      </c>
      <c r="O1394" t="s">
        <v>31</v>
      </c>
      <c r="P1394" t="str">
        <f t="shared" si="466"/>
        <v>P1393</v>
      </c>
      <c r="Q1394" t="str">
        <f t="shared" si="462"/>
        <v>Nutrition</v>
      </c>
      <c r="R1394">
        <f t="shared" si="463"/>
        <v>21</v>
      </c>
      <c r="S1394" t="str">
        <f t="shared" ca="1" si="467"/>
        <v>No</v>
      </c>
      <c r="T1394" t="str">
        <f t="shared" ca="1" si="468"/>
        <v>Critical</v>
      </c>
      <c r="U1394" t="str">
        <f t="shared" ca="1" si="469"/>
        <v>Semi-Private</v>
      </c>
      <c r="V1394" t="str">
        <f t="shared" si="470"/>
        <v>BED1393</v>
      </c>
      <c r="W1394" t="str">
        <f t="shared" ca="1" si="471"/>
        <v>Private</v>
      </c>
      <c r="X1394" t="str">
        <f t="shared" si="472"/>
        <v>NUR043</v>
      </c>
      <c r="Y1394" t="str">
        <f t="shared" ca="1" si="473"/>
        <v>Evening</v>
      </c>
      <c r="Z1394" t="str">
        <f t="shared" ca="1" si="474"/>
        <v>X-Ray</v>
      </c>
      <c r="AA1394" t="str">
        <f t="shared" ca="1" si="475"/>
        <v>Maintenance</v>
      </c>
      <c r="AB1394" t="str">
        <f t="shared" ca="1" si="476"/>
        <v>Paid</v>
      </c>
      <c r="AC1394" t="str">
        <f t="shared" ca="1" si="477"/>
        <v>Credit Card</v>
      </c>
      <c r="AD1394" t="str">
        <f t="shared" ca="1" si="478"/>
        <v>No</v>
      </c>
      <c r="AE1394" t="str">
        <f t="shared" ca="1" si="479"/>
        <v>No</v>
      </c>
      <c r="AF1394" t="str">
        <f t="shared" ca="1" si="480"/>
        <v>Transferred</v>
      </c>
      <c r="AG1394" t="str">
        <f t="shared" ca="1" si="481"/>
        <v>West Coast</v>
      </c>
      <c r="AH1394" t="str">
        <f t="shared" si="464"/>
        <v>December</v>
      </c>
      <c r="AI1394">
        <f t="shared" si="465"/>
        <v>2019</v>
      </c>
      <c r="AJ1394" t="str">
        <f t="shared" ca="1" si="482"/>
        <v>Occupied</v>
      </c>
      <c r="AK1394">
        <f t="shared" ca="1" si="483"/>
        <v>1</v>
      </c>
    </row>
    <row r="1395" spans="1:37" x14ac:dyDescent="0.3">
      <c r="A1395" t="s">
        <v>5795</v>
      </c>
      <c r="B1395">
        <v>72</v>
      </c>
      <c r="C1395" t="s">
        <v>32</v>
      </c>
      <c r="D1395" t="s">
        <v>52</v>
      </c>
      <c r="E1395" t="s">
        <v>76</v>
      </c>
      <c r="F1395" s="1">
        <v>44632</v>
      </c>
      <c r="G1395" t="s">
        <v>2791</v>
      </c>
      <c r="H1395" t="s">
        <v>2792</v>
      </c>
      <c r="I1395" t="s">
        <v>51</v>
      </c>
      <c r="J1395">
        <v>7538</v>
      </c>
      <c r="K1395">
        <v>340</v>
      </c>
      <c r="L1395" t="s">
        <v>21</v>
      </c>
      <c r="M1395" s="1">
        <v>44640</v>
      </c>
      <c r="N1395" t="s">
        <v>30</v>
      </c>
      <c r="O1395" t="s">
        <v>43</v>
      </c>
      <c r="P1395" t="str">
        <f t="shared" si="466"/>
        <v>P1394</v>
      </c>
      <c r="Q1395" t="str">
        <f t="shared" si="462"/>
        <v>Orthopedics</v>
      </c>
      <c r="R1395">
        <f t="shared" si="463"/>
        <v>8</v>
      </c>
      <c r="S1395" t="str">
        <f t="shared" ca="1" si="467"/>
        <v>No</v>
      </c>
      <c r="T1395" t="str">
        <f t="shared" ca="1" si="468"/>
        <v>Critical</v>
      </c>
      <c r="U1395" t="str">
        <f t="shared" ca="1" si="469"/>
        <v>Emergency</v>
      </c>
      <c r="V1395" t="str">
        <f t="shared" si="470"/>
        <v>BED1394</v>
      </c>
      <c r="W1395" t="str">
        <f t="shared" ca="1" si="471"/>
        <v>Semi-Private</v>
      </c>
      <c r="X1395" t="str">
        <f t="shared" si="472"/>
        <v>NUR044</v>
      </c>
      <c r="Y1395" t="str">
        <f t="shared" ca="1" si="473"/>
        <v>Evening</v>
      </c>
      <c r="Z1395" t="str">
        <f t="shared" ca="1" si="474"/>
        <v>MRI Scanner</v>
      </c>
      <c r="AA1395" t="str">
        <f t="shared" ca="1" si="475"/>
        <v>In Use</v>
      </c>
      <c r="AB1395" t="str">
        <f t="shared" ca="1" si="476"/>
        <v>Pending</v>
      </c>
      <c r="AC1395" t="str">
        <f t="shared" ca="1" si="477"/>
        <v>Bank Transfer</v>
      </c>
      <c r="AD1395" t="str">
        <f t="shared" ca="1" si="478"/>
        <v>No</v>
      </c>
      <c r="AE1395" t="str">
        <f t="shared" ca="1" si="479"/>
        <v>No</v>
      </c>
      <c r="AF1395" t="str">
        <f t="shared" ca="1" si="480"/>
        <v>Transferred</v>
      </c>
      <c r="AG1395" t="str">
        <f t="shared" ca="1" si="481"/>
        <v>West Coast</v>
      </c>
      <c r="AH1395" t="str">
        <f t="shared" si="464"/>
        <v>March</v>
      </c>
      <c r="AI1395">
        <f t="shared" si="465"/>
        <v>2022</v>
      </c>
      <c r="AJ1395" t="str">
        <f t="shared" ca="1" si="482"/>
        <v>Occupied</v>
      </c>
      <c r="AK1395">
        <f t="shared" ca="1" si="483"/>
        <v>2</v>
      </c>
    </row>
    <row r="1396" spans="1:37" x14ac:dyDescent="0.3">
      <c r="A1396" t="s">
        <v>5796</v>
      </c>
      <c r="B1396">
        <v>58</v>
      </c>
      <c r="C1396" t="s">
        <v>15</v>
      </c>
      <c r="D1396" t="s">
        <v>44</v>
      </c>
      <c r="E1396" t="s">
        <v>39</v>
      </c>
      <c r="F1396" s="1">
        <v>44989</v>
      </c>
      <c r="G1396" t="s">
        <v>2793</v>
      </c>
      <c r="H1396" t="s">
        <v>2794</v>
      </c>
      <c r="I1396" t="s">
        <v>28</v>
      </c>
      <c r="J1396">
        <v>7138</v>
      </c>
      <c r="K1396">
        <v>448</v>
      </c>
      <c r="L1396" t="s">
        <v>21</v>
      </c>
      <c r="M1396" s="1">
        <v>44999</v>
      </c>
      <c r="N1396" t="s">
        <v>67</v>
      </c>
      <c r="O1396" t="s">
        <v>43</v>
      </c>
      <c r="P1396" t="str">
        <f t="shared" si="466"/>
        <v>P1395</v>
      </c>
      <c r="Q1396" t="str">
        <f t="shared" si="462"/>
        <v>Endocrinology</v>
      </c>
      <c r="R1396">
        <f t="shared" si="463"/>
        <v>10</v>
      </c>
      <c r="S1396" t="str">
        <f t="shared" ca="1" si="467"/>
        <v>No</v>
      </c>
      <c r="T1396" t="str">
        <f t="shared" ca="1" si="468"/>
        <v>Critical</v>
      </c>
      <c r="U1396" t="str">
        <f t="shared" ca="1" si="469"/>
        <v>ICU</v>
      </c>
      <c r="V1396" t="str">
        <f t="shared" si="470"/>
        <v>BED1395</v>
      </c>
      <c r="W1396" t="str">
        <f t="shared" ca="1" si="471"/>
        <v>General</v>
      </c>
      <c r="X1396" t="str">
        <f t="shared" si="472"/>
        <v>NUR045</v>
      </c>
      <c r="Y1396" t="str">
        <f t="shared" ca="1" si="473"/>
        <v>Morning</v>
      </c>
      <c r="Z1396" t="str">
        <f t="shared" ca="1" si="474"/>
        <v>Ventilator</v>
      </c>
      <c r="AA1396" t="str">
        <f t="shared" ca="1" si="475"/>
        <v>Available</v>
      </c>
      <c r="AB1396" t="str">
        <f t="shared" ca="1" si="476"/>
        <v>Partially Paid</v>
      </c>
      <c r="AC1396" t="str">
        <f t="shared" ca="1" si="477"/>
        <v>Bank Transfer</v>
      </c>
      <c r="AD1396" t="str">
        <f t="shared" ca="1" si="478"/>
        <v>No</v>
      </c>
      <c r="AE1396" t="str">
        <f t="shared" ca="1" si="479"/>
        <v>Yes</v>
      </c>
      <c r="AF1396" t="str">
        <f t="shared" ca="1" si="480"/>
        <v>Under Observation</v>
      </c>
      <c r="AG1396" t="str">
        <f t="shared" ca="1" si="481"/>
        <v>Southwest</v>
      </c>
      <c r="AH1396" t="str">
        <f t="shared" si="464"/>
        <v>March</v>
      </c>
      <c r="AI1396">
        <f t="shared" si="465"/>
        <v>2023</v>
      </c>
      <c r="AJ1396" t="str">
        <f t="shared" ca="1" si="482"/>
        <v>Vacant</v>
      </c>
      <c r="AK1396">
        <f t="shared" ca="1" si="483"/>
        <v>1</v>
      </c>
    </row>
    <row r="1397" spans="1:37" x14ac:dyDescent="0.3">
      <c r="A1397" t="s">
        <v>5797</v>
      </c>
      <c r="B1397">
        <v>76</v>
      </c>
      <c r="C1397" t="s">
        <v>15</v>
      </c>
      <c r="D1397" t="s">
        <v>52</v>
      </c>
      <c r="E1397" t="s">
        <v>64</v>
      </c>
      <c r="F1397" s="1">
        <v>43702</v>
      </c>
      <c r="G1397" t="s">
        <v>2795</v>
      </c>
      <c r="H1397" t="s">
        <v>2796</v>
      </c>
      <c r="I1397" t="s">
        <v>20</v>
      </c>
      <c r="J1397">
        <v>17338</v>
      </c>
      <c r="K1397">
        <v>458</v>
      </c>
      <c r="L1397" t="s">
        <v>42</v>
      </c>
      <c r="M1397" s="1">
        <v>43731</v>
      </c>
      <c r="N1397" t="s">
        <v>30</v>
      </c>
      <c r="O1397" t="s">
        <v>23</v>
      </c>
      <c r="P1397" t="str">
        <f t="shared" si="466"/>
        <v>P1396</v>
      </c>
      <c r="Q1397" t="str">
        <f t="shared" si="462"/>
        <v>Cardiology</v>
      </c>
      <c r="R1397">
        <f t="shared" si="463"/>
        <v>29</v>
      </c>
      <c r="S1397" t="str">
        <f t="shared" ca="1" si="467"/>
        <v>No</v>
      </c>
      <c r="T1397" t="str">
        <f t="shared" ca="1" si="468"/>
        <v>Severe</v>
      </c>
      <c r="U1397" t="str">
        <f t="shared" ca="1" si="469"/>
        <v>General Ward</v>
      </c>
      <c r="V1397" t="str">
        <f t="shared" si="470"/>
        <v>BED1396</v>
      </c>
      <c r="W1397" t="str">
        <f t="shared" ca="1" si="471"/>
        <v>Semi-Private</v>
      </c>
      <c r="X1397" t="str">
        <f t="shared" si="472"/>
        <v>NUR046</v>
      </c>
      <c r="Y1397" t="str">
        <f t="shared" ca="1" si="473"/>
        <v>Evening</v>
      </c>
      <c r="Z1397" t="str">
        <f t="shared" ca="1" si="474"/>
        <v>CT Scanner</v>
      </c>
      <c r="AA1397" t="str">
        <f t="shared" ca="1" si="475"/>
        <v>Available</v>
      </c>
      <c r="AB1397" t="str">
        <f t="shared" ca="1" si="476"/>
        <v>Partially Paid</v>
      </c>
      <c r="AC1397" t="str">
        <f t="shared" ca="1" si="477"/>
        <v>Cash</v>
      </c>
      <c r="AD1397" t="str">
        <f t="shared" ca="1" si="478"/>
        <v>No</v>
      </c>
      <c r="AE1397" t="str">
        <f t="shared" ca="1" si="479"/>
        <v>No</v>
      </c>
      <c r="AF1397" t="str">
        <f t="shared" ca="1" si="480"/>
        <v>Recovered</v>
      </c>
      <c r="AG1397" t="str">
        <f t="shared" ca="1" si="481"/>
        <v>Northeast</v>
      </c>
      <c r="AH1397" t="str">
        <f t="shared" si="464"/>
        <v>August</v>
      </c>
      <c r="AI1397">
        <f t="shared" si="465"/>
        <v>2019</v>
      </c>
      <c r="AJ1397" t="str">
        <f t="shared" ca="1" si="482"/>
        <v>Occupied</v>
      </c>
      <c r="AK1397">
        <f t="shared" ca="1" si="483"/>
        <v>4</v>
      </c>
    </row>
    <row r="1398" spans="1:37" x14ac:dyDescent="0.3">
      <c r="A1398" t="s">
        <v>5798</v>
      </c>
      <c r="B1398">
        <v>50</v>
      </c>
      <c r="C1398" t="s">
        <v>32</v>
      </c>
      <c r="D1398" t="s">
        <v>52</v>
      </c>
      <c r="E1398" t="s">
        <v>25</v>
      </c>
      <c r="F1398" s="1">
        <v>44678</v>
      </c>
      <c r="G1398" t="s">
        <v>2797</v>
      </c>
      <c r="H1398" t="s">
        <v>2798</v>
      </c>
      <c r="I1398" t="s">
        <v>36</v>
      </c>
      <c r="J1398">
        <v>7094</v>
      </c>
      <c r="K1398">
        <v>257</v>
      </c>
      <c r="L1398" t="s">
        <v>29</v>
      </c>
      <c r="M1398" s="1">
        <v>44694</v>
      </c>
      <c r="N1398" t="s">
        <v>37</v>
      </c>
      <c r="O1398" t="s">
        <v>23</v>
      </c>
      <c r="P1398" t="str">
        <f t="shared" si="466"/>
        <v>P1397</v>
      </c>
      <c r="Q1398" t="str">
        <f t="shared" si="462"/>
        <v>Nutrition</v>
      </c>
      <c r="R1398">
        <f t="shared" si="463"/>
        <v>16</v>
      </c>
      <c r="S1398" t="str">
        <f t="shared" ca="1" si="467"/>
        <v>No</v>
      </c>
      <c r="T1398" t="str">
        <f t="shared" ca="1" si="468"/>
        <v>Moderate</v>
      </c>
      <c r="U1398" t="str">
        <f t="shared" ca="1" si="469"/>
        <v>ICU</v>
      </c>
      <c r="V1398" t="str">
        <f t="shared" si="470"/>
        <v>BED1397</v>
      </c>
      <c r="W1398" t="str">
        <f t="shared" ca="1" si="471"/>
        <v>General</v>
      </c>
      <c r="X1398" t="str">
        <f t="shared" si="472"/>
        <v>NUR047</v>
      </c>
      <c r="Y1398" t="str">
        <f t="shared" ca="1" si="473"/>
        <v>Morning</v>
      </c>
      <c r="Z1398" t="str">
        <f t="shared" ca="1" si="474"/>
        <v>CT Scanner</v>
      </c>
      <c r="AA1398" t="str">
        <f t="shared" ca="1" si="475"/>
        <v>In Use</v>
      </c>
      <c r="AB1398" t="str">
        <f t="shared" ca="1" si="476"/>
        <v>Partially Paid</v>
      </c>
      <c r="AC1398" t="str">
        <f t="shared" ca="1" si="477"/>
        <v>Bank Transfer</v>
      </c>
      <c r="AD1398" t="str">
        <f t="shared" ca="1" si="478"/>
        <v>No</v>
      </c>
      <c r="AE1398" t="str">
        <f t="shared" ca="1" si="479"/>
        <v>No</v>
      </c>
      <c r="AF1398" t="str">
        <f t="shared" ca="1" si="480"/>
        <v>Transferred</v>
      </c>
      <c r="AG1398" t="str">
        <f t="shared" ca="1" si="481"/>
        <v>Northeast</v>
      </c>
      <c r="AH1398" t="str">
        <f t="shared" si="464"/>
        <v>April</v>
      </c>
      <c r="AI1398">
        <f t="shared" si="465"/>
        <v>2022</v>
      </c>
      <c r="AJ1398" t="str">
        <f t="shared" ca="1" si="482"/>
        <v>Occupied</v>
      </c>
      <c r="AK1398">
        <f t="shared" ca="1" si="483"/>
        <v>1</v>
      </c>
    </row>
    <row r="1399" spans="1:37" x14ac:dyDescent="0.3">
      <c r="A1399" t="s">
        <v>5799</v>
      </c>
      <c r="B1399">
        <v>40</v>
      </c>
      <c r="C1399" t="s">
        <v>15</v>
      </c>
      <c r="D1399" t="s">
        <v>44</v>
      </c>
      <c r="E1399" t="s">
        <v>39</v>
      </c>
      <c r="F1399" s="1">
        <v>45320</v>
      </c>
      <c r="G1399" t="s">
        <v>2799</v>
      </c>
      <c r="H1399" t="s">
        <v>2800</v>
      </c>
      <c r="I1399" t="s">
        <v>20</v>
      </c>
      <c r="J1399">
        <v>32956</v>
      </c>
      <c r="K1399">
        <v>232</v>
      </c>
      <c r="L1399" t="s">
        <v>42</v>
      </c>
      <c r="M1399" s="1">
        <v>45348</v>
      </c>
      <c r="N1399" t="s">
        <v>47</v>
      </c>
      <c r="O1399" t="s">
        <v>31</v>
      </c>
      <c r="P1399" t="str">
        <f t="shared" si="466"/>
        <v>P1398</v>
      </c>
      <c r="Q1399" t="str">
        <f t="shared" si="462"/>
        <v>Endocrinology</v>
      </c>
      <c r="R1399">
        <f t="shared" si="463"/>
        <v>28</v>
      </c>
      <c r="S1399" t="str">
        <f t="shared" ca="1" si="467"/>
        <v>No</v>
      </c>
      <c r="T1399" t="str">
        <f t="shared" ca="1" si="468"/>
        <v>Moderate</v>
      </c>
      <c r="U1399" t="str">
        <f t="shared" ca="1" si="469"/>
        <v>Private Ward</v>
      </c>
      <c r="V1399" t="str">
        <f t="shared" si="470"/>
        <v>BED1398</v>
      </c>
      <c r="W1399" t="str">
        <f t="shared" ca="1" si="471"/>
        <v>Private</v>
      </c>
      <c r="X1399" t="str">
        <f t="shared" si="472"/>
        <v>NUR048</v>
      </c>
      <c r="Y1399" t="str">
        <f t="shared" ca="1" si="473"/>
        <v>Night</v>
      </c>
      <c r="Z1399" t="str">
        <f t="shared" ca="1" si="474"/>
        <v>X-Ray</v>
      </c>
      <c r="AA1399" t="str">
        <f t="shared" ca="1" si="475"/>
        <v>Maintenance</v>
      </c>
      <c r="AB1399" t="str">
        <f t="shared" ca="1" si="476"/>
        <v>Partially Paid</v>
      </c>
      <c r="AC1399" t="str">
        <f t="shared" ca="1" si="477"/>
        <v>Debit Card</v>
      </c>
      <c r="AD1399" t="str">
        <f t="shared" ca="1" si="478"/>
        <v>No</v>
      </c>
      <c r="AE1399" t="str">
        <f t="shared" ca="1" si="479"/>
        <v>No</v>
      </c>
      <c r="AF1399" t="str">
        <f t="shared" ca="1" si="480"/>
        <v>Transferred</v>
      </c>
      <c r="AG1399" t="str">
        <f t="shared" ca="1" si="481"/>
        <v>Midwest</v>
      </c>
      <c r="AH1399" t="str">
        <f t="shared" si="464"/>
        <v>January</v>
      </c>
      <c r="AI1399">
        <f t="shared" si="465"/>
        <v>2024</v>
      </c>
      <c r="AJ1399" t="str">
        <f t="shared" ca="1" si="482"/>
        <v>Occupied</v>
      </c>
      <c r="AK1399">
        <f t="shared" ca="1" si="483"/>
        <v>2</v>
      </c>
    </row>
    <row r="1400" spans="1:37" x14ac:dyDescent="0.3">
      <c r="A1400" t="s">
        <v>5800</v>
      </c>
      <c r="B1400">
        <v>38</v>
      </c>
      <c r="C1400" t="s">
        <v>15</v>
      </c>
      <c r="D1400" t="s">
        <v>44</v>
      </c>
      <c r="E1400" t="s">
        <v>39</v>
      </c>
      <c r="F1400" s="1">
        <v>44268</v>
      </c>
      <c r="G1400" t="s">
        <v>2801</v>
      </c>
      <c r="H1400" t="s">
        <v>2802</v>
      </c>
      <c r="I1400" t="s">
        <v>57</v>
      </c>
      <c r="J1400">
        <v>17766</v>
      </c>
      <c r="K1400">
        <v>367</v>
      </c>
      <c r="L1400" t="s">
        <v>21</v>
      </c>
      <c r="M1400" s="1">
        <v>44273</v>
      </c>
      <c r="N1400" t="s">
        <v>47</v>
      </c>
      <c r="O1400" t="s">
        <v>31</v>
      </c>
      <c r="P1400" t="str">
        <f t="shared" si="466"/>
        <v>P1399</v>
      </c>
      <c r="Q1400" t="str">
        <f t="shared" si="462"/>
        <v>Endocrinology</v>
      </c>
      <c r="R1400">
        <f t="shared" si="463"/>
        <v>5</v>
      </c>
      <c r="S1400" t="str">
        <f t="shared" ca="1" si="467"/>
        <v>No</v>
      </c>
      <c r="T1400" t="str">
        <f t="shared" ca="1" si="468"/>
        <v>Critical</v>
      </c>
      <c r="U1400" t="str">
        <f t="shared" ca="1" si="469"/>
        <v>Semi-Private</v>
      </c>
      <c r="V1400" t="str">
        <f t="shared" si="470"/>
        <v>BED1399</v>
      </c>
      <c r="W1400" t="str">
        <f t="shared" ca="1" si="471"/>
        <v>Semi-Private</v>
      </c>
      <c r="X1400" t="str">
        <f t="shared" si="472"/>
        <v>NUR049</v>
      </c>
      <c r="Y1400" t="str">
        <f t="shared" ca="1" si="473"/>
        <v>Evening</v>
      </c>
      <c r="Z1400" t="str">
        <f t="shared" ca="1" si="474"/>
        <v>Ventilator</v>
      </c>
      <c r="AA1400" t="str">
        <f t="shared" ca="1" si="475"/>
        <v>In Use</v>
      </c>
      <c r="AB1400" t="str">
        <f t="shared" ca="1" si="476"/>
        <v>Partially Paid</v>
      </c>
      <c r="AC1400" t="str">
        <f t="shared" ca="1" si="477"/>
        <v>Cash</v>
      </c>
      <c r="AD1400" t="str">
        <f t="shared" ca="1" si="478"/>
        <v>No</v>
      </c>
      <c r="AE1400" t="str">
        <f t="shared" ca="1" si="479"/>
        <v>No</v>
      </c>
      <c r="AF1400" t="str">
        <f t="shared" ca="1" si="480"/>
        <v>Recovered</v>
      </c>
      <c r="AG1400" t="str">
        <f t="shared" ca="1" si="481"/>
        <v>Midwest</v>
      </c>
      <c r="AH1400" t="str">
        <f t="shared" si="464"/>
        <v>March</v>
      </c>
      <c r="AI1400">
        <f t="shared" si="465"/>
        <v>2021</v>
      </c>
      <c r="AJ1400" t="str">
        <f t="shared" ca="1" si="482"/>
        <v>Occupied</v>
      </c>
      <c r="AK1400">
        <f t="shared" ca="1" si="483"/>
        <v>1</v>
      </c>
    </row>
    <row r="1401" spans="1:37" x14ac:dyDescent="0.3">
      <c r="A1401" t="s">
        <v>5801</v>
      </c>
      <c r="B1401">
        <v>31</v>
      </c>
      <c r="C1401" t="s">
        <v>15</v>
      </c>
      <c r="D1401" t="s">
        <v>44</v>
      </c>
      <c r="E1401" t="s">
        <v>76</v>
      </c>
      <c r="F1401" s="1">
        <v>45258</v>
      </c>
      <c r="G1401" t="s">
        <v>2803</v>
      </c>
      <c r="H1401" t="s">
        <v>2804</v>
      </c>
      <c r="I1401" t="s">
        <v>51</v>
      </c>
      <c r="J1401">
        <v>30988</v>
      </c>
      <c r="K1401">
        <v>135</v>
      </c>
      <c r="L1401" t="s">
        <v>29</v>
      </c>
      <c r="M1401" s="1">
        <v>45267</v>
      </c>
      <c r="N1401" t="s">
        <v>30</v>
      </c>
      <c r="O1401" t="s">
        <v>43</v>
      </c>
      <c r="P1401" t="str">
        <f t="shared" si="466"/>
        <v>P1400</v>
      </c>
      <c r="Q1401" t="str">
        <f t="shared" si="462"/>
        <v>Orthopedics</v>
      </c>
      <c r="R1401">
        <f t="shared" si="463"/>
        <v>9</v>
      </c>
      <c r="S1401" t="str">
        <f t="shared" ca="1" si="467"/>
        <v>Yes</v>
      </c>
      <c r="T1401" t="str">
        <f t="shared" ca="1" si="468"/>
        <v>Critical</v>
      </c>
      <c r="U1401" t="str">
        <f t="shared" ca="1" si="469"/>
        <v>Semi-Private</v>
      </c>
      <c r="V1401" t="str">
        <f t="shared" si="470"/>
        <v>BED1400</v>
      </c>
      <c r="W1401" t="str">
        <f t="shared" ca="1" si="471"/>
        <v>Semi-Private</v>
      </c>
      <c r="X1401" t="str">
        <f t="shared" si="472"/>
        <v>NUR050</v>
      </c>
      <c r="Y1401" t="str">
        <f t="shared" ca="1" si="473"/>
        <v>Night</v>
      </c>
      <c r="Z1401" t="str">
        <f t="shared" ca="1" si="474"/>
        <v>X-Ray</v>
      </c>
      <c r="AA1401" t="str">
        <f t="shared" ca="1" si="475"/>
        <v>Available</v>
      </c>
      <c r="AB1401" t="str">
        <f t="shared" ca="1" si="476"/>
        <v>Paid</v>
      </c>
      <c r="AC1401" t="str">
        <f t="shared" ca="1" si="477"/>
        <v>Cash</v>
      </c>
      <c r="AD1401" t="str">
        <f t="shared" ca="1" si="478"/>
        <v>Yes</v>
      </c>
      <c r="AE1401" t="str">
        <f t="shared" ca="1" si="479"/>
        <v>No</v>
      </c>
      <c r="AF1401" t="str">
        <f t="shared" ca="1" si="480"/>
        <v>Transferred</v>
      </c>
      <c r="AG1401" t="str">
        <f t="shared" ca="1" si="481"/>
        <v>West Coast</v>
      </c>
      <c r="AH1401" t="str">
        <f t="shared" si="464"/>
        <v>November</v>
      </c>
      <c r="AI1401">
        <f t="shared" si="465"/>
        <v>2023</v>
      </c>
      <c r="AJ1401" t="str">
        <f t="shared" ca="1" si="482"/>
        <v>Occupied</v>
      </c>
      <c r="AK1401">
        <f t="shared" ca="1" si="483"/>
        <v>1</v>
      </c>
    </row>
    <row r="1402" spans="1:37" x14ac:dyDescent="0.3">
      <c r="A1402" t="s">
        <v>5802</v>
      </c>
      <c r="B1402">
        <v>82</v>
      </c>
      <c r="C1402" t="s">
        <v>15</v>
      </c>
      <c r="D1402" t="s">
        <v>52</v>
      </c>
      <c r="E1402" t="s">
        <v>48</v>
      </c>
      <c r="F1402" s="1">
        <v>43976</v>
      </c>
      <c r="G1402" t="s">
        <v>2805</v>
      </c>
      <c r="H1402" t="s">
        <v>2806</v>
      </c>
      <c r="I1402" t="s">
        <v>36</v>
      </c>
      <c r="J1402">
        <v>14169</v>
      </c>
      <c r="K1402">
        <v>427</v>
      </c>
      <c r="L1402" t="s">
        <v>42</v>
      </c>
      <c r="M1402" s="1">
        <v>43981</v>
      </c>
      <c r="N1402" t="s">
        <v>67</v>
      </c>
      <c r="O1402" t="s">
        <v>31</v>
      </c>
      <c r="P1402" t="str">
        <f t="shared" si="466"/>
        <v>P1401</v>
      </c>
      <c r="Q1402" t="str">
        <f t="shared" si="462"/>
        <v>Pulmonology</v>
      </c>
      <c r="R1402">
        <f t="shared" si="463"/>
        <v>5</v>
      </c>
      <c r="S1402" t="str">
        <f t="shared" ca="1" si="467"/>
        <v>No</v>
      </c>
      <c r="T1402" t="str">
        <f t="shared" ca="1" si="468"/>
        <v>Moderate</v>
      </c>
      <c r="U1402" t="str">
        <f t="shared" ca="1" si="469"/>
        <v>Private Ward</v>
      </c>
      <c r="V1402" t="str">
        <f t="shared" si="470"/>
        <v>BED1401</v>
      </c>
      <c r="W1402" t="str">
        <f t="shared" ca="1" si="471"/>
        <v>ICU</v>
      </c>
      <c r="X1402" t="str">
        <f t="shared" si="472"/>
        <v>NUR001</v>
      </c>
      <c r="Y1402" t="str">
        <f t="shared" ca="1" si="473"/>
        <v>Night</v>
      </c>
      <c r="Z1402" t="str">
        <f t="shared" ca="1" si="474"/>
        <v>CT Scanner</v>
      </c>
      <c r="AA1402" t="str">
        <f t="shared" ca="1" si="475"/>
        <v>Available</v>
      </c>
      <c r="AB1402" t="str">
        <f t="shared" ca="1" si="476"/>
        <v>Paid</v>
      </c>
      <c r="AC1402" t="str">
        <f t="shared" ca="1" si="477"/>
        <v>Cash</v>
      </c>
      <c r="AD1402" t="str">
        <f t="shared" ca="1" si="478"/>
        <v>No</v>
      </c>
      <c r="AE1402" t="str">
        <f t="shared" ca="1" si="479"/>
        <v>No</v>
      </c>
      <c r="AF1402" t="str">
        <f t="shared" ca="1" si="480"/>
        <v>Under Observation</v>
      </c>
      <c r="AG1402" t="str">
        <f t="shared" ca="1" si="481"/>
        <v>Midwest</v>
      </c>
      <c r="AH1402" t="str">
        <f t="shared" si="464"/>
        <v>May</v>
      </c>
      <c r="AI1402">
        <f t="shared" si="465"/>
        <v>2020</v>
      </c>
      <c r="AJ1402" t="str">
        <f t="shared" ca="1" si="482"/>
        <v>Occupied</v>
      </c>
      <c r="AK1402">
        <f t="shared" ca="1" si="483"/>
        <v>4</v>
      </c>
    </row>
    <row r="1403" spans="1:37" x14ac:dyDescent="0.3">
      <c r="A1403" t="s">
        <v>5803</v>
      </c>
      <c r="B1403">
        <v>25</v>
      </c>
      <c r="C1403" t="s">
        <v>32</v>
      </c>
      <c r="D1403" t="s">
        <v>38</v>
      </c>
      <c r="E1403" t="s">
        <v>64</v>
      </c>
      <c r="F1403" s="1">
        <v>44593</v>
      </c>
      <c r="G1403" t="s">
        <v>2807</v>
      </c>
      <c r="H1403" t="s">
        <v>2808</v>
      </c>
      <c r="I1403" t="s">
        <v>51</v>
      </c>
      <c r="J1403">
        <v>11167</v>
      </c>
      <c r="K1403">
        <v>140</v>
      </c>
      <c r="L1403" t="s">
        <v>21</v>
      </c>
      <c r="M1403" s="1">
        <v>44612</v>
      </c>
      <c r="N1403" t="s">
        <v>67</v>
      </c>
      <c r="O1403" t="s">
        <v>23</v>
      </c>
      <c r="P1403" t="str">
        <f t="shared" si="466"/>
        <v>P1402</v>
      </c>
      <c r="Q1403" t="str">
        <f t="shared" si="462"/>
        <v>Cardiology</v>
      </c>
      <c r="R1403">
        <f t="shared" si="463"/>
        <v>19</v>
      </c>
      <c r="S1403" t="str">
        <f t="shared" ca="1" si="467"/>
        <v>No</v>
      </c>
      <c r="T1403" t="str">
        <f t="shared" ca="1" si="468"/>
        <v>Severe</v>
      </c>
      <c r="U1403" t="str">
        <f t="shared" ca="1" si="469"/>
        <v>Private Ward</v>
      </c>
      <c r="V1403" t="str">
        <f t="shared" si="470"/>
        <v>BED1402</v>
      </c>
      <c r="W1403" t="str">
        <f t="shared" ca="1" si="471"/>
        <v>Semi-Private</v>
      </c>
      <c r="X1403" t="str">
        <f t="shared" si="472"/>
        <v>NUR002</v>
      </c>
      <c r="Y1403" t="str">
        <f t="shared" ca="1" si="473"/>
        <v>Evening</v>
      </c>
      <c r="Z1403" t="str">
        <f t="shared" ca="1" si="474"/>
        <v>Ventilator</v>
      </c>
      <c r="AA1403" t="str">
        <f t="shared" ca="1" si="475"/>
        <v>Available</v>
      </c>
      <c r="AB1403" t="str">
        <f t="shared" ca="1" si="476"/>
        <v>Partially Paid</v>
      </c>
      <c r="AC1403" t="str">
        <f t="shared" ca="1" si="477"/>
        <v>Bank Transfer</v>
      </c>
      <c r="AD1403" t="str">
        <f t="shared" ca="1" si="478"/>
        <v>No</v>
      </c>
      <c r="AE1403" t="str">
        <f t="shared" ca="1" si="479"/>
        <v>No</v>
      </c>
      <c r="AF1403" t="str">
        <f t="shared" ca="1" si="480"/>
        <v>Under Observation</v>
      </c>
      <c r="AG1403" t="str">
        <f t="shared" ca="1" si="481"/>
        <v>Midwest</v>
      </c>
      <c r="AH1403" t="str">
        <f t="shared" si="464"/>
        <v>February</v>
      </c>
      <c r="AI1403">
        <f t="shared" si="465"/>
        <v>2022</v>
      </c>
      <c r="AJ1403" t="str">
        <f t="shared" ca="1" si="482"/>
        <v>Vacant</v>
      </c>
      <c r="AK1403">
        <f t="shared" ca="1" si="483"/>
        <v>2</v>
      </c>
    </row>
    <row r="1404" spans="1:37" x14ac:dyDescent="0.3">
      <c r="A1404" t="s">
        <v>5804</v>
      </c>
      <c r="B1404">
        <v>84</v>
      </c>
      <c r="C1404" t="s">
        <v>32</v>
      </c>
      <c r="D1404" t="s">
        <v>83</v>
      </c>
      <c r="E1404" t="s">
        <v>39</v>
      </c>
      <c r="F1404" s="1">
        <v>43867</v>
      </c>
      <c r="G1404" t="s">
        <v>2809</v>
      </c>
      <c r="H1404" t="s">
        <v>2810</v>
      </c>
      <c r="I1404" t="s">
        <v>36</v>
      </c>
      <c r="J1404">
        <v>16973</v>
      </c>
      <c r="K1404">
        <v>374</v>
      </c>
      <c r="L1404" t="s">
        <v>29</v>
      </c>
      <c r="M1404" s="1">
        <v>43869</v>
      </c>
      <c r="N1404" t="s">
        <v>30</v>
      </c>
      <c r="O1404" t="s">
        <v>23</v>
      </c>
      <c r="P1404" t="str">
        <f t="shared" si="466"/>
        <v>P1403</v>
      </c>
      <c r="Q1404" t="str">
        <f t="shared" si="462"/>
        <v>Endocrinology</v>
      </c>
      <c r="R1404">
        <f t="shared" si="463"/>
        <v>2</v>
      </c>
      <c r="S1404" t="str">
        <f t="shared" ca="1" si="467"/>
        <v>No</v>
      </c>
      <c r="T1404" t="str">
        <f t="shared" ca="1" si="468"/>
        <v>Mild</v>
      </c>
      <c r="U1404" t="str">
        <f t="shared" ca="1" si="469"/>
        <v>Private Ward</v>
      </c>
      <c r="V1404" t="str">
        <f t="shared" si="470"/>
        <v>BED1403</v>
      </c>
      <c r="W1404" t="str">
        <f t="shared" ca="1" si="471"/>
        <v>ICU</v>
      </c>
      <c r="X1404" t="str">
        <f t="shared" si="472"/>
        <v>NUR003</v>
      </c>
      <c r="Y1404" t="str">
        <f t="shared" ca="1" si="473"/>
        <v>Morning</v>
      </c>
      <c r="Z1404" t="str">
        <f t="shared" ca="1" si="474"/>
        <v>CT Scanner</v>
      </c>
      <c r="AA1404" t="str">
        <f t="shared" ca="1" si="475"/>
        <v>Available</v>
      </c>
      <c r="AB1404" t="str">
        <f t="shared" ca="1" si="476"/>
        <v>Paid</v>
      </c>
      <c r="AC1404" t="str">
        <f t="shared" ca="1" si="477"/>
        <v>Cash</v>
      </c>
      <c r="AD1404" t="str">
        <f t="shared" ca="1" si="478"/>
        <v>No</v>
      </c>
      <c r="AE1404" t="str">
        <f t="shared" ca="1" si="479"/>
        <v>Yes</v>
      </c>
      <c r="AF1404" t="str">
        <f t="shared" ca="1" si="480"/>
        <v>Under Observation</v>
      </c>
      <c r="AG1404" t="str">
        <f t="shared" ca="1" si="481"/>
        <v>Northeast</v>
      </c>
      <c r="AH1404" t="str">
        <f t="shared" si="464"/>
        <v>February</v>
      </c>
      <c r="AI1404">
        <f t="shared" si="465"/>
        <v>2020</v>
      </c>
      <c r="AJ1404" t="str">
        <f t="shared" ca="1" si="482"/>
        <v>Vacant</v>
      </c>
      <c r="AK1404">
        <f t="shared" ca="1" si="483"/>
        <v>1</v>
      </c>
    </row>
    <row r="1405" spans="1:37" x14ac:dyDescent="0.3">
      <c r="A1405" t="s">
        <v>5805</v>
      </c>
      <c r="B1405">
        <v>28</v>
      </c>
      <c r="C1405" t="s">
        <v>15</v>
      </c>
      <c r="D1405" t="s">
        <v>16</v>
      </c>
      <c r="E1405" t="s">
        <v>25</v>
      </c>
      <c r="F1405" s="1">
        <v>45330</v>
      </c>
      <c r="G1405" t="s">
        <v>2811</v>
      </c>
      <c r="H1405" t="s">
        <v>2812</v>
      </c>
      <c r="I1405" t="s">
        <v>36</v>
      </c>
      <c r="J1405">
        <v>44868</v>
      </c>
      <c r="K1405">
        <v>266</v>
      </c>
      <c r="L1405" t="s">
        <v>21</v>
      </c>
      <c r="M1405" s="1">
        <v>45359</v>
      </c>
      <c r="N1405" t="s">
        <v>67</v>
      </c>
      <c r="O1405" t="s">
        <v>31</v>
      </c>
      <c r="P1405" t="str">
        <f t="shared" si="466"/>
        <v>P1404</v>
      </c>
      <c r="Q1405" t="str">
        <f t="shared" si="462"/>
        <v>Nutrition</v>
      </c>
      <c r="R1405">
        <f t="shared" si="463"/>
        <v>29</v>
      </c>
      <c r="S1405" t="str">
        <f t="shared" ca="1" si="467"/>
        <v>No</v>
      </c>
      <c r="T1405" t="str">
        <f t="shared" ca="1" si="468"/>
        <v>Moderate</v>
      </c>
      <c r="U1405" t="str">
        <f t="shared" ca="1" si="469"/>
        <v>Private Ward</v>
      </c>
      <c r="V1405" t="str">
        <f t="shared" si="470"/>
        <v>BED1404</v>
      </c>
      <c r="W1405" t="str">
        <f t="shared" ca="1" si="471"/>
        <v>Private</v>
      </c>
      <c r="X1405" t="str">
        <f t="shared" si="472"/>
        <v>NUR004</v>
      </c>
      <c r="Y1405" t="str">
        <f t="shared" ca="1" si="473"/>
        <v>Night</v>
      </c>
      <c r="Z1405" t="str">
        <f t="shared" ca="1" si="474"/>
        <v>X-Ray</v>
      </c>
      <c r="AA1405" t="str">
        <f t="shared" ca="1" si="475"/>
        <v>Maintenance</v>
      </c>
      <c r="AB1405" t="str">
        <f t="shared" ca="1" si="476"/>
        <v>Pending</v>
      </c>
      <c r="AC1405" t="str">
        <f t="shared" ca="1" si="477"/>
        <v>Cash</v>
      </c>
      <c r="AD1405" t="str">
        <f t="shared" ca="1" si="478"/>
        <v>No</v>
      </c>
      <c r="AE1405" t="str">
        <f t="shared" ca="1" si="479"/>
        <v>No</v>
      </c>
      <c r="AF1405" t="str">
        <f t="shared" ca="1" si="480"/>
        <v>Recovered</v>
      </c>
      <c r="AG1405" t="str">
        <f t="shared" ca="1" si="481"/>
        <v>Northeast</v>
      </c>
      <c r="AH1405" t="str">
        <f t="shared" si="464"/>
        <v>February</v>
      </c>
      <c r="AI1405">
        <f t="shared" si="465"/>
        <v>2024</v>
      </c>
      <c r="AJ1405" t="str">
        <f t="shared" ca="1" si="482"/>
        <v>Occupied</v>
      </c>
      <c r="AK1405">
        <f t="shared" ca="1" si="483"/>
        <v>1</v>
      </c>
    </row>
    <row r="1406" spans="1:37" x14ac:dyDescent="0.3">
      <c r="A1406" t="s">
        <v>5806</v>
      </c>
      <c r="B1406">
        <v>70</v>
      </c>
      <c r="C1406" t="s">
        <v>32</v>
      </c>
      <c r="D1406" t="s">
        <v>83</v>
      </c>
      <c r="E1406" t="s">
        <v>64</v>
      </c>
      <c r="F1406" s="1">
        <v>44966</v>
      </c>
      <c r="G1406" t="s">
        <v>2813</v>
      </c>
      <c r="H1406" t="s">
        <v>2814</v>
      </c>
      <c r="I1406" t="s">
        <v>28</v>
      </c>
      <c r="J1406">
        <v>7755</v>
      </c>
      <c r="K1406">
        <v>184</v>
      </c>
      <c r="L1406" t="s">
        <v>42</v>
      </c>
      <c r="M1406" s="1">
        <v>44970</v>
      </c>
      <c r="N1406" t="s">
        <v>67</v>
      </c>
      <c r="O1406" t="s">
        <v>23</v>
      </c>
      <c r="P1406" t="str">
        <f t="shared" si="466"/>
        <v>P1405</v>
      </c>
      <c r="Q1406" t="str">
        <f t="shared" si="462"/>
        <v>Cardiology</v>
      </c>
      <c r="R1406">
        <f t="shared" si="463"/>
        <v>4</v>
      </c>
      <c r="S1406" t="str">
        <f t="shared" ca="1" si="467"/>
        <v>No</v>
      </c>
      <c r="T1406" t="str">
        <f t="shared" ca="1" si="468"/>
        <v>Mild</v>
      </c>
      <c r="U1406" t="str">
        <f t="shared" ca="1" si="469"/>
        <v>General Ward</v>
      </c>
      <c r="V1406" t="str">
        <f t="shared" si="470"/>
        <v>BED1405</v>
      </c>
      <c r="W1406" t="str">
        <f t="shared" ca="1" si="471"/>
        <v>Private</v>
      </c>
      <c r="X1406" t="str">
        <f t="shared" si="472"/>
        <v>NUR005</v>
      </c>
      <c r="Y1406" t="str">
        <f t="shared" ca="1" si="473"/>
        <v>Morning</v>
      </c>
      <c r="Z1406" t="str">
        <f t="shared" ca="1" si="474"/>
        <v>ECG Machine</v>
      </c>
      <c r="AA1406" t="str">
        <f t="shared" ca="1" si="475"/>
        <v>Maintenance</v>
      </c>
      <c r="AB1406" t="str">
        <f t="shared" ca="1" si="476"/>
        <v>Paid</v>
      </c>
      <c r="AC1406" t="str">
        <f t="shared" ca="1" si="477"/>
        <v>Cash</v>
      </c>
      <c r="AD1406" t="str">
        <f t="shared" ca="1" si="478"/>
        <v>No</v>
      </c>
      <c r="AE1406" t="str">
        <f t="shared" ca="1" si="479"/>
        <v>No</v>
      </c>
      <c r="AF1406" t="str">
        <f t="shared" ca="1" si="480"/>
        <v>Recovered</v>
      </c>
      <c r="AG1406" t="str">
        <f t="shared" ca="1" si="481"/>
        <v>West Coast</v>
      </c>
      <c r="AH1406" t="str">
        <f t="shared" si="464"/>
        <v>February</v>
      </c>
      <c r="AI1406">
        <f t="shared" si="465"/>
        <v>2023</v>
      </c>
      <c r="AJ1406" t="str">
        <f t="shared" ca="1" si="482"/>
        <v>Occupied</v>
      </c>
      <c r="AK1406">
        <f t="shared" ca="1" si="483"/>
        <v>1</v>
      </c>
    </row>
    <row r="1407" spans="1:37" x14ac:dyDescent="0.3">
      <c r="A1407" t="s">
        <v>5807</v>
      </c>
      <c r="B1407">
        <v>63</v>
      </c>
      <c r="C1407" t="s">
        <v>15</v>
      </c>
      <c r="D1407" t="s">
        <v>83</v>
      </c>
      <c r="E1407" t="s">
        <v>17</v>
      </c>
      <c r="F1407" s="1">
        <v>44180</v>
      </c>
      <c r="G1407" t="s">
        <v>2815</v>
      </c>
      <c r="H1407" t="s">
        <v>2816</v>
      </c>
      <c r="I1407" t="s">
        <v>20</v>
      </c>
      <c r="J1407">
        <v>28357</v>
      </c>
      <c r="K1407">
        <v>175</v>
      </c>
      <c r="L1407" t="s">
        <v>21</v>
      </c>
      <c r="M1407" s="1">
        <v>44188</v>
      </c>
      <c r="N1407" t="s">
        <v>22</v>
      </c>
      <c r="O1407" t="s">
        <v>43</v>
      </c>
      <c r="P1407" t="str">
        <f t="shared" si="466"/>
        <v>P1406</v>
      </c>
      <c r="Q1407" t="str">
        <f t="shared" si="462"/>
        <v>Oncology</v>
      </c>
      <c r="R1407">
        <f t="shared" si="463"/>
        <v>8</v>
      </c>
      <c r="S1407" t="str">
        <f t="shared" ca="1" si="467"/>
        <v>No</v>
      </c>
      <c r="T1407" t="str">
        <f t="shared" ca="1" si="468"/>
        <v>Mild</v>
      </c>
      <c r="U1407" t="str">
        <f t="shared" ca="1" si="469"/>
        <v>ICU</v>
      </c>
      <c r="V1407" t="str">
        <f t="shared" si="470"/>
        <v>BED1406</v>
      </c>
      <c r="W1407" t="str">
        <f t="shared" ca="1" si="471"/>
        <v>Private</v>
      </c>
      <c r="X1407" t="str">
        <f t="shared" si="472"/>
        <v>NUR006</v>
      </c>
      <c r="Y1407" t="str">
        <f t="shared" ca="1" si="473"/>
        <v>Evening</v>
      </c>
      <c r="Z1407" t="str">
        <f t="shared" ca="1" si="474"/>
        <v>CT Scanner</v>
      </c>
      <c r="AA1407" t="str">
        <f t="shared" ca="1" si="475"/>
        <v>Maintenance</v>
      </c>
      <c r="AB1407" t="str">
        <f t="shared" ca="1" si="476"/>
        <v>Paid</v>
      </c>
      <c r="AC1407" t="str">
        <f t="shared" ca="1" si="477"/>
        <v>Debit Card</v>
      </c>
      <c r="AD1407" t="str">
        <f t="shared" ca="1" si="478"/>
        <v>No</v>
      </c>
      <c r="AE1407" t="str">
        <f t="shared" ca="1" si="479"/>
        <v>No</v>
      </c>
      <c r="AF1407" t="str">
        <f t="shared" ca="1" si="480"/>
        <v>Transferred</v>
      </c>
      <c r="AG1407" t="str">
        <f t="shared" ca="1" si="481"/>
        <v>Southwest</v>
      </c>
      <c r="AH1407" t="str">
        <f t="shared" si="464"/>
        <v>December</v>
      </c>
      <c r="AI1407">
        <f t="shared" si="465"/>
        <v>2020</v>
      </c>
      <c r="AJ1407" t="str">
        <f t="shared" ca="1" si="482"/>
        <v>Occupied</v>
      </c>
      <c r="AK1407">
        <f t="shared" ca="1" si="483"/>
        <v>2</v>
      </c>
    </row>
    <row r="1408" spans="1:37" x14ac:dyDescent="0.3">
      <c r="A1408" t="s">
        <v>1378</v>
      </c>
      <c r="B1408">
        <v>70</v>
      </c>
      <c r="C1408" t="s">
        <v>32</v>
      </c>
      <c r="D1408" t="s">
        <v>44</v>
      </c>
      <c r="E1408" t="s">
        <v>48</v>
      </c>
      <c r="F1408" s="1">
        <v>45351</v>
      </c>
      <c r="G1408" t="s">
        <v>2817</v>
      </c>
      <c r="H1408" t="s">
        <v>2818</v>
      </c>
      <c r="I1408" t="s">
        <v>51</v>
      </c>
      <c r="J1408">
        <v>12869</v>
      </c>
      <c r="K1408">
        <v>182</v>
      </c>
      <c r="L1408" t="s">
        <v>29</v>
      </c>
      <c r="M1408" s="1">
        <v>45367</v>
      </c>
      <c r="N1408" t="s">
        <v>37</v>
      </c>
      <c r="O1408" t="s">
        <v>31</v>
      </c>
      <c r="P1408" t="str">
        <f t="shared" si="466"/>
        <v>P1407</v>
      </c>
      <c r="Q1408" t="str">
        <f t="shared" si="462"/>
        <v>Pulmonology</v>
      </c>
      <c r="R1408">
        <f t="shared" si="463"/>
        <v>16</v>
      </c>
      <c r="S1408" t="str">
        <f t="shared" ca="1" si="467"/>
        <v>No</v>
      </c>
      <c r="T1408" t="str">
        <f t="shared" ca="1" si="468"/>
        <v>Critical</v>
      </c>
      <c r="U1408" t="str">
        <f t="shared" ca="1" si="469"/>
        <v>Private Ward</v>
      </c>
      <c r="V1408" t="str">
        <f t="shared" si="470"/>
        <v>BED1407</v>
      </c>
      <c r="W1408" t="str">
        <f t="shared" ca="1" si="471"/>
        <v>Private</v>
      </c>
      <c r="X1408" t="str">
        <f t="shared" si="472"/>
        <v>NUR007</v>
      </c>
      <c r="Y1408" t="str">
        <f t="shared" ca="1" si="473"/>
        <v>Evening</v>
      </c>
      <c r="Z1408" t="str">
        <f t="shared" ca="1" si="474"/>
        <v>MRI Scanner</v>
      </c>
      <c r="AA1408" t="str">
        <f t="shared" ca="1" si="475"/>
        <v>In Use</v>
      </c>
      <c r="AB1408" t="str">
        <f t="shared" ca="1" si="476"/>
        <v>Pending</v>
      </c>
      <c r="AC1408" t="str">
        <f t="shared" ca="1" si="477"/>
        <v>Bank Transfer</v>
      </c>
      <c r="AD1408" t="str">
        <f t="shared" ca="1" si="478"/>
        <v>No</v>
      </c>
      <c r="AE1408" t="str">
        <f t="shared" ca="1" si="479"/>
        <v>No</v>
      </c>
      <c r="AF1408" t="str">
        <f t="shared" ca="1" si="480"/>
        <v>Recovered</v>
      </c>
      <c r="AG1408" t="str">
        <f t="shared" ca="1" si="481"/>
        <v>West Coast</v>
      </c>
      <c r="AH1408" t="str">
        <f t="shared" si="464"/>
        <v>February</v>
      </c>
      <c r="AI1408">
        <f t="shared" si="465"/>
        <v>2024</v>
      </c>
      <c r="AJ1408" t="str">
        <f t="shared" ca="1" si="482"/>
        <v>Occupied</v>
      </c>
      <c r="AK1408">
        <f t="shared" ca="1" si="483"/>
        <v>1</v>
      </c>
    </row>
    <row r="1409" spans="1:37" x14ac:dyDescent="0.3">
      <c r="A1409" t="s">
        <v>5808</v>
      </c>
      <c r="B1409">
        <v>66</v>
      </c>
      <c r="C1409" t="s">
        <v>32</v>
      </c>
      <c r="D1409" t="s">
        <v>83</v>
      </c>
      <c r="E1409" t="s">
        <v>64</v>
      </c>
      <c r="F1409" s="1">
        <v>45340</v>
      </c>
      <c r="G1409" t="s">
        <v>2819</v>
      </c>
      <c r="H1409" t="s">
        <v>2820</v>
      </c>
      <c r="I1409" t="s">
        <v>28</v>
      </c>
      <c r="J1409">
        <v>49125</v>
      </c>
      <c r="K1409">
        <v>217</v>
      </c>
      <c r="L1409" t="s">
        <v>21</v>
      </c>
      <c r="M1409" s="1">
        <v>45362</v>
      </c>
      <c r="N1409" t="s">
        <v>47</v>
      </c>
      <c r="O1409" t="s">
        <v>31</v>
      </c>
      <c r="P1409" t="str">
        <f t="shared" si="466"/>
        <v>P1408</v>
      </c>
      <c r="Q1409" t="str">
        <f t="shared" si="462"/>
        <v>Cardiology</v>
      </c>
      <c r="R1409">
        <f t="shared" si="463"/>
        <v>22</v>
      </c>
      <c r="S1409" t="str">
        <f t="shared" ca="1" si="467"/>
        <v>No</v>
      </c>
      <c r="T1409" t="str">
        <f t="shared" ca="1" si="468"/>
        <v>Severe</v>
      </c>
      <c r="U1409" t="str">
        <f t="shared" ca="1" si="469"/>
        <v>Emergency</v>
      </c>
      <c r="V1409" t="str">
        <f t="shared" si="470"/>
        <v>BED1408</v>
      </c>
      <c r="W1409" t="str">
        <f t="shared" ca="1" si="471"/>
        <v>ICU</v>
      </c>
      <c r="X1409" t="str">
        <f t="shared" si="472"/>
        <v>NUR008</v>
      </c>
      <c r="Y1409" t="str">
        <f t="shared" ca="1" si="473"/>
        <v>Evening</v>
      </c>
      <c r="Z1409" t="str">
        <f t="shared" ca="1" si="474"/>
        <v>Ultrasound</v>
      </c>
      <c r="AA1409" t="str">
        <f t="shared" ca="1" si="475"/>
        <v>In Use</v>
      </c>
      <c r="AB1409" t="str">
        <f t="shared" ca="1" si="476"/>
        <v>Partially Paid</v>
      </c>
      <c r="AC1409" t="str">
        <f t="shared" ca="1" si="477"/>
        <v>Bank Transfer</v>
      </c>
      <c r="AD1409" t="str">
        <f t="shared" ca="1" si="478"/>
        <v>No</v>
      </c>
      <c r="AE1409" t="str">
        <f t="shared" ca="1" si="479"/>
        <v>No</v>
      </c>
      <c r="AF1409" t="str">
        <f t="shared" ca="1" si="480"/>
        <v>Transferred</v>
      </c>
      <c r="AG1409" t="str">
        <f t="shared" ca="1" si="481"/>
        <v>Northeast</v>
      </c>
      <c r="AH1409" t="str">
        <f t="shared" si="464"/>
        <v>February</v>
      </c>
      <c r="AI1409">
        <f t="shared" si="465"/>
        <v>2024</v>
      </c>
      <c r="AJ1409" t="str">
        <f t="shared" ca="1" si="482"/>
        <v>Vacant</v>
      </c>
      <c r="AK1409">
        <f t="shared" ca="1" si="483"/>
        <v>1</v>
      </c>
    </row>
    <row r="1410" spans="1:37" x14ac:dyDescent="0.3">
      <c r="A1410" t="s">
        <v>5809</v>
      </c>
      <c r="B1410">
        <v>72</v>
      </c>
      <c r="C1410" t="s">
        <v>32</v>
      </c>
      <c r="D1410" t="s">
        <v>24</v>
      </c>
      <c r="E1410" t="s">
        <v>64</v>
      </c>
      <c r="F1410" s="1">
        <v>45109</v>
      </c>
      <c r="G1410" t="s">
        <v>2821</v>
      </c>
      <c r="H1410" t="s">
        <v>2822</v>
      </c>
      <c r="I1410" t="s">
        <v>57</v>
      </c>
      <c r="J1410">
        <v>19951</v>
      </c>
      <c r="K1410">
        <v>332</v>
      </c>
      <c r="L1410" t="s">
        <v>29</v>
      </c>
      <c r="M1410" s="1">
        <v>45124</v>
      </c>
      <c r="N1410" t="s">
        <v>67</v>
      </c>
      <c r="O1410" t="s">
        <v>31</v>
      </c>
      <c r="P1410" t="str">
        <f t="shared" si="466"/>
        <v>P1409</v>
      </c>
      <c r="Q1410" t="str">
        <f t="shared" ref="Q1410:Q1473" si="484">IF(E1410="Cancer","Oncology",IF(E1410="Obesity","Nutrition",IF(E1410="Diabetes","Endocrinology",IF(E1410="Asthma","Pulmonology",IF(E1410="Arthritis","Orthopedics",IF(E1410="Hypertension","Cardiology","General Medicine"))))))</f>
        <v>Cardiology</v>
      </c>
      <c r="R1410">
        <f t="shared" ref="R1410:R1473" si="485">M1410-F1410</f>
        <v>15</v>
      </c>
      <c r="S1410" t="str">
        <f t="shared" ca="1" si="467"/>
        <v>No</v>
      </c>
      <c r="T1410" t="str">
        <f t="shared" ca="1" si="468"/>
        <v>Mild</v>
      </c>
      <c r="U1410" t="str">
        <f t="shared" ca="1" si="469"/>
        <v>ICU</v>
      </c>
      <c r="V1410" t="str">
        <f t="shared" si="470"/>
        <v>BED1409</v>
      </c>
      <c r="W1410" t="str">
        <f t="shared" ca="1" si="471"/>
        <v>ICU</v>
      </c>
      <c r="X1410" t="str">
        <f t="shared" si="472"/>
        <v>NUR009</v>
      </c>
      <c r="Y1410" t="str">
        <f t="shared" ca="1" si="473"/>
        <v>Night</v>
      </c>
      <c r="Z1410" t="str">
        <f t="shared" ca="1" si="474"/>
        <v>Ventilator</v>
      </c>
      <c r="AA1410" t="str">
        <f t="shared" ca="1" si="475"/>
        <v>In Use</v>
      </c>
      <c r="AB1410" t="str">
        <f t="shared" ca="1" si="476"/>
        <v>Paid</v>
      </c>
      <c r="AC1410" t="str">
        <f t="shared" ca="1" si="477"/>
        <v>Debit Card</v>
      </c>
      <c r="AD1410" t="str">
        <f t="shared" ca="1" si="478"/>
        <v>No</v>
      </c>
      <c r="AE1410" t="str">
        <f t="shared" ca="1" si="479"/>
        <v>No</v>
      </c>
      <c r="AF1410" t="str">
        <f t="shared" ca="1" si="480"/>
        <v>Recovered</v>
      </c>
      <c r="AG1410" t="str">
        <f t="shared" ca="1" si="481"/>
        <v>West Coast</v>
      </c>
      <c r="AH1410" t="str">
        <f t="shared" ref="AH1410:AH1473" si="486">TEXT(F1410,"MMMM")</f>
        <v>July</v>
      </c>
      <c r="AI1410">
        <f t="shared" ref="AI1410:AI1473" si="487">YEAR(F1410)</f>
        <v>2023</v>
      </c>
      <c r="AJ1410" t="str">
        <f t="shared" ca="1" si="482"/>
        <v>Occupied</v>
      </c>
      <c r="AK1410">
        <f t="shared" ca="1" si="483"/>
        <v>4</v>
      </c>
    </row>
    <row r="1411" spans="1:37" x14ac:dyDescent="0.3">
      <c r="A1411" t="s">
        <v>5810</v>
      </c>
      <c r="B1411">
        <v>76</v>
      </c>
      <c r="C1411" t="s">
        <v>32</v>
      </c>
      <c r="D1411" t="s">
        <v>44</v>
      </c>
      <c r="E1411" t="s">
        <v>39</v>
      </c>
      <c r="F1411" s="1">
        <v>43981</v>
      </c>
      <c r="G1411" t="s">
        <v>2823</v>
      </c>
      <c r="H1411" t="s">
        <v>2824</v>
      </c>
      <c r="I1411" t="s">
        <v>36</v>
      </c>
      <c r="J1411">
        <v>9748</v>
      </c>
      <c r="K1411">
        <v>261</v>
      </c>
      <c r="L1411" t="s">
        <v>21</v>
      </c>
      <c r="M1411" s="1">
        <v>44001</v>
      </c>
      <c r="N1411" t="s">
        <v>30</v>
      </c>
      <c r="O1411" t="s">
        <v>31</v>
      </c>
      <c r="P1411" t="str">
        <f t="shared" ref="P1411:P1474" si="488">"P"&amp;TEXT(ROW()-1,"0000")</f>
        <v>P1410</v>
      </c>
      <c r="Q1411" t="str">
        <f t="shared" si="484"/>
        <v>Endocrinology</v>
      </c>
      <c r="R1411">
        <f t="shared" si="485"/>
        <v>20</v>
      </c>
      <c r="S1411" t="str">
        <f t="shared" ref="S1411:S1474" ca="1" si="489">IF(RAND()&lt;0.1,"Yes","No")</f>
        <v>No</v>
      </c>
      <c r="T1411" t="str">
        <f t="shared" ref="T1411:T1474" ca="1" si="490">CHOOSE(RANDBETWEEN(1,4),"Mild","Moderate","Severe","Critical")</f>
        <v>Severe</v>
      </c>
      <c r="U1411" t="str">
        <f t="shared" ref="U1411:U1474" ca="1" si="491">CHOOSE(RANDBETWEEN(1,5),"General Ward","ICU","Emergency","Private Ward","Semi-Private")</f>
        <v>Emergency</v>
      </c>
      <c r="V1411" t="str">
        <f t="shared" ref="V1411:V1474" si="492">"BED"&amp;TEXT(ROW()-1,"0000")</f>
        <v>BED1410</v>
      </c>
      <c r="W1411" t="str">
        <f t="shared" ref="W1411:W1474" ca="1" si="493">CHOOSE(RANDBETWEEN(1,4),"General","Private","Semi-Private","ICU")</f>
        <v>ICU</v>
      </c>
      <c r="X1411" t="str">
        <f t="shared" ref="X1411:X1474" si="494">"NUR"&amp;TEXT(MOD(ROW()-2,50)+1,"000")</f>
        <v>NUR010</v>
      </c>
      <c r="Y1411" t="str">
        <f t="shared" ref="Y1411:Y1474" ca="1" si="495">CHOOSE(RANDBETWEEN(1,3),"Morning","Evening","Night")</f>
        <v>Morning</v>
      </c>
      <c r="Z1411" t="str">
        <f t="shared" ref="Z1411:Z1474" ca="1" si="496">CHOOSE(RANDBETWEEN(1,6),"MRI Scanner","CT Scanner","Ventilator","X-Ray","ECG Machine","Ultrasound")</f>
        <v>Ultrasound</v>
      </c>
      <c r="AA1411" t="str">
        <f t="shared" ref="AA1411:AA1474" ca="1" si="497">CHOOSE(RANDBETWEEN(1,3),"Available","In Use","Maintenance")</f>
        <v>Maintenance</v>
      </c>
      <c r="AB1411" t="str">
        <f t="shared" ref="AB1411:AB1474" ca="1" si="498">CHOOSE(RANDBETWEEN(1,3),"Paid","Pending","Partially Paid")</f>
        <v>Pending</v>
      </c>
      <c r="AC1411" t="str">
        <f t="shared" ref="AC1411:AC1474" ca="1" si="499">CHOOSE(RANDBETWEEN(1,5),"Cash","Credit Card","Debit Card","Insurance","Bank Transfer")</f>
        <v>Credit Card</v>
      </c>
      <c r="AD1411" t="str">
        <f t="shared" ref="AD1411:AD1474" ca="1" si="500">IF(RAND()&lt;0.2,"Yes","No")</f>
        <v>No</v>
      </c>
      <c r="AE1411" t="str">
        <f t="shared" ref="AE1411:AE1474" ca="1" si="501">IF(RAND()&lt;0.15,"Yes","No")</f>
        <v>Yes</v>
      </c>
      <c r="AF1411" t="str">
        <f t="shared" ref="AF1411:AF1474" ca="1" si="502">CHOOSE(RANDBETWEEN(1,3),"Recovered","Transferred","Under Observation")</f>
        <v>Recovered</v>
      </c>
      <c r="AG1411" t="str">
        <f t="shared" ref="AG1411:AG1474" ca="1" si="503">CHOOSE(RANDBETWEEN(1,5),"Northeast","Southeast","Midwest","Southwest","West Coast")</f>
        <v>Southwest</v>
      </c>
      <c r="AH1411" t="str">
        <f t="shared" si="486"/>
        <v>May</v>
      </c>
      <c r="AI1411">
        <f t="shared" si="487"/>
        <v>2020</v>
      </c>
      <c r="AJ1411" t="str">
        <f t="shared" ref="AJ1411:AJ1474" ca="1" si="504">IF(RANDBETWEEN(1,100)&lt;=80,"Occupied","Vacant")</f>
        <v>Occupied</v>
      </c>
      <c r="AK1411">
        <f t="shared" ref="AK1411:AK1474" ca="1" si="505">CHOOSE(RANDBETWEEN(1,3),1,2,4)</f>
        <v>1</v>
      </c>
    </row>
    <row r="1412" spans="1:37" x14ac:dyDescent="0.3">
      <c r="A1412" t="s">
        <v>5811</v>
      </c>
      <c r="B1412">
        <v>84</v>
      </c>
      <c r="C1412" t="s">
        <v>15</v>
      </c>
      <c r="D1412" t="s">
        <v>52</v>
      </c>
      <c r="E1412" t="s">
        <v>48</v>
      </c>
      <c r="F1412" s="1">
        <v>44302</v>
      </c>
      <c r="G1412" t="s">
        <v>2825</v>
      </c>
      <c r="H1412" t="s">
        <v>2826</v>
      </c>
      <c r="I1412" t="s">
        <v>36</v>
      </c>
      <c r="J1412">
        <v>44453</v>
      </c>
      <c r="K1412">
        <v>380</v>
      </c>
      <c r="L1412" t="s">
        <v>29</v>
      </c>
      <c r="M1412" s="1">
        <v>44303</v>
      </c>
      <c r="N1412" t="s">
        <v>22</v>
      </c>
      <c r="O1412" t="s">
        <v>31</v>
      </c>
      <c r="P1412" t="str">
        <f t="shared" si="488"/>
        <v>P1411</v>
      </c>
      <c r="Q1412" t="str">
        <f t="shared" si="484"/>
        <v>Pulmonology</v>
      </c>
      <c r="R1412">
        <f t="shared" si="485"/>
        <v>1</v>
      </c>
      <c r="S1412" t="str">
        <f t="shared" ca="1" si="489"/>
        <v>No</v>
      </c>
      <c r="T1412" t="str">
        <f t="shared" ca="1" si="490"/>
        <v>Critical</v>
      </c>
      <c r="U1412" t="str">
        <f t="shared" ca="1" si="491"/>
        <v>Emergency</v>
      </c>
      <c r="V1412" t="str">
        <f t="shared" si="492"/>
        <v>BED1411</v>
      </c>
      <c r="W1412" t="str">
        <f t="shared" ca="1" si="493"/>
        <v>General</v>
      </c>
      <c r="X1412" t="str">
        <f t="shared" si="494"/>
        <v>NUR011</v>
      </c>
      <c r="Y1412" t="str">
        <f t="shared" ca="1" si="495"/>
        <v>Night</v>
      </c>
      <c r="Z1412" t="str">
        <f t="shared" ca="1" si="496"/>
        <v>MRI Scanner</v>
      </c>
      <c r="AA1412" t="str">
        <f t="shared" ca="1" si="497"/>
        <v>In Use</v>
      </c>
      <c r="AB1412" t="str">
        <f t="shared" ca="1" si="498"/>
        <v>Pending</v>
      </c>
      <c r="AC1412" t="str">
        <f t="shared" ca="1" si="499"/>
        <v>Debit Card</v>
      </c>
      <c r="AD1412" t="str">
        <f t="shared" ca="1" si="500"/>
        <v>Yes</v>
      </c>
      <c r="AE1412" t="str">
        <f t="shared" ca="1" si="501"/>
        <v>No</v>
      </c>
      <c r="AF1412" t="str">
        <f t="shared" ca="1" si="502"/>
        <v>Under Observation</v>
      </c>
      <c r="AG1412" t="str">
        <f t="shared" ca="1" si="503"/>
        <v>Midwest</v>
      </c>
      <c r="AH1412" t="str">
        <f t="shared" si="486"/>
        <v>April</v>
      </c>
      <c r="AI1412">
        <f t="shared" si="487"/>
        <v>2021</v>
      </c>
      <c r="AJ1412" t="str">
        <f t="shared" ca="1" si="504"/>
        <v>Occupied</v>
      </c>
      <c r="AK1412">
        <f t="shared" ca="1" si="505"/>
        <v>1</v>
      </c>
    </row>
    <row r="1413" spans="1:37" x14ac:dyDescent="0.3">
      <c r="A1413" t="s">
        <v>5812</v>
      </c>
      <c r="B1413">
        <v>53</v>
      </c>
      <c r="C1413" t="s">
        <v>15</v>
      </c>
      <c r="D1413" t="s">
        <v>44</v>
      </c>
      <c r="E1413" t="s">
        <v>64</v>
      </c>
      <c r="F1413" s="1">
        <v>44455</v>
      </c>
      <c r="G1413" t="s">
        <v>2827</v>
      </c>
      <c r="H1413" t="s">
        <v>2828</v>
      </c>
      <c r="I1413" t="s">
        <v>51</v>
      </c>
      <c r="J1413">
        <v>40786</v>
      </c>
      <c r="K1413">
        <v>357</v>
      </c>
      <c r="L1413" t="s">
        <v>42</v>
      </c>
      <c r="M1413" s="1">
        <v>44484</v>
      </c>
      <c r="N1413" t="s">
        <v>22</v>
      </c>
      <c r="O1413" t="s">
        <v>43</v>
      </c>
      <c r="P1413" t="str">
        <f t="shared" si="488"/>
        <v>P1412</v>
      </c>
      <c r="Q1413" t="str">
        <f t="shared" si="484"/>
        <v>Cardiology</v>
      </c>
      <c r="R1413">
        <f t="shared" si="485"/>
        <v>29</v>
      </c>
      <c r="S1413" t="str">
        <f t="shared" ca="1" si="489"/>
        <v>Yes</v>
      </c>
      <c r="T1413" t="str">
        <f t="shared" ca="1" si="490"/>
        <v>Mild</v>
      </c>
      <c r="U1413" t="str">
        <f t="shared" ca="1" si="491"/>
        <v>Emergency</v>
      </c>
      <c r="V1413" t="str">
        <f t="shared" si="492"/>
        <v>BED1412</v>
      </c>
      <c r="W1413" t="str">
        <f t="shared" ca="1" si="493"/>
        <v>ICU</v>
      </c>
      <c r="X1413" t="str">
        <f t="shared" si="494"/>
        <v>NUR012</v>
      </c>
      <c r="Y1413" t="str">
        <f t="shared" ca="1" si="495"/>
        <v>Morning</v>
      </c>
      <c r="Z1413" t="str">
        <f t="shared" ca="1" si="496"/>
        <v>MRI Scanner</v>
      </c>
      <c r="AA1413" t="str">
        <f t="shared" ca="1" si="497"/>
        <v>In Use</v>
      </c>
      <c r="AB1413" t="str">
        <f t="shared" ca="1" si="498"/>
        <v>Pending</v>
      </c>
      <c r="AC1413" t="str">
        <f t="shared" ca="1" si="499"/>
        <v>Debit Card</v>
      </c>
      <c r="AD1413" t="str">
        <f t="shared" ca="1" si="500"/>
        <v>No</v>
      </c>
      <c r="AE1413" t="str">
        <f t="shared" ca="1" si="501"/>
        <v>Yes</v>
      </c>
      <c r="AF1413" t="str">
        <f t="shared" ca="1" si="502"/>
        <v>Transferred</v>
      </c>
      <c r="AG1413" t="str">
        <f t="shared" ca="1" si="503"/>
        <v>Southeast</v>
      </c>
      <c r="AH1413" t="str">
        <f t="shared" si="486"/>
        <v>September</v>
      </c>
      <c r="AI1413">
        <f t="shared" si="487"/>
        <v>2021</v>
      </c>
      <c r="AJ1413" t="str">
        <f t="shared" ca="1" si="504"/>
        <v>Occupied</v>
      </c>
      <c r="AK1413">
        <f t="shared" ca="1" si="505"/>
        <v>1</v>
      </c>
    </row>
    <row r="1414" spans="1:37" x14ac:dyDescent="0.3">
      <c r="A1414" t="s">
        <v>5291</v>
      </c>
      <c r="B1414">
        <v>31</v>
      </c>
      <c r="C1414" t="s">
        <v>15</v>
      </c>
      <c r="D1414" t="s">
        <v>16</v>
      </c>
      <c r="E1414" t="s">
        <v>64</v>
      </c>
      <c r="F1414" s="1">
        <v>44400</v>
      </c>
      <c r="G1414" t="s">
        <v>2829</v>
      </c>
      <c r="H1414" t="s">
        <v>2830</v>
      </c>
      <c r="I1414" t="s">
        <v>51</v>
      </c>
      <c r="J1414">
        <v>28062</v>
      </c>
      <c r="K1414">
        <v>222</v>
      </c>
      <c r="L1414" t="s">
        <v>42</v>
      </c>
      <c r="M1414" s="1">
        <v>44421</v>
      </c>
      <c r="N1414" t="s">
        <v>30</v>
      </c>
      <c r="O1414" t="s">
        <v>43</v>
      </c>
      <c r="P1414" t="str">
        <f t="shared" si="488"/>
        <v>P1413</v>
      </c>
      <c r="Q1414" t="str">
        <f t="shared" si="484"/>
        <v>Cardiology</v>
      </c>
      <c r="R1414">
        <f t="shared" si="485"/>
        <v>21</v>
      </c>
      <c r="S1414" t="str">
        <f t="shared" ca="1" si="489"/>
        <v>No</v>
      </c>
      <c r="T1414" t="str">
        <f t="shared" ca="1" si="490"/>
        <v>Moderate</v>
      </c>
      <c r="U1414" t="str">
        <f t="shared" ca="1" si="491"/>
        <v>Private Ward</v>
      </c>
      <c r="V1414" t="str">
        <f t="shared" si="492"/>
        <v>BED1413</v>
      </c>
      <c r="W1414" t="str">
        <f t="shared" ca="1" si="493"/>
        <v>Private</v>
      </c>
      <c r="X1414" t="str">
        <f t="shared" si="494"/>
        <v>NUR013</v>
      </c>
      <c r="Y1414" t="str">
        <f t="shared" ca="1" si="495"/>
        <v>Morning</v>
      </c>
      <c r="Z1414" t="str">
        <f t="shared" ca="1" si="496"/>
        <v>MRI Scanner</v>
      </c>
      <c r="AA1414" t="str">
        <f t="shared" ca="1" si="497"/>
        <v>Maintenance</v>
      </c>
      <c r="AB1414" t="str">
        <f t="shared" ca="1" si="498"/>
        <v>Partially Paid</v>
      </c>
      <c r="AC1414" t="str">
        <f t="shared" ca="1" si="499"/>
        <v>Cash</v>
      </c>
      <c r="AD1414" t="str">
        <f t="shared" ca="1" si="500"/>
        <v>Yes</v>
      </c>
      <c r="AE1414" t="str">
        <f t="shared" ca="1" si="501"/>
        <v>No</v>
      </c>
      <c r="AF1414" t="str">
        <f t="shared" ca="1" si="502"/>
        <v>Under Observation</v>
      </c>
      <c r="AG1414" t="str">
        <f t="shared" ca="1" si="503"/>
        <v>Midwest</v>
      </c>
      <c r="AH1414" t="str">
        <f t="shared" si="486"/>
        <v>July</v>
      </c>
      <c r="AI1414">
        <f t="shared" si="487"/>
        <v>2021</v>
      </c>
      <c r="AJ1414" t="str">
        <f t="shared" ca="1" si="504"/>
        <v>Occupied</v>
      </c>
      <c r="AK1414">
        <f t="shared" ca="1" si="505"/>
        <v>4</v>
      </c>
    </row>
    <row r="1415" spans="1:37" x14ac:dyDescent="0.3">
      <c r="A1415" t="s">
        <v>5813</v>
      </c>
      <c r="B1415">
        <v>67</v>
      </c>
      <c r="C1415" t="s">
        <v>15</v>
      </c>
      <c r="D1415" t="s">
        <v>52</v>
      </c>
      <c r="E1415" t="s">
        <v>76</v>
      </c>
      <c r="F1415" s="1">
        <v>44267</v>
      </c>
      <c r="G1415" t="s">
        <v>2831</v>
      </c>
      <c r="H1415" t="s">
        <v>2832</v>
      </c>
      <c r="I1415" t="s">
        <v>36</v>
      </c>
      <c r="J1415">
        <v>1061</v>
      </c>
      <c r="K1415">
        <v>335</v>
      </c>
      <c r="L1415" t="s">
        <v>21</v>
      </c>
      <c r="M1415" s="1">
        <v>44293</v>
      </c>
      <c r="N1415" t="s">
        <v>67</v>
      </c>
      <c r="O1415" t="s">
        <v>43</v>
      </c>
      <c r="P1415" t="str">
        <f t="shared" si="488"/>
        <v>P1414</v>
      </c>
      <c r="Q1415" t="str">
        <f t="shared" si="484"/>
        <v>Orthopedics</v>
      </c>
      <c r="R1415">
        <f t="shared" si="485"/>
        <v>26</v>
      </c>
      <c r="S1415" t="str">
        <f t="shared" ca="1" si="489"/>
        <v>No</v>
      </c>
      <c r="T1415" t="str">
        <f t="shared" ca="1" si="490"/>
        <v>Mild</v>
      </c>
      <c r="U1415" t="str">
        <f t="shared" ca="1" si="491"/>
        <v>Semi-Private</v>
      </c>
      <c r="V1415" t="str">
        <f t="shared" si="492"/>
        <v>BED1414</v>
      </c>
      <c r="W1415" t="str">
        <f t="shared" ca="1" si="493"/>
        <v>General</v>
      </c>
      <c r="X1415" t="str">
        <f t="shared" si="494"/>
        <v>NUR014</v>
      </c>
      <c r="Y1415" t="str">
        <f t="shared" ca="1" si="495"/>
        <v>Evening</v>
      </c>
      <c r="Z1415" t="str">
        <f t="shared" ca="1" si="496"/>
        <v>X-Ray</v>
      </c>
      <c r="AA1415" t="str">
        <f t="shared" ca="1" si="497"/>
        <v>In Use</v>
      </c>
      <c r="AB1415" t="str">
        <f t="shared" ca="1" si="498"/>
        <v>Pending</v>
      </c>
      <c r="AC1415" t="str">
        <f t="shared" ca="1" si="499"/>
        <v>Credit Card</v>
      </c>
      <c r="AD1415" t="str">
        <f t="shared" ca="1" si="500"/>
        <v>Yes</v>
      </c>
      <c r="AE1415" t="str">
        <f t="shared" ca="1" si="501"/>
        <v>No</v>
      </c>
      <c r="AF1415" t="str">
        <f t="shared" ca="1" si="502"/>
        <v>Under Observation</v>
      </c>
      <c r="AG1415" t="str">
        <f t="shared" ca="1" si="503"/>
        <v>Northeast</v>
      </c>
      <c r="AH1415" t="str">
        <f t="shared" si="486"/>
        <v>March</v>
      </c>
      <c r="AI1415">
        <f t="shared" si="487"/>
        <v>2021</v>
      </c>
      <c r="AJ1415" t="str">
        <f t="shared" ca="1" si="504"/>
        <v>Occupied</v>
      </c>
      <c r="AK1415">
        <f t="shared" ca="1" si="505"/>
        <v>2</v>
      </c>
    </row>
    <row r="1416" spans="1:37" x14ac:dyDescent="0.3">
      <c r="A1416" t="s">
        <v>5814</v>
      </c>
      <c r="B1416">
        <v>56</v>
      </c>
      <c r="C1416" t="s">
        <v>15</v>
      </c>
      <c r="D1416" t="s">
        <v>33</v>
      </c>
      <c r="E1416" t="s">
        <v>39</v>
      </c>
      <c r="F1416" s="1">
        <v>43611</v>
      </c>
      <c r="G1416" t="s">
        <v>2833</v>
      </c>
      <c r="H1416" t="s">
        <v>2834</v>
      </c>
      <c r="I1416" t="s">
        <v>51</v>
      </c>
      <c r="J1416">
        <v>13670</v>
      </c>
      <c r="K1416">
        <v>482</v>
      </c>
      <c r="L1416" t="s">
        <v>21</v>
      </c>
      <c r="M1416" s="1">
        <v>43634</v>
      </c>
      <c r="N1416" t="s">
        <v>67</v>
      </c>
      <c r="O1416" t="s">
        <v>23</v>
      </c>
      <c r="P1416" t="str">
        <f t="shared" si="488"/>
        <v>P1415</v>
      </c>
      <c r="Q1416" t="str">
        <f t="shared" si="484"/>
        <v>Endocrinology</v>
      </c>
      <c r="R1416">
        <f t="shared" si="485"/>
        <v>23</v>
      </c>
      <c r="S1416" t="str">
        <f t="shared" ca="1" si="489"/>
        <v>No</v>
      </c>
      <c r="T1416" t="str">
        <f t="shared" ca="1" si="490"/>
        <v>Critical</v>
      </c>
      <c r="U1416" t="str">
        <f t="shared" ca="1" si="491"/>
        <v>ICU</v>
      </c>
      <c r="V1416" t="str">
        <f t="shared" si="492"/>
        <v>BED1415</v>
      </c>
      <c r="W1416" t="str">
        <f t="shared" ca="1" si="493"/>
        <v>Semi-Private</v>
      </c>
      <c r="X1416" t="str">
        <f t="shared" si="494"/>
        <v>NUR015</v>
      </c>
      <c r="Y1416" t="str">
        <f t="shared" ca="1" si="495"/>
        <v>Morning</v>
      </c>
      <c r="Z1416" t="str">
        <f t="shared" ca="1" si="496"/>
        <v>Ventilator</v>
      </c>
      <c r="AA1416" t="str">
        <f t="shared" ca="1" si="497"/>
        <v>In Use</v>
      </c>
      <c r="AB1416" t="str">
        <f t="shared" ca="1" si="498"/>
        <v>Paid</v>
      </c>
      <c r="AC1416" t="str">
        <f t="shared" ca="1" si="499"/>
        <v>Insurance</v>
      </c>
      <c r="AD1416" t="str">
        <f t="shared" ca="1" si="500"/>
        <v>No</v>
      </c>
      <c r="AE1416" t="str">
        <f t="shared" ca="1" si="501"/>
        <v>No</v>
      </c>
      <c r="AF1416" t="str">
        <f t="shared" ca="1" si="502"/>
        <v>Recovered</v>
      </c>
      <c r="AG1416" t="str">
        <f t="shared" ca="1" si="503"/>
        <v>Southwest</v>
      </c>
      <c r="AH1416" t="str">
        <f t="shared" si="486"/>
        <v>May</v>
      </c>
      <c r="AI1416">
        <f t="shared" si="487"/>
        <v>2019</v>
      </c>
      <c r="AJ1416" t="str">
        <f t="shared" ca="1" si="504"/>
        <v>Occupied</v>
      </c>
      <c r="AK1416">
        <f t="shared" ca="1" si="505"/>
        <v>2</v>
      </c>
    </row>
    <row r="1417" spans="1:37" x14ac:dyDescent="0.3">
      <c r="A1417" t="s">
        <v>3228</v>
      </c>
      <c r="B1417">
        <v>25</v>
      </c>
      <c r="C1417" t="s">
        <v>15</v>
      </c>
      <c r="D1417" t="s">
        <v>33</v>
      </c>
      <c r="E1417" t="s">
        <v>25</v>
      </c>
      <c r="F1417" s="1">
        <v>45231</v>
      </c>
      <c r="G1417" t="s">
        <v>2835</v>
      </c>
      <c r="H1417" t="s">
        <v>2836</v>
      </c>
      <c r="I1417" t="s">
        <v>57</v>
      </c>
      <c r="J1417">
        <v>20161</v>
      </c>
      <c r="K1417">
        <v>169</v>
      </c>
      <c r="L1417" t="s">
        <v>21</v>
      </c>
      <c r="M1417" s="1">
        <v>45249</v>
      </c>
      <c r="N1417" t="s">
        <v>67</v>
      </c>
      <c r="O1417" t="s">
        <v>43</v>
      </c>
      <c r="P1417" t="str">
        <f t="shared" si="488"/>
        <v>P1416</v>
      </c>
      <c r="Q1417" t="str">
        <f t="shared" si="484"/>
        <v>Nutrition</v>
      </c>
      <c r="R1417">
        <f t="shared" si="485"/>
        <v>18</v>
      </c>
      <c r="S1417" t="str">
        <f t="shared" ca="1" si="489"/>
        <v>No</v>
      </c>
      <c r="T1417" t="str">
        <f t="shared" ca="1" si="490"/>
        <v>Mild</v>
      </c>
      <c r="U1417" t="str">
        <f t="shared" ca="1" si="491"/>
        <v>Private Ward</v>
      </c>
      <c r="V1417" t="str">
        <f t="shared" si="492"/>
        <v>BED1416</v>
      </c>
      <c r="W1417" t="str">
        <f t="shared" ca="1" si="493"/>
        <v>General</v>
      </c>
      <c r="X1417" t="str">
        <f t="shared" si="494"/>
        <v>NUR016</v>
      </c>
      <c r="Y1417" t="str">
        <f t="shared" ca="1" si="495"/>
        <v>Morning</v>
      </c>
      <c r="Z1417" t="str">
        <f t="shared" ca="1" si="496"/>
        <v>X-Ray</v>
      </c>
      <c r="AA1417" t="str">
        <f t="shared" ca="1" si="497"/>
        <v>In Use</v>
      </c>
      <c r="AB1417" t="str">
        <f t="shared" ca="1" si="498"/>
        <v>Partially Paid</v>
      </c>
      <c r="AC1417" t="str">
        <f t="shared" ca="1" si="499"/>
        <v>Cash</v>
      </c>
      <c r="AD1417" t="str">
        <f t="shared" ca="1" si="500"/>
        <v>No</v>
      </c>
      <c r="AE1417" t="str">
        <f t="shared" ca="1" si="501"/>
        <v>No</v>
      </c>
      <c r="AF1417" t="str">
        <f t="shared" ca="1" si="502"/>
        <v>Recovered</v>
      </c>
      <c r="AG1417" t="str">
        <f t="shared" ca="1" si="503"/>
        <v>Midwest</v>
      </c>
      <c r="AH1417" t="str">
        <f t="shared" si="486"/>
        <v>November</v>
      </c>
      <c r="AI1417">
        <f t="shared" si="487"/>
        <v>2023</v>
      </c>
      <c r="AJ1417" t="str">
        <f t="shared" ca="1" si="504"/>
        <v>Occupied</v>
      </c>
      <c r="AK1417">
        <f t="shared" ca="1" si="505"/>
        <v>2</v>
      </c>
    </row>
    <row r="1418" spans="1:37" x14ac:dyDescent="0.3">
      <c r="A1418" t="s">
        <v>5815</v>
      </c>
      <c r="B1418">
        <v>84</v>
      </c>
      <c r="C1418" t="s">
        <v>32</v>
      </c>
      <c r="D1418" t="s">
        <v>44</v>
      </c>
      <c r="E1418" t="s">
        <v>64</v>
      </c>
      <c r="F1418" s="1">
        <v>44723</v>
      </c>
      <c r="G1418" t="s">
        <v>2837</v>
      </c>
      <c r="H1418" t="s">
        <v>2838</v>
      </c>
      <c r="I1418" t="s">
        <v>51</v>
      </c>
      <c r="J1418">
        <v>2080</v>
      </c>
      <c r="K1418">
        <v>460</v>
      </c>
      <c r="L1418" t="s">
        <v>42</v>
      </c>
      <c r="M1418" s="1">
        <v>44727</v>
      </c>
      <c r="N1418" t="s">
        <v>22</v>
      </c>
      <c r="O1418" t="s">
        <v>31</v>
      </c>
      <c r="P1418" t="str">
        <f t="shared" si="488"/>
        <v>P1417</v>
      </c>
      <c r="Q1418" t="str">
        <f t="shared" si="484"/>
        <v>Cardiology</v>
      </c>
      <c r="R1418">
        <f t="shared" si="485"/>
        <v>4</v>
      </c>
      <c r="S1418" t="str">
        <f t="shared" ca="1" si="489"/>
        <v>No</v>
      </c>
      <c r="T1418" t="str">
        <f t="shared" ca="1" si="490"/>
        <v>Moderate</v>
      </c>
      <c r="U1418" t="str">
        <f t="shared" ca="1" si="491"/>
        <v>General Ward</v>
      </c>
      <c r="V1418" t="str">
        <f t="shared" si="492"/>
        <v>BED1417</v>
      </c>
      <c r="W1418" t="str">
        <f t="shared" ca="1" si="493"/>
        <v>Private</v>
      </c>
      <c r="X1418" t="str">
        <f t="shared" si="494"/>
        <v>NUR017</v>
      </c>
      <c r="Y1418" t="str">
        <f t="shared" ca="1" si="495"/>
        <v>Evening</v>
      </c>
      <c r="Z1418" t="str">
        <f t="shared" ca="1" si="496"/>
        <v>X-Ray</v>
      </c>
      <c r="AA1418" t="str">
        <f t="shared" ca="1" si="497"/>
        <v>In Use</v>
      </c>
      <c r="AB1418" t="str">
        <f t="shared" ca="1" si="498"/>
        <v>Partially Paid</v>
      </c>
      <c r="AC1418" t="str">
        <f t="shared" ca="1" si="499"/>
        <v>Insurance</v>
      </c>
      <c r="AD1418" t="str">
        <f t="shared" ca="1" si="500"/>
        <v>No</v>
      </c>
      <c r="AE1418" t="str">
        <f t="shared" ca="1" si="501"/>
        <v>No</v>
      </c>
      <c r="AF1418" t="str">
        <f t="shared" ca="1" si="502"/>
        <v>Transferred</v>
      </c>
      <c r="AG1418" t="str">
        <f t="shared" ca="1" si="503"/>
        <v>West Coast</v>
      </c>
      <c r="AH1418" t="str">
        <f t="shared" si="486"/>
        <v>June</v>
      </c>
      <c r="AI1418">
        <f t="shared" si="487"/>
        <v>2022</v>
      </c>
      <c r="AJ1418" t="str">
        <f t="shared" ca="1" si="504"/>
        <v>Occupied</v>
      </c>
      <c r="AK1418">
        <f t="shared" ca="1" si="505"/>
        <v>2</v>
      </c>
    </row>
    <row r="1419" spans="1:37" x14ac:dyDescent="0.3">
      <c r="A1419" t="s">
        <v>5816</v>
      </c>
      <c r="B1419">
        <v>80</v>
      </c>
      <c r="C1419" t="s">
        <v>15</v>
      </c>
      <c r="D1419" t="s">
        <v>33</v>
      </c>
      <c r="E1419" t="s">
        <v>76</v>
      </c>
      <c r="F1419" s="1">
        <v>44631</v>
      </c>
      <c r="G1419" t="s">
        <v>2839</v>
      </c>
      <c r="H1419" t="s">
        <v>2840</v>
      </c>
      <c r="I1419" t="s">
        <v>36</v>
      </c>
      <c r="J1419">
        <v>30323</v>
      </c>
      <c r="K1419">
        <v>419</v>
      </c>
      <c r="L1419" t="s">
        <v>21</v>
      </c>
      <c r="M1419" s="1">
        <v>44660</v>
      </c>
      <c r="N1419" t="s">
        <v>22</v>
      </c>
      <c r="O1419" t="s">
        <v>31</v>
      </c>
      <c r="P1419" t="str">
        <f t="shared" si="488"/>
        <v>P1418</v>
      </c>
      <c r="Q1419" t="str">
        <f t="shared" si="484"/>
        <v>Orthopedics</v>
      </c>
      <c r="R1419">
        <f t="shared" si="485"/>
        <v>29</v>
      </c>
      <c r="S1419" t="str">
        <f t="shared" ca="1" si="489"/>
        <v>No</v>
      </c>
      <c r="T1419" t="str">
        <f t="shared" ca="1" si="490"/>
        <v>Mild</v>
      </c>
      <c r="U1419" t="str">
        <f t="shared" ca="1" si="491"/>
        <v>Semi-Private</v>
      </c>
      <c r="V1419" t="str">
        <f t="shared" si="492"/>
        <v>BED1418</v>
      </c>
      <c r="W1419" t="str">
        <f t="shared" ca="1" si="493"/>
        <v>Semi-Private</v>
      </c>
      <c r="X1419" t="str">
        <f t="shared" si="494"/>
        <v>NUR018</v>
      </c>
      <c r="Y1419" t="str">
        <f t="shared" ca="1" si="495"/>
        <v>Night</v>
      </c>
      <c r="Z1419" t="str">
        <f t="shared" ca="1" si="496"/>
        <v>Ventilator</v>
      </c>
      <c r="AA1419" t="str">
        <f t="shared" ca="1" si="497"/>
        <v>Maintenance</v>
      </c>
      <c r="AB1419" t="str">
        <f t="shared" ca="1" si="498"/>
        <v>Pending</v>
      </c>
      <c r="AC1419" t="str">
        <f t="shared" ca="1" si="499"/>
        <v>Cash</v>
      </c>
      <c r="AD1419" t="str">
        <f t="shared" ca="1" si="500"/>
        <v>Yes</v>
      </c>
      <c r="AE1419" t="str">
        <f t="shared" ca="1" si="501"/>
        <v>No</v>
      </c>
      <c r="AF1419" t="str">
        <f t="shared" ca="1" si="502"/>
        <v>Transferred</v>
      </c>
      <c r="AG1419" t="str">
        <f t="shared" ca="1" si="503"/>
        <v>Southeast</v>
      </c>
      <c r="AH1419" t="str">
        <f t="shared" si="486"/>
        <v>March</v>
      </c>
      <c r="AI1419">
        <f t="shared" si="487"/>
        <v>2022</v>
      </c>
      <c r="AJ1419" t="str">
        <f t="shared" ca="1" si="504"/>
        <v>Occupied</v>
      </c>
      <c r="AK1419">
        <f t="shared" ca="1" si="505"/>
        <v>4</v>
      </c>
    </row>
    <row r="1420" spans="1:37" x14ac:dyDescent="0.3">
      <c r="A1420" t="s">
        <v>5817</v>
      </c>
      <c r="B1420">
        <v>41</v>
      </c>
      <c r="C1420" t="s">
        <v>15</v>
      </c>
      <c r="D1420" t="s">
        <v>33</v>
      </c>
      <c r="E1420" t="s">
        <v>48</v>
      </c>
      <c r="F1420" s="1">
        <v>45019</v>
      </c>
      <c r="G1420" t="s">
        <v>2841</v>
      </c>
      <c r="H1420" t="s">
        <v>2842</v>
      </c>
      <c r="I1420" t="s">
        <v>20</v>
      </c>
      <c r="J1420">
        <v>33256</v>
      </c>
      <c r="K1420">
        <v>387</v>
      </c>
      <c r="L1420" t="s">
        <v>42</v>
      </c>
      <c r="M1420" s="1">
        <v>45032</v>
      </c>
      <c r="N1420" t="s">
        <v>22</v>
      </c>
      <c r="O1420" t="s">
        <v>31</v>
      </c>
      <c r="P1420" t="str">
        <f t="shared" si="488"/>
        <v>P1419</v>
      </c>
      <c r="Q1420" t="str">
        <f t="shared" si="484"/>
        <v>Pulmonology</v>
      </c>
      <c r="R1420">
        <f t="shared" si="485"/>
        <v>13</v>
      </c>
      <c r="S1420" t="str">
        <f t="shared" ca="1" si="489"/>
        <v>No</v>
      </c>
      <c r="T1420" t="str">
        <f t="shared" ca="1" si="490"/>
        <v>Mild</v>
      </c>
      <c r="U1420" t="str">
        <f t="shared" ca="1" si="491"/>
        <v>General Ward</v>
      </c>
      <c r="V1420" t="str">
        <f t="shared" si="492"/>
        <v>BED1419</v>
      </c>
      <c r="W1420" t="str">
        <f t="shared" ca="1" si="493"/>
        <v>Private</v>
      </c>
      <c r="X1420" t="str">
        <f t="shared" si="494"/>
        <v>NUR019</v>
      </c>
      <c r="Y1420" t="str">
        <f t="shared" ca="1" si="495"/>
        <v>Evening</v>
      </c>
      <c r="Z1420" t="str">
        <f t="shared" ca="1" si="496"/>
        <v>MRI Scanner</v>
      </c>
      <c r="AA1420" t="str">
        <f t="shared" ca="1" si="497"/>
        <v>Maintenance</v>
      </c>
      <c r="AB1420" t="str">
        <f t="shared" ca="1" si="498"/>
        <v>Pending</v>
      </c>
      <c r="AC1420" t="str">
        <f t="shared" ca="1" si="499"/>
        <v>Bank Transfer</v>
      </c>
      <c r="AD1420" t="str">
        <f t="shared" ca="1" si="500"/>
        <v>No</v>
      </c>
      <c r="AE1420" t="str">
        <f t="shared" ca="1" si="501"/>
        <v>No</v>
      </c>
      <c r="AF1420" t="str">
        <f t="shared" ca="1" si="502"/>
        <v>Transferred</v>
      </c>
      <c r="AG1420" t="str">
        <f t="shared" ca="1" si="503"/>
        <v>Northeast</v>
      </c>
      <c r="AH1420" t="str">
        <f t="shared" si="486"/>
        <v>April</v>
      </c>
      <c r="AI1420">
        <f t="shared" si="487"/>
        <v>2023</v>
      </c>
      <c r="AJ1420" t="str">
        <f t="shared" ca="1" si="504"/>
        <v>Vacant</v>
      </c>
      <c r="AK1420">
        <f t="shared" ca="1" si="505"/>
        <v>4</v>
      </c>
    </row>
    <row r="1421" spans="1:37" x14ac:dyDescent="0.3">
      <c r="A1421" t="s">
        <v>5818</v>
      </c>
      <c r="B1421">
        <v>70</v>
      </c>
      <c r="C1421" t="s">
        <v>32</v>
      </c>
      <c r="D1421" t="s">
        <v>33</v>
      </c>
      <c r="E1421" t="s">
        <v>25</v>
      </c>
      <c r="F1421" s="1">
        <v>44279</v>
      </c>
      <c r="G1421" t="s">
        <v>2843</v>
      </c>
      <c r="H1421" t="s">
        <v>2844</v>
      </c>
      <c r="I1421" t="s">
        <v>28</v>
      </c>
      <c r="J1421">
        <v>47469</v>
      </c>
      <c r="K1421">
        <v>212</v>
      </c>
      <c r="L1421" t="s">
        <v>42</v>
      </c>
      <c r="M1421" s="1">
        <v>44297</v>
      </c>
      <c r="N1421" t="s">
        <v>30</v>
      </c>
      <c r="O1421" t="s">
        <v>43</v>
      </c>
      <c r="P1421" t="str">
        <f t="shared" si="488"/>
        <v>P1420</v>
      </c>
      <c r="Q1421" t="str">
        <f t="shared" si="484"/>
        <v>Nutrition</v>
      </c>
      <c r="R1421">
        <f t="shared" si="485"/>
        <v>18</v>
      </c>
      <c r="S1421" t="str">
        <f t="shared" ca="1" si="489"/>
        <v>No</v>
      </c>
      <c r="T1421" t="str">
        <f t="shared" ca="1" si="490"/>
        <v>Moderate</v>
      </c>
      <c r="U1421" t="str">
        <f t="shared" ca="1" si="491"/>
        <v>Semi-Private</v>
      </c>
      <c r="V1421" t="str">
        <f t="shared" si="492"/>
        <v>BED1420</v>
      </c>
      <c r="W1421" t="str">
        <f t="shared" ca="1" si="493"/>
        <v>ICU</v>
      </c>
      <c r="X1421" t="str">
        <f t="shared" si="494"/>
        <v>NUR020</v>
      </c>
      <c r="Y1421" t="str">
        <f t="shared" ca="1" si="495"/>
        <v>Night</v>
      </c>
      <c r="Z1421" t="str">
        <f t="shared" ca="1" si="496"/>
        <v>X-Ray</v>
      </c>
      <c r="AA1421" t="str">
        <f t="shared" ca="1" si="497"/>
        <v>Available</v>
      </c>
      <c r="AB1421" t="str">
        <f t="shared" ca="1" si="498"/>
        <v>Partially Paid</v>
      </c>
      <c r="AC1421" t="str">
        <f t="shared" ca="1" si="499"/>
        <v>Insurance</v>
      </c>
      <c r="AD1421" t="str">
        <f t="shared" ca="1" si="500"/>
        <v>No</v>
      </c>
      <c r="AE1421" t="str">
        <f t="shared" ca="1" si="501"/>
        <v>No</v>
      </c>
      <c r="AF1421" t="str">
        <f t="shared" ca="1" si="502"/>
        <v>Transferred</v>
      </c>
      <c r="AG1421" t="str">
        <f t="shared" ca="1" si="503"/>
        <v>West Coast</v>
      </c>
      <c r="AH1421" t="str">
        <f t="shared" si="486"/>
        <v>March</v>
      </c>
      <c r="AI1421">
        <f t="shared" si="487"/>
        <v>2021</v>
      </c>
      <c r="AJ1421" t="str">
        <f t="shared" ca="1" si="504"/>
        <v>Occupied</v>
      </c>
      <c r="AK1421">
        <f t="shared" ca="1" si="505"/>
        <v>2</v>
      </c>
    </row>
    <row r="1422" spans="1:37" x14ac:dyDescent="0.3">
      <c r="A1422" t="s">
        <v>5819</v>
      </c>
      <c r="B1422">
        <v>38</v>
      </c>
      <c r="C1422" t="s">
        <v>32</v>
      </c>
      <c r="D1422" t="s">
        <v>44</v>
      </c>
      <c r="E1422" t="s">
        <v>25</v>
      </c>
      <c r="F1422" s="1">
        <v>44386</v>
      </c>
      <c r="G1422" t="s">
        <v>2845</v>
      </c>
      <c r="H1422" t="s">
        <v>2846</v>
      </c>
      <c r="I1422" t="s">
        <v>36</v>
      </c>
      <c r="J1422">
        <v>17150</v>
      </c>
      <c r="K1422">
        <v>323</v>
      </c>
      <c r="L1422" t="s">
        <v>42</v>
      </c>
      <c r="M1422" s="1">
        <v>44403</v>
      </c>
      <c r="N1422" t="s">
        <v>30</v>
      </c>
      <c r="O1422" t="s">
        <v>43</v>
      </c>
      <c r="P1422" t="str">
        <f t="shared" si="488"/>
        <v>P1421</v>
      </c>
      <c r="Q1422" t="str">
        <f t="shared" si="484"/>
        <v>Nutrition</v>
      </c>
      <c r="R1422">
        <f t="shared" si="485"/>
        <v>17</v>
      </c>
      <c r="S1422" t="str">
        <f t="shared" ca="1" si="489"/>
        <v>No</v>
      </c>
      <c r="T1422" t="str">
        <f t="shared" ca="1" si="490"/>
        <v>Severe</v>
      </c>
      <c r="U1422" t="str">
        <f t="shared" ca="1" si="491"/>
        <v>Semi-Private</v>
      </c>
      <c r="V1422" t="str">
        <f t="shared" si="492"/>
        <v>BED1421</v>
      </c>
      <c r="W1422" t="str">
        <f t="shared" ca="1" si="493"/>
        <v>General</v>
      </c>
      <c r="X1422" t="str">
        <f t="shared" si="494"/>
        <v>NUR021</v>
      </c>
      <c r="Y1422" t="str">
        <f t="shared" ca="1" si="495"/>
        <v>Evening</v>
      </c>
      <c r="Z1422" t="str">
        <f t="shared" ca="1" si="496"/>
        <v>Ventilator</v>
      </c>
      <c r="AA1422" t="str">
        <f t="shared" ca="1" si="497"/>
        <v>Maintenance</v>
      </c>
      <c r="AB1422" t="str">
        <f t="shared" ca="1" si="498"/>
        <v>Pending</v>
      </c>
      <c r="AC1422" t="str">
        <f t="shared" ca="1" si="499"/>
        <v>Bank Transfer</v>
      </c>
      <c r="AD1422" t="str">
        <f t="shared" ca="1" si="500"/>
        <v>No</v>
      </c>
      <c r="AE1422" t="str">
        <f t="shared" ca="1" si="501"/>
        <v>No</v>
      </c>
      <c r="AF1422" t="str">
        <f t="shared" ca="1" si="502"/>
        <v>Transferred</v>
      </c>
      <c r="AG1422" t="str">
        <f t="shared" ca="1" si="503"/>
        <v>Southeast</v>
      </c>
      <c r="AH1422" t="str">
        <f t="shared" si="486"/>
        <v>July</v>
      </c>
      <c r="AI1422">
        <f t="shared" si="487"/>
        <v>2021</v>
      </c>
      <c r="AJ1422" t="str">
        <f t="shared" ca="1" si="504"/>
        <v>Occupied</v>
      </c>
      <c r="AK1422">
        <f t="shared" ca="1" si="505"/>
        <v>4</v>
      </c>
    </row>
    <row r="1423" spans="1:37" x14ac:dyDescent="0.3">
      <c r="A1423" t="s">
        <v>5820</v>
      </c>
      <c r="B1423">
        <v>74</v>
      </c>
      <c r="C1423" t="s">
        <v>32</v>
      </c>
      <c r="D1423" t="s">
        <v>38</v>
      </c>
      <c r="E1423" t="s">
        <v>48</v>
      </c>
      <c r="F1423" s="1">
        <v>44216</v>
      </c>
      <c r="G1423" t="s">
        <v>2847</v>
      </c>
      <c r="H1423" t="s">
        <v>2848</v>
      </c>
      <c r="I1423" t="s">
        <v>20</v>
      </c>
      <c r="J1423">
        <v>-109</v>
      </c>
      <c r="K1423">
        <v>381</v>
      </c>
      <c r="L1423" t="s">
        <v>29</v>
      </c>
      <c r="M1423" s="1">
        <v>44236</v>
      </c>
      <c r="N1423" t="s">
        <v>30</v>
      </c>
      <c r="O1423" t="s">
        <v>43</v>
      </c>
      <c r="P1423" t="str">
        <f t="shared" si="488"/>
        <v>P1422</v>
      </c>
      <c r="Q1423" t="str">
        <f t="shared" si="484"/>
        <v>Pulmonology</v>
      </c>
      <c r="R1423">
        <f t="shared" si="485"/>
        <v>20</v>
      </c>
      <c r="S1423" t="str">
        <f t="shared" ca="1" si="489"/>
        <v>No</v>
      </c>
      <c r="T1423" t="str">
        <f t="shared" ca="1" si="490"/>
        <v>Moderate</v>
      </c>
      <c r="U1423" t="str">
        <f t="shared" ca="1" si="491"/>
        <v>ICU</v>
      </c>
      <c r="V1423" t="str">
        <f t="shared" si="492"/>
        <v>BED1422</v>
      </c>
      <c r="W1423" t="str">
        <f t="shared" ca="1" si="493"/>
        <v>Private</v>
      </c>
      <c r="X1423" t="str">
        <f t="shared" si="494"/>
        <v>NUR022</v>
      </c>
      <c r="Y1423" t="str">
        <f t="shared" ca="1" si="495"/>
        <v>Night</v>
      </c>
      <c r="Z1423" t="str">
        <f t="shared" ca="1" si="496"/>
        <v>Ventilator</v>
      </c>
      <c r="AA1423" t="str">
        <f t="shared" ca="1" si="497"/>
        <v>Maintenance</v>
      </c>
      <c r="AB1423" t="str">
        <f t="shared" ca="1" si="498"/>
        <v>Partially Paid</v>
      </c>
      <c r="AC1423" t="str">
        <f t="shared" ca="1" si="499"/>
        <v>Insurance</v>
      </c>
      <c r="AD1423" t="str">
        <f t="shared" ca="1" si="500"/>
        <v>No</v>
      </c>
      <c r="AE1423" t="str">
        <f t="shared" ca="1" si="501"/>
        <v>No</v>
      </c>
      <c r="AF1423" t="str">
        <f t="shared" ca="1" si="502"/>
        <v>Recovered</v>
      </c>
      <c r="AG1423" t="str">
        <f t="shared" ca="1" si="503"/>
        <v>Midwest</v>
      </c>
      <c r="AH1423" t="str">
        <f t="shared" si="486"/>
        <v>January</v>
      </c>
      <c r="AI1423">
        <f t="shared" si="487"/>
        <v>2021</v>
      </c>
      <c r="AJ1423" t="str">
        <f t="shared" ca="1" si="504"/>
        <v>Occupied</v>
      </c>
      <c r="AK1423">
        <f t="shared" ca="1" si="505"/>
        <v>2</v>
      </c>
    </row>
    <row r="1424" spans="1:37" x14ac:dyDescent="0.3">
      <c r="A1424" t="s">
        <v>5821</v>
      </c>
      <c r="B1424">
        <v>32</v>
      </c>
      <c r="C1424" t="s">
        <v>32</v>
      </c>
      <c r="D1424" t="s">
        <v>33</v>
      </c>
      <c r="E1424" t="s">
        <v>39</v>
      </c>
      <c r="F1424" s="1">
        <v>43973</v>
      </c>
      <c r="G1424" t="s">
        <v>2849</v>
      </c>
      <c r="H1424" t="s">
        <v>2850</v>
      </c>
      <c r="I1424" t="s">
        <v>57</v>
      </c>
      <c r="J1424">
        <v>44695</v>
      </c>
      <c r="K1424">
        <v>166</v>
      </c>
      <c r="L1424" t="s">
        <v>29</v>
      </c>
      <c r="M1424" s="1">
        <v>43996</v>
      </c>
      <c r="N1424" t="s">
        <v>22</v>
      </c>
      <c r="O1424" t="s">
        <v>43</v>
      </c>
      <c r="P1424" t="str">
        <f t="shared" si="488"/>
        <v>P1423</v>
      </c>
      <c r="Q1424" t="str">
        <f t="shared" si="484"/>
        <v>Endocrinology</v>
      </c>
      <c r="R1424">
        <f t="shared" si="485"/>
        <v>23</v>
      </c>
      <c r="S1424" t="str">
        <f t="shared" ca="1" si="489"/>
        <v>No</v>
      </c>
      <c r="T1424" t="str">
        <f t="shared" ca="1" si="490"/>
        <v>Severe</v>
      </c>
      <c r="U1424" t="str">
        <f t="shared" ca="1" si="491"/>
        <v>Emergency</v>
      </c>
      <c r="V1424" t="str">
        <f t="shared" si="492"/>
        <v>BED1423</v>
      </c>
      <c r="W1424" t="str">
        <f t="shared" ca="1" si="493"/>
        <v>General</v>
      </c>
      <c r="X1424" t="str">
        <f t="shared" si="494"/>
        <v>NUR023</v>
      </c>
      <c r="Y1424" t="str">
        <f t="shared" ca="1" si="495"/>
        <v>Evening</v>
      </c>
      <c r="Z1424" t="str">
        <f t="shared" ca="1" si="496"/>
        <v>Ventilator</v>
      </c>
      <c r="AA1424" t="str">
        <f t="shared" ca="1" si="497"/>
        <v>In Use</v>
      </c>
      <c r="AB1424" t="str">
        <f t="shared" ca="1" si="498"/>
        <v>Paid</v>
      </c>
      <c r="AC1424" t="str">
        <f t="shared" ca="1" si="499"/>
        <v>Cash</v>
      </c>
      <c r="AD1424" t="str">
        <f t="shared" ca="1" si="500"/>
        <v>No</v>
      </c>
      <c r="AE1424" t="str">
        <f t="shared" ca="1" si="501"/>
        <v>No</v>
      </c>
      <c r="AF1424" t="str">
        <f t="shared" ca="1" si="502"/>
        <v>Under Observation</v>
      </c>
      <c r="AG1424" t="str">
        <f t="shared" ca="1" si="503"/>
        <v>Southeast</v>
      </c>
      <c r="AH1424" t="str">
        <f t="shared" si="486"/>
        <v>May</v>
      </c>
      <c r="AI1424">
        <f t="shared" si="487"/>
        <v>2020</v>
      </c>
      <c r="AJ1424" t="str">
        <f t="shared" ca="1" si="504"/>
        <v>Occupied</v>
      </c>
      <c r="AK1424">
        <f t="shared" ca="1" si="505"/>
        <v>4</v>
      </c>
    </row>
    <row r="1425" spans="1:37" x14ac:dyDescent="0.3">
      <c r="A1425" t="s">
        <v>5822</v>
      </c>
      <c r="B1425">
        <v>29</v>
      </c>
      <c r="C1425" t="s">
        <v>15</v>
      </c>
      <c r="D1425" t="s">
        <v>33</v>
      </c>
      <c r="E1425" t="s">
        <v>64</v>
      </c>
      <c r="F1425" s="1">
        <v>44823</v>
      </c>
      <c r="G1425" t="s">
        <v>2851</v>
      </c>
      <c r="H1425" t="s">
        <v>2852</v>
      </c>
      <c r="I1425" t="s">
        <v>36</v>
      </c>
      <c r="J1425">
        <v>15158</v>
      </c>
      <c r="K1425">
        <v>351</v>
      </c>
      <c r="L1425" t="s">
        <v>42</v>
      </c>
      <c r="M1425" s="1">
        <v>44836</v>
      </c>
      <c r="N1425" t="s">
        <v>67</v>
      </c>
      <c r="O1425" t="s">
        <v>31</v>
      </c>
      <c r="P1425" t="str">
        <f t="shared" si="488"/>
        <v>P1424</v>
      </c>
      <c r="Q1425" t="str">
        <f t="shared" si="484"/>
        <v>Cardiology</v>
      </c>
      <c r="R1425">
        <f t="shared" si="485"/>
        <v>13</v>
      </c>
      <c r="S1425" t="str">
        <f t="shared" ca="1" si="489"/>
        <v>Yes</v>
      </c>
      <c r="T1425" t="str">
        <f t="shared" ca="1" si="490"/>
        <v>Severe</v>
      </c>
      <c r="U1425" t="str">
        <f t="shared" ca="1" si="491"/>
        <v>Emergency</v>
      </c>
      <c r="V1425" t="str">
        <f t="shared" si="492"/>
        <v>BED1424</v>
      </c>
      <c r="W1425" t="str">
        <f t="shared" ca="1" si="493"/>
        <v>Private</v>
      </c>
      <c r="X1425" t="str">
        <f t="shared" si="494"/>
        <v>NUR024</v>
      </c>
      <c r="Y1425" t="str">
        <f t="shared" ca="1" si="495"/>
        <v>Morning</v>
      </c>
      <c r="Z1425" t="str">
        <f t="shared" ca="1" si="496"/>
        <v>MRI Scanner</v>
      </c>
      <c r="AA1425" t="str">
        <f t="shared" ca="1" si="497"/>
        <v>Maintenance</v>
      </c>
      <c r="AB1425" t="str">
        <f t="shared" ca="1" si="498"/>
        <v>Partially Paid</v>
      </c>
      <c r="AC1425" t="str">
        <f t="shared" ca="1" si="499"/>
        <v>Bank Transfer</v>
      </c>
      <c r="AD1425" t="str">
        <f t="shared" ca="1" si="500"/>
        <v>No</v>
      </c>
      <c r="AE1425" t="str">
        <f t="shared" ca="1" si="501"/>
        <v>No</v>
      </c>
      <c r="AF1425" t="str">
        <f t="shared" ca="1" si="502"/>
        <v>Recovered</v>
      </c>
      <c r="AG1425" t="str">
        <f t="shared" ca="1" si="503"/>
        <v>Northeast</v>
      </c>
      <c r="AH1425" t="str">
        <f t="shared" si="486"/>
        <v>September</v>
      </c>
      <c r="AI1425">
        <f t="shared" si="487"/>
        <v>2022</v>
      </c>
      <c r="AJ1425" t="str">
        <f t="shared" ca="1" si="504"/>
        <v>Occupied</v>
      </c>
      <c r="AK1425">
        <f t="shared" ca="1" si="505"/>
        <v>1</v>
      </c>
    </row>
    <row r="1426" spans="1:37" x14ac:dyDescent="0.3">
      <c r="A1426" t="s">
        <v>5220</v>
      </c>
      <c r="B1426">
        <v>77</v>
      </c>
      <c r="C1426" t="s">
        <v>15</v>
      </c>
      <c r="D1426" t="s">
        <v>52</v>
      </c>
      <c r="E1426" t="s">
        <v>76</v>
      </c>
      <c r="F1426" s="1">
        <v>45150</v>
      </c>
      <c r="G1426" t="s">
        <v>2853</v>
      </c>
      <c r="H1426" t="s">
        <v>2854</v>
      </c>
      <c r="I1426" t="s">
        <v>28</v>
      </c>
      <c r="J1426">
        <v>23545</v>
      </c>
      <c r="K1426">
        <v>259</v>
      </c>
      <c r="L1426" t="s">
        <v>21</v>
      </c>
      <c r="M1426" s="1">
        <v>45155</v>
      </c>
      <c r="N1426" t="s">
        <v>67</v>
      </c>
      <c r="O1426" t="s">
        <v>23</v>
      </c>
      <c r="P1426" t="str">
        <f t="shared" si="488"/>
        <v>P1425</v>
      </c>
      <c r="Q1426" t="str">
        <f t="shared" si="484"/>
        <v>Orthopedics</v>
      </c>
      <c r="R1426">
        <f t="shared" si="485"/>
        <v>5</v>
      </c>
      <c r="S1426" t="str">
        <f t="shared" ca="1" si="489"/>
        <v>No</v>
      </c>
      <c r="T1426" t="str">
        <f t="shared" ca="1" si="490"/>
        <v>Mild</v>
      </c>
      <c r="U1426" t="str">
        <f t="shared" ca="1" si="491"/>
        <v>Private Ward</v>
      </c>
      <c r="V1426" t="str">
        <f t="shared" si="492"/>
        <v>BED1425</v>
      </c>
      <c r="W1426" t="str">
        <f t="shared" ca="1" si="493"/>
        <v>Private</v>
      </c>
      <c r="X1426" t="str">
        <f t="shared" si="494"/>
        <v>NUR025</v>
      </c>
      <c r="Y1426" t="str">
        <f t="shared" ca="1" si="495"/>
        <v>Morning</v>
      </c>
      <c r="Z1426" t="str">
        <f t="shared" ca="1" si="496"/>
        <v>X-Ray</v>
      </c>
      <c r="AA1426" t="str">
        <f t="shared" ca="1" si="497"/>
        <v>Available</v>
      </c>
      <c r="AB1426" t="str">
        <f t="shared" ca="1" si="498"/>
        <v>Pending</v>
      </c>
      <c r="AC1426" t="str">
        <f t="shared" ca="1" si="499"/>
        <v>Bank Transfer</v>
      </c>
      <c r="AD1426" t="str">
        <f t="shared" ca="1" si="500"/>
        <v>No</v>
      </c>
      <c r="AE1426" t="str">
        <f t="shared" ca="1" si="501"/>
        <v>No</v>
      </c>
      <c r="AF1426" t="str">
        <f t="shared" ca="1" si="502"/>
        <v>Recovered</v>
      </c>
      <c r="AG1426" t="str">
        <f t="shared" ca="1" si="503"/>
        <v>Southwest</v>
      </c>
      <c r="AH1426" t="str">
        <f t="shared" si="486"/>
        <v>August</v>
      </c>
      <c r="AI1426">
        <f t="shared" si="487"/>
        <v>2023</v>
      </c>
      <c r="AJ1426" t="str">
        <f t="shared" ca="1" si="504"/>
        <v>Occupied</v>
      </c>
      <c r="AK1426">
        <f t="shared" ca="1" si="505"/>
        <v>1</v>
      </c>
    </row>
    <row r="1427" spans="1:37" x14ac:dyDescent="0.3">
      <c r="A1427" t="s">
        <v>5823</v>
      </c>
      <c r="B1427">
        <v>56</v>
      </c>
      <c r="C1427" t="s">
        <v>32</v>
      </c>
      <c r="D1427" t="s">
        <v>38</v>
      </c>
      <c r="E1427" t="s">
        <v>25</v>
      </c>
      <c r="F1427" s="1">
        <v>44052</v>
      </c>
      <c r="G1427" t="s">
        <v>2855</v>
      </c>
      <c r="H1427" t="s">
        <v>2856</v>
      </c>
      <c r="I1427" t="s">
        <v>28</v>
      </c>
      <c r="J1427">
        <v>17462</v>
      </c>
      <c r="K1427">
        <v>335</v>
      </c>
      <c r="L1427" t="s">
        <v>42</v>
      </c>
      <c r="M1427" s="1">
        <v>44075</v>
      </c>
      <c r="N1427" t="s">
        <v>37</v>
      </c>
      <c r="O1427" t="s">
        <v>31</v>
      </c>
      <c r="P1427" t="str">
        <f t="shared" si="488"/>
        <v>P1426</v>
      </c>
      <c r="Q1427" t="str">
        <f t="shared" si="484"/>
        <v>Nutrition</v>
      </c>
      <c r="R1427">
        <f t="shared" si="485"/>
        <v>23</v>
      </c>
      <c r="S1427" t="str">
        <f t="shared" ca="1" si="489"/>
        <v>No</v>
      </c>
      <c r="T1427" t="str">
        <f t="shared" ca="1" si="490"/>
        <v>Severe</v>
      </c>
      <c r="U1427" t="str">
        <f t="shared" ca="1" si="491"/>
        <v>Emergency</v>
      </c>
      <c r="V1427" t="str">
        <f t="shared" si="492"/>
        <v>BED1426</v>
      </c>
      <c r="W1427" t="str">
        <f t="shared" ca="1" si="493"/>
        <v>Private</v>
      </c>
      <c r="X1427" t="str">
        <f t="shared" si="494"/>
        <v>NUR026</v>
      </c>
      <c r="Y1427" t="str">
        <f t="shared" ca="1" si="495"/>
        <v>Evening</v>
      </c>
      <c r="Z1427" t="str">
        <f t="shared" ca="1" si="496"/>
        <v>Ventilator</v>
      </c>
      <c r="AA1427" t="str">
        <f t="shared" ca="1" si="497"/>
        <v>Available</v>
      </c>
      <c r="AB1427" t="str">
        <f t="shared" ca="1" si="498"/>
        <v>Partially Paid</v>
      </c>
      <c r="AC1427" t="str">
        <f t="shared" ca="1" si="499"/>
        <v>Cash</v>
      </c>
      <c r="AD1427" t="str">
        <f t="shared" ca="1" si="500"/>
        <v>No</v>
      </c>
      <c r="AE1427" t="str">
        <f t="shared" ca="1" si="501"/>
        <v>Yes</v>
      </c>
      <c r="AF1427" t="str">
        <f t="shared" ca="1" si="502"/>
        <v>Under Observation</v>
      </c>
      <c r="AG1427" t="str">
        <f t="shared" ca="1" si="503"/>
        <v>West Coast</v>
      </c>
      <c r="AH1427" t="str">
        <f t="shared" si="486"/>
        <v>August</v>
      </c>
      <c r="AI1427">
        <f t="shared" si="487"/>
        <v>2020</v>
      </c>
      <c r="AJ1427" t="str">
        <f t="shared" ca="1" si="504"/>
        <v>Occupied</v>
      </c>
      <c r="AK1427">
        <f t="shared" ca="1" si="505"/>
        <v>1</v>
      </c>
    </row>
    <row r="1428" spans="1:37" x14ac:dyDescent="0.3">
      <c r="A1428" t="s">
        <v>5824</v>
      </c>
      <c r="B1428">
        <v>54</v>
      </c>
      <c r="C1428" t="s">
        <v>32</v>
      </c>
      <c r="D1428" t="s">
        <v>38</v>
      </c>
      <c r="E1428" t="s">
        <v>76</v>
      </c>
      <c r="F1428" s="1">
        <v>45096</v>
      </c>
      <c r="G1428" t="s">
        <v>2857</v>
      </c>
      <c r="H1428" t="s">
        <v>2858</v>
      </c>
      <c r="I1428" t="s">
        <v>57</v>
      </c>
      <c r="J1428">
        <v>21623</v>
      </c>
      <c r="K1428">
        <v>356</v>
      </c>
      <c r="L1428" t="s">
        <v>29</v>
      </c>
      <c r="M1428" s="1">
        <v>45120</v>
      </c>
      <c r="N1428" t="s">
        <v>30</v>
      </c>
      <c r="O1428" t="s">
        <v>31</v>
      </c>
      <c r="P1428" t="str">
        <f t="shared" si="488"/>
        <v>P1427</v>
      </c>
      <c r="Q1428" t="str">
        <f t="shared" si="484"/>
        <v>Orthopedics</v>
      </c>
      <c r="R1428">
        <f t="shared" si="485"/>
        <v>24</v>
      </c>
      <c r="S1428" t="str">
        <f t="shared" ca="1" si="489"/>
        <v>No</v>
      </c>
      <c r="T1428" t="str">
        <f t="shared" ca="1" si="490"/>
        <v>Mild</v>
      </c>
      <c r="U1428" t="str">
        <f t="shared" ca="1" si="491"/>
        <v>Semi-Private</v>
      </c>
      <c r="V1428" t="str">
        <f t="shared" si="492"/>
        <v>BED1427</v>
      </c>
      <c r="W1428" t="str">
        <f t="shared" ca="1" si="493"/>
        <v>Semi-Private</v>
      </c>
      <c r="X1428" t="str">
        <f t="shared" si="494"/>
        <v>NUR027</v>
      </c>
      <c r="Y1428" t="str">
        <f t="shared" ca="1" si="495"/>
        <v>Night</v>
      </c>
      <c r="Z1428" t="str">
        <f t="shared" ca="1" si="496"/>
        <v>Ultrasound</v>
      </c>
      <c r="AA1428" t="str">
        <f t="shared" ca="1" si="497"/>
        <v>Maintenance</v>
      </c>
      <c r="AB1428" t="str">
        <f t="shared" ca="1" si="498"/>
        <v>Paid</v>
      </c>
      <c r="AC1428" t="str">
        <f t="shared" ca="1" si="499"/>
        <v>Insurance</v>
      </c>
      <c r="AD1428" t="str">
        <f t="shared" ca="1" si="500"/>
        <v>Yes</v>
      </c>
      <c r="AE1428" t="str">
        <f t="shared" ca="1" si="501"/>
        <v>No</v>
      </c>
      <c r="AF1428" t="str">
        <f t="shared" ca="1" si="502"/>
        <v>Recovered</v>
      </c>
      <c r="AG1428" t="str">
        <f t="shared" ca="1" si="503"/>
        <v>West Coast</v>
      </c>
      <c r="AH1428" t="str">
        <f t="shared" si="486"/>
        <v>June</v>
      </c>
      <c r="AI1428">
        <f t="shared" si="487"/>
        <v>2023</v>
      </c>
      <c r="AJ1428" t="str">
        <f t="shared" ca="1" si="504"/>
        <v>Occupied</v>
      </c>
      <c r="AK1428">
        <f t="shared" ca="1" si="505"/>
        <v>2</v>
      </c>
    </row>
    <row r="1429" spans="1:37" x14ac:dyDescent="0.3">
      <c r="A1429" t="s">
        <v>5825</v>
      </c>
      <c r="B1429">
        <v>77</v>
      </c>
      <c r="C1429" t="s">
        <v>32</v>
      </c>
      <c r="D1429" t="s">
        <v>38</v>
      </c>
      <c r="E1429" t="s">
        <v>48</v>
      </c>
      <c r="F1429" s="1">
        <v>43711</v>
      </c>
      <c r="G1429" t="s">
        <v>2859</v>
      </c>
      <c r="H1429" t="s">
        <v>2860</v>
      </c>
      <c r="I1429" t="s">
        <v>57</v>
      </c>
      <c r="J1429">
        <v>2810</v>
      </c>
      <c r="K1429">
        <v>329</v>
      </c>
      <c r="L1429" t="s">
        <v>29</v>
      </c>
      <c r="M1429" s="1">
        <v>43735</v>
      </c>
      <c r="N1429" t="s">
        <v>47</v>
      </c>
      <c r="O1429" t="s">
        <v>31</v>
      </c>
      <c r="P1429" t="str">
        <f t="shared" si="488"/>
        <v>P1428</v>
      </c>
      <c r="Q1429" t="str">
        <f t="shared" si="484"/>
        <v>Pulmonology</v>
      </c>
      <c r="R1429">
        <f t="shared" si="485"/>
        <v>24</v>
      </c>
      <c r="S1429" t="str">
        <f t="shared" ca="1" si="489"/>
        <v>No</v>
      </c>
      <c r="T1429" t="str">
        <f t="shared" ca="1" si="490"/>
        <v>Critical</v>
      </c>
      <c r="U1429" t="str">
        <f t="shared" ca="1" si="491"/>
        <v>Semi-Private</v>
      </c>
      <c r="V1429" t="str">
        <f t="shared" si="492"/>
        <v>BED1428</v>
      </c>
      <c r="W1429" t="str">
        <f t="shared" ca="1" si="493"/>
        <v>Private</v>
      </c>
      <c r="X1429" t="str">
        <f t="shared" si="494"/>
        <v>NUR028</v>
      </c>
      <c r="Y1429" t="str">
        <f t="shared" ca="1" si="495"/>
        <v>Night</v>
      </c>
      <c r="Z1429" t="str">
        <f t="shared" ca="1" si="496"/>
        <v>CT Scanner</v>
      </c>
      <c r="AA1429" t="str">
        <f t="shared" ca="1" si="497"/>
        <v>Available</v>
      </c>
      <c r="AB1429" t="str">
        <f t="shared" ca="1" si="498"/>
        <v>Pending</v>
      </c>
      <c r="AC1429" t="str">
        <f t="shared" ca="1" si="499"/>
        <v>Insurance</v>
      </c>
      <c r="AD1429" t="str">
        <f t="shared" ca="1" si="500"/>
        <v>Yes</v>
      </c>
      <c r="AE1429" t="str">
        <f t="shared" ca="1" si="501"/>
        <v>No</v>
      </c>
      <c r="AF1429" t="str">
        <f t="shared" ca="1" si="502"/>
        <v>Recovered</v>
      </c>
      <c r="AG1429" t="str">
        <f t="shared" ca="1" si="503"/>
        <v>Southeast</v>
      </c>
      <c r="AH1429" t="str">
        <f t="shared" si="486"/>
        <v>September</v>
      </c>
      <c r="AI1429">
        <f t="shared" si="487"/>
        <v>2019</v>
      </c>
      <c r="AJ1429" t="str">
        <f t="shared" ca="1" si="504"/>
        <v>Vacant</v>
      </c>
      <c r="AK1429">
        <f t="shared" ca="1" si="505"/>
        <v>1</v>
      </c>
    </row>
    <row r="1430" spans="1:37" x14ac:dyDescent="0.3">
      <c r="A1430" t="s">
        <v>5826</v>
      </c>
      <c r="B1430">
        <v>21</v>
      </c>
      <c r="C1430" t="s">
        <v>32</v>
      </c>
      <c r="D1430" t="s">
        <v>38</v>
      </c>
      <c r="E1430" t="s">
        <v>64</v>
      </c>
      <c r="F1430" s="1">
        <v>44850</v>
      </c>
      <c r="G1430" t="s">
        <v>2861</v>
      </c>
      <c r="H1430" t="s">
        <v>2862</v>
      </c>
      <c r="I1430" t="s">
        <v>57</v>
      </c>
      <c r="J1430">
        <v>31421</v>
      </c>
      <c r="K1430">
        <v>438</v>
      </c>
      <c r="L1430" t="s">
        <v>21</v>
      </c>
      <c r="M1430" s="1">
        <v>44859</v>
      </c>
      <c r="N1430" t="s">
        <v>37</v>
      </c>
      <c r="O1430" t="s">
        <v>43</v>
      </c>
      <c r="P1430" t="str">
        <f t="shared" si="488"/>
        <v>P1429</v>
      </c>
      <c r="Q1430" t="str">
        <f t="shared" si="484"/>
        <v>Cardiology</v>
      </c>
      <c r="R1430">
        <f t="shared" si="485"/>
        <v>9</v>
      </c>
      <c r="S1430" t="str">
        <f t="shared" ca="1" si="489"/>
        <v>No</v>
      </c>
      <c r="T1430" t="str">
        <f t="shared" ca="1" si="490"/>
        <v>Critical</v>
      </c>
      <c r="U1430" t="str">
        <f t="shared" ca="1" si="491"/>
        <v>Private Ward</v>
      </c>
      <c r="V1430" t="str">
        <f t="shared" si="492"/>
        <v>BED1429</v>
      </c>
      <c r="W1430" t="str">
        <f t="shared" ca="1" si="493"/>
        <v>Semi-Private</v>
      </c>
      <c r="X1430" t="str">
        <f t="shared" si="494"/>
        <v>NUR029</v>
      </c>
      <c r="Y1430" t="str">
        <f t="shared" ca="1" si="495"/>
        <v>Night</v>
      </c>
      <c r="Z1430" t="str">
        <f t="shared" ca="1" si="496"/>
        <v>X-Ray</v>
      </c>
      <c r="AA1430" t="str">
        <f t="shared" ca="1" si="497"/>
        <v>Maintenance</v>
      </c>
      <c r="AB1430" t="str">
        <f t="shared" ca="1" si="498"/>
        <v>Paid</v>
      </c>
      <c r="AC1430" t="str">
        <f t="shared" ca="1" si="499"/>
        <v>Bank Transfer</v>
      </c>
      <c r="AD1430" t="str">
        <f t="shared" ca="1" si="500"/>
        <v>No</v>
      </c>
      <c r="AE1430" t="str">
        <f t="shared" ca="1" si="501"/>
        <v>No</v>
      </c>
      <c r="AF1430" t="str">
        <f t="shared" ca="1" si="502"/>
        <v>Recovered</v>
      </c>
      <c r="AG1430" t="str">
        <f t="shared" ca="1" si="503"/>
        <v>Northeast</v>
      </c>
      <c r="AH1430" t="str">
        <f t="shared" si="486"/>
        <v>October</v>
      </c>
      <c r="AI1430">
        <f t="shared" si="487"/>
        <v>2022</v>
      </c>
      <c r="AJ1430" t="str">
        <f t="shared" ca="1" si="504"/>
        <v>Occupied</v>
      </c>
      <c r="AK1430">
        <f t="shared" ca="1" si="505"/>
        <v>4</v>
      </c>
    </row>
    <row r="1431" spans="1:37" x14ac:dyDescent="0.3">
      <c r="A1431" t="s">
        <v>5827</v>
      </c>
      <c r="B1431">
        <v>36</v>
      </c>
      <c r="C1431" t="s">
        <v>32</v>
      </c>
      <c r="D1431" t="s">
        <v>52</v>
      </c>
      <c r="E1431" t="s">
        <v>48</v>
      </c>
      <c r="F1431" s="1">
        <v>44500</v>
      </c>
      <c r="G1431" t="s">
        <v>2863</v>
      </c>
      <c r="H1431" t="s">
        <v>2864</v>
      </c>
      <c r="I1431" t="s">
        <v>36</v>
      </c>
      <c r="J1431">
        <v>49675</v>
      </c>
      <c r="K1431">
        <v>279</v>
      </c>
      <c r="L1431" t="s">
        <v>42</v>
      </c>
      <c r="M1431" s="1">
        <v>44526</v>
      </c>
      <c r="N1431" t="s">
        <v>30</v>
      </c>
      <c r="O1431" t="s">
        <v>23</v>
      </c>
      <c r="P1431" t="str">
        <f t="shared" si="488"/>
        <v>P1430</v>
      </c>
      <c r="Q1431" t="str">
        <f t="shared" si="484"/>
        <v>Pulmonology</v>
      </c>
      <c r="R1431">
        <f t="shared" si="485"/>
        <v>26</v>
      </c>
      <c r="S1431" t="str">
        <f t="shared" ca="1" si="489"/>
        <v>No</v>
      </c>
      <c r="T1431" t="str">
        <f t="shared" ca="1" si="490"/>
        <v>Critical</v>
      </c>
      <c r="U1431" t="str">
        <f t="shared" ca="1" si="491"/>
        <v>Emergency</v>
      </c>
      <c r="V1431" t="str">
        <f t="shared" si="492"/>
        <v>BED1430</v>
      </c>
      <c r="W1431" t="str">
        <f t="shared" ca="1" si="493"/>
        <v>Semi-Private</v>
      </c>
      <c r="X1431" t="str">
        <f t="shared" si="494"/>
        <v>NUR030</v>
      </c>
      <c r="Y1431" t="str">
        <f t="shared" ca="1" si="495"/>
        <v>Morning</v>
      </c>
      <c r="Z1431" t="str">
        <f t="shared" ca="1" si="496"/>
        <v>CT Scanner</v>
      </c>
      <c r="AA1431" t="str">
        <f t="shared" ca="1" si="497"/>
        <v>Maintenance</v>
      </c>
      <c r="AB1431" t="str">
        <f t="shared" ca="1" si="498"/>
        <v>Paid</v>
      </c>
      <c r="AC1431" t="str">
        <f t="shared" ca="1" si="499"/>
        <v>Insurance</v>
      </c>
      <c r="AD1431" t="str">
        <f t="shared" ca="1" si="500"/>
        <v>No</v>
      </c>
      <c r="AE1431" t="str">
        <f t="shared" ca="1" si="501"/>
        <v>No</v>
      </c>
      <c r="AF1431" t="str">
        <f t="shared" ca="1" si="502"/>
        <v>Under Observation</v>
      </c>
      <c r="AG1431" t="str">
        <f t="shared" ca="1" si="503"/>
        <v>Northeast</v>
      </c>
      <c r="AH1431" t="str">
        <f t="shared" si="486"/>
        <v>October</v>
      </c>
      <c r="AI1431">
        <f t="shared" si="487"/>
        <v>2021</v>
      </c>
      <c r="AJ1431" t="str">
        <f t="shared" ca="1" si="504"/>
        <v>Occupied</v>
      </c>
      <c r="AK1431">
        <f t="shared" ca="1" si="505"/>
        <v>2</v>
      </c>
    </row>
    <row r="1432" spans="1:37" x14ac:dyDescent="0.3">
      <c r="A1432" t="s">
        <v>5828</v>
      </c>
      <c r="B1432">
        <v>36</v>
      </c>
      <c r="C1432" t="s">
        <v>15</v>
      </c>
      <c r="D1432" t="s">
        <v>83</v>
      </c>
      <c r="E1432" t="s">
        <v>39</v>
      </c>
      <c r="F1432" s="1">
        <v>44792</v>
      </c>
      <c r="G1432" t="s">
        <v>2865</v>
      </c>
      <c r="H1432" t="s">
        <v>2866</v>
      </c>
      <c r="I1432" t="s">
        <v>51</v>
      </c>
      <c r="J1432">
        <v>18598</v>
      </c>
      <c r="K1432">
        <v>228</v>
      </c>
      <c r="L1432" t="s">
        <v>21</v>
      </c>
      <c r="M1432" s="1">
        <v>44814</v>
      </c>
      <c r="N1432" t="s">
        <v>67</v>
      </c>
      <c r="O1432" t="s">
        <v>23</v>
      </c>
      <c r="P1432" t="str">
        <f t="shared" si="488"/>
        <v>P1431</v>
      </c>
      <c r="Q1432" t="str">
        <f t="shared" si="484"/>
        <v>Endocrinology</v>
      </c>
      <c r="R1432">
        <f t="shared" si="485"/>
        <v>22</v>
      </c>
      <c r="S1432" t="str">
        <f t="shared" ca="1" si="489"/>
        <v>Yes</v>
      </c>
      <c r="T1432" t="str">
        <f t="shared" ca="1" si="490"/>
        <v>Severe</v>
      </c>
      <c r="U1432" t="str">
        <f t="shared" ca="1" si="491"/>
        <v>General Ward</v>
      </c>
      <c r="V1432" t="str">
        <f t="shared" si="492"/>
        <v>BED1431</v>
      </c>
      <c r="W1432" t="str">
        <f t="shared" ca="1" si="493"/>
        <v>ICU</v>
      </c>
      <c r="X1432" t="str">
        <f t="shared" si="494"/>
        <v>NUR031</v>
      </c>
      <c r="Y1432" t="str">
        <f t="shared" ca="1" si="495"/>
        <v>Evening</v>
      </c>
      <c r="Z1432" t="str">
        <f t="shared" ca="1" si="496"/>
        <v>MRI Scanner</v>
      </c>
      <c r="AA1432" t="str">
        <f t="shared" ca="1" si="497"/>
        <v>In Use</v>
      </c>
      <c r="AB1432" t="str">
        <f t="shared" ca="1" si="498"/>
        <v>Pending</v>
      </c>
      <c r="AC1432" t="str">
        <f t="shared" ca="1" si="499"/>
        <v>Cash</v>
      </c>
      <c r="AD1432" t="str">
        <f t="shared" ca="1" si="500"/>
        <v>No</v>
      </c>
      <c r="AE1432" t="str">
        <f t="shared" ca="1" si="501"/>
        <v>No</v>
      </c>
      <c r="AF1432" t="str">
        <f t="shared" ca="1" si="502"/>
        <v>Recovered</v>
      </c>
      <c r="AG1432" t="str">
        <f t="shared" ca="1" si="503"/>
        <v>Southwest</v>
      </c>
      <c r="AH1432" t="str">
        <f t="shared" si="486"/>
        <v>August</v>
      </c>
      <c r="AI1432">
        <f t="shared" si="487"/>
        <v>2022</v>
      </c>
      <c r="AJ1432" t="str">
        <f t="shared" ca="1" si="504"/>
        <v>Occupied</v>
      </c>
      <c r="AK1432">
        <f t="shared" ca="1" si="505"/>
        <v>4</v>
      </c>
    </row>
    <row r="1433" spans="1:37" x14ac:dyDescent="0.3">
      <c r="A1433" t="s">
        <v>5829</v>
      </c>
      <c r="B1433">
        <v>32</v>
      </c>
      <c r="C1433" t="s">
        <v>15</v>
      </c>
      <c r="D1433" t="s">
        <v>33</v>
      </c>
      <c r="E1433" t="s">
        <v>25</v>
      </c>
      <c r="F1433" s="1">
        <v>45147</v>
      </c>
      <c r="G1433" t="s">
        <v>2867</v>
      </c>
      <c r="H1433" t="s">
        <v>2868</v>
      </c>
      <c r="I1433" t="s">
        <v>57</v>
      </c>
      <c r="J1433">
        <v>22810</v>
      </c>
      <c r="K1433">
        <v>357</v>
      </c>
      <c r="L1433" t="s">
        <v>21</v>
      </c>
      <c r="M1433" s="1">
        <v>45176</v>
      </c>
      <c r="N1433" t="s">
        <v>37</v>
      </c>
      <c r="O1433" t="s">
        <v>43</v>
      </c>
      <c r="P1433" t="str">
        <f t="shared" si="488"/>
        <v>P1432</v>
      </c>
      <c r="Q1433" t="str">
        <f t="shared" si="484"/>
        <v>Nutrition</v>
      </c>
      <c r="R1433">
        <f t="shared" si="485"/>
        <v>29</v>
      </c>
      <c r="S1433" t="str">
        <f t="shared" ca="1" si="489"/>
        <v>No</v>
      </c>
      <c r="T1433" t="str">
        <f t="shared" ca="1" si="490"/>
        <v>Moderate</v>
      </c>
      <c r="U1433" t="str">
        <f t="shared" ca="1" si="491"/>
        <v>ICU</v>
      </c>
      <c r="V1433" t="str">
        <f t="shared" si="492"/>
        <v>BED1432</v>
      </c>
      <c r="W1433" t="str">
        <f t="shared" ca="1" si="493"/>
        <v>Semi-Private</v>
      </c>
      <c r="X1433" t="str">
        <f t="shared" si="494"/>
        <v>NUR032</v>
      </c>
      <c r="Y1433" t="str">
        <f t="shared" ca="1" si="495"/>
        <v>Night</v>
      </c>
      <c r="Z1433" t="str">
        <f t="shared" ca="1" si="496"/>
        <v>ECG Machine</v>
      </c>
      <c r="AA1433" t="str">
        <f t="shared" ca="1" si="497"/>
        <v>Maintenance</v>
      </c>
      <c r="AB1433" t="str">
        <f t="shared" ca="1" si="498"/>
        <v>Partially Paid</v>
      </c>
      <c r="AC1433" t="str">
        <f t="shared" ca="1" si="499"/>
        <v>Cash</v>
      </c>
      <c r="AD1433" t="str">
        <f t="shared" ca="1" si="500"/>
        <v>No</v>
      </c>
      <c r="AE1433" t="str">
        <f t="shared" ca="1" si="501"/>
        <v>No</v>
      </c>
      <c r="AF1433" t="str">
        <f t="shared" ca="1" si="502"/>
        <v>Recovered</v>
      </c>
      <c r="AG1433" t="str">
        <f t="shared" ca="1" si="503"/>
        <v>Midwest</v>
      </c>
      <c r="AH1433" t="str">
        <f t="shared" si="486"/>
        <v>August</v>
      </c>
      <c r="AI1433">
        <f t="shared" si="487"/>
        <v>2023</v>
      </c>
      <c r="AJ1433" t="str">
        <f t="shared" ca="1" si="504"/>
        <v>Occupied</v>
      </c>
      <c r="AK1433">
        <f t="shared" ca="1" si="505"/>
        <v>2</v>
      </c>
    </row>
    <row r="1434" spans="1:37" x14ac:dyDescent="0.3">
      <c r="A1434" t="s">
        <v>5830</v>
      </c>
      <c r="B1434">
        <v>38</v>
      </c>
      <c r="C1434" t="s">
        <v>32</v>
      </c>
      <c r="D1434" t="s">
        <v>98</v>
      </c>
      <c r="E1434" t="s">
        <v>48</v>
      </c>
      <c r="F1434" s="1">
        <v>44167</v>
      </c>
      <c r="G1434" t="s">
        <v>2869</v>
      </c>
      <c r="H1434" t="s">
        <v>2870</v>
      </c>
      <c r="I1434" t="s">
        <v>51</v>
      </c>
      <c r="J1434">
        <v>35252</v>
      </c>
      <c r="K1434">
        <v>465</v>
      </c>
      <c r="L1434" t="s">
        <v>29</v>
      </c>
      <c r="M1434" s="1">
        <v>44181</v>
      </c>
      <c r="N1434" t="s">
        <v>47</v>
      </c>
      <c r="O1434" t="s">
        <v>43</v>
      </c>
      <c r="P1434" t="str">
        <f t="shared" si="488"/>
        <v>P1433</v>
      </c>
      <c r="Q1434" t="str">
        <f t="shared" si="484"/>
        <v>Pulmonology</v>
      </c>
      <c r="R1434">
        <f t="shared" si="485"/>
        <v>14</v>
      </c>
      <c r="S1434" t="str">
        <f t="shared" ca="1" si="489"/>
        <v>No</v>
      </c>
      <c r="T1434" t="str">
        <f t="shared" ca="1" si="490"/>
        <v>Mild</v>
      </c>
      <c r="U1434" t="str">
        <f t="shared" ca="1" si="491"/>
        <v>Emergency</v>
      </c>
      <c r="V1434" t="str">
        <f t="shared" si="492"/>
        <v>BED1433</v>
      </c>
      <c r="W1434" t="str">
        <f t="shared" ca="1" si="493"/>
        <v>General</v>
      </c>
      <c r="X1434" t="str">
        <f t="shared" si="494"/>
        <v>NUR033</v>
      </c>
      <c r="Y1434" t="str">
        <f t="shared" ca="1" si="495"/>
        <v>Night</v>
      </c>
      <c r="Z1434" t="str">
        <f t="shared" ca="1" si="496"/>
        <v>X-Ray</v>
      </c>
      <c r="AA1434" t="str">
        <f t="shared" ca="1" si="497"/>
        <v>In Use</v>
      </c>
      <c r="AB1434" t="str">
        <f t="shared" ca="1" si="498"/>
        <v>Paid</v>
      </c>
      <c r="AC1434" t="str">
        <f t="shared" ca="1" si="499"/>
        <v>Credit Card</v>
      </c>
      <c r="AD1434" t="str">
        <f t="shared" ca="1" si="500"/>
        <v>Yes</v>
      </c>
      <c r="AE1434" t="str">
        <f t="shared" ca="1" si="501"/>
        <v>No</v>
      </c>
      <c r="AF1434" t="str">
        <f t="shared" ca="1" si="502"/>
        <v>Recovered</v>
      </c>
      <c r="AG1434" t="str">
        <f t="shared" ca="1" si="503"/>
        <v>Southeast</v>
      </c>
      <c r="AH1434" t="str">
        <f t="shared" si="486"/>
        <v>December</v>
      </c>
      <c r="AI1434">
        <f t="shared" si="487"/>
        <v>2020</v>
      </c>
      <c r="AJ1434" t="str">
        <f t="shared" ca="1" si="504"/>
        <v>Occupied</v>
      </c>
      <c r="AK1434">
        <f t="shared" ca="1" si="505"/>
        <v>1</v>
      </c>
    </row>
    <row r="1435" spans="1:37" x14ac:dyDescent="0.3">
      <c r="A1435" t="s">
        <v>5831</v>
      </c>
      <c r="B1435">
        <v>73</v>
      </c>
      <c r="C1435" t="s">
        <v>15</v>
      </c>
      <c r="D1435" t="s">
        <v>52</v>
      </c>
      <c r="E1435" t="s">
        <v>17</v>
      </c>
      <c r="F1435" s="1">
        <v>43700</v>
      </c>
      <c r="G1435" t="s">
        <v>2871</v>
      </c>
      <c r="H1435" t="s">
        <v>2872</v>
      </c>
      <c r="I1435" t="s">
        <v>28</v>
      </c>
      <c r="J1435">
        <v>39611</v>
      </c>
      <c r="K1435">
        <v>431</v>
      </c>
      <c r="L1435" t="s">
        <v>29</v>
      </c>
      <c r="M1435" s="1">
        <v>43710</v>
      </c>
      <c r="N1435" t="s">
        <v>47</v>
      </c>
      <c r="O1435" t="s">
        <v>43</v>
      </c>
      <c r="P1435" t="str">
        <f t="shared" si="488"/>
        <v>P1434</v>
      </c>
      <c r="Q1435" t="str">
        <f t="shared" si="484"/>
        <v>Oncology</v>
      </c>
      <c r="R1435">
        <f t="shared" si="485"/>
        <v>10</v>
      </c>
      <c r="S1435" t="str">
        <f t="shared" ca="1" si="489"/>
        <v>No</v>
      </c>
      <c r="T1435" t="str">
        <f t="shared" ca="1" si="490"/>
        <v>Mild</v>
      </c>
      <c r="U1435" t="str">
        <f t="shared" ca="1" si="491"/>
        <v>ICU</v>
      </c>
      <c r="V1435" t="str">
        <f t="shared" si="492"/>
        <v>BED1434</v>
      </c>
      <c r="W1435" t="str">
        <f t="shared" ca="1" si="493"/>
        <v>Private</v>
      </c>
      <c r="X1435" t="str">
        <f t="shared" si="494"/>
        <v>NUR034</v>
      </c>
      <c r="Y1435" t="str">
        <f t="shared" ca="1" si="495"/>
        <v>Evening</v>
      </c>
      <c r="Z1435" t="str">
        <f t="shared" ca="1" si="496"/>
        <v>X-Ray</v>
      </c>
      <c r="AA1435" t="str">
        <f t="shared" ca="1" si="497"/>
        <v>Available</v>
      </c>
      <c r="AB1435" t="str">
        <f t="shared" ca="1" si="498"/>
        <v>Partially Paid</v>
      </c>
      <c r="AC1435" t="str">
        <f t="shared" ca="1" si="499"/>
        <v>Credit Card</v>
      </c>
      <c r="AD1435" t="str">
        <f t="shared" ca="1" si="500"/>
        <v>No</v>
      </c>
      <c r="AE1435" t="str">
        <f t="shared" ca="1" si="501"/>
        <v>No</v>
      </c>
      <c r="AF1435" t="str">
        <f t="shared" ca="1" si="502"/>
        <v>Transferred</v>
      </c>
      <c r="AG1435" t="str">
        <f t="shared" ca="1" si="503"/>
        <v>Northeast</v>
      </c>
      <c r="AH1435" t="str">
        <f t="shared" si="486"/>
        <v>August</v>
      </c>
      <c r="AI1435">
        <f t="shared" si="487"/>
        <v>2019</v>
      </c>
      <c r="AJ1435" t="str">
        <f t="shared" ca="1" si="504"/>
        <v>Occupied</v>
      </c>
      <c r="AK1435">
        <f t="shared" ca="1" si="505"/>
        <v>4</v>
      </c>
    </row>
    <row r="1436" spans="1:37" x14ac:dyDescent="0.3">
      <c r="A1436" t="s">
        <v>5832</v>
      </c>
      <c r="B1436">
        <v>79</v>
      </c>
      <c r="C1436" t="s">
        <v>15</v>
      </c>
      <c r="D1436" t="s">
        <v>44</v>
      </c>
      <c r="E1436" t="s">
        <v>39</v>
      </c>
      <c r="F1436" s="1">
        <v>44453</v>
      </c>
      <c r="G1436" t="s">
        <v>2873</v>
      </c>
      <c r="H1436" t="s">
        <v>2874</v>
      </c>
      <c r="I1436" t="s">
        <v>51</v>
      </c>
      <c r="J1436">
        <v>26350</v>
      </c>
      <c r="K1436">
        <v>369</v>
      </c>
      <c r="L1436" t="s">
        <v>29</v>
      </c>
      <c r="M1436" s="1">
        <v>44455</v>
      </c>
      <c r="N1436" t="s">
        <v>37</v>
      </c>
      <c r="O1436" t="s">
        <v>31</v>
      </c>
      <c r="P1436" t="str">
        <f t="shared" si="488"/>
        <v>P1435</v>
      </c>
      <c r="Q1436" t="str">
        <f t="shared" si="484"/>
        <v>Endocrinology</v>
      </c>
      <c r="R1436">
        <f t="shared" si="485"/>
        <v>2</v>
      </c>
      <c r="S1436" t="str">
        <f t="shared" ca="1" si="489"/>
        <v>No</v>
      </c>
      <c r="T1436" t="str">
        <f t="shared" ca="1" si="490"/>
        <v>Mild</v>
      </c>
      <c r="U1436" t="str">
        <f t="shared" ca="1" si="491"/>
        <v>ICU</v>
      </c>
      <c r="V1436" t="str">
        <f t="shared" si="492"/>
        <v>BED1435</v>
      </c>
      <c r="W1436" t="str">
        <f t="shared" ca="1" si="493"/>
        <v>ICU</v>
      </c>
      <c r="X1436" t="str">
        <f t="shared" si="494"/>
        <v>NUR035</v>
      </c>
      <c r="Y1436" t="str">
        <f t="shared" ca="1" si="495"/>
        <v>Evening</v>
      </c>
      <c r="Z1436" t="str">
        <f t="shared" ca="1" si="496"/>
        <v>Ultrasound</v>
      </c>
      <c r="AA1436" t="str">
        <f t="shared" ca="1" si="497"/>
        <v>In Use</v>
      </c>
      <c r="AB1436" t="str">
        <f t="shared" ca="1" si="498"/>
        <v>Paid</v>
      </c>
      <c r="AC1436" t="str">
        <f t="shared" ca="1" si="499"/>
        <v>Insurance</v>
      </c>
      <c r="AD1436" t="str">
        <f t="shared" ca="1" si="500"/>
        <v>No</v>
      </c>
      <c r="AE1436" t="str">
        <f t="shared" ca="1" si="501"/>
        <v>No</v>
      </c>
      <c r="AF1436" t="str">
        <f t="shared" ca="1" si="502"/>
        <v>Recovered</v>
      </c>
      <c r="AG1436" t="str">
        <f t="shared" ca="1" si="503"/>
        <v>West Coast</v>
      </c>
      <c r="AH1436" t="str">
        <f t="shared" si="486"/>
        <v>September</v>
      </c>
      <c r="AI1436">
        <f t="shared" si="487"/>
        <v>2021</v>
      </c>
      <c r="AJ1436" t="str">
        <f t="shared" ca="1" si="504"/>
        <v>Occupied</v>
      </c>
      <c r="AK1436">
        <f t="shared" ca="1" si="505"/>
        <v>2</v>
      </c>
    </row>
    <row r="1437" spans="1:37" x14ac:dyDescent="0.3">
      <c r="A1437" t="s">
        <v>5833</v>
      </c>
      <c r="B1437">
        <v>55</v>
      </c>
      <c r="C1437" t="s">
        <v>32</v>
      </c>
      <c r="D1437" t="s">
        <v>16</v>
      </c>
      <c r="E1437" t="s">
        <v>17</v>
      </c>
      <c r="F1437" s="1">
        <v>43942</v>
      </c>
      <c r="G1437" t="s">
        <v>2875</v>
      </c>
      <c r="H1437" t="s">
        <v>2876</v>
      </c>
      <c r="I1437" t="s">
        <v>57</v>
      </c>
      <c r="J1437">
        <v>1935</v>
      </c>
      <c r="K1437">
        <v>351</v>
      </c>
      <c r="L1437" t="s">
        <v>21</v>
      </c>
      <c r="M1437" s="1">
        <v>43972</v>
      </c>
      <c r="N1437" t="s">
        <v>37</v>
      </c>
      <c r="O1437" t="s">
        <v>31</v>
      </c>
      <c r="P1437" t="str">
        <f t="shared" si="488"/>
        <v>P1436</v>
      </c>
      <c r="Q1437" t="str">
        <f t="shared" si="484"/>
        <v>Oncology</v>
      </c>
      <c r="R1437">
        <f t="shared" si="485"/>
        <v>30</v>
      </c>
      <c r="S1437" t="str">
        <f t="shared" ca="1" si="489"/>
        <v>No</v>
      </c>
      <c r="T1437" t="str">
        <f t="shared" ca="1" si="490"/>
        <v>Severe</v>
      </c>
      <c r="U1437" t="str">
        <f t="shared" ca="1" si="491"/>
        <v>Emergency</v>
      </c>
      <c r="V1437" t="str">
        <f t="shared" si="492"/>
        <v>BED1436</v>
      </c>
      <c r="W1437" t="str">
        <f t="shared" ca="1" si="493"/>
        <v>General</v>
      </c>
      <c r="X1437" t="str">
        <f t="shared" si="494"/>
        <v>NUR036</v>
      </c>
      <c r="Y1437" t="str">
        <f t="shared" ca="1" si="495"/>
        <v>Evening</v>
      </c>
      <c r="Z1437" t="str">
        <f t="shared" ca="1" si="496"/>
        <v>ECG Machine</v>
      </c>
      <c r="AA1437" t="str">
        <f t="shared" ca="1" si="497"/>
        <v>Available</v>
      </c>
      <c r="AB1437" t="str">
        <f t="shared" ca="1" si="498"/>
        <v>Partially Paid</v>
      </c>
      <c r="AC1437" t="str">
        <f t="shared" ca="1" si="499"/>
        <v>Bank Transfer</v>
      </c>
      <c r="AD1437" t="str">
        <f t="shared" ca="1" si="500"/>
        <v>No</v>
      </c>
      <c r="AE1437" t="str">
        <f t="shared" ca="1" si="501"/>
        <v>No</v>
      </c>
      <c r="AF1437" t="str">
        <f t="shared" ca="1" si="502"/>
        <v>Under Observation</v>
      </c>
      <c r="AG1437" t="str">
        <f t="shared" ca="1" si="503"/>
        <v>Northeast</v>
      </c>
      <c r="AH1437" t="str">
        <f t="shared" si="486"/>
        <v>April</v>
      </c>
      <c r="AI1437">
        <f t="shared" si="487"/>
        <v>2020</v>
      </c>
      <c r="AJ1437" t="str">
        <f t="shared" ca="1" si="504"/>
        <v>Vacant</v>
      </c>
      <c r="AK1437">
        <f t="shared" ca="1" si="505"/>
        <v>4</v>
      </c>
    </row>
    <row r="1438" spans="1:37" x14ac:dyDescent="0.3">
      <c r="A1438" t="s">
        <v>5834</v>
      </c>
      <c r="B1438">
        <v>58</v>
      </c>
      <c r="C1438" t="s">
        <v>15</v>
      </c>
      <c r="D1438" t="s">
        <v>44</v>
      </c>
      <c r="E1438" t="s">
        <v>48</v>
      </c>
      <c r="F1438" s="1">
        <v>45145</v>
      </c>
      <c r="G1438" t="s">
        <v>2877</v>
      </c>
      <c r="H1438" t="s">
        <v>2878</v>
      </c>
      <c r="I1438" t="s">
        <v>20</v>
      </c>
      <c r="J1438">
        <v>23772</v>
      </c>
      <c r="K1438">
        <v>143</v>
      </c>
      <c r="L1438" t="s">
        <v>21</v>
      </c>
      <c r="M1438" s="1">
        <v>45166</v>
      </c>
      <c r="N1438" t="s">
        <v>47</v>
      </c>
      <c r="O1438" t="s">
        <v>43</v>
      </c>
      <c r="P1438" t="str">
        <f t="shared" si="488"/>
        <v>P1437</v>
      </c>
      <c r="Q1438" t="str">
        <f t="shared" si="484"/>
        <v>Pulmonology</v>
      </c>
      <c r="R1438">
        <f t="shared" si="485"/>
        <v>21</v>
      </c>
      <c r="S1438" t="str">
        <f t="shared" ca="1" si="489"/>
        <v>No</v>
      </c>
      <c r="T1438" t="str">
        <f t="shared" ca="1" si="490"/>
        <v>Mild</v>
      </c>
      <c r="U1438" t="str">
        <f t="shared" ca="1" si="491"/>
        <v>General Ward</v>
      </c>
      <c r="V1438" t="str">
        <f t="shared" si="492"/>
        <v>BED1437</v>
      </c>
      <c r="W1438" t="str">
        <f t="shared" ca="1" si="493"/>
        <v>Private</v>
      </c>
      <c r="X1438" t="str">
        <f t="shared" si="494"/>
        <v>NUR037</v>
      </c>
      <c r="Y1438" t="str">
        <f t="shared" ca="1" si="495"/>
        <v>Morning</v>
      </c>
      <c r="Z1438" t="str">
        <f t="shared" ca="1" si="496"/>
        <v>MRI Scanner</v>
      </c>
      <c r="AA1438" t="str">
        <f t="shared" ca="1" si="497"/>
        <v>Maintenance</v>
      </c>
      <c r="AB1438" t="str">
        <f t="shared" ca="1" si="498"/>
        <v>Paid</v>
      </c>
      <c r="AC1438" t="str">
        <f t="shared" ca="1" si="499"/>
        <v>Credit Card</v>
      </c>
      <c r="AD1438" t="str">
        <f t="shared" ca="1" si="500"/>
        <v>No</v>
      </c>
      <c r="AE1438" t="str">
        <f t="shared" ca="1" si="501"/>
        <v>No</v>
      </c>
      <c r="AF1438" t="str">
        <f t="shared" ca="1" si="502"/>
        <v>Recovered</v>
      </c>
      <c r="AG1438" t="str">
        <f t="shared" ca="1" si="503"/>
        <v>West Coast</v>
      </c>
      <c r="AH1438" t="str">
        <f t="shared" si="486"/>
        <v>August</v>
      </c>
      <c r="AI1438">
        <f t="shared" si="487"/>
        <v>2023</v>
      </c>
      <c r="AJ1438" t="str">
        <f t="shared" ca="1" si="504"/>
        <v>Occupied</v>
      </c>
      <c r="AK1438">
        <f t="shared" ca="1" si="505"/>
        <v>2</v>
      </c>
    </row>
    <row r="1439" spans="1:37" x14ac:dyDescent="0.3">
      <c r="A1439" t="s">
        <v>5835</v>
      </c>
      <c r="B1439">
        <v>61</v>
      </c>
      <c r="C1439" t="s">
        <v>32</v>
      </c>
      <c r="D1439" t="s">
        <v>83</v>
      </c>
      <c r="E1439" t="s">
        <v>17</v>
      </c>
      <c r="F1439" s="1">
        <v>44025</v>
      </c>
      <c r="G1439" t="s">
        <v>2879</v>
      </c>
      <c r="H1439" t="s">
        <v>2880</v>
      </c>
      <c r="I1439" t="s">
        <v>51</v>
      </c>
      <c r="J1439">
        <v>28761</v>
      </c>
      <c r="K1439">
        <v>133</v>
      </c>
      <c r="L1439" t="s">
        <v>21</v>
      </c>
      <c r="M1439" s="1">
        <v>44041</v>
      </c>
      <c r="N1439" t="s">
        <v>37</v>
      </c>
      <c r="O1439" t="s">
        <v>43</v>
      </c>
      <c r="P1439" t="str">
        <f t="shared" si="488"/>
        <v>P1438</v>
      </c>
      <c r="Q1439" t="str">
        <f t="shared" si="484"/>
        <v>Oncology</v>
      </c>
      <c r="R1439">
        <f t="shared" si="485"/>
        <v>16</v>
      </c>
      <c r="S1439" t="str">
        <f t="shared" ca="1" si="489"/>
        <v>No</v>
      </c>
      <c r="T1439" t="str">
        <f t="shared" ca="1" si="490"/>
        <v>Moderate</v>
      </c>
      <c r="U1439" t="str">
        <f t="shared" ca="1" si="491"/>
        <v>General Ward</v>
      </c>
      <c r="V1439" t="str">
        <f t="shared" si="492"/>
        <v>BED1438</v>
      </c>
      <c r="W1439" t="str">
        <f t="shared" ca="1" si="493"/>
        <v>Semi-Private</v>
      </c>
      <c r="X1439" t="str">
        <f t="shared" si="494"/>
        <v>NUR038</v>
      </c>
      <c r="Y1439" t="str">
        <f t="shared" ca="1" si="495"/>
        <v>Morning</v>
      </c>
      <c r="Z1439" t="str">
        <f t="shared" ca="1" si="496"/>
        <v>ECG Machine</v>
      </c>
      <c r="AA1439" t="str">
        <f t="shared" ca="1" si="497"/>
        <v>In Use</v>
      </c>
      <c r="AB1439" t="str">
        <f t="shared" ca="1" si="498"/>
        <v>Paid</v>
      </c>
      <c r="AC1439" t="str">
        <f t="shared" ca="1" si="499"/>
        <v>Cash</v>
      </c>
      <c r="AD1439" t="str">
        <f t="shared" ca="1" si="500"/>
        <v>No</v>
      </c>
      <c r="AE1439" t="str">
        <f t="shared" ca="1" si="501"/>
        <v>No</v>
      </c>
      <c r="AF1439" t="str">
        <f t="shared" ca="1" si="502"/>
        <v>Recovered</v>
      </c>
      <c r="AG1439" t="str">
        <f t="shared" ca="1" si="503"/>
        <v>Midwest</v>
      </c>
      <c r="AH1439" t="str">
        <f t="shared" si="486"/>
        <v>July</v>
      </c>
      <c r="AI1439">
        <f t="shared" si="487"/>
        <v>2020</v>
      </c>
      <c r="AJ1439" t="str">
        <f t="shared" ca="1" si="504"/>
        <v>Occupied</v>
      </c>
      <c r="AK1439">
        <f t="shared" ca="1" si="505"/>
        <v>1</v>
      </c>
    </row>
    <row r="1440" spans="1:37" x14ac:dyDescent="0.3">
      <c r="A1440" t="s">
        <v>5836</v>
      </c>
      <c r="B1440">
        <v>45</v>
      </c>
      <c r="C1440" t="s">
        <v>15</v>
      </c>
      <c r="D1440" t="s">
        <v>16</v>
      </c>
      <c r="E1440" t="s">
        <v>48</v>
      </c>
      <c r="F1440" s="1">
        <v>43677</v>
      </c>
      <c r="G1440" t="s">
        <v>2881</v>
      </c>
      <c r="H1440" t="s">
        <v>196</v>
      </c>
      <c r="I1440" t="s">
        <v>20</v>
      </c>
      <c r="J1440">
        <v>47630</v>
      </c>
      <c r="K1440">
        <v>204</v>
      </c>
      <c r="L1440" t="s">
        <v>29</v>
      </c>
      <c r="M1440" s="1">
        <v>43688</v>
      </c>
      <c r="N1440" t="s">
        <v>22</v>
      </c>
      <c r="O1440" t="s">
        <v>23</v>
      </c>
      <c r="P1440" t="str">
        <f t="shared" si="488"/>
        <v>P1439</v>
      </c>
      <c r="Q1440" t="str">
        <f t="shared" si="484"/>
        <v>Pulmonology</v>
      </c>
      <c r="R1440">
        <f t="shared" si="485"/>
        <v>11</v>
      </c>
      <c r="S1440" t="str">
        <f t="shared" ca="1" si="489"/>
        <v>No</v>
      </c>
      <c r="T1440" t="str">
        <f t="shared" ca="1" si="490"/>
        <v>Severe</v>
      </c>
      <c r="U1440" t="str">
        <f t="shared" ca="1" si="491"/>
        <v>Emergency</v>
      </c>
      <c r="V1440" t="str">
        <f t="shared" si="492"/>
        <v>BED1439</v>
      </c>
      <c r="W1440" t="str">
        <f t="shared" ca="1" si="493"/>
        <v>Semi-Private</v>
      </c>
      <c r="X1440" t="str">
        <f t="shared" si="494"/>
        <v>NUR039</v>
      </c>
      <c r="Y1440" t="str">
        <f t="shared" ca="1" si="495"/>
        <v>Evening</v>
      </c>
      <c r="Z1440" t="str">
        <f t="shared" ca="1" si="496"/>
        <v>CT Scanner</v>
      </c>
      <c r="AA1440" t="str">
        <f t="shared" ca="1" si="497"/>
        <v>In Use</v>
      </c>
      <c r="AB1440" t="str">
        <f t="shared" ca="1" si="498"/>
        <v>Pending</v>
      </c>
      <c r="AC1440" t="str">
        <f t="shared" ca="1" si="499"/>
        <v>Credit Card</v>
      </c>
      <c r="AD1440" t="str">
        <f t="shared" ca="1" si="500"/>
        <v>No</v>
      </c>
      <c r="AE1440" t="str">
        <f t="shared" ca="1" si="501"/>
        <v>No</v>
      </c>
      <c r="AF1440" t="str">
        <f t="shared" ca="1" si="502"/>
        <v>Recovered</v>
      </c>
      <c r="AG1440" t="str">
        <f t="shared" ca="1" si="503"/>
        <v>Midwest</v>
      </c>
      <c r="AH1440" t="str">
        <f t="shared" si="486"/>
        <v>July</v>
      </c>
      <c r="AI1440">
        <f t="shared" si="487"/>
        <v>2019</v>
      </c>
      <c r="AJ1440" t="str">
        <f t="shared" ca="1" si="504"/>
        <v>Occupied</v>
      </c>
      <c r="AK1440">
        <f t="shared" ca="1" si="505"/>
        <v>1</v>
      </c>
    </row>
    <row r="1441" spans="1:37" x14ac:dyDescent="0.3">
      <c r="A1441" t="s">
        <v>5837</v>
      </c>
      <c r="B1441">
        <v>34</v>
      </c>
      <c r="C1441" t="s">
        <v>32</v>
      </c>
      <c r="D1441" t="s">
        <v>38</v>
      </c>
      <c r="E1441" t="s">
        <v>64</v>
      </c>
      <c r="F1441" s="1">
        <v>44692</v>
      </c>
      <c r="G1441" t="s">
        <v>2882</v>
      </c>
      <c r="H1441" t="s">
        <v>2883</v>
      </c>
      <c r="I1441" t="s">
        <v>28</v>
      </c>
      <c r="J1441">
        <v>2852</v>
      </c>
      <c r="K1441">
        <v>237</v>
      </c>
      <c r="L1441" t="s">
        <v>42</v>
      </c>
      <c r="M1441" s="1">
        <v>44710</v>
      </c>
      <c r="N1441" t="s">
        <v>22</v>
      </c>
      <c r="O1441" t="s">
        <v>23</v>
      </c>
      <c r="P1441" t="str">
        <f t="shared" si="488"/>
        <v>P1440</v>
      </c>
      <c r="Q1441" t="str">
        <f t="shared" si="484"/>
        <v>Cardiology</v>
      </c>
      <c r="R1441">
        <f t="shared" si="485"/>
        <v>18</v>
      </c>
      <c r="S1441" t="str">
        <f t="shared" ca="1" si="489"/>
        <v>No</v>
      </c>
      <c r="T1441" t="str">
        <f t="shared" ca="1" si="490"/>
        <v>Severe</v>
      </c>
      <c r="U1441" t="str">
        <f t="shared" ca="1" si="491"/>
        <v>Private Ward</v>
      </c>
      <c r="V1441" t="str">
        <f t="shared" si="492"/>
        <v>BED1440</v>
      </c>
      <c r="W1441" t="str">
        <f t="shared" ca="1" si="493"/>
        <v>Semi-Private</v>
      </c>
      <c r="X1441" t="str">
        <f t="shared" si="494"/>
        <v>NUR040</v>
      </c>
      <c r="Y1441" t="str">
        <f t="shared" ca="1" si="495"/>
        <v>Night</v>
      </c>
      <c r="Z1441" t="str">
        <f t="shared" ca="1" si="496"/>
        <v>MRI Scanner</v>
      </c>
      <c r="AA1441" t="str">
        <f t="shared" ca="1" si="497"/>
        <v>Available</v>
      </c>
      <c r="AB1441" t="str">
        <f t="shared" ca="1" si="498"/>
        <v>Paid</v>
      </c>
      <c r="AC1441" t="str">
        <f t="shared" ca="1" si="499"/>
        <v>Debit Card</v>
      </c>
      <c r="AD1441" t="str">
        <f t="shared" ca="1" si="500"/>
        <v>No</v>
      </c>
      <c r="AE1441" t="str">
        <f t="shared" ca="1" si="501"/>
        <v>No</v>
      </c>
      <c r="AF1441" t="str">
        <f t="shared" ca="1" si="502"/>
        <v>Transferred</v>
      </c>
      <c r="AG1441" t="str">
        <f t="shared" ca="1" si="503"/>
        <v>Southeast</v>
      </c>
      <c r="AH1441" t="str">
        <f t="shared" si="486"/>
        <v>May</v>
      </c>
      <c r="AI1441">
        <f t="shared" si="487"/>
        <v>2022</v>
      </c>
      <c r="AJ1441" t="str">
        <f t="shared" ca="1" si="504"/>
        <v>Occupied</v>
      </c>
      <c r="AK1441">
        <f t="shared" ca="1" si="505"/>
        <v>4</v>
      </c>
    </row>
    <row r="1442" spans="1:37" x14ac:dyDescent="0.3">
      <c r="A1442" t="s">
        <v>5838</v>
      </c>
      <c r="B1442">
        <v>31</v>
      </c>
      <c r="C1442" t="s">
        <v>32</v>
      </c>
      <c r="D1442" t="s">
        <v>33</v>
      </c>
      <c r="E1442" t="s">
        <v>17</v>
      </c>
      <c r="F1442" s="1">
        <v>44230</v>
      </c>
      <c r="G1442" t="s">
        <v>2884</v>
      </c>
      <c r="H1442" t="s">
        <v>2885</v>
      </c>
      <c r="I1442" t="s">
        <v>57</v>
      </c>
      <c r="J1442">
        <v>9830</v>
      </c>
      <c r="K1442">
        <v>182</v>
      </c>
      <c r="L1442" t="s">
        <v>21</v>
      </c>
      <c r="M1442" s="1">
        <v>44255</v>
      </c>
      <c r="N1442" t="s">
        <v>37</v>
      </c>
      <c r="O1442" t="s">
        <v>31</v>
      </c>
      <c r="P1442" t="str">
        <f t="shared" si="488"/>
        <v>P1441</v>
      </c>
      <c r="Q1442" t="str">
        <f t="shared" si="484"/>
        <v>Oncology</v>
      </c>
      <c r="R1442">
        <f t="shared" si="485"/>
        <v>25</v>
      </c>
      <c r="S1442" t="str">
        <f t="shared" ca="1" si="489"/>
        <v>No</v>
      </c>
      <c r="T1442" t="str">
        <f t="shared" ca="1" si="490"/>
        <v>Severe</v>
      </c>
      <c r="U1442" t="str">
        <f t="shared" ca="1" si="491"/>
        <v>ICU</v>
      </c>
      <c r="V1442" t="str">
        <f t="shared" si="492"/>
        <v>BED1441</v>
      </c>
      <c r="W1442" t="str">
        <f t="shared" ca="1" si="493"/>
        <v>ICU</v>
      </c>
      <c r="X1442" t="str">
        <f t="shared" si="494"/>
        <v>NUR041</v>
      </c>
      <c r="Y1442" t="str">
        <f t="shared" ca="1" si="495"/>
        <v>Night</v>
      </c>
      <c r="Z1442" t="str">
        <f t="shared" ca="1" si="496"/>
        <v>MRI Scanner</v>
      </c>
      <c r="AA1442" t="str">
        <f t="shared" ca="1" si="497"/>
        <v>Available</v>
      </c>
      <c r="AB1442" t="str">
        <f t="shared" ca="1" si="498"/>
        <v>Partially Paid</v>
      </c>
      <c r="AC1442" t="str">
        <f t="shared" ca="1" si="499"/>
        <v>Cash</v>
      </c>
      <c r="AD1442" t="str">
        <f t="shared" ca="1" si="500"/>
        <v>Yes</v>
      </c>
      <c r="AE1442" t="str">
        <f t="shared" ca="1" si="501"/>
        <v>No</v>
      </c>
      <c r="AF1442" t="str">
        <f t="shared" ca="1" si="502"/>
        <v>Transferred</v>
      </c>
      <c r="AG1442" t="str">
        <f t="shared" ca="1" si="503"/>
        <v>Southeast</v>
      </c>
      <c r="AH1442" t="str">
        <f t="shared" si="486"/>
        <v>February</v>
      </c>
      <c r="AI1442">
        <f t="shared" si="487"/>
        <v>2021</v>
      </c>
      <c r="AJ1442" t="str">
        <f t="shared" ca="1" si="504"/>
        <v>Vacant</v>
      </c>
      <c r="AK1442">
        <f t="shared" ca="1" si="505"/>
        <v>2</v>
      </c>
    </row>
    <row r="1443" spans="1:37" x14ac:dyDescent="0.3">
      <c r="A1443" t="s">
        <v>5839</v>
      </c>
      <c r="B1443">
        <v>37</v>
      </c>
      <c r="C1443" t="s">
        <v>32</v>
      </c>
      <c r="D1443" t="s">
        <v>52</v>
      </c>
      <c r="E1443" t="s">
        <v>39</v>
      </c>
      <c r="F1443" s="1">
        <v>45253</v>
      </c>
      <c r="G1443" t="s">
        <v>2886</v>
      </c>
      <c r="H1443" t="s">
        <v>2887</v>
      </c>
      <c r="I1443" t="s">
        <v>36</v>
      </c>
      <c r="J1443">
        <v>22040</v>
      </c>
      <c r="K1443">
        <v>253</v>
      </c>
      <c r="L1443" t="s">
        <v>42</v>
      </c>
      <c r="M1443" s="1">
        <v>45257</v>
      </c>
      <c r="N1443" t="s">
        <v>30</v>
      </c>
      <c r="O1443" t="s">
        <v>43</v>
      </c>
      <c r="P1443" t="str">
        <f t="shared" si="488"/>
        <v>P1442</v>
      </c>
      <c r="Q1443" t="str">
        <f t="shared" si="484"/>
        <v>Endocrinology</v>
      </c>
      <c r="R1443">
        <f t="shared" si="485"/>
        <v>4</v>
      </c>
      <c r="S1443" t="str">
        <f t="shared" ca="1" si="489"/>
        <v>No</v>
      </c>
      <c r="T1443" t="str">
        <f t="shared" ca="1" si="490"/>
        <v>Mild</v>
      </c>
      <c r="U1443" t="str">
        <f t="shared" ca="1" si="491"/>
        <v>Emergency</v>
      </c>
      <c r="V1443" t="str">
        <f t="shared" si="492"/>
        <v>BED1442</v>
      </c>
      <c r="W1443" t="str">
        <f t="shared" ca="1" si="493"/>
        <v>General</v>
      </c>
      <c r="X1443" t="str">
        <f t="shared" si="494"/>
        <v>NUR042</v>
      </c>
      <c r="Y1443" t="str">
        <f t="shared" ca="1" si="495"/>
        <v>Morning</v>
      </c>
      <c r="Z1443" t="str">
        <f t="shared" ca="1" si="496"/>
        <v>CT Scanner</v>
      </c>
      <c r="AA1443" t="str">
        <f t="shared" ca="1" si="497"/>
        <v>Maintenance</v>
      </c>
      <c r="AB1443" t="str">
        <f t="shared" ca="1" si="498"/>
        <v>Partially Paid</v>
      </c>
      <c r="AC1443" t="str">
        <f t="shared" ca="1" si="499"/>
        <v>Cash</v>
      </c>
      <c r="AD1443" t="str">
        <f t="shared" ca="1" si="500"/>
        <v>No</v>
      </c>
      <c r="AE1443" t="str">
        <f t="shared" ca="1" si="501"/>
        <v>No</v>
      </c>
      <c r="AF1443" t="str">
        <f t="shared" ca="1" si="502"/>
        <v>Transferred</v>
      </c>
      <c r="AG1443" t="str">
        <f t="shared" ca="1" si="503"/>
        <v>Southeast</v>
      </c>
      <c r="AH1443" t="str">
        <f t="shared" si="486"/>
        <v>November</v>
      </c>
      <c r="AI1443">
        <f t="shared" si="487"/>
        <v>2023</v>
      </c>
      <c r="AJ1443" t="str">
        <f t="shared" ca="1" si="504"/>
        <v>Occupied</v>
      </c>
      <c r="AK1443">
        <f t="shared" ca="1" si="505"/>
        <v>1</v>
      </c>
    </row>
    <row r="1444" spans="1:37" x14ac:dyDescent="0.3">
      <c r="A1444" t="s">
        <v>5840</v>
      </c>
      <c r="B1444">
        <v>48</v>
      </c>
      <c r="C1444" t="s">
        <v>32</v>
      </c>
      <c r="D1444" t="s">
        <v>24</v>
      </c>
      <c r="E1444" t="s">
        <v>64</v>
      </c>
      <c r="F1444" s="1">
        <v>44957</v>
      </c>
      <c r="G1444" t="s">
        <v>2888</v>
      </c>
      <c r="H1444" t="s">
        <v>2889</v>
      </c>
      <c r="I1444" t="s">
        <v>36</v>
      </c>
      <c r="J1444">
        <v>25487</v>
      </c>
      <c r="K1444">
        <v>178</v>
      </c>
      <c r="L1444" t="s">
        <v>29</v>
      </c>
      <c r="M1444" s="1">
        <v>44978</v>
      </c>
      <c r="N1444" t="s">
        <v>22</v>
      </c>
      <c r="O1444" t="s">
        <v>43</v>
      </c>
      <c r="P1444" t="str">
        <f t="shared" si="488"/>
        <v>P1443</v>
      </c>
      <c r="Q1444" t="str">
        <f t="shared" si="484"/>
        <v>Cardiology</v>
      </c>
      <c r="R1444">
        <f t="shared" si="485"/>
        <v>21</v>
      </c>
      <c r="S1444" t="str">
        <f t="shared" ca="1" si="489"/>
        <v>No</v>
      </c>
      <c r="T1444" t="str">
        <f t="shared" ca="1" si="490"/>
        <v>Critical</v>
      </c>
      <c r="U1444" t="str">
        <f t="shared" ca="1" si="491"/>
        <v>Emergency</v>
      </c>
      <c r="V1444" t="str">
        <f t="shared" si="492"/>
        <v>BED1443</v>
      </c>
      <c r="W1444" t="str">
        <f t="shared" ca="1" si="493"/>
        <v>Semi-Private</v>
      </c>
      <c r="X1444" t="str">
        <f t="shared" si="494"/>
        <v>NUR043</v>
      </c>
      <c r="Y1444" t="str">
        <f t="shared" ca="1" si="495"/>
        <v>Evening</v>
      </c>
      <c r="Z1444" t="str">
        <f t="shared" ca="1" si="496"/>
        <v>X-Ray</v>
      </c>
      <c r="AA1444" t="str">
        <f t="shared" ca="1" si="497"/>
        <v>Available</v>
      </c>
      <c r="AB1444" t="str">
        <f t="shared" ca="1" si="498"/>
        <v>Pending</v>
      </c>
      <c r="AC1444" t="str">
        <f t="shared" ca="1" si="499"/>
        <v>Bank Transfer</v>
      </c>
      <c r="AD1444" t="str">
        <f t="shared" ca="1" si="500"/>
        <v>Yes</v>
      </c>
      <c r="AE1444" t="str">
        <f t="shared" ca="1" si="501"/>
        <v>No</v>
      </c>
      <c r="AF1444" t="str">
        <f t="shared" ca="1" si="502"/>
        <v>Under Observation</v>
      </c>
      <c r="AG1444" t="str">
        <f t="shared" ca="1" si="503"/>
        <v>Midwest</v>
      </c>
      <c r="AH1444" t="str">
        <f t="shared" si="486"/>
        <v>January</v>
      </c>
      <c r="AI1444">
        <f t="shared" si="487"/>
        <v>2023</v>
      </c>
      <c r="AJ1444" t="str">
        <f t="shared" ca="1" si="504"/>
        <v>Occupied</v>
      </c>
      <c r="AK1444">
        <f t="shared" ca="1" si="505"/>
        <v>2</v>
      </c>
    </row>
    <row r="1445" spans="1:37" x14ac:dyDescent="0.3">
      <c r="A1445" t="s">
        <v>5841</v>
      </c>
      <c r="B1445">
        <v>67</v>
      </c>
      <c r="C1445" t="s">
        <v>15</v>
      </c>
      <c r="D1445" t="s">
        <v>24</v>
      </c>
      <c r="E1445" t="s">
        <v>64</v>
      </c>
      <c r="F1445" s="1">
        <v>45402</v>
      </c>
      <c r="G1445" t="s">
        <v>2890</v>
      </c>
      <c r="H1445" t="s">
        <v>2891</v>
      </c>
      <c r="I1445" t="s">
        <v>57</v>
      </c>
      <c r="J1445">
        <v>22507</v>
      </c>
      <c r="K1445">
        <v>211</v>
      </c>
      <c r="L1445" t="s">
        <v>21</v>
      </c>
      <c r="M1445" s="1">
        <v>45411</v>
      </c>
      <c r="N1445" t="s">
        <v>22</v>
      </c>
      <c r="O1445" t="s">
        <v>31</v>
      </c>
      <c r="P1445" t="str">
        <f t="shared" si="488"/>
        <v>P1444</v>
      </c>
      <c r="Q1445" t="str">
        <f t="shared" si="484"/>
        <v>Cardiology</v>
      </c>
      <c r="R1445">
        <f t="shared" si="485"/>
        <v>9</v>
      </c>
      <c r="S1445" t="str">
        <f t="shared" ca="1" si="489"/>
        <v>No</v>
      </c>
      <c r="T1445" t="str">
        <f t="shared" ca="1" si="490"/>
        <v>Moderate</v>
      </c>
      <c r="U1445" t="str">
        <f t="shared" ca="1" si="491"/>
        <v>Semi-Private</v>
      </c>
      <c r="V1445" t="str">
        <f t="shared" si="492"/>
        <v>BED1444</v>
      </c>
      <c r="W1445" t="str">
        <f t="shared" ca="1" si="493"/>
        <v>Semi-Private</v>
      </c>
      <c r="X1445" t="str">
        <f t="shared" si="494"/>
        <v>NUR044</v>
      </c>
      <c r="Y1445" t="str">
        <f t="shared" ca="1" si="495"/>
        <v>Night</v>
      </c>
      <c r="Z1445" t="str">
        <f t="shared" ca="1" si="496"/>
        <v>Ultrasound</v>
      </c>
      <c r="AA1445" t="str">
        <f t="shared" ca="1" si="497"/>
        <v>Maintenance</v>
      </c>
      <c r="AB1445" t="str">
        <f t="shared" ca="1" si="498"/>
        <v>Pending</v>
      </c>
      <c r="AC1445" t="str">
        <f t="shared" ca="1" si="499"/>
        <v>Credit Card</v>
      </c>
      <c r="AD1445" t="str">
        <f t="shared" ca="1" si="500"/>
        <v>No</v>
      </c>
      <c r="AE1445" t="str">
        <f t="shared" ca="1" si="501"/>
        <v>No</v>
      </c>
      <c r="AF1445" t="str">
        <f t="shared" ca="1" si="502"/>
        <v>Transferred</v>
      </c>
      <c r="AG1445" t="str">
        <f t="shared" ca="1" si="503"/>
        <v>Southwest</v>
      </c>
      <c r="AH1445" t="str">
        <f t="shared" si="486"/>
        <v>April</v>
      </c>
      <c r="AI1445">
        <f t="shared" si="487"/>
        <v>2024</v>
      </c>
      <c r="AJ1445" t="str">
        <f t="shared" ca="1" si="504"/>
        <v>Occupied</v>
      </c>
      <c r="AK1445">
        <f t="shared" ca="1" si="505"/>
        <v>4</v>
      </c>
    </row>
    <row r="1446" spans="1:37" x14ac:dyDescent="0.3">
      <c r="A1446" t="s">
        <v>5842</v>
      </c>
      <c r="B1446">
        <v>78</v>
      </c>
      <c r="C1446" t="s">
        <v>32</v>
      </c>
      <c r="D1446" t="s">
        <v>38</v>
      </c>
      <c r="E1446" t="s">
        <v>17</v>
      </c>
      <c r="F1446" s="1">
        <v>45250</v>
      </c>
      <c r="G1446" t="s">
        <v>2892</v>
      </c>
      <c r="H1446" t="s">
        <v>2893</v>
      </c>
      <c r="I1446" t="s">
        <v>57</v>
      </c>
      <c r="J1446">
        <v>30659</v>
      </c>
      <c r="K1446">
        <v>179</v>
      </c>
      <c r="L1446" t="s">
        <v>29</v>
      </c>
      <c r="M1446" s="1">
        <v>45270</v>
      </c>
      <c r="N1446" t="s">
        <v>67</v>
      </c>
      <c r="O1446" t="s">
        <v>23</v>
      </c>
      <c r="P1446" t="str">
        <f t="shared" si="488"/>
        <v>P1445</v>
      </c>
      <c r="Q1446" t="str">
        <f t="shared" si="484"/>
        <v>Oncology</v>
      </c>
      <c r="R1446">
        <f t="shared" si="485"/>
        <v>20</v>
      </c>
      <c r="S1446" t="str">
        <f t="shared" ca="1" si="489"/>
        <v>No</v>
      </c>
      <c r="T1446" t="str">
        <f t="shared" ca="1" si="490"/>
        <v>Mild</v>
      </c>
      <c r="U1446" t="str">
        <f t="shared" ca="1" si="491"/>
        <v>General Ward</v>
      </c>
      <c r="V1446" t="str">
        <f t="shared" si="492"/>
        <v>BED1445</v>
      </c>
      <c r="W1446" t="str">
        <f t="shared" ca="1" si="493"/>
        <v>ICU</v>
      </c>
      <c r="X1446" t="str">
        <f t="shared" si="494"/>
        <v>NUR045</v>
      </c>
      <c r="Y1446" t="str">
        <f t="shared" ca="1" si="495"/>
        <v>Evening</v>
      </c>
      <c r="Z1446" t="str">
        <f t="shared" ca="1" si="496"/>
        <v>MRI Scanner</v>
      </c>
      <c r="AA1446" t="str">
        <f t="shared" ca="1" si="497"/>
        <v>Available</v>
      </c>
      <c r="AB1446" t="str">
        <f t="shared" ca="1" si="498"/>
        <v>Paid</v>
      </c>
      <c r="AC1446" t="str">
        <f t="shared" ca="1" si="499"/>
        <v>Debit Card</v>
      </c>
      <c r="AD1446" t="str">
        <f t="shared" ca="1" si="500"/>
        <v>No</v>
      </c>
      <c r="AE1446" t="str">
        <f t="shared" ca="1" si="501"/>
        <v>No</v>
      </c>
      <c r="AF1446" t="str">
        <f t="shared" ca="1" si="502"/>
        <v>Transferred</v>
      </c>
      <c r="AG1446" t="str">
        <f t="shared" ca="1" si="503"/>
        <v>West Coast</v>
      </c>
      <c r="AH1446" t="str">
        <f t="shared" si="486"/>
        <v>November</v>
      </c>
      <c r="AI1446">
        <f t="shared" si="487"/>
        <v>2023</v>
      </c>
      <c r="AJ1446" t="str">
        <f t="shared" ca="1" si="504"/>
        <v>Occupied</v>
      </c>
      <c r="AK1446">
        <f t="shared" ca="1" si="505"/>
        <v>1</v>
      </c>
    </row>
    <row r="1447" spans="1:37" x14ac:dyDescent="0.3">
      <c r="A1447" t="s">
        <v>5843</v>
      </c>
      <c r="B1447">
        <v>42</v>
      </c>
      <c r="C1447" t="s">
        <v>32</v>
      </c>
      <c r="D1447" t="s">
        <v>16</v>
      </c>
      <c r="E1447" t="s">
        <v>76</v>
      </c>
      <c r="F1447" s="1">
        <v>43651</v>
      </c>
      <c r="G1447" t="s">
        <v>2894</v>
      </c>
      <c r="H1447" t="s">
        <v>2895</v>
      </c>
      <c r="I1447" t="s">
        <v>20</v>
      </c>
      <c r="J1447">
        <v>30046</v>
      </c>
      <c r="K1447">
        <v>376</v>
      </c>
      <c r="L1447" t="s">
        <v>29</v>
      </c>
      <c r="M1447" s="1">
        <v>43670</v>
      </c>
      <c r="N1447" t="s">
        <v>37</v>
      </c>
      <c r="O1447" t="s">
        <v>31</v>
      </c>
      <c r="P1447" t="str">
        <f t="shared" si="488"/>
        <v>P1446</v>
      </c>
      <c r="Q1447" t="str">
        <f t="shared" si="484"/>
        <v>Orthopedics</v>
      </c>
      <c r="R1447">
        <f t="shared" si="485"/>
        <v>19</v>
      </c>
      <c r="S1447" t="str">
        <f t="shared" ca="1" si="489"/>
        <v>No</v>
      </c>
      <c r="T1447" t="str">
        <f t="shared" ca="1" si="490"/>
        <v>Mild</v>
      </c>
      <c r="U1447" t="str">
        <f t="shared" ca="1" si="491"/>
        <v>Emergency</v>
      </c>
      <c r="V1447" t="str">
        <f t="shared" si="492"/>
        <v>BED1446</v>
      </c>
      <c r="W1447" t="str">
        <f t="shared" ca="1" si="493"/>
        <v>ICU</v>
      </c>
      <c r="X1447" t="str">
        <f t="shared" si="494"/>
        <v>NUR046</v>
      </c>
      <c r="Y1447" t="str">
        <f t="shared" ca="1" si="495"/>
        <v>Evening</v>
      </c>
      <c r="Z1447" t="str">
        <f t="shared" ca="1" si="496"/>
        <v>ECG Machine</v>
      </c>
      <c r="AA1447" t="str">
        <f t="shared" ca="1" si="497"/>
        <v>Available</v>
      </c>
      <c r="AB1447" t="str">
        <f t="shared" ca="1" si="498"/>
        <v>Pending</v>
      </c>
      <c r="AC1447" t="str">
        <f t="shared" ca="1" si="499"/>
        <v>Credit Card</v>
      </c>
      <c r="AD1447" t="str">
        <f t="shared" ca="1" si="500"/>
        <v>No</v>
      </c>
      <c r="AE1447" t="str">
        <f t="shared" ca="1" si="501"/>
        <v>Yes</v>
      </c>
      <c r="AF1447" t="str">
        <f t="shared" ca="1" si="502"/>
        <v>Transferred</v>
      </c>
      <c r="AG1447" t="str">
        <f t="shared" ca="1" si="503"/>
        <v>West Coast</v>
      </c>
      <c r="AH1447" t="str">
        <f t="shared" si="486"/>
        <v>July</v>
      </c>
      <c r="AI1447">
        <f t="shared" si="487"/>
        <v>2019</v>
      </c>
      <c r="AJ1447" t="str">
        <f t="shared" ca="1" si="504"/>
        <v>Occupied</v>
      </c>
      <c r="AK1447">
        <f t="shared" ca="1" si="505"/>
        <v>4</v>
      </c>
    </row>
    <row r="1448" spans="1:37" x14ac:dyDescent="0.3">
      <c r="A1448" t="s">
        <v>5844</v>
      </c>
      <c r="B1448">
        <v>61</v>
      </c>
      <c r="C1448" t="s">
        <v>32</v>
      </c>
      <c r="D1448" t="s">
        <v>44</v>
      </c>
      <c r="E1448" t="s">
        <v>76</v>
      </c>
      <c r="F1448" s="1">
        <v>43618</v>
      </c>
      <c r="G1448" t="s">
        <v>2896</v>
      </c>
      <c r="H1448" t="s">
        <v>2897</v>
      </c>
      <c r="I1448" t="s">
        <v>51</v>
      </c>
      <c r="J1448">
        <v>42966</v>
      </c>
      <c r="K1448">
        <v>242</v>
      </c>
      <c r="L1448" t="s">
        <v>42</v>
      </c>
      <c r="M1448" s="1">
        <v>43635</v>
      </c>
      <c r="N1448" t="s">
        <v>67</v>
      </c>
      <c r="O1448" t="s">
        <v>31</v>
      </c>
      <c r="P1448" t="str">
        <f t="shared" si="488"/>
        <v>P1447</v>
      </c>
      <c r="Q1448" t="str">
        <f t="shared" si="484"/>
        <v>Orthopedics</v>
      </c>
      <c r="R1448">
        <f t="shared" si="485"/>
        <v>17</v>
      </c>
      <c r="S1448" t="str">
        <f t="shared" ca="1" si="489"/>
        <v>No</v>
      </c>
      <c r="T1448" t="str">
        <f t="shared" ca="1" si="490"/>
        <v>Mild</v>
      </c>
      <c r="U1448" t="str">
        <f t="shared" ca="1" si="491"/>
        <v>Semi-Private</v>
      </c>
      <c r="V1448" t="str">
        <f t="shared" si="492"/>
        <v>BED1447</v>
      </c>
      <c r="W1448" t="str">
        <f t="shared" ca="1" si="493"/>
        <v>General</v>
      </c>
      <c r="X1448" t="str">
        <f t="shared" si="494"/>
        <v>NUR047</v>
      </c>
      <c r="Y1448" t="str">
        <f t="shared" ca="1" si="495"/>
        <v>Morning</v>
      </c>
      <c r="Z1448" t="str">
        <f t="shared" ca="1" si="496"/>
        <v>CT Scanner</v>
      </c>
      <c r="AA1448" t="str">
        <f t="shared" ca="1" si="497"/>
        <v>In Use</v>
      </c>
      <c r="AB1448" t="str">
        <f t="shared" ca="1" si="498"/>
        <v>Pending</v>
      </c>
      <c r="AC1448" t="str">
        <f t="shared" ca="1" si="499"/>
        <v>Insurance</v>
      </c>
      <c r="AD1448" t="str">
        <f t="shared" ca="1" si="500"/>
        <v>Yes</v>
      </c>
      <c r="AE1448" t="str">
        <f t="shared" ca="1" si="501"/>
        <v>No</v>
      </c>
      <c r="AF1448" t="str">
        <f t="shared" ca="1" si="502"/>
        <v>Under Observation</v>
      </c>
      <c r="AG1448" t="str">
        <f t="shared" ca="1" si="503"/>
        <v>West Coast</v>
      </c>
      <c r="AH1448" t="str">
        <f t="shared" si="486"/>
        <v>June</v>
      </c>
      <c r="AI1448">
        <f t="shared" si="487"/>
        <v>2019</v>
      </c>
      <c r="AJ1448" t="str">
        <f t="shared" ca="1" si="504"/>
        <v>Occupied</v>
      </c>
      <c r="AK1448">
        <f t="shared" ca="1" si="505"/>
        <v>2</v>
      </c>
    </row>
    <row r="1449" spans="1:37" x14ac:dyDescent="0.3">
      <c r="A1449" t="s">
        <v>5845</v>
      </c>
      <c r="B1449">
        <v>64</v>
      </c>
      <c r="C1449" t="s">
        <v>15</v>
      </c>
      <c r="D1449" t="s">
        <v>83</v>
      </c>
      <c r="E1449" t="s">
        <v>17</v>
      </c>
      <c r="F1449" s="1">
        <v>43927</v>
      </c>
      <c r="G1449" t="s">
        <v>2898</v>
      </c>
      <c r="H1449" t="s">
        <v>2899</v>
      </c>
      <c r="I1449" t="s">
        <v>36</v>
      </c>
      <c r="J1449">
        <v>49900</v>
      </c>
      <c r="K1449">
        <v>419</v>
      </c>
      <c r="L1449" t="s">
        <v>21</v>
      </c>
      <c r="M1449" s="1">
        <v>43932</v>
      </c>
      <c r="N1449" t="s">
        <v>67</v>
      </c>
      <c r="O1449" t="s">
        <v>23</v>
      </c>
      <c r="P1449" t="str">
        <f t="shared" si="488"/>
        <v>P1448</v>
      </c>
      <c r="Q1449" t="str">
        <f t="shared" si="484"/>
        <v>Oncology</v>
      </c>
      <c r="R1449">
        <f t="shared" si="485"/>
        <v>5</v>
      </c>
      <c r="S1449" t="str">
        <f t="shared" ca="1" si="489"/>
        <v>No</v>
      </c>
      <c r="T1449" t="str">
        <f t="shared" ca="1" si="490"/>
        <v>Moderate</v>
      </c>
      <c r="U1449" t="str">
        <f t="shared" ca="1" si="491"/>
        <v>Emergency</v>
      </c>
      <c r="V1449" t="str">
        <f t="shared" si="492"/>
        <v>BED1448</v>
      </c>
      <c r="W1449" t="str">
        <f t="shared" ca="1" si="493"/>
        <v>ICU</v>
      </c>
      <c r="X1449" t="str">
        <f t="shared" si="494"/>
        <v>NUR048</v>
      </c>
      <c r="Y1449" t="str">
        <f t="shared" ca="1" si="495"/>
        <v>Morning</v>
      </c>
      <c r="Z1449" t="str">
        <f t="shared" ca="1" si="496"/>
        <v>Ultrasound</v>
      </c>
      <c r="AA1449" t="str">
        <f t="shared" ca="1" si="497"/>
        <v>Available</v>
      </c>
      <c r="AB1449" t="str">
        <f t="shared" ca="1" si="498"/>
        <v>Paid</v>
      </c>
      <c r="AC1449" t="str">
        <f t="shared" ca="1" si="499"/>
        <v>Insurance</v>
      </c>
      <c r="AD1449" t="str">
        <f t="shared" ca="1" si="500"/>
        <v>No</v>
      </c>
      <c r="AE1449" t="str">
        <f t="shared" ca="1" si="501"/>
        <v>No</v>
      </c>
      <c r="AF1449" t="str">
        <f t="shared" ca="1" si="502"/>
        <v>Under Observation</v>
      </c>
      <c r="AG1449" t="str">
        <f t="shared" ca="1" si="503"/>
        <v>Southeast</v>
      </c>
      <c r="AH1449" t="str">
        <f t="shared" si="486"/>
        <v>April</v>
      </c>
      <c r="AI1449">
        <f t="shared" si="487"/>
        <v>2020</v>
      </c>
      <c r="AJ1449" t="str">
        <f t="shared" ca="1" si="504"/>
        <v>Occupied</v>
      </c>
      <c r="AK1449">
        <f t="shared" ca="1" si="505"/>
        <v>2</v>
      </c>
    </row>
    <row r="1450" spans="1:37" x14ac:dyDescent="0.3">
      <c r="A1450" t="s">
        <v>5846</v>
      </c>
      <c r="B1450">
        <v>31</v>
      </c>
      <c r="C1450" t="s">
        <v>32</v>
      </c>
      <c r="D1450" t="s">
        <v>33</v>
      </c>
      <c r="E1450" t="s">
        <v>39</v>
      </c>
      <c r="F1450" s="1">
        <v>44656</v>
      </c>
      <c r="G1450" t="s">
        <v>2900</v>
      </c>
      <c r="H1450" t="s">
        <v>2901</v>
      </c>
      <c r="I1450" t="s">
        <v>28</v>
      </c>
      <c r="J1450">
        <v>2924</v>
      </c>
      <c r="K1450">
        <v>396</v>
      </c>
      <c r="L1450" t="s">
        <v>21</v>
      </c>
      <c r="M1450" s="1">
        <v>44663</v>
      </c>
      <c r="N1450" t="s">
        <v>30</v>
      </c>
      <c r="O1450" t="s">
        <v>23</v>
      </c>
      <c r="P1450" t="str">
        <f t="shared" si="488"/>
        <v>P1449</v>
      </c>
      <c r="Q1450" t="str">
        <f t="shared" si="484"/>
        <v>Endocrinology</v>
      </c>
      <c r="R1450">
        <f t="shared" si="485"/>
        <v>7</v>
      </c>
      <c r="S1450" t="str">
        <f t="shared" ca="1" si="489"/>
        <v>Yes</v>
      </c>
      <c r="T1450" t="str">
        <f t="shared" ca="1" si="490"/>
        <v>Moderate</v>
      </c>
      <c r="U1450" t="str">
        <f t="shared" ca="1" si="491"/>
        <v>ICU</v>
      </c>
      <c r="V1450" t="str">
        <f t="shared" si="492"/>
        <v>BED1449</v>
      </c>
      <c r="W1450" t="str">
        <f t="shared" ca="1" si="493"/>
        <v>Semi-Private</v>
      </c>
      <c r="X1450" t="str">
        <f t="shared" si="494"/>
        <v>NUR049</v>
      </c>
      <c r="Y1450" t="str">
        <f t="shared" ca="1" si="495"/>
        <v>Evening</v>
      </c>
      <c r="Z1450" t="str">
        <f t="shared" ca="1" si="496"/>
        <v>X-Ray</v>
      </c>
      <c r="AA1450" t="str">
        <f t="shared" ca="1" si="497"/>
        <v>In Use</v>
      </c>
      <c r="AB1450" t="str">
        <f t="shared" ca="1" si="498"/>
        <v>Paid</v>
      </c>
      <c r="AC1450" t="str">
        <f t="shared" ca="1" si="499"/>
        <v>Insurance</v>
      </c>
      <c r="AD1450" t="str">
        <f t="shared" ca="1" si="500"/>
        <v>No</v>
      </c>
      <c r="AE1450" t="str">
        <f t="shared" ca="1" si="501"/>
        <v>No</v>
      </c>
      <c r="AF1450" t="str">
        <f t="shared" ca="1" si="502"/>
        <v>Recovered</v>
      </c>
      <c r="AG1450" t="str">
        <f t="shared" ca="1" si="503"/>
        <v>Southeast</v>
      </c>
      <c r="AH1450" t="str">
        <f t="shared" si="486"/>
        <v>April</v>
      </c>
      <c r="AI1450">
        <f t="shared" si="487"/>
        <v>2022</v>
      </c>
      <c r="AJ1450" t="str">
        <f t="shared" ca="1" si="504"/>
        <v>Vacant</v>
      </c>
      <c r="AK1450">
        <f t="shared" ca="1" si="505"/>
        <v>1</v>
      </c>
    </row>
    <row r="1451" spans="1:37" x14ac:dyDescent="0.3">
      <c r="A1451" t="s">
        <v>5847</v>
      </c>
      <c r="B1451">
        <v>79</v>
      </c>
      <c r="C1451" t="s">
        <v>15</v>
      </c>
      <c r="D1451" t="s">
        <v>52</v>
      </c>
      <c r="E1451" t="s">
        <v>25</v>
      </c>
      <c r="F1451" s="1">
        <v>43642</v>
      </c>
      <c r="G1451" t="s">
        <v>2902</v>
      </c>
      <c r="H1451" t="s">
        <v>2903</v>
      </c>
      <c r="I1451" t="s">
        <v>57</v>
      </c>
      <c r="J1451">
        <v>12412</v>
      </c>
      <c r="K1451">
        <v>292</v>
      </c>
      <c r="L1451" t="s">
        <v>21</v>
      </c>
      <c r="M1451" s="1">
        <v>43667</v>
      </c>
      <c r="N1451" t="s">
        <v>30</v>
      </c>
      <c r="O1451" t="s">
        <v>31</v>
      </c>
      <c r="P1451" t="str">
        <f t="shared" si="488"/>
        <v>P1450</v>
      </c>
      <c r="Q1451" t="str">
        <f t="shared" si="484"/>
        <v>Nutrition</v>
      </c>
      <c r="R1451">
        <f t="shared" si="485"/>
        <v>25</v>
      </c>
      <c r="S1451" t="str">
        <f t="shared" ca="1" si="489"/>
        <v>No</v>
      </c>
      <c r="T1451" t="str">
        <f t="shared" ca="1" si="490"/>
        <v>Critical</v>
      </c>
      <c r="U1451" t="str">
        <f t="shared" ca="1" si="491"/>
        <v>Emergency</v>
      </c>
      <c r="V1451" t="str">
        <f t="shared" si="492"/>
        <v>BED1450</v>
      </c>
      <c r="W1451" t="str">
        <f t="shared" ca="1" si="493"/>
        <v>General</v>
      </c>
      <c r="X1451" t="str">
        <f t="shared" si="494"/>
        <v>NUR050</v>
      </c>
      <c r="Y1451" t="str">
        <f t="shared" ca="1" si="495"/>
        <v>Evening</v>
      </c>
      <c r="Z1451" t="str">
        <f t="shared" ca="1" si="496"/>
        <v>ECG Machine</v>
      </c>
      <c r="AA1451" t="str">
        <f t="shared" ca="1" si="497"/>
        <v>In Use</v>
      </c>
      <c r="AB1451" t="str">
        <f t="shared" ca="1" si="498"/>
        <v>Pending</v>
      </c>
      <c r="AC1451" t="str">
        <f t="shared" ca="1" si="499"/>
        <v>Cash</v>
      </c>
      <c r="AD1451" t="str">
        <f t="shared" ca="1" si="500"/>
        <v>No</v>
      </c>
      <c r="AE1451" t="str">
        <f t="shared" ca="1" si="501"/>
        <v>No</v>
      </c>
      <c r="AF1451" t="str">
        <f t="shared" ca="1" si="502"/>
        <v>Under Observation</v>
      </c>
      <c r="AG1451" t="str">
        <f t="shared" ca="1" si="503"/>
        <v>West Coast</v>
      </c>
      <c r="AH1451" t="str">
        <f t="shared" si="486"/>
        <v>June</v>
      </c>
      <c r="AI1451">
        <f t="shared" si="487"/>
        <v>2019</v>
      </c>
      <c r="AJ1451" t="str">
        <f t="shared" ca="1" si="504"/>
        <v>Occupied</v>
      </c>
      <c r="AK1451">
        <f t="shared" ca="1" si="505"/>
        <v>2</v>
      </c>
    </row>
    <row r="1452" spans="1:37" x14ac:dyDescent="0.3">
      <c r="A1452" t="s">
        <v>5848</v>
      </c>
      <c r="B1452">
        <v>80</v>
      </c>
      <c r="C1452" t="s">
        <v>15</v>
      </c>
      <c r="D1452" t="s">
        <v>98</v>
      </c>
      <c r="E1452" t="s">
        <v>17</v>
      </c>
      <c r="F1452" s="1">
        <v>45000</v>
      </c>
      <c r="G1452" t="s">
        <v>2904</v>
      </c>
      <c r="H1452" t="s">
        <v>2905</v>
      </c>
      <c r="I1452" t="s">
        <v>20</v>
      </c>
      <c r="J1452">
        <v>752</v>
      </c>
      <c r="K1452">
        <v>361</v>
      </c>
      <c r="L1452" t="s">
        <v>21</v>
      </c>
      <c r="M1452" s="1">
        <v>45030</v>
      </c>
      <c r="N1452" t="s">
        <v>37</v>
      </c>
      <c r="O1452" t="s">
        <v>43</v>
      </c>
      <c r="P1452" t="str">
        <f t="shared" si="488"/>
        <v>P1451</v>
      </c>
      <c r="Q1452" t="str">
        <f t="shared" si="484"/>
        <v>Oncology</v>
      </c>
      <c r="R1452">
        <f t="shared" si="485"/>
        <v>30</v>
      </c>
      <c r="S1452" t="str">
        <f t="shared" ca="1" si="489"/>
        <v>No</v>
      </c>
      <c r="T1452" t="str">
        <f t="shared" ca="1" si="490"/>
        <v>Mild</v>
      </c>
      <c r="U1452" t="str">
        <f t="shared" ca="1" si="491"/>
        <v>General Ward</v>
      </c>
      <c r="V1452" t="str">
        <f t="shared" si="492"/>
        <v>BED1451</v>
      </c>
      <c r="W1452" t="str">
        <f t="shared" ca="1" si="493"/>
        <v>Semi-Private</v>
      </c>
      <c r="X1452" t="str">
        <f t="shared" si="494"/>
        <v>NUR001</v>
      </c>
      <c r="Y1452" t="str">
        <f t="shared" ca="1" si="495"/>
        <v>Morning</v>
      </c>
      <c r="Z1452" t="str">
        <f t="shared" ca="1" si="496"/>
        <v>Ventilator</v>
      </c>
      <c r="AA1452" t="str">
        <f t="shared" ca="1" si="497"/>
        <v>In Use</v>
      </c>
      <c r="AB1452" t="str">
        <f t="shared" ca="1" si="498"/>
        <v>Paid</v>
      </c>
      <c r="AC1452" t="str">
        <f t="shared" ca="1" si="499"/>
        <v>Bank Transfer</v>
      </c>
      <c r="AD1452" t="str">
        <f t="shared" ca="1" si="500"/>
        <v>No</v>
      </c>
      <c r="AE1452" t="str">
        <f t="shared" ca="1" si="501"/>
        <v>No</v>
      </c>
      <c r="AF1452" t="str">
        <f t="shared" ca="1" si="502"/>
        <v>Recovered</v>
      </c>
      <c r="AG1452" t="str">
        <f t="shared" ca="1" si="503"/>
        <v>Southwest</v>
      </c>
      <c r="AH1452" t="str">
        <f t="shared" si="486"/>
        <v>March</v>
      </c>
      <c r="AI1452">
        <f t="shared" si="487"/>
        <v>2023</v>
      </c>
      <c r="AJ1452" t="str">
        <f t="shared" ca="1" si="504"/>
        <v>Occupied</v>
      </c>
      <c r="AK1452">
        <f t="shared" ca="1" si="505"/>
        <v>1</v>
      </c>
    </row>
    <row r="1453" spans="1:37" x14ac:dyDescent="0.3">
      <c r="A1453" t="s">
        <v>5849</v>
      </c>
      <c r="B1453">
        <v>83</v>
      </c>
      <c r="C1453" t="s">
        <v>15</v>
      </c>
      <c r="D1453" t="s">
        <v>52</v>
      </c>
      <c r="E1453" t="s">
        <v>64</v>
      </c>
      <c r="F1453" s="1">
        <v>44799</v>
      </c>
      <c r="G1453" t="s">
        <v>2906</v>
      </c>
      <c r="H1453" t="s">
        <v>2907</v>
      </c>
      <c r="I1453" t="s">
        <v>20</v>
      </c>
      <c r="J1453">
        <v>26023</v>
      </c>
      <c r="K1453">
        <v>260</v>
      </c>
      <c r="L1453" t="s">
        <v>42</v>
      </c>
      <c r="M1453" s="1">
        <v>44809</v>
      </c>
      <c r="N1453" t="s">
        <v>22</v>
      </c>
      <c r="O1453" t="s">
        <v>43</v>
      </c>
      <c r="P1453" t="str">
        <f t="shared" si="488"/>
        <v>P1452</v>
      </c>
      <c r="Q1453" t="str">
        <f t="shared" si="484"/>
        <v>Cardiology</v>
      </c>
      <c r="R1453">
        <f t="shared" si="485"/>
        <v>10</v>
      </c>
      <c r="S1453" t="str">
        <f t="shared" ca="1" si="489"/>
        <v>No</v>
      </c>
      <c r="T1453" t="str">
        <f t="shared" ca="1" si="490"/>
        <v>Critical</v>
      </c>
      <c r="U1453" t="str">
        <f t="shared" ca="1" si="491"/>
        <v>Private Ward</v>
      </c>
      <c r="V1453" t="str">
        <f t="shared" si="492"/>
        <v>BED1452</v>
      </c>
      <c r="W1453" t="str">
        <f t="shared" ca="1" si="493"/>
        <v>Private</v>
      </c>
      <c r="X1453" t="str">
        <f t="shared" si="494"/>
        <v>NUR002</v>
      </c>
      <c r="Y1453" t="str">
        <f t="shared" ca="1" si="495"/>
        <v>Evening</v>
      </c>
      <c r="Z1453" t="str">
        <f t="shared" ca="1" si="496"/>
        <v>ECG Machine</v>
      </c>
      <c r="AA1453" t="str">
        <f t="shared" ca="1" si="497"/>
        <v>In Use</v>
      </c>
      <c r="AB1453" t="str">
        <f t="shared" ca="1" si="498"/>
        <v>Paid</v>
      </c>
      <c r="AC1453" t="str">
        <f t="shared" ca="1" si="499"/>
        <v>Cash</v>
      </c>
      <c r="AD1453" t="str">
        <f t="shared" ca="1" si="500"/>
        <v>No</v>
      </c>
      <c r="AE1453" t="str">
        <f t="shared" ca="1" si="501"/>
        <v>No</v>
      </c>
      <c r="AF1453" t="str">
        <f t="shared" ca="1" si="502"/>
        <v>Recovered</v>
      </c>
      <c r="AG1453" t="str">
        <f t="shared" ca="1" si="503"/>
        <v>West Coast</v>
      </c>
      <c r="AH1453" t="str">
        <f t="shared" si="486"/>
        <v>August</v>
      </c>
      <c r="AI1453">
        <f t="shared" si="487"/>
        <v>2022</v>
      </c>
      <c r="AJ1453" t="str">
        <f t="shared" ca="1" si="504"/>
        <v>Occupied</v>
      </c>
      <c r="AK1453">
        <f t="shared" ca="1" si="505"/>
        <v>4</v>
      </c>
    </row>
    <row r="1454" spans="1:37" x14ac:dyDescent="0.3">
      <c r="A1454" t="s">
        <v>5850</v>
      </c>
      <c r="B1454">
        <v>27</v>
      </c>
      <c r="C1454" t="s">
        <v>15</v>
      </c>
      <c r="D1454" t="s">
        <v>83</v>
      </c>
      <c r="E1454" t="s">
        <v>64</v>
      </c>
      <c r="F1454" s="1">
        <v>43867</v>
      </c>
      <c r="G1454" t="s">
        <v>2908</v>
      </c>
      <c r="H1454" t="s">
        <v>2909</v>
      </c>
      <c r="I1454" t="s">
        <v>51</v>
      </c>
      <c r="J1454">
        <v>14918</v>
      </c>
      <c r="K1454">
        <v>167</v>
      </c>
      <c r="L1454" t="s">
        <v>42</v>
      </c>
      <c r="M1454" s="1">
        <v>43879</v>
      </c>
      <c r="N1454" t="s">
        <v>47</v>
      </c>
      <c r="O1454" t="s">
        <v>43</v>
      </c>
      <c r="P1454" t="str">
        <f t="shared" si="488"/>
        <v>P1453</v>
      </c>
      <c r="Q1454" t="str">
        <f t="shared" si="484"/>
        <v>Cardiology</v>
      </c>
      <c r="R1454">
        <f t="shared" si="485"/>
        <v>12</v>
      </c>
      <c r="S1454" t="str">
        <f t="shared" ca="1" si="489"/>
        <v>No</v>
      </c>
      <c r="T1454" t="str">
        <f t="shared" ca="1" si="490"/>
        <v>Severe</v>
      </c>
      <c r="U1454" t="str">
        <f t="shared" ca="1" si="491"/>
        <v>Private Ward</v>
      </c>
      <c r="V1454" t="str">
        <f t="shared" si="492"/>
        <v>BED1453</v>
      </c>
      <c r="W1454" t="str">
        <f t="shared" ca="1" si="493"/>
        <v>ICU</v>
      </c>
      <c r="X1454" t="str">
        <f t="shared" si="494"/>
        <v>NUR003</v>
      </c>
      <c r="Y1454" t="str">
        <f t="shared" ca="1" si="495"/>
        <v>Night</v>
      </c>
      <c r="Z1454" t="str">
        <f t="shared" ca="1" si="496"/>
        <v>Ventilator</v>
      </c>
      <c r="AA1454" t="str">
        <f t="shared" ca="1" si="497"/>
        <v>Available</v>
      </c>
      <c r="AB1454" t="str">
        <f t="shared" ca="1" si="498"/>
        <v>Paid</v>
      </c>
      <c r="AC1454" t="str">
        <f t="shared" ca="1" si="499"/>
        <v>Credit Card</v>
      </c>
      <c r="AD1454" t="str">
        <f t="shared" ca="1" si="500"/>
        <v>No</v>
      </c>
      <c r="AE1454" t="str">
        <f t="shared" ca="1" si="501"/>
        <v>No</v>
      </c>
      <c r="AF1454" t="str">
        <f t="shared" ca="1" si="502"/>
        <v>Transferred</v>
      </c>
      <c r="AG1454" t="str">
        <f t="shared" ca="1" si="503"/>
        <v>Southeast</v>
      </c>
      <c r="AH1454" t="str">
        <f t="shared" si="486"/>
        <v>February</v>
      </c>
      <c r="AI1454">
        <f t="shared" si="487"/>
        <v>2020</v>
      </c>
      <c r="AJ1454" t="str">
        <f t="shared" ca="1" si="504"/>
        <v>Occupied</v>
      </c>
      <c r="AK1454">
        <f t="shared" ca="1" si="505"/>
        <v>4</v>
      </c>
    </row>
    <row r="1455" spans="1:37" x14ac:dyDescent="0.3">
      <c r="A1455" t="s">
        <v>5851</v>
      </c>
      <c r="B1455">
        <v>30</v>
      </c>
      <c r="C1455" t="s">
        <v>32</v>
      </c>
      <c r="D1455" t="s">
        <v>16</v>
      </c>
      <c r="E1455" t="s">
        <v>48</v>
      </c>
      <c r="F1455" s="1">
        <v>45370</v>
      </c>
      <c r="G1455" t="s">
        <v>2910</v>
      </c>
      <c r="H1455" t="s">
        <v>2090</v>
      </c>
      <c r="I1455" t="s">
        <v>36</v>
      </c>
      <c r="J1455">
        <v>43838</v>
      </c>
      <c r="K1455">
        <v>386</v>
      </c>
      <c r="L1455" t="s">
        <v>42</v>
      </c>
      <c r="M1455" s="1">
        <v>45377</v>
      </c>
      <c r="N1455" t="s">
        <v>37</v>
      </c>
      <c r="O1455" t="s">
        <v>43</v>
      </c>
      <c r="P1455" t="str">
        <f t="shared" si="488"/>
        <v>P1454</v>
      </c>
      <c r="Q1455" t="str">
        <f t="shared" si="484"/>
        <v>Pulmonology</v>
      </c>
      <c r="R1455">
        <f t="shared" si="485"/>
        <v>7</v>
      </c>
      <c r="S1455" t="str">
        <f t="shared" ca="1" si="489"/>
        <v>No</v>
      </c>
      <c r="T1455" t="str">
        <f t="shared" ca="1" si="490"/>
        <v>Severe</v>
      </c>
      <c r="U1455" t="str">
        <f t="shared" ca="1" si="491"/>
        <v>Emergency</v>
      </c>
      <c r="V1455" t="str">
        <f t="shared" si="492"/>
        <v>BED1454</v>
      </c>
      <c r="W1455" t="str">
        <f t="shared" ca="1" si="493"/>
        <v>Semi-Private</v>
      </c>
      <c r="X1455" t="str">
        <f t="shared" si="494"/>
        <v>NUR004</v>
      </c>
      <c r="Y1455" t="str">
        <f t="shared" ca="1" si="495"/>
        <v>Evening</v>
      </c>
      <c r="Z1455" t="str">
        <f t="shared" ca="1" si="496"/>
        <v>ECG Machine</v>
      </c>
      <c r="AA1455" t="str">
        <f t="shared" ca="1" si="497"/>
        <v>In Use</v>
      </c>
      <c r="AB1455" t="str">
        <f t="shared" ca="1" si="498"/>
        <v>Partially Paid</v>
      </c>
      <c r="AC1455" t="str">
        <f t="shared" ca="1" si="499"/>
        <v>Insurance</v>
      </c>
      <c r="AD1455" t="str">
        <f t="shared" ca="1" si="500"/>
        <v>No</v>
      </c>
      <c r="AE1455" t="str">
        <f t="shared" ca="1" si="501"/>
        <v>No</v>
      </c>
      <c r="AF1455" t="str">
        <f t="shared" ca="1" si="502"/>
        <v>Recovered</v>
      </c>
      <c r="AG1455" t="str">
        <f t="shared" ca="1" si="503"/>
        <v>Northeast</v>
      </c>
      <c r="AH1455" t="str">
        <f t="shared" si="486"/>
        <v>March</v>
      </c>
      <c r="AI1455">
        <f t="shared" si="487"/>
        <v>2024</v>
      </c>
      <c r="AJ1455" t="str">
        <f t="shared" ca="1" si="504"/>
        <v>Occupied</v>
      </c>
      <c r="AK1455">
        <f t="shared" ca="1" si="505"/>
        <v>1</v>
      </c>
    </row>
    <row r="1456" spans="1:37" x14ac:dyDescent="0.3">
      <c r="A1456" t="s">
        <v>5852</v>
      </c>
      <c r="B1456">
        <v>39</v>
      </c>
      <c r="C1456" t="s">
        <v>15</v>
      </c>
      <c r="D1456" t="s">
        <v>52</v>
      </c>
      <c r="E1456" t="s">
        <v>25</v>
      </c>
      <c r="F1456" s="1">
        <v>44749</v>
      </c>
      <c r="G1456" t="s">
        <v>421</v>
      </c>
      <c r="H1456" t="s">
        <v>2911</v>
      </c>
      <c r="I1456" t="s">
        <v>57</v>
      </c>
      <c r="J1456">
        <v>38137</v>
      </c>
      <c r="K1456">
        <v>246</v>
      </c>
      <c r="L1456" t="s">
        <v>42</v>
      </c>
      <c r="M1456" s="1">
        <v>44756</v>
      </c>
      <c r="N1456" t="s">
        <v>47</v>
      </c>
      <c r="O1456" t="s">
        <v>43</v>
      </c>
      <c r="P1456" t="str">
        <f t="shared" si="488"/>
        <v>P1455</v>
      </c>
      <c r="Q1456" t="str">
        <f t="shared" si="484"/>
        <v>Nutrition</v>
      </c>
      <c r="R1456">
        <f t="shared" si="485"/>
        <v>7</v>
      </c>
      <c r="S1456" t="str">
        <f t="shared" ca="1" si="489"/>
        <v>No</v>
      </c>
      <c r="T1456" t="str">
        <f t="shared" ca="1" si="490"/>
        <v>Mild</v>
      </c>
      <c r="U1456" t="str">
        <f t="shared" ca="1" si="491"/>
        <v>General Ward</v>
      </c>
      <c r="V1456" t="str">
        <f t="shared" si="492"/>
        <v>BED1455</v>
      </c>
      <c r="W1456" t="str">
        <f t="shared" ca="1" si="493"/>
        <v>ICU</v>
      </c>
      <c r="X1456" t="str">
        <f t="shared" si="494"/>
        <v>NUR005</v>
      </c>
      <c r="Y1456" t="str">
        <f t="shared" ca="1" si="495"/>
        <v>Morning</v>
      </c>
      <c r="Z1456" t="str">
        <f t="shared" ca="1" si="496"/>
        <v>X-Ray</v>
      </c>
      <c r="AA1456" t="str">
        <f t="shared" ca="1" si="497"/>
        <v>Available</v>
      </c>
      <c r="AB1456" t="str">
        <f t="shared" ca="1" si="498"/>
        <v>Paid</v>
      </c>
      <c r="AC1456" t="str">
        <f t="shared" ca="1" si="499"/>
        <v>Cash</v>
      </c>
      <c r="AD1456" t="str">
        <f t="shared" ca="1" si="500"/>
        <v>No</v>
      </c>
      <c r="AE1456" t="str">
        <f t="shared" ca="1" si="501"/>
        <v>No</v>
      </c>
      <c r="AF1456" t="str">
        <f t="shared" ca="1" si="502"/>
        <v>Under Observation</v>
      </c>
      <c r="AG1456" t="str">
        <f t="shared" ca="1" si="503"/>
        <v>Midwest</v>
      </c>
      <c r="AH1456" t="str">
        <f t="shared" si="486"/>
        <v>July</v>
      </c>
      <c r="AI1456">
        <f t="shared" si="487"/>
        <v>2022</v>
      </c>
      <c r="AJ1456" t="str">
        <f t="shared" ca="1" si="504"/>
        <v>Occupied</v>
      </c>
      <c r="AK1456">
        <f t="shared" ca="1" si="505"/>
        <v>4</v>
      </c>
    </row>
    <row r="1457" spans="1:37" x14ac:dyDescent="0.3">
      <c r="A1457" t="s">
        <v>5853</v>
      </c>
      <c r="B1457">
        <v>41</v>
      </c>
      <c r="C1457" t="s">
        <v>15</v>
      </c>
      <c r="D1457" t="s">
        <v>44</v>
      </c>
      <c r="E1457" t="s">
        <v>39</v>
      </c>
      <c r="F1457" s="1">
        <v>45310</v>
      </c>
      <c r="G1457" t="s">
        <v>2912</v>
      </c>
      <c r="H1457" t="s">
        <v>2913</v>
      </c>
      <c r="I1457" t="s">
        <v>28</v>
      </c>
      <c r="J1457">
        <v>48414</v>
      </c>
      <c r="K1457">
        <v>293</v>
      </c>
      <c r="L1457" t="s">
        <v>29</v>
      </c>
      <c r="M1457" s="1">
        <v>45330</v>
      </c>
      <c r="N1457" t="s">
        <v>30</v>
      </c>
      <c r="O1457" t="s">
        <v>31</v>
      </c>
      <c r="P1457" t="str">
        <f t="shared" si="488"/>
        <v>P1456</v>
      </c>
      <c r="Q1457" t="str">
        <f t="shared" si="484"/>
        <v>Endocrinology</v>
      </c>
      <c r="R1457">
        <f t="shared" si="485"/>
        <v>20</v>
      </c>
      <c r="S1457" t="str">
        <f t="shared" ca="1" si="489"/>
        <v>No</v>
      </c>
      <c r="T1457" t="str">
        <f t="shared" ca="1" si="490"/>
        <v>Critical</v>
      </c>
      <c r="U1457" t="str">
        <f t="shared" ca="1" si="491"/>
        <v>Semi-Private</v>
      </c>
      <c r="V1457" t="str">
        <f t="shared" si="492"/>
        <v>BED1456</v>
      </c>
      <c r="W1457" t="str">
        <f t="shared" ca="1" si="493"/>
        <v>ICU</v>
      </c>
      <c r="X1457" t="str">
        <f t="shared" si="494"/>
        <v>NUR006</v>
      </c>
      <c r="Y1457" t="str">
        <f t="shared" ca="1" si="495"/>
        <v>Evening</v>
      </c>
      <c r="Z1457" t="str">
        <f t="shared" ca="1" si="496"/>
        <v>ECG Machine</v>
      </c>
      <c r="AA1457" t="str">
        <f t="shared" ca="1" si="497"/>
        <v>Maintenance</v>
      </c>
      <c r="AB1457" t="str">
        <f t="shared" ca="1" si="498"/>
        <v>Partially Paid</v>
      </c>
      <c r="AC1457" t="str">
        <f t="shared" ca="1" si="499"/>
        <v>Credit Card</v>
      </c>
      <c r="AD1457" t="str">
        <f t="shared" ca="1" si="500"/>
        <v>No</v>
      </c>
      <c r="AE1457" t="str">
        <f t="shared" ca="1" si="501"/>
        <v>Yes</v>
      </c>
      <c r="AF1457" t="str">
        <f t="shared" ca="1" si="502"/>
        <v>Recovered</v>
      </c>
      <c r="AG1457" t="str">
        <f t="shared" ca="1" si="503"/>
        <v>Southwest</v>
      </c>
      <c r="AH1457" t="str">
        <f t="shared" si="486"/>
        <v>January</v>
      </c>
      <c r="AI1457">
        <f t="shared" si="487"/>
        <v>2024</v>
      </c>
      <c r="AJ1457" t="str">
        <f t="shared" ca="1" si="504"/>
        <v>Occupied</v>
      </c>
      <c r="AK1457">
        <f t="shared" ca="1" si="505"/>
        <v>1</v>
      </c>
    </row>
    <row r="1458" spans="1:37" x14ac:dyDescent="0.3">
      <c r="A1458" t="s">
        <v>5854</v>
      </c>
      <c r="B1458">
        <v>78</v>
      </c>
      <c r="C1458" t="s">
        <v>32</v>
      </c>
      <c r="D1458" t="s">
        <v>33</v>
      </c>
      <c r="E1458" t="s">
        <v>39</v>
      </c>
      <c r="F1458" s="1">
        <v>44574</v>
      </c>
      <c r="G1458" t="s">
        <v>2914</v>
      </c>
      <c r="H1458" t="s">
        <v>2915</v>
      </c>
      <c r="I1458" t="s">
        <v>20</v>
      </c>
      <c r="J1458">
        <v>37670</v>
      </c>
      <c r="K1458">
        <v>452</v>
      </c>
      <c r="L1458" t="s">
        <v>29</v>
      </c>
      <c r="M1458" s="1">
        <v>44595</v>
      </c>
      <c r="N1458" t="s">
        <v>37</v>
      </c>
      <c r="O1458" t="s">
        <v>23</v>
      </c>
      <c r="P1458" t="str">
        <f t="shared" si="488"/>
        <v>P1457</v>
      </c>
      <c r="Q1458" t="str">
        <f t="shared" si="484"/>
        <v>Endocrinology</v>
      </c>
      <c r="R1458">
        <f t="shared" si="485"/>
        <v>21</v>
      </c>
      <c r="S1458" t="str">
        <f t="shared" ca="1" si="489"/>
        <v>No</v>
      </c>
      <c r="T1458" t="str">
        <f t="shared" ca="1" si="490"/>
        <v>Critical</v>
      </c>
      <c r="U1458" t="str">
        <f t="shared" ca="1" si="491"/>
        <v>Semi-Private</v>
      </c>
      <c r="V1458" t="str">
        <f t="shared" si="492"/>
        <v>BED1457</v>
      </c>
      <c r="W1458" t="str">
        <f t="shared" ca="1" si="493"/>
        <v>General</v>
      </c>
      <c r="X1458" t="str">
        <f t="shared" si="494"/>
        <v>NUR007</v>
      </c>
      <c r="Y1458" t="str">
        <f t="shared" ca="1" si="495"/>
        <v>Morning</v>
      </c>
      <c r="Z1458" t="str">
        <f t="shared" ca="1" si="496"/>
        <v>CT Scanner</v>
      </c>
      <c r="AA1458" t="str">
        <f t="shared" ca="1" si="497"/>
        <v>Maintenance</v>
      </c>
      <c r="AB1458" t="str">
        <f t="shared" ca="1" si="498"/>
        <v>Paid</v>
      </c>
      <c r="AC1458" t="str">
        <f t="shared" ca="1" si="499"/>
        <v>Insurance</v>
      </c>
      <c r="AD1458" t="str">
        <f t="shared" ca="1" si="500"/>
        <v>Yes</v>
      </c>
      <c r="AE1458" t="str">
        <f t="shared" ca="1" si="501"/>
        <v>No</v>
      </c>
      <c r="AF1458" t="str">
        <f t="shared" ca="1" si="502"/>
        <v>Recovered</v>
      </c>
      <c r="AG1458" t="str">
        <f t="shared" ca="1" si="503"/>
        <v>Southeast</v>
      </c>
      <c r="AH1458" t="str">
        <f t="shared" si="486"/>
        <v>January</v>
      </c>
      <c r="AI1458">
        <f t="shared" si="487"/>
        <v>2022</v>
      </c>
      <c r="AJ1458" t="str">
        <f t="shared" ca="1" si="504"/>
        <v>Occupied</v>
      </c>
      <c r="AK1458">
        <f t="shared" ca="1" si="505"/>
        <v>2</v>
      </c>
    </row>
    <row r="1459" spans="1:37" x14ac:dyDescent="0.3">
      <c r="A1459" t="s">
        <v>5855</v>
      </c>
      <c r="B1459">
        <v>25</v>
      </c>
      <c r="C1459" t="s">
        <v>15</v>
      </c>
      <c r="D1459" t="s">
        <v>16</v>
      </c>
      <c r="E1459" t="s">
        <v>17</v>
      </c>
      <c r="F1459" s="1">
        <v>43947</v>
      </c>
      <c r="G1459" t="s">
        <v>2916</v>
      </c>
      <c r="H1459" t="s">
        <v>2917</v>
      </c>
      <c r="I1459" t="s">
        <v>28</v>
      </c>
      <c r="J1459">
        <v>34789</v>
      </c>
      <c r="K1459">
        <v>406</v>
      </c>
      <c r="L1459" t="s">
        <v>29</v>
      </c>
      <c r="M1459" s="1">
        <v>43949</v>
      </c>
      <c r="N1459" t="s">
        <v>22</v>
      </c>
      <c r="O1459" t="s">
        <v>23</v>
      </c>
      <c r="P1459" t="str">
        <f t="shared" si="488"/>
        <v>P1458</v>
      </c>
      <c r="Q1459" t="str">
        <f t="shared" si="484"/>
        <v>Oncology</v>
      </c>
      <c r="R1459">
        <f t="shared" si="485"/>
        <v>2</v>
      </c>
      <c r="S1459" t="str">
        <f t="shared" ca="1" si="489"/>
        <v>No</v>
      </c>
      <c r="T1459" t="str">
        <f t="shared" ca="1" si="490"/>
        <v>Moderate</v>
      </c>
      <c r="U1459" t="str">
        <f t="shared" ca="1" si="491"/>
        <v>General Ward</v>
      </c>
      <c r="V1459" t="str">
        <f t="shared" si="492"/>
        <v>BED1458</v>
      </c>
      <c r="W1459" t="str">
        <f t="shared" ca="1" si="493"/>
        <v>Private</v>
      </c>
      <c r="X1459" t="str">
        <f t="shared" si="494"/>
        <v>NUR008</v>
      </c>
      <c r="Y1459" t="str">
        <f t="shared" ca="1" si="495"/>
        <v>Morning</v>
      </c>
      <c r="Z1459" t="str">
        <f t="shared" ca="1" si="496"/>
        <v>ECG Machine</v>
      </c>
      <c r="AA1459" t="str">
        <f t="shared" ca="1" si="497"/>
        <v>Maintenance</v>
      </c>
      <c r="AB1459" t="str">
        <f t="shared" ca="1" si="498"/>
        <v>Partially Paid</v>
      </c>
      <c r="AC1459" t="str">
        <f t="shared" ca="1" si="499"/>
        <v>Debit Card</v>
      </c>
      <c r="AD1459" t="str">
        <f t="shared" ca="1" si="500"/>
        <v>Yes</v>
      </c>
      <c r="AE1459" t="str">
        <f t="shared" ca="1" si="501"/>
        <v>No</v>
      </c>
      <c r="AF1459" t="str">
        <f t="shared" ca="1" si="502"/>
        <v>Recovered</v>
      </c>
      <c r="AG1459" t="str">
        <f t="shared" ca="1" si="503"/>
        <v>Midwest</v>
      </c>
      <c r="AH1459" t="str">
        <f t="shared" si="486"/>
        <v>April</v>
      </c>
      <c r="AI1459">
        <f t="shared" si="487"/>
        <v>2020</v>
      </c>
      <c r="AJ1459" t="str">
        <f t="shared" ca="1" si="504"/>
        <v>Occupied</v>
      </c>
      <c r="AK1459">
        <f t="shared" ca="1" si="505"/>
        <v>2</v>
      </c>
    </row>
    <row r="1460" spans="1:37" x14ac:dyDescent="0.3">
      <c r="A1460" t="s">
        <v>5856</v>
      </c>
      <c r="B1460">
        <v>53</v>
      </c>
      <c r="C1460" t="s">
        <v>15</v>
      </c>
      <c r="D1460" t="s">
        <v>44</v>
      </c>
      <c r="E1460" t="s">
        <v>48</v>
      </c>
      <c r="F1460" s="1">
        <v>45281</v>
      </c>
      <c r="G1460" t="s">
        <v>2918</v>
      </c>
      <c r="H1460" t="s">
        <v>2919</v>
      </c>
      <c r="I1460" t="s">
        <v>57</v>
      </c>
      <c r="J1460">
        <v>13907</v>
      </c>
      <c r="K1460">
        <v>413</v>
      </c>
      <c r="L1460" t="s">
        <v>42</v>
      </c>
      <c r="M1460" s="1">
        <v>45311</v>
      </c>
      <c r="N1460" t="s">
        <v>37</v>
      </c>
      <c r="O1460" t="s">
        <v>43</v>
      </c>
      <c r="P1460" t="str">
        <f t="shared" si="488"/>
        <v>P1459</v>
      </c>
      <c r="Q1460" t="str">
        <f t="shared" si="484"/>
        <v>Pulmonology</v>
      </c>
      <c r="R1460">
        <f t="shared" si="485"/>
        <v>30</v>
      </c>
      <c r="S1460" t="str">
        <f t="shared" ca="1" si="489"/>
        <v>No</v>
      </c>
      <c r="T1460" t="str">
        <f t="shared" ca="1" si="490"/>
        <v>Moderate</v>
      </c>
      <c r="U1460" t="str">
        <f t="shared" ca="1" si="491"/>
        <v>Private Ward</v>
      </c>
      <c r="V1460" t="str">
        <f t="shared" si="492"/>
        <v>BED1459</v>
      </c>
      <c r="W1460" t="str">
        <f t="shared" ca="1" si="493"/>
        <v>Semi-Private</v>
      </c>
      <c r="X1460" t="str">
        <f t="shared" si="494"/>
        <v>NUR009</v>
      </c>
      <c r="Y1460" t="str">
        <f t="shared" ca="1" si="495"/>
        <v>Night</v>
      </c>
      <c r="Z1460" t="str">
        <f t="shared" ca="1" si="496"/>
        <v>X-Ray</v>
      </c>
      <c r="AA1460" t="str">
        <f t="shared" ca="1" si="497"/>
        <v>In Use</v>
      </c>
      <c r="AB1460" t="str">
        <f t="shared" ca="1" si="498"/>
        <v>Partially Paid</v>
      </c>
      <c r="AC1460" t="str">
        <f t="shared" ca="1" si="499"/>
        <v>Bank Transfer</v>
      </c>
      <c r="AD1460" t="str">
        <f t="shared" ca="1" si="500"/>
        <v>No</v>
      </c>
      <c r="AE1460" t="str">
        <f t="shared" ca="1" si="501"/>
        <v>No</v>
      </c>
      <c r="AF1460" t="str">
        <f t="shared" ca="1" si="502"/>
        <v>Transferred</v>
      </c>
      <c r="AG1460" t="str">
        <f t="shared" ca="1" si="503"/>
        <v>Southeast</v>
      </c>
      <c r="AH1460" t="str">
        <f t="shared" si="486"/>
        <v>December</v>
      </c>
      <c r="AI1460">
        <f t="shared" si="487"/>
        <v>2023</v>
      </c>
      <c r="AJ1460" t="str">
        <f t="shared" ca="1" si="504"/>
        <v>Vacant</v>
      </c>
      <c r="AK1460">
        <f t="shared" ca="1" si="505"/>
        <v>4</v>
      </c>
    </row>
    <row r="1461" spans="1:37" x14ac:dyDescent="0.3">
      <c r="A1461" t="s">
        <v>5857</v>
      </c>
      <c r="B1461">
        <v>22</v>
      </c>
      <c r="C1461" t="s">
        <v>32</v>
      </c>
      <c r="D1461" t="s">
        <v>44</v>
      </c>
      <c r="E1461" t="s">
        <v>64</v>
      </c>
      <c r="F1461" s="1">
        <v>43834</v>
      </c>
      <c r="G1461" t="s">
        <v>2920</v>
      </c>
      <c r="H1461" t="s">
        <v>2921</v>
      </c>
      <c r="I1461" t="s">
        <v>51</v>
      </c>
      <c r="J1461">
        <v>41271</v>
      </c>
      <c r="K1461">
        <v>162</v>
      </c>
      <c r="L1461" t="s">
        <v>29</v>
      </c>
      <c r="M1461" s="1">
        <v>43849</v>
      </c>
      <c r="N1461" t="s">
        <v>22</v>
      </c>
      <c r="O1461" t="s">
        <v>31</v>
      </c>
      <c r="P1461" t="str">
        <f t="shared" si="488"/>
        <v>P1460</v>
      </c>
      <c r="Q1461" t="str">
        <f t="shared" si="484"/>
        <v>Cardiology</v>
      </c>
      <c r="R1461">
        <f t="shared" si="485"/>
        <v>15</v>
      </c>
      <c r="S1461" t="str">
        <f t="shared" ca="1" si="489"/>
        <v>No</v>
      </c>
      <c r="T1461" t="str">
        <f t="shared" ca="1" si="490"/>
        <v>Mild</v>
      </c>
      <c r="U1461" t="str">
        <f t="shared" ca="1" si="491"/>
        <v>General Ward</v>
      </c>
      <c r="V1461" t="str">
        <f t="shared" si="492"/>
        <v>BED1460</v>
      </c>
      <c r="W1461" t="str">
        <f t="shared" ca="1" si="493"/>
        <v>Private</v>
      </c>
      <c r="X1461" t="str">
        <f t="shared" si="494"/>
        <v>NUR010</v>
      </c>
      <c r="Y1461" t="str">
        <f t="shared" ca="1" si="495"/>
        <v>Evening</v>
      </c>
      <c r="Z1461" t="str">
        <f t="shared" ca="1" si="496"/>
        <v>CT Scanner</v>
      </c>
      <c r="AA1461" t="str">
        <f t="shared" ca="1" si="497"/>
        <v>Available</v>
      </c>
      <c r="AB1461" t="str">
        <f t="shared" ca="1" si="498"/>
        <v>Paid</v>
      </c>
      <c r="AC1461" t="str">
        <f t="shared" ca="1" si="499"/>
        <v>Bank Transfer</v>
      </c>
      <c r="AD1461" t="str">
        <f t="shared" ca="1" si="500"/>
        <v>No</v>
      </c>
      <c r="AE1461" t="str">
        <f t="shared" ca="1" si="501"/>
        <v>Yes</v>
      </c>
      <c r="AF1461" t="str">
        <f t="shared" ca="1" si="502"/>
        <v>Transferred</v>
      </c>
      <c r="AG1461" t="str">
        <f t="shared" ca="1" si="503"/>
        <v>Southeast</v>
      </c>
      <c r="AH1461" t="str">
        <f t="shared" si="486"/>
        <v>January</v>
      </c>
      <c r="AI1461">
        <f t="shared" si="487"/>
        <v>2020</v>
      </c>
      <c r="AJ1461" t="str">
        <f t="shared" ca="1" si="504"/>
        <v>Occupied</v>
      </c>
      <c r="AK1461">
        <f t="shared" ca="1" si="505"/>
        <v>2</v>
      </c>
    </row>
    <row r="1462" spans="1:37" x14ac:dyDescent="0.3">
      <c r="A1462" t="s">
        <v>5858</v>
      </c>
      <c r="B1462">
        <v>65</v>
      </c>
      <c r="C1462" t="s">
        <v>15</v>
      </c>
      <c r="D1462" t="s">
        <v>24</v>
      </c>
      <c r="E1462" t="s">
        <v>76</v>
      </c>
      <c r="F1462" s="1">
        <v>43869</v>
      </c>
      <c r="G1462" t="s">
        <v>2922</v>
      </c>
      <c r="H1462" t="s">
        <v>2923</v>
      </c>
      <c r="I1462" t="s">
        <v>57</v>
      </c>
      <c r="J1462">
        <v>6240</v>
      </c>
      <c r="K1462">
        <v>369</v>
      </c>
      <c r="L1462" t="s">
        <v>42</v>
      </c>
      <c r="M1462" s="1">
        <v>43875</v>
      </c>
      <c r="N1462" t="s">
        <v>47</v>
      </c>
      <c r="O1462" t="s">
        <v>43</v>
      </c>
      <c r="P1462" t="str">
        <f t="shared" si="488"/>
        <v>P1461</v>
      </c>
      <c r="Q1462" t="str">
        <f t="shared" si="484"/>
        <v>Orthopedics</v>
      </c>
      <c r="R1462">
        <f t="shared" si="485"/>
        <v>6</v>
      </c>
      <c r="S1462" t="str">
        <f t="shared" ca="1" si="489"/>
        <v>Yes</v>
      </c>
      <c r="T1462" t="str">
        <f t="shared" ca="1" si="490"/>
        <v>Severe</v>
      </c>
      <c r="U1462" t="str">
        <f t="shared" ca="1" si="491"/>
        <v>Semi-Private</v>
      </c>
      <c r="V1462" t="str">
        <f t="shared" si="492"/>
        <v>BED1461</v>
      </c>
      <c r="W1462" t="str">
        <f t="shared" ca="1" si="493"/>
        <v>General</v>
      </c>
      <c r="X1462" t="str">
        <f t="shared" si="494"/>
        <v>NUR011</v>
      </c>
      <c r="Y1462" t="str">
        <f t="shared" ca="1" si="495"/>
        <v>Morning</v>
      </c>
      <c r="Z1462" t="str">
        <f t="shared" ca="1" si="496"/>
        <v>X-Ray</v>
      </c>
      <c r="AA1462" t="str">
        <f t="shared" ca="1" si="497"/>
        <v>Available</v>
      </c>
      <c r="AB1462" t="str">
        <f t="shared" ca="1" si="498"/>
        <v>Pending</v>
      </c>
      <c r="AC1462" t="str">
        <f t="shared" ca="1" si="499"/>
        <v>Cash</v>
      </c>
      <c r="AD1462" t="str">
        <f t="shared" ca="1" si="500"/>
        <v>No</v>
      </c>
      <c r="AE1462" t="str">
        <f t="shared" ca="1" si="501"/>
        <v>No</v>
      </c>
      <c r="AF1462" t="str">
        <f t="shared" ca="1" si="502"/>
        <v>Transferred</v>
      </c>
      <c r="AG1462" t="str">
        <f t="shared" ca="1" si="503"/>
        <v>Midwest</v>
      </c>
      <c r="AH1462" t="str">
        <f t="shared" si="486"/>
        <v>February</v>
      </c>
      <c r="AI1462">
        <f t="shared" si="487"/>
        <v>2020</v>
      </c>
      <c r="AJ1462" t="str">
        <f t="shared" ca="1" si="504"/>
        <v>Occupied</v>
      </c>
      <c r="AK1462">
        <f t="shared" ca="1" si="505"/>
        <v>1</v>
      </c>
    </row>
    <row r="1463" spans="1:37" x14ac:dyDescent="0.3">
      <c r="A1463" t="s">
        <v>3879</v>
      </c>
      <c r="B1463">
        <v>37</v>
      </c>
      <c r="C1463" t="s">
        <v>32</v>
      </c>
      <c r="D1463" t="s">
        <v>52</v>
      </c>
      <c r="E1463" t="s">
        <v>39</v>
      </c>
      <c r="F1463" s="1">
        <v>44680</v>
      </c>
      <c r="G1463" t="s">
        <v>2924</v>
      </c>
      <c r="H1463" t="s">
        <v>2925</v>
      </c>
      <c r="I1463" t="s">
        <v>28</v>
      </c>
      <c r="J1463">
        <v>14266</v>
      </c>
      <c r="K1463">
        <v>437</v>
      </c>
      <c r="L1463" t="s">
        <v>42</v>
      </c>
      <c r="M1463" s="1">
        <v>44694</v>
      </c>
      <c r="N1463" t="s">
        <v>22</v>
      </c>
      <c r="O1463" t="s">
        <v>23</v>
      </c>
      <c r="P1463" t="str">
        <f t="shared" si="488"/>
        <v>P1462</v>
      </c>
      <c r="Q1463" t="str">
        <f t="shared" si="484"/>
        <v>Endocrinology</v>
      </c>
      <c r="R1463">
        <f t="shared" si="485"/>
        <v>14</v>
      </c>
      <c r="S1463" t="str">
        <f t="shared" ca="1" si="489"/>
        <v>No</v>
      </c>
      <c r="T1463" t="str">
        <f t="shared" ca="1" si="490"/>
        <v>Severe</v>
      </c>
      <c r="U1463" t="str">
        <f t="shared" ca="1" si="491"/>
        <v>ICU</v>
      </c>
      <c r="V1463" t="str">
        <f t="shared" si="492"/>
        <v>BED1462</v>
      </c>
      <c r="W1463" t="str">
        <f t="shared" ca="1" si="493"/>
        <v>Private</v>
      </c>
      <c r="X1463" t="str">
        <f t="shared" si="494"/>
        <v>NUR012</v>
      </c>
      <c r="Y1463" t="str">
        <f t="shared" ca="1" si="495"/>
        <v>Evening</v>
      </c>
      <c r="Z1463" t="str">
        <f t="shared" ca="1" si="496"/>
        <v>CT Scanner</v>
      </c>
      <c r="AA1463" t="str">
        <f t="shared" ca="1" si="497"/>
        <v>Available</v>
      </c>
      <c r="AB1463" t="str">
        <f t="shared" ca="1" si="498"/>
        <v>Partially Paid</v>
      </c>
      <c r="AC1463" t="str">
        <f t="shared" ca="1" si="499"/>
        <v>Cash</v>
      </c>
      <c r="AD1463" t="str">
        <f t="shared" ca="1" si="500"/>
        <v>No</v>
      </c>
      <c r="AE1463" t="str">
        <f t="shared" ca="1" si="501"/>
        <v>No</v>
      </c>
      <c r="AF1463" t="str">
        <f t="shared" ca="1" si="502"/>
        <v>Under Observation</v>
      </c>
      <c r="AG1463" t="str">
        <f t="shared" ca="1" si="503"/>
        <v>West Coast</v>
      </c>
      <c r="AH1463" t="str">
        <f t="shared" si="486"/>
        <v>April</v>
      </c>
      <c r="AI1463">
        <f t="shared" si="487"/>
        <v>2022</v>
      </c>
      <c r="AJ1463" t="str">
        <f t="shared" ca="1" si="504"/>
        <v>Occupied</v>
      </c>
      <c r="AK1463">
        <f t="shared" ca="1" si="505"/>
        <v>4</v>
      </c>
    </row>
    <row r="1464" spans="1:37" x14ac:dyDescent="0.3">
      <c r="A1464" t="s">
        <v>5859</v>
      </c>
      <c r="B1464">
        <v>25</v>
      </c>
      <c r="C1464" t="s">
        <v>32</v>
      </c>
      <c r="D1464" t="s">
        <v>83</v>
      </c>
      <c r="E1464" t="s">
        <v>76</v>
      </c>
      <c r="F1464" s="1">
        <v>43926</v>
      </c>
      <c r="G1464" t="s">
        <v>2926</v>
      </c>
      <c r="H1464" t="s">
        <v>2927</v>
      </c>
      <c r="I1464" t="s">
        <v>57</v>
      </c>
      <c r="J1464">
        <v>16521</v>
      </c>
      <c r="K1464">
        <v>448</v>
      </c>
      <c r="L1464" t="s">
        <v>42</v>
      </c>
      <c r="M1464" s="1">
        <v>43941</v>
      </c>
      <c r="N1464" t="s">
        <v>30</v>
      </c>
      <c r="O1464" t="s">
        <v>31</v>
      </c>
      <c r="P1464" t="str">
        <f t="shared" si="488"/>
        <v>P1463</v>
      </c>
      <c r="Q1464" t="str">
        <f t="shared" si="484"/>
        <v>Orthopedics</v>
      </c>
      <c r="R1464">
        <f t="shared" si="485"/>
        <v>15</v>
      </c>
      <c r="S1464" t="str">
        <f t="shared" ca="1" si="489"/>
        <v>No</v>
      </c>
      <c r="T1464" t="str">
        <f t="shared" ca="1" si="490"/>
        <v>Mild</v>
      </c>
      <c r="U1464" t="str">
        <f t="shared" ca="1" si="491"/>
        <v>ICU</v>
      </c>
      <c r="V1464" t="str">
        <f t="shared" si="492"/>
        <v>BED1463</v>
      </c>
      <c r="W1464" t="str">
        <f t="shared" ca="1" si="493"/>
        <v>Private</v>
      </c>
      <c r="X1464" t="str">
        <f t="shared" si="494"/>
        <v>NUR013</v>
      </c>
      <c r="Y1464" t="str">
        <f t="shared" ca="1" si="495"/>
        <v>Night</v>
      </c>
      <c r="Z1464" t="str">
        <f t="shared" ca="1" si="496"/>
        <v>X-Ray</v>
      </c>
      <c r="AA1464" t="str">
        <f t="shared" ca="1" si="497"/>
        <v>Available</v>
      </c>
      <c r="AB1464" t="str">
        <f t="shared" ca="1" si="498"/>
        <v>Partially Paid</v>
      </c>
      <c r="AC1464" t="str">
        <f t="shared" ca="1" si="499"/>
        <v>Bank Transfer</v>
      </c>
      <c r="AD1464" t="str">
        <f t="shared" ca="1" si="500"/>
        <v>No</v>
      </c>
      <c r="AE1464" t="str">
        <f t="shared" ca="1" si="501"/>
        <v>No</v>
      </c>
      <c r="AF1464" t="str">
        <f t="shared" ca="1" si="502"/>
        <v>Recovered</v>
      </c>
      <c r="AG1464" t="str">
        <f t="shared" ca="1" si="503"/>
        <v>Southwest</v>
      </c>
      <c r="AH1464" t="str">
        <f t="shared" si="486"/>
        <v>April</v>
      </c>
      <c r="AI1464">
        <f t="shared" si="487"/>
        <v>2020</v>
      </c>
      <c r="AJ1464" t="str">
        <f t="shared" ca="1" si="504"/>
        <v>Occupied</v>
      </c>
      <c r="AK1464">
        <f t="shared" ca="1" si="505"/>
        <v>2</v>
      </c>
    </row>
    <row r="1465" spans="1:37" x14ac:dyDescent="0.3">
      <c r="A1465" t="s">
        <v>5860</v>
      </c>
      <c r="B1465">
        <v>62</v>
      </c>
      <c r="C1465" t="s">
        <v>32</v>
      </c>
      <c r="D1465" t="s">
        <v>38</v>
      </c>
      <c r="E1465" t="s">
        <v>76</v>
      </c>
      <c r="F1465" s="1">
        <v>43801</v>
      </c>
      <c r="G1465" t="s">
        <v>2928</v>
      </c>
      <c r="H1465" t="s">
        <v>2929</v>
      </c>
      <c r="I1465" t="s">
        <v>51</v>
      </c>
      <c r="J1465">
        <v>35057</v>
      </c>
      <c r="K1465">
        <v>447</v>
      </c>
      <c r="L1465" t="s">
        <v>29</v>
      </c>
      <c r="M1465" s="1">
        <v>43808</v>
      </c>
      <c r="N1465" t="s">
        <v>37</v>
      </c>
      <c r="O1465" t="s">
        <v>31</v>
      </c>
      <c r="P1465" t="str">
        <f t="shared" si="488"/>
        <v>P1464</v>
      </c>
      <c r="Q1465" t="str">
        <f t="shared" si="484"/>
        <v>Orthopedics</v>
      </c>
      <c r="R1465">
        <f t="shared" si="485"/>
        <v>7</v>
      </c>
      <c r="S1465" t="str">
        <f t="shared" ca="1" si="489"/>
        <v>No</v>
      </c>
      <c r="T1465" t="str">
        <f t="shared" ca="1" si="490"/>
        <v>Critical</v>
      </c>
      <c r="U1465" t="str">
        <f t="shared" ca="1" si="491"/>
        <v>Emergency</v>
      </c>
      <c r="V1465" t="str">
        <f t="shared" si="492"/>
        <v>BED1464</v>
      </c>
      <c r="W1465" t="str">
        <f t="shared" ca="1" si="493"/>
        <v>Private</v>
      </c>
      <c r="X1465" t="str">
        <f t="shared" si="494"/>
        <v>NUR014</v>
      </c>
      <c r="Y1465" t="str">
        <f t="shared" ca="1" si="495"/>
        <v>Morning</v>
      </c>
      <c r="Z1465" t="str">
        <f t="shared" ca="1" si="496"/>
        <v>Ultrasound</v>
      </c>
      <c r="AA1465" t="str">
        <f t="shared" ca="1" si="497"/>
        <v>In Use</v>
      </c>
      <c r="AB1465" t="str">
        <f t="shared" ca="1" si="498"/>
        <v>Paid</v>
      </c>
      <c r="AC1465" t="str">
        <f t="shared" ca="1" si="499"/>
        <v>Bank Transfer</v>
      </c>
      <c r="AD1465" t="str">
        <f t="shared" ca="1" si="500"/>
        <v>No</v>
      </c>
      <c r="AE1465" t="str">
        <f t="shared" ca="1" si="501"/>
        <v>No</v>
      </c>
      <c r="AF1465" t="str">
        <f t="shared" ca="1" si="502"/>
        <v>Recovered</v>
      </c>
      <c r="AG1465" t="str">
        <f t="shared" ca="1" si="503"/>
        <v>Southwest</v>
      </c>
      <c r="AH1465" t="str">
        <f t="shared" si="486"/>
        <v>December</v>
      </c>
      <c r="AI1465">
        <f t="shared" si="487"/>
        <v>2019</v>
      </c>
      <c r="AJ1465" t="str">
        <f t="shared" ca="1" si="504"/>
        <v>Vacant</v>
      </c>
      <c r="AK1465">
        <f t="shared" ca="1" si="505"/>
        <v>1</v>
      </c>
    </row>
    <row r="1466" spans="1:37" x14ac:dyDescent="0.3">
      <c r="A1466" t="s">
        <v>5861</v>
      </c>
      <c r="B1466">
        <v>38</v>
      </c>
      <c r="C1466" t="s">
        <v>15</v>
      </c>
      <c r="D1466" t="s">
        <v>33</v>
      </c>
      <c r="E1466" t="s">
        <v>48</v>
      </c>
      <c r="F1466" s="1">
        <v>44274</v>
      </c>
      <c r="G1466" t="s">
        <v>2930</v>
      </c>
      <c r="H1466" t="s">
        <v>2931</v>
      </c>
      <c r="I1466" t="s">
        <v>51</v>
      </c>
      <c r="J1466">
        <v>4219</v>
      </c>
      <c r="K1466">
        <v>495</v>
      </c>
      <c r="L1466" t="s">
        <v>42</v>
      </c>
      <c r="M1466" s="1">
        <v>44294</v>
      </c>
      <c r="N1466" t="s">
        <v>47</v>
      </c>
      <c r="O1466" t="s">
        <v>43</v>
      </c>
      <c r="P1466" t="str">
        <f t="shared" si="488"/>
        <v>P1465</v>
      </c>
      <c r="Q1466" t="str">
        <f t="shared" si="484"/>
        <v>Pulmonology</v>
      </c>
      <c r="R1466">
        <f t="shared" si="485"/>
        <v>20</v>
      </c>
      <c r="S1466" t="str">
        <f t="shared" ca="1" si="489"/>
        <v>No</v>
      </c>
      <c r="T1466" t="str">
        <f t="shared" ca="1" si="490"/>
        <v>Moderate</v>
      </c>
      <c r="U1466" t="str">
        <f t="shared" ca="1" si="491"/>
        <v>General Ward</v>
      </c>
      <c r="V1466" t="str">
        <f t="shared" si="492"/>
        <v>BED1465</v>
      </c>
      <c r="W1466" t="str">
        <f t="shared" ca="1" si="493"/>
        <v>ICU</v>
      </c>
      <c r="X1466" t="str">
        <f t="shared" si="494"/>
        <v>NUR015</v>
      </c>
      <c r="Y1466" t="str">
        <f t="shared" ca="1" si="495"/>
        <v>Morning</v>
      </c>
      <c r="Z1466" t="str">
        <f t="shared" ca="1" si="496"/>
        <v>CT Scanner</v>
      </c>
      <c r="AA1466" t="str">
        <f t="shared" ca="1" si="497"/>
        <v>In Use</v>
      </c>
      <c r="AB1466" t="str">
        <f t="shared" ca="1" si="498"/>
        <v>Pending</v>
      </c>
      <c r="AC1466" t="str">
        <f t="shared" ca="1" si="499"/>
        <v>Credit Card</v>
      </c>
      <c r="AD1466" t="str">
        <f t="shared" ca="1" si="500"/>
        <v>No</v>
      </c>
      <c r="AE1466" t="str">
        <f t="shared" ca="1" si="501"/>
        <v>No</v>
      </c>
      <c r="AF1466" t="str">
        <f t="shared" ca="1" si="502"/>
        <v>Under Observation</v>
      </c>
      <c r="AG1466" t="str">
        <f t="shared" ca="1" si="503"/>
        <v>West Coast</v>
      </c>
      <c r="AH1466" t="str">
        <f t="shared" si="486"/>
        <v>March</v>
      </c>
      <c r="AI1466">
        <f t="shared" si="487"/>
        <v>2021</v>
      </c>
      <c r="AJ1466" t="str">
        <f t="shared" ca="1" si="504"/>
        <v>Occupied</v>
      </c>
      <c r="AK1466">
        <f t="shared" ca="1" si="505"/>
        <v>4</v>
      </c>
    </row>
    <row r="1467" spans="1:37" x14ac:dyDescent="0.3">
      <c r="A1467" t="s">
        <v>5862</v>
      </c>
      <c r="B1467">
        <v>58</v>
      </c>
      <c r="C1467" t="s">
        <v>32</v>
      </c>
      <c r="D1467" t="s">
        <v>16</v>
      </c>
      <c r="E1467" t="s">
        <v>48</v>
      </c>
      <c r="F1467" s="1">
        <v>45206</v>
      </c>
      <c r="G1467" t="s">
        <v>2932</v>
      </c>
      <c r="H1467" t="s">
        <v>2933</v>
      </c>
      <c r="I1467" t="s">
        <v>28</v>
      </c>
      <c r="J1467">
        <v>36771</v>
      </c>
      <c r="K1467">
        <v>362</v>
      </c>
      <c r="L1467" t="s">
        <v>29</v>
      </c>
      <c r="M1467" s="1">
        <v>45207</v>
      </c>
      <c r="N1467" t="s">
        <v>30</v>
      </c>
      <c r="O1467" t="s">
        <v>31</v>
      </c>
      <c r="P1467" t="str">
        <f t="shared" si="488"/>
        <v>P1466</v>
      </c>
      <c r="Q1467" t="str">
        <f t="shared" si="484"/>
        <v>Pulmonology</v>
      </c>
      <c r="R1467">
        <f t="shared" si="485"/>
        <v>1</v>
      </c>
      <c r="S1467" t="str">
        <f t="shared" ca="1" si="489"/>
        <v>No</v>
      </c>
      <c r="T1467" t="str">
        <f t="shared" ca="1" si="490"/>
        <v>Severe</v>
      </c>
      <c r="U1467" t="str">
        <f t="shared" ca="1" si="491"/>
        <v>Private Ward</v>
      </c>
      <c r="V1467" t="str">
        <f t="shared" si="492"/>
        <v>BED1466</v>
      </c>
      <c r="W1467" t="str">
        <f t="shared" ca="1" si="493"/>
        <v>ICU</v>
      </c>
      <c r="X1467" t="str">
        <f t="shared" si="494"/>
        <v>NUR016</v>
      </c>
      <c r="Y1467" t="str">
        <f t="shared" ca="1" si="495"/>
        <v>Night</v>
      </c>
      <c r="Z1467" t="str">
        <f t="shared" ca="1" si="496"/>
        <v>Ventilator</v>
      </c>
      <c r="AA1467" t="str">
        <f t="shared" ca="1" si="497"/>
        <v>Available</v>
      </c>
      <c r="AB1467" t="str">
        <f t="shared" ca="1" si="498"/>
        <v>Partially Paid</v>
      </c>
      <c r="AC1467" t="str">
        <f t="shared" ca="1" si="499"/>
        <v>Cash</v>
      </c>
      <c r="AD1467" t="str">
        <f t="shared" ca="1" si="500"/>
        <v>Yes</v>
      </c>
      <c r="AE1467" t="str">
        <f t="shared" ca="1" si="501"/>
        <v>No</v>
      </c>
      <c r="AF1467" t="str">
        <f t="shared" ca="1" si="502"/>
        <v>Recovered</v>
      </c>
      <c r="AG1467" t="str">
        <f t="shared" ca="1" si="503"/>
        <v>Southeast</v>
      </c>
      <c r="AH1467" t="str">
        <f t="shared" si="486"/>
        <v>October</v>
      </c>
      <c r="AI1467">
        <f t="shared" si="487"/>
        <v>2023</v>
      </c>
      <c r="AJ1467" t="str">
        <f t="shared" ca="1" si="504"/>
        <v>Occupied</v>
      </c>
      <c r="AK1467">
        <f t="shared" ca="1" si="505"/>
        <v>2</v>
      </c>
    </row>
    <row r="1468" spans="1:37" x14ac:dyDescent="0.3">
      <c r="A1468" t="s">
        <v>5863</v>
      </c>
      <c r="B1468">
        <v>44</v>
      </c>
      <c r="C1468" t="s">
        <v>15</v>
      </c>
      <c r="D1468" t="s">
        <v>24</v>
      </c>
      <c r="E1468" t="s">
        <v>25</v>
      </c>
      <c r="F1468" s="1">
        <v>44449</v>
      </c>
      <c r="G1468" t="s">
        <v>2934</v>
      </c>
      <c r="H1468" t="s">
        <v>2935</v>
      </c>
      <c r="I1468" t="s">
        <v>57</v>
      </c>
      <c r="J1468">
        <v>35520</v>
      </c>
      <c r="K1468">
        <v>460</v>
      </c>
      <c r="L1468" t="s">
        <v>21</v>
      </c>
      <c r="M1468" s="1">
        <v>44477</v>
      </c>
      <c r="N1468" t="s">
        <v>37</v>
      </c>
      <c r="O1468" t="s">
        <v>23</v>
      </c>
      <c r="P1468" t="str">
        <f t="shared" si="488"/>
        <v>P1467</v>
      </c>
      <c r="Q1468" t="str">
        <f t="shared" si="484"/>
        <v>Nutrition</v>
      </c>
      <c r="R1468">
        <f t="shared" si="485"/>
        <v>28</v>
      </c>
      <c r="S1468" t="str">
        <f t="shared" ca="1" si="489"/>
        <v>No</v>
      </c>
      <c r="T1468" t="str">
        <f t="shared" ca="1" si="490"/>
        <v>Severe</v>
      </c>
      <c r="U1468" t="str">
        <f t="shared" ca="1" si="491"/>
        <v>ICU</v>
      </c>
      <c r="V1468" t="str">
        <f t="shared" si="492"/>
        <v>BED1467</v>
      </c>
      <c r="W1468" t="str">
        <f t="shared" ca="1" si="493"/>
        <v>Semi-Private</v>
      </c>
      <c r="X1468" t="str">
        <f t="shared" si="494"/>
        <v>NUR017</v>
      </c>
      <c r="Y1468" t="str">
        <f t="shared" ca="1" si="495"/>
        <v>Evening</v>
      </c>
      <c r="Z1468" t="str">
        <f t="shared" ca="1" si="496"/>
        <v>Ventilator</v>
      </c>
      <c r="AA1468" t="str">
        <f t="shared" ca="1" si="497"/>
        <v>Maintenance</v>
      </c>
      <c r="AB1468" t="str">
        <f t="shared" ca="1" si="498"/>
        <v>Partially Paid</v>
      </c>
      <c r="AC1468" t="str">
        <f t="shared" ca="1" si="499"/>
        <v>Bank Transfer</v>
      </c>
      <c r="AD1468" t="str">
        <f t="shared" ca="1" si="500"/>
        <v>No</v>
      </c>
      <c r="AE1468" t="str">
        <f t="shared" ca="1" si="501"/>
        <v>No</v>
      </c>
      <c r="AF1468" t="str">
        <f t="shared" ca="1" si="502"/>
        <v>Under Observation</v>
      </c>
      <c r="AG1468" t="str">
        <f t="shared" ca="1" si="503"/>
        <v>Southwest</v>
      </c>
      <c r="AH1468" t="str">
        <f t="shared" si="486"/>
        <v>September</v>
      </c>
      <c r="AI1468">
        <f t="shared" si="487"/>
        <v>2021</v>
      </c>
      <c r="AJ1468" t="str">
        <f t="shared" ca="1" si="504"/>
        <v>Occupied</v>
      </c>
      <c r="AK1468">
        <f t="shared" ca="1" si="505"/>
        <v>1</v>
      </c>
    </row>
    <row r="1469" spans="1:37" x14ac:dyDescent="0.3">
      <c r="A1469" t="s">
        <v>5864</v>
      </c>
      <c r="B1469">
        <v>62</v>
      </c>
      <c r="C1469" t="s">
        <v>15</v>
      </c>
      <c r="D1469" t="s">
        <v>38</v>
      </c>
      <c r="E1469" t="s">
        <v>48</v>
      </c>
      <c r="F1469" s="1">
        <v>44483</v>
      </c>
      <c r="G1469" t="s">
        <v>2936</v>
      </c>
      <c r="H1469" t="s">
        <v>2937</v>
      </c>
      <c r="I1469" t="s">
        <v>20</v>
      </c>
      <c r="J1469">
        <v>7657</v>
      </c>
      <c r="K1469">
        <v>445</v>
      </c>
      <c r="L1469" t="s">
        <v>29</v>
      </c>
      <c r="M1469" s="1">
        <v>44498</v>
      </c>
      <c r="N1469" t="s">
        <v>30</v>
      </c>
      <c r="O1469" t="s">
        <v>23</v>
      </c>
      <c r="P1469" t="str">
        <f t="shared" si="488"/>
        <v>P1468</v>
      </c>
      <c r="Q1469" t="str">
        <f t="shared" si="484"/>
        <v>Pulmonology</v>
      </c>
      <c r="R1469">
        <f t="shared" si="485"/>
        <v>15</v>
      </c>
      <c r="S1469" t="str">
        <f t="shared" ca="1" si="489"/>
        <v>No</v>
      </c>
      <c r="T1469" t="str">
        <f t="shared" ca="1" si="490"/>
        <v>Severe</v>
      </c>
      <c r="U1469" t="str">
        <f t="shared" ca="1" si="491"/>
        <v>ICU</v>
      </c>
      <c r="V1469" t="str">
        <f t="shared" si="492"/>
        <v>BED1468</v>
      </c>
      <c r="W1469" t="str">
        <f t="shared" ca="1" si="493"/>
        <v>Private</v>
      </c>
      <c r="X1469" t="str">
        <f t="shared" si="494"/>
        <v>NUR018</v>
      </c>
      <c r="Y1469" t="str">
        <f t="shared" ca="1" si="495"/>
        <v>Night</v>
      </c>
      <c r="Z1469" t="str">
        <f t="shared" ca="1" si="496"/>
        <v>CT Scanner</v>
      </c>
      <c r="AA1469" t="str">
        <f t="shared" ca="1" si="497"/>
        <v>Maintenance</v>
      </c>
      <c r="AB1469" t="str">
        <f t="shared" ca="1" si="498"/>
        <v>Partially Paid</v>
      </c>
      <c r="AC1469" t="str">
        <f t="shared" ca="1" si="499"/>
        <v>Credit Card</v>
      </c>
      <c r="AD1469" t="str">
        <f t="shared" ca="1" si="500"/>
        <v>No</v>
      </c>
      <c r="AE1469" t="str">
        <f t="shared" ca="1" si="501"/>
        <v>No</v>
      </c>
      <c r="AF1469" t="str">
        <f t="shared" ca="1" si="502"/>
        <v>Under Observation</v>
      </c>
      <c r="AG1469" t="str">
        <f t="shared" ca="1" si="503"/>
        <v>West Coast</v>
      </c>
      <c r="AH1469" t="str">
        <f t="shared" si="486"/>
        <v>October</v>
      </c>
      <c r="AI1469">
        <f t="shared" si="487"/>
        <v>2021</v>
      </c>
      <c r="AJ1469" t="str">
        <f t="shared" ca="1" si="504"/>
        <v>Vacant</v>
      </c>
      <c r="AK1469">
        <f t="shared" ca="1" si="505"/>
        <v>2</v>
      </c>
    </row>
    <row r="1470" spans="1:37" x14ac:dyDescent="0.3">
      <c r="A1470" t="s">
        <v>5865</v>
      </c>
      <c r="B1470">
        <v>46</v>
      </c>
      <c r="C1470" t="s">
        <v>32</v>
      </c>
      <c r="D1470" t="s">
        <v>44</v>
      </c>
      <c r="E1470" t="s">
        <v>39</v>
      </c>
      <c r="F1470" s="1">
        <v>45223</v>
      </c>
      <c r="G1470" t="s">
        <v>2938</v>
      </c>
      <c r="H1470" t="s">
        <v>2939</v>
      </c>
      <c r="I1470" t="s">
        <v>28</v>
      </c>
      <c r="J1470">
        <v>34599</v>
      </c>
      <c r="K1470">
        <v>106</v>
      </c>
      <c r="L1470" t="s">
        <v>21</v>
      </c>
      <c r="M1470" s="1">
        <v>45228</v>
      </c>
      <c r="N1470" t="s">
        <v>67</v>
      </c>
      <c r="O1470" t="s">
        <v>31</v>
      </c>
      <c r="P1470" t="str">
        <f t="shared" si="488"/>
        <v>P1469</v>
      </c>
      <c r="Q1470" t="str">
        <f t="shared" si="484"/>
        <v>Endocrinology</v>
      </c>
      <c r="R1470">
        <f t="shared" si="485"/>
        <v>5</v>
      </c>
      <c r="S1470" t="str">
        <f t="shared" ca="1" si="489"/>
        <v>No</v>
      </c>
      <c r="T1470" t="str">
        <f t="shared" ca="1" si="490"/>
        <v>Severe</v>
      </c>
      <c r="U1470" t="str">
        <f t="shared" ca="1" si="491"/>
        <v>General Ward</v>
      </c>
      <c r="V1470" t="str">
        <f t="shared" si="492"/>
        <v>BED1469</v>
      </c>
      <c r="W1470" t="str">
        <f t="shared" ca="1" si="493"/>
        <v>Private</v>
      </c>
      <c r="X1470" t="str">
        <f t="shared" si="494"/>
        <v>NUR019</v>
      </c>
      <c r="Y1470" t="str">
        <f t="shared" ca="1" si="495"/>
        <v>Morning</v>
      </c>
      <c r="Z1470" t="str">
        <f t="shared" ca="1" si="496"/>
        <v>CT Scanner</v>
      </c>
      <c r="AA1470" t="str">
        <f t="shared" ca="1" si="497"/>
        <v>Available</v>
      </c>
      <c r="AB1470" t="str">
        <f t="shared" ca="1" si="498"/>
        <v>Paid</v>
      </c>
      <c r="AC1470" t="str">
        <f t="shared" ca="1" si="499"/>
        <v>Credit Card</v>
      </c>
      <c r="AD1470" t="str">
        <f t="shared" ca="1" si="500"/>
        <v>No</v>
      </c>
      <c r="AE1470" t="str">
        <f t="shared" ca="1" si="501"/>
        <v>No</v>
      </c>
      <c r="AF1470" t="str">
        <f t="shared" ca="1" si="502"/>
        <v>Under Observation</v>
      </c>
      <c r="AG1470" t="str">
        <f t="shared" ca="1" si="503"/>
        <v>Midwest</v>
      </c>
      <c r="AH1470" t="str">
        <f t="shared" si="486"/>
        <v>October</v>
      </c>
      <c r="AI1470">
        <f t="shared" si="487"/>
        <v>2023</v>
      </c>
      <c r="AJ1470" t="str">
        <f t="shared" ca="1" si="504"/>
        <v>Occupied</v>
      </c>
      <c r="AK1470">
        <f t="shared" ca="1" si="505"/>
        <v>4</v>
      </c>
    </row>
    <row r="1471" spans="1:37" x14ac:dyDescent="0.3">
      <c r="A1471" t="s">
        <v>5866</v>
      </c>
      <c r="B1471">
        <v>29</v>
      </c>
      <c r="C1471" t="s">
        <v>15</v>
      </c>
      <c r="D1471" t="s">
        <v>16</v>
      </c>
      <c r="E1471" t="s">
        <v>76</v>
      </c>
      <c r="F1471" s="1">
        <v>44923</v>
      </c>
      <c r="G1471" t="s">
        <v>2940</v>
      </c>
      <c r="H1471" t="s">
        <v>2941</v>
      </c>
      <c r="I1471" t="s">
        <v>36</v>
      </c>
      <c r="J1471">
        <v>2437</v>
      </c>
      <c r="K1471">
        <v>261</v>
      </c>
      <c r="L1471" t="s">
        <v>21</v>
      </c>
      <c r="M1471" s="1">
        <v>44941</v>
      </c>
      <c r="N1471" t="s">
        <v>22</v>
      </c>
      <c r="O1471" t="s">
        <v>43</v>
      </c>
      <c r="P1471" t="str">
        <f t="shared" si="488"/>
        <v>P1470</v>
      </c>
      <c r="Q1471" t="str">
        <f t="shared" si="484"/>
        <v>Orthopedics</v>
      </c>
      <c r="R1471">
        <f t="shared" si="485"/>
        <v>18</v>
      </c>
      <c r="S1471" t="str">
        <f t="shared" ca="1" si="489"/>
        <v>No</v>
      </c>
      <c r="T1471" t="str">
        <f t="shared" ca="1" si="490"/>
        <v>Moderate</v>
      </c>
      <c r="U1471" t="str">
        <f t="shared" ca="1" si="491"/>
        <v>Private Ward</v>
      </c>
      <c r="V1471" t="str">
        <f t="shared" si="492"/>
        <v>BED1470</v>
      </c>
      <c r="W1471" t="str">
        <f t="shared" ca="1" si="493"/>
        <v>General</v>
      </c>
      <c r="X1471" t="str">
        <f t="shared" si="494"/>
        <v>NUR020</v>
      </c>
      <c r="Y1471" t="str">
        <f t="shared" ca="1" si="495"/>
        <v>Night</v>
      </c>
      <c r="Z1471" t="str">
        <f t="shared" ca="1" si="496"/>
        <v>ECG Machine</v>
      </c>
      <c r="AA1471" t="str">
        <f t="shared" ca="1" si="497"/>
        <v>Available</v>
      </c>
      <c r="AB1471" t="str">
        <f t="shared" ca="1" si="498"/>
        <v>Partially Paid</v>
      </c>
      <c r="AC1471" t="str">
        <f t="shared" ca="1" si="499"/>
        <v>Bank Transfer</v>
      </c>
      <c r="AD1471" t="str">
        <f t="shared" ca="1" si="500"/>
        <v>No</v>
      </c>
      <c r="AE1471" t="str">
        <f t="shared" ca="1" si="501"/>
        <v>No</v>
      </c>
      <c r="AF1471" t="str">
        <f t="shared" ca="1" si="502"/>
        <v>Recovered</v>
      </c>
      <c r="AG1471" t="str">
        <f t="shared" ca="1" si="503"/>
        <v>Northeast</v>
      </c>
      <c r="AH1471" t="str">
        <f t="shared" si="486"/>
        <v>December</v>
      </c>
      <c r="AI1471">
        <f t="shared" si="487"/>
        <v>2022</v>
      </c>
      <c r="AJ1471" t="str">
        <f t="shared" ca="1" si="504"/>
        <v>Occupied</v>
      </c>
      <c r="AK1471">
        <f t="shared" ca="1" si="505"/>
        <v>1</v>
      </c>
    </row>
    <row r="1472" spans="1:37" x14ac:dyDescent="0.3">
      <c r="A1472" t="s">
        <v>5867</v>
      </c>
      <c r="B1472">
        <v>35</v>
      </c>
      <c r="C1472" t="s">
        <v>32</v>
      </c>
      <c r="D1472" t="s">
        <v>38</v>
      </c>
      <c r="E1472" t="s">
        <v>39</v>
      </c>
      <c r="F1472" s="1">
        <v>45291</v>
      </c>
      <c r="G1472" t="s">
        <v>2942</v>
      </c>
      <c r="H1472" t="s">
        <v>2943</v>
      </c>
      <c r="I1472" t="s">
        <v>20</v>
      </c>
      <c r="J1472">
        <v>32681</v>
      </c>
      <c r="K1472">
        <v>493</v>
      </c>
      <c r="L1472" t="s">
        <v>29</v>
      </c>
      <c r="M1472" s="1">
        <v>45295</v>
      </c>
      <c r="N1472" t="s">
        <v>22</v>
      </c>
      <c r="O1472" t="s">
        <v>43</v>
      </c>
      <c r="P1472" t="str">
        <f t="shared" si="488"/>
        <v>P1471</v>
      </c>
      <c r="Q1472" t="str">
        <f t="shared" si="484"/>
        <v>Endocrinology</v>
      </c>
      <c r="R1472">
        <f t="shared" si="485"/>
        <v>4</v>
      </c>
      <c r="S1472" t="str">
        <f t="shared" ca="1" si="489"/>
        <v>No</v>
      </c>
      <c r="T1472" t="str">
        <f t="shared" ca="1" si="490"/>
        <v>Mild</v>
      </c>
      <c r="U1472" t="str">
        <f t="shared" ca="1" si="491"/>
        <v>Emergency</v>
      </c>
      <c r="V1472" t="str">
        <f t="shared" si="492"/>
        <v>BED1471</v>
      </c>
      <c r="W1472" t="str">
        <f t="shared" ca="1" si="493"/>
        <v>General</v>
      </c>
      <c r="X1472" t="str">
        <f t="shared" si="494"/>
        <v>NUR021</v>
      </c>
      <c r="Y1472" t="str">
        <f t="shared" ca="1" si="495"/>
        <v>Evening</v>
      </c>
      <c r="Z1472" t="str">
        <f t="shared" ca="1" si="496"/>
        <v>Ultrasound</v>
      </c>
      <c r="AA1472" t="str">
        <f t="shared" ca="1" si="497"/>
        <v>Available</v>
      </c>
      <c r="AB1472" t="str">
        <f t="shared" ca="1" si="498"/>
        <v>Pending</v>
      </c>
      <c r="AC1472" t="str">
        <f t="shared" ca="1" si="499"/>
        <v>Debit Card</v>
      </c>
      <c r="AD1472" t="str">
        <f t="shared" ca="1" si="500"/>
        <v>Yes</v>
      </c>
      <c r="AE1472" t="str">
        <f t="shared" ca="1" si="501"/>
        <v>No</v>
      </c>
      <c r="AF1472" t="str">
        <f t="shared" ca="1" si="502"/>
        <v>Transferred</v>
      </c>
      <c r="AG1472" t="str">
        <f t="shared" ca="1" si="503"/>
        <v>Southeast</v>
      </c>
      <c r="AH1472" t="str">
        <f t="shared" si="486"/>
        <v>December</v>
      </c>
      <c r="AI1472">
        <f t="shared" si="487"/>
        <v>2023</v>
      </c>
      <c r="AJ1472" t="str">
        <f t="shared" ca="1" si="504"/>
        <v>Occupied</v>
      </c>
      <c r="AK1472">
        <f t="shared" ca="1" si="505"/>
        <v>2</v>
      </c>
    </row>
    <row r="1473" spans="1:37" x14ac:dyDescent="0.3">
      <c r="A1473" t="s">
        <v>5868</v>
      </c>
      <c r="B1473">
        <v>46</v>
      </c>
      <c r="C1473" t="s">
        <v>32</v>
      </c>
      <c r="D1473" t="s">
        <v>83</v>
      </c>
      <c r="E1473" t="s">
        <v>48</v>
      </c>
      <c r="F1473" s="1">
        <v>44599</v>
      </c>
      <c r="G1473" t="s">
        <v>2944</v>
      </c>
      <c r="H1473" t="s">
        <v>2945</v>
      </c>
      <c r="I1473" t="s">
        <v>57</v>
      </c>
      <c r="J1473">
        <v>1790</v>
      </c>
      <c r="K1473">
        <v>259</v>
      </c>
      <c r="L1473" t="s">
        <v>21</v>
      </c>
      <c r="M1473" s="1">
        <v>44615</v>
      </c>
      <c r="N1473" t="s">
        <v>22</v>
      </c>
      <c r="O1473" t="s">
        <v>23</v>
      </c>
      <c r="P1473" t="str">
        <f t="shared" si="488"/>
        <v>P1472</v>
      </c>
      <c r="Q1473" t="str">
        <f t="shared" si="484"/>
        <v>Pulmonology</v>
      </c>
      <c r="R1473">
        <f t="shared" si="485"/>
        <v>16</v>
      </c>
      <c r="S1473" t="str">
        <f t="shared" ca="1" si="489"/>
        <v>No</v>
      </c>
      <c r="T1473" t="str">
        <f t="shared" ca="1" si="490"/>
        <v>Critical</v>
      </c>
      <c r="U1473" t="str">
        <f t="shared" ca="1" si="491"/>
        <v>ICU</v>
      </c>
      <c r="V1473" t="str">
        <f t="shared" si="492"/>
        <v>BED1472</v>
      </c>
      <c r="W1473" t="str">
        <f t="shared" ca="1" si="493"/>
        <v>General</v>
      </c>
      <c r="X1473" t="str">
        <f t="shared" si="494"/>
        <v>NUR022</v>
      </c>
      <c r="Y1473" t="str">
        <f t="shared" ca="1" si="495"/>
        <v>Morning</v>
      </c>
      <c r="Z1473" t="str">
        <f t="shared" ca="1" si="496"/>
        <v>Ultrasound</v>
      </c>
      <c r="AA1473" t="str">
        <f t="shared" ca="1" si="497"/>
        <v>In Use</v>
      </c>
      <c r="AB1473" t="str">
        <f t="shared" ca="1" si="498"/>
        <v>Pending</v>
      </c>
      <c r="AC1473" t="str">
        <f t="shared" ca="1" si="499"/>
        <v>Debit Card</v>
      </c>
      <c r="AD1473" t="str">
        <f t="shared" ca="1" si="500"/>
        <v>No</v>
      </c>
      <c r="AE1473" t="str">
        <f t="shared" ca="1" si="501"/>
        <v>No</v>
      </c>
      <c r="AF1473" t="str">
        <f t="shared" ca="1" si="502"/>
        <v>Recovered</v>
      </c>
      <c r="AG1473" t="str">
        <f t="shared" ca="1" si="503"/>
        <v>Southeast</v>
      </c>
      <c r="AH1473" t="str">
        <f t="shared" si="486"/>
        <v>February</v>
      </c>
      <c r="AI1473">
        <f t="shared" si="487"/>
        <v>2022</v>
      </c>
      <c r="AJ1473" t="str">
        <f t="shared" ca="1" si="504"/>
        <v>Occupied</v>
      </c>
      <c r="AK1473">
        <f t="shared" ca="1" si="505"/>
        <v>4</v>
      </c>
    </row>
    <row r="1474" spans="1:37" x14ac:dyDescent="0.3">
      <c r="A1474" t="s">
        <v>5869</v>
      </c>
      <c r="B1474">
        <v>85</v>
      </c>
      <c r="C1474" t="s">
        <v>15</v>
      </c>
      <c r="D1474" t="s">
        <v>24</v>
      </c>
      <c r="E1474" t="s">
        <v>64</v>
      </c>
      <c r="F1474" s="1">
        <v>43994</v>
      </c>
      <c r="G1474" t="s">
        <v>2946</v>
      </c>
      <c r="H1474" t="s">
        <v>2947</v>
      </c>
      <c r="I1474" t="s">
        <v>28</v>
      </c>
      <c r="J1474">
        <v>2284</v>
      </c>
      <c r="K1474">
        <v>445</v>
      </c>
      <c r="L1474" t="s">
        <v>21</v>
      </c>
      <c r="M1474" s="1">
        <v>43996</v>
      </c>
      <c r="N1474" t="s">
        <v>30</v>
      </c>
      <c r="O1474" t="s">
        <v>31</v>
      </c>
      <c r="P1474" t="str">
        <f t="shared" si="488"/>
        <v>P1473</v>
      </c>
      <c r="Q1474" t="str">
        <f t="shared" ref="Q1474:Q1537" si="506">IF(E1474="Cancer","Oncology",IF(E1474="Obesity","Nutrition",IF(E1474="Diabetes","Endocrinology",IF(E1474="Asthma","Pulmonology",IF(E1474="Arthritis","Orthopedics",IF(E1474="Hypertension","Cardiology","General Medicine"))))))</f>
        <v>Cardiology</v>
      </c>
      <c r="R1474">
        <f t="shared" ref="R1474:R1537" si="507">M1474-F1474</f>
        <v>2</v>
      </c>
      <c r="S1474" t="str">
        <f t="shared" ca="1" si="489"/>
        <v>No</v>
      </c>
      <c r="T1474" t="str">
        <f t="shared" ca="1" si="490"/>
        <v>Moderate</v>
      </c>
      <c r="U1474" t="str">
        <f t="shared" ca="1" si="491"/>
        <v>Emergency</v>
      </c>
      <c r="V1474" t="str">
        <f t="shared" si="492"/>
        <v>BED1473</v>
      </c>
      <c r="W1474" t="str">
        <f t="shared" ca="1" si="493"/>
        <v>General</v>
      </c>
      <c r="X1474" t="str">
        <f t="shared" si="494"/>
        <v>NUR023</v>
      </c>
      <c r="Y1474" t="str">
        <f t="shared" ca="1" si="495"/>
        <v>Night</v>
      </c>
      <c r="Z1474" t="str">
        <f t="shared" ca="1" si="496"/>
        <v>ECG Machine</v>
      </c>
      <c r="AA1474" t="str">
        <f t="shared" ca="1" si="497"/>
        <v>In Use</v>
      </c>
      <c r="AB1474" t="str">
        <f t="shared" ca="1" si="498"/>
        <v>Pending</v>
      </c>
      <c r="AC1474" t="str">
        <f t="shared" ca="1" si="499"/>
        <v>Bank Transfer</v>
      </c>
      <c r="AD1474" t="str">
        <f t="shared" ca="1" si="500"/>
        <v>No</v>
      </c>
      <c r="AE1474" t="str">
        <f t="shared" ca="1" si="501"/>
        <v>No</v>
      </c>
      <c r="AF1474" t="str">
        <f t="shared" ca="1" si="502"/>
        <v>Recovered</v>
      </c>
      <c r="AG1474" t="str">
        <f t="shared" ca="1" si="503"/>
        <v>West Coast</v>
      </c>
      <c r="AH1474" t="str">
        <f t="shared" ref="AH1474:AH1537" si="508">TEXT(F1474,"MMMM")</f>
        <v>June</v>
      </c>
      <c r="AI1474">
        <f t="shared" ref="AI1474:AI1537" si="509">YEAR(F1474)</f>
        <v>2020</v>
      </c>
      <c r="AJ1474" t="str">
        <f t="shared" ca="1" si="504"/>
        <v>Occupied</v>
      </c>
      <c r="AK1474">
        <f t="shared" ca="1" si="505"/>
        <v>4</v>
      </c>
    </row>
    <row r="1475" spans="1:37" x14ac:dyDescent="0.3">
      <c r="A1475" t="s">
        <v>5870</v>
      </c>
      <c r="B1475">
        <v>37</v>
      </c>
      <c r="C1475" t="s">
        <v>32</v>
      </c>
      <c r="D1475" t="s">
        <v>52</v>
      </c>
      <c r="E1475" t="s">
        <v>39</v>
      </c>
      <c r="F1475" s="1">
        <v>44850</v>
      </c>
      <c r="G1475" t="s">
        <v>2948</v>
      </c>
      <c r="H1475" t="s">
        <v>2949</v>
      </c>
      <c r="I1475" t="s">
        <v>51</v>
      </c>
      <c r="J1475">
        <v>37153</v>
      </c>
      <c r="K1475">
        <v>335</v>
      </c>
      <c r="L1475" t="s">
        <v>29</v>
      </c>
      <c r="M1475" s="1">
        <v>44862</v>
      </c>
      <c r="N1475" t="s">
        <v>22</v>
      </c>
      <c r="O1475" t="s">
        <v>43</v>
      </c>
      <c r="P1475" t="str">
        <f t="shared" ref="P1475:P1538" si="510">"P"&amp;TEXT(ROW()-1,"0000")</f>
        <v>P1474</v>
      </c>
      <c r="Q1475" t="str">
        <f t="shared" si="506"/>
        <v>Endocrinology</v>
      </c>
      <c r="R1475">
        <f t="shared" si="507"/>
        <v>12</v>
      </c>
      <c r="S1475" t="str">
        <f t="shared" ref="S1475:S1538" ca="1" si="511">IF(RAND()&lt;0.1,"Yes","No")</f>
        <v>No</v>
      </c>
      <c r="T1475" t="str">
        <f t="shared" ref="T1475:T1538" ca="1" si="512">CHOOSE(RANDBETWEEN(1,4),"Mild","Moderate","Severe","Critical")</f>
        <v>Critical</v>
      </c>
      <c r="U1475" t="str">
        <f t="shared" ref="U1475:U1538" ca="1" si="513">CHOOSE(RANDBETWEEN(1,5),"General Ward","ICU","Emergency","Private Ward","Semi-Private")</f>
        <v>ICU</v>
      </c>
      <c r="V1475" t="str">
        <f t="shared" ref="V1475:V1538" si="514">"BED"&amp;TEXT(ROW()-1,"0000")</f>
        <v>BED1474</v>
      </c>
      <c r="W1475" t="str">
        <f t="shared" ref="W1475:W1538" ca="1" si="515">CHOOSE(RANDBETWEEN(1,4),"General","Private","Semi-Private","ICU")</f>
        <v>Semi-Private</v>
      </c>
      <c r="X1475" t="str">
        <f t="shared" ref="X1475:X1538" si="516">"NUR"&amp;TEXT(MOD(ROW()-2,50)+1,"000")</f>
        <v>NUR024</v>
      </c>
      <c r="Y1475" t="str">
        <f t="shared" ref="Y1475:Y1538" ca="1" si="517">CHOOSE(RANDBETWEEN(1,3),"Morning","Evening","Night")</f>
        <v>Morning</v>
      </c>
      <c r="Z1475" t="str">
        <f t="shared" ref="Z1475:Z1538" ca="1" si="518">CHOOSE(RANDBETWEEN(1,6),"MRI Scanner","CT Scanner","Ventilator","X-Ray","ECG Machine","Ultrasound")</f>
        <v>MRI Scanner</v>
      </c>
      <c r="AA1475" t="str">
        <f t="shared" ref="AA1475:AA1538" ca="1" si="519">CHOOSE(RANDBETWEEN(1,3),"Available","In Use","Maintenance")</f>
        <v>In Use</v>
      </c>
      <c r="AB1475" t="str">
        <f t="shared" ref="AB1475:AB1538" ca="1" si="520">CHOOSE(RANDBETWEEN(1,3),"Paid","Pending","Partially Paid")</f>
        <v>Paid</v>
      </c>
      <c r="AC1475" t="str">
        <f t="shared" ref="AC1475:AC1538" ca="1" si="521">CHOOSE(RANDBETWEEN(1,5),"Cash","Credit Card","Debit Card","Insurance","Bank Transfer")</f>
        <v>Bank Transfer</v>
      </c>
      <c r="AD1475" t="str">
        <f t="shared" ref="AD1475:AD1538" ca="1" si="522">IF(RAND()&lt;0.2,"Yes","No")</f>
        <v>No</v>
      </c>
      <c r="AE1475" t="str">
        <f t="shared" ref="AE1475:AE1538" ca="1" si="523">IF(RAND()&lt;0.15,"Yes","No")</f>
        <v>No</v>
      </c>
      <c r="AF1475" t="str">
        <f t="shared" ref="AF1475:AF1538" ca="1" si="524">CHOOSE(RANDBETWEEN(1,3),"Recovered","Transferred","Under Observation")</f>
        <v>Transferred</v>
      </c>
      <c r="AG1475" t="str">
        <f t="shared" ref="AG1475:AG1538" ca="1" si="525">CHOOSE(RANDBETWEEN(1,5),"Northeast","Southeast","Midwest","Southwest","West Coast")</f>
        <v>Northeast</v>
      </c>
      <c r="AH1475" t="str">
        <f t="shared" si="508"/>
        <v>October</v>
      </c>
      <c r="AI1475">
        <f t="shared" si="509"/>
        <v>2022</v>
      </c>
      <c r="AJ1475" t="str">
        <f t="shared" ref="AJ1475:AJ1538" ca="1" si="526">IF(RANDBETWEEN(1,100)&lt;=80,"Occupied","Vacant")</f>
        <v>Vacant</v>
      </c>
      <c r="AK1475">
        <f t="shared" ref="AK1475:AK1538" ca="1" si="527">CHOOSE(RANDBETWEEN(1,3),1,2,4)</f>
        <v>2</v>
      </c>
    </row>
    <row r="1476" spans="1:37" x14ac:dyDescent="0.3">
      <c r="A1476" t="s">
        <v>5871</v>
      </c>
      <c r="B1476">
        <v>62</v>
      </c>
      <c r="C1476" t="s">
        <v>32</v>
      </c>
      <c r="D1476" t="s">
        <v>52</v>
      </c>
      <c r="E1476" t="s">
        <v>17</v>
      </c>
      <c r="F1476" s="1">
        <v>44572</v>
      </c>
      <c r="G1476" t="s">
        <v>2950</v>
      </c>
      <c r="H1476" t="s">
        <v>2951</v>
      </c>
      <c r="I1476" t="s">
        <v>28</v>
      </c>
      <c r="J1476">
        <v>21169</v>
      </c>
      <c r="K1476">
        <v>130</v>
      </c>
      <c r="L1476" t="s">
        <v>29</v>
      </c>
      <c r="M1476" s="1">
        <v>44576</v>
      </c>
      <c r="N1476" t="s">
        <v>67</v>
      </c>
      <c r="O1476" t="s">
        <v>23</v>
      </c>
      <c r="P1476" t="str">
        <f t="shared" si="510"/>
        <v>P1475</v>
      </c>
      <c r="Q1476" t="str">
        <f t="shared" si="506"/>
        <v>Oncology</v>
      </c>
      <c r="R1476">
        <f t="shared" si="507"/>
        <v>4</v>
      </c>
      <c r="S1476" t="str">
        <f t="shared" ca="1" si="511"/>
        <v>No</v>
      </c>
      <c r="T1476" t="str">
        <f t="shared" ca="1" si="512"/>
        <v>Mild</v>
      </c>
      <c r="U1476" t="str">
        <f t="shared" ca="1" si="513"/>
        <v>Semi-Private</v>
      </c>
      <c r="V1476" t="str">
        <f t="shared" si="514"/>
        <v>BED1475</v>
      </c>
      <c r="W1476" t="str">
        <f t="shared" ca="1" si="515"/>
        <v>General</v>
      </c>
      <c r="X1476" t="str">
        <f t="shared" si="516"/>
        <v>NUR025</v>
      </c>
      <c r="Y1476" t="str">
        <f t="shared" ca="1" si="517"/>
        <v>Night</v>
      </c>
      <c r="Z1476" t="str">
        <f t="shared" ca="1" si="518"/>
        <v>ECG Machine</v>
      </c>
      <c r="AA1476" t="str">
        <f t="shared" ca="1" si="519"/>
        <v>In Use</v>
      </c>
      <c r="AB1476" t="str">
        <f t="shared" ca="1" si="520"/>
        <v>Pending</v>
      </c>
      <c r="AC1476" t="str">
        <f t="shared" ca="1" si="521"/>
        <v>Cash</v>
      </c>
      <c r="AD1476" t="str">
        <f t="shared" ca="1" si="522"/>
        <v>No</v>
      </c>
      <c r="AE1476" t="str">
        <f t="shared" ca="1" si="523"/>
        <v>Yes</v>
      </c>
      <c r="AF1476" t="str">
        <f t="shared" ca="1" si="524"/>
        <v>Under Observation</v>
      </c>
      <c r="AG1476" t="str">
        <f t="shared" ca="1" si="525"/>
        <v>Southwest</v>
      </c>
      <c r="AH1476" t="str">
        <f t="shared" si="508"/>
        <v>January</v>
      </c>
      <c r="AI1476">
        <f t="shared" si="509"/>
        <v>2022</v>
      </c>
      <c r="AJ1476" t="str">
        <f t="shared" ca="1" si="526"/>
        <v>Occupied</v>
      </c>
      <c r="AK1476">
        <f t="shared" ca="1" si="527"/>
        <v>4</v>
      </c>
    </row>
    <row r="1477" spans="1:37" x14ac:dyDescent="0.3">
      <c r="A1477" t="s">
        <v>5872</v>
      </c>
      <c r="B1477">
        <v>45</v>
      </c>
      <c r="C1477" t="s">
        <v>32</v>
      </c>
      <c r="D1477" t="s">
        <v>83</v>
      </c>
      <c r="E1477" t="s">
        <v>48</v>
      </c>
      <c r="F1477" s="1">
        <v>44878</v>
      </c>
      <c r="G1477" t="s">
        <v>2952</v>
      </c>
      <c r="H1477" t="s">
        <v>2953</v>
      </c>
      <c r="I1477" t="s">
        <v>20</v>
      </c>
      <c r="J1477">
        <v>31028</v>
      </c>
      <c r="K1477">
        <v>247</v>
      </c>
      <c r="L1477" t="s">
        <v>42</v>
      </c>
      <c r="M1477" s="1">
        <v>44881</v>
      </c>
      <c r="N1477" t="s">
        <v>30</v>
      </c>
      <c r="O1477" t="s">
        <v>23</v>
      </c>
      <c r="P1477" t="str">
        <f t="shared" si="510"/>
        <v>P1476</v>
      </c>
      <c r="Q1477" t="str">
        <f t="shared" si="506"/>
        <v>Pulmonology</v>
      </c>
      <c r="R1477">
        <f t="shared" si="507"/>
        <v>3</v>
      </c>
      <c r="S1477" t="str">
        <f t="shared" ca="1" si="511"/>
        <v>No</v>
      </c>
      <c r="T1477" t="str">
        <f t="shared" ca="1" si="512"/>
        <v>Mild</v>
      </c>
      <c r="U1477" t="str">
        <f t="shared" ca="1" si="513"/>
        <v>General Ward</v>
      </c>
      <c r="V1477" t="str">
        <f t="shared" si="514"/>
        <v>BED1476</v>
      </c>
      <c r="W1477" t="str">
        <f t="shared" ca="1" si="515"/>
        <v>Semi-Private</v>
      </c>
      <c r="X1477" t="str">
        <f t="shared" si="516"/>
        <v>NUR026</v>
      </c>
      <c r="Y1477" t="str">
        <f t="shared" ca="1" si="517"/>
        <v>Morning</v>
      </c>
      <c r="Z1477" t="str">
        <f t="shared" ca="1" si="518"/>
        <v>CT Scanner</v>
      </c>
      <c r="AA1477" t="str">
        <f t="shared" ca="1" si="519"/>
        <v>Maintenance</v>
      </c>
      <c r="AB1477" t="str">
        <f t="shared" ca="1" si="520"/>
        <v>Paid</v>
      </c>
      <c r="AC1477" t="str">
        <f t="shared" ca="1" si="521"/>
        <v>Bank Transfer</v>
      </c>
      <c r="AD1477" t="str">
        <f t="shared" ca="1" si="522"/>
        <v>No</v>
      </c>
      <c r="AE1477" t="str">
        <f t="shared" ca="1" si="523"/>
        <v>No</v>
      </c>
      <c r="AF1477" t="str">
        <f t="shared" ca="1" si="524"/>
        <v>Recovered</v>
      </c>
      <c r="AG1477" t="str">
        <f t="shared" ca="1" si="525"/>
        <v>West Coast</v>
      </c>
      <c r="AH1477" t="str">
        <f t="shared" si="508"/>
        <v>November</v>
      </c>
      <c r="AI1477">
        <f t="shared" si="509"/>
        <v>2022</v>
      </c>
      <c r="AJ1477" t="str">
        <f t="shared" ca="1" si="526"/>
        <v>Occupied</v>
      </c>
      <c r="AK1477">
        <f t="shared" ca="1" si="527"/>
        <v>1</v>
      </c>
    </row>
    <row r="1478" spans="1:37" x14ac:dyDescent="0.3">
      <c r="A1478" t="s">
        <v>5873</v>
      </c>
      <c r="B1478">
        <v>33</v>
      </c>
      <c r="C1478" t="s">
        <v>15</v>
      </c>
      <c r="D1478" t="s">
        <v>98</v>
      </c>
      <c r="E1478" t="s">
        <v>76</v>
      </c>
      <c r="F1478" s="1">
        <v>44766</v>
      </c>
      <c r="G1478" t="s">
        <v>2954</v>
      </c>
      <c r="H1478" t="s">
        <v>2955</v>
      </c>
      <c r="I1478" t="s">
        <v>36</v>
      </c>
      <c r="J1478">
        <v>1468</v>
      </c>
      <c r="K1478">
        <v>492</v>
      </c>
      <c r="L1478" t="s">
        <v>21</v>
      </c>
      <c r="M1478" s="1">
        <v>44787</v>
      </c>
      <c r="N1478" t="s">
        <v>47</v>
      </c>
      <c r="O1478" t="s">
        <v>43</v>
      </c>
      <c r="P1478" t="str">
        <f t="shared" si="510"/>
        <v>P1477</v>
      </c>
      <c r="Q1478" t="str">
        <f t="shared" si="506"/>
        <v>Orthopedics</v>
      </c>
      <c r="R1478">
        <f t="shared" si="507"/>
        <v>21</v>
      </c>
      <c r="S1478" t="str">
        <f t="shared" ca="1" si="511"/>
        <v>No</v>
      </c>
      <c r="T1478" t="str">
        <f t="shared" ca="1" si="512"/>
        <v>Moderate</v>
      </c>
      <c r="U1478" t="str">
        <f t="shared" ca="1" si="513"/>
        <v>Semi-Private</v>
      </c>
      <c r="V1478" t="str">
        <f t="shared" si="514"/>
        <v>BED1477</v>
      </c>
      <c r="W1478" t="str">
        <f t="shared" ca="1" si="515"/>
        <v>General</v>
      </c>
      <c r="X1478" t="str">
        <f t="shared" si="516"/>
        <v>NUR027</v>
      </c>
      <c r="Y1478" t="str">
        <f t="shared" ca="1" si="517"/>
        <v>Evening</v>
      </c>
      <c r="Z1478" t="str">
        <f t="shared" ca="1" si="518"/>
        <v>Ventilator</v>
      </c>
      <c r="AA1478" t="str">
        <f t="shared" ca="1" si="519"/>
        <v>Maintenance</v>
      </c>
      <c r="AB1478" t="str">
        <f t="shared" ca="1" si="520"/>
        <v>Partially Paid</v>
      </c>
      <c r="AC1478" t="str">
        <f t="shared" ca="1" si="521"/>
        <v>Insurance</v>
      </c>
      <c r="AD1478" t="str">
        <f t="shared" ca="1" si="522"/>
        <v>No</v>
      </c>
      <c r="AE1478" t="str">
        <f t="shared" ca="1" si="523"/>
        <v>No</v>
      </c>
      <c r="AF1478" t="str">
        <f t="shared" ca="1" si="524"/>
        <v>Recovered</v>
      </c>
      <c r="AG1478" t="str">
        <f t="shared" ca="1" si="525"/>
        <v>West Coast</v>
      </c>
      <c r="AH1478" t="str">
        <f t="shared" si="508"/>
        <v>July</v>
      </c>
      <c r="AI1478">
        <f t="shared" si="509"/>
        <v>2022</v>
      </c>
      <c r="AJ1478" t="str">
        <f t="shared" ca="1" si="526"/>
        <v>Occupied</v>
      </c>
      <c r="AK1478">
        <f t="shared" ca="1" si="527"/>
        <v>4</v>
      </c>
    </row>
    <row r="1479" spans="1:37" x14ac:dyDescent="0.3">
      <c r="A1479" t="s">
        <v>5874</v>
      </c>
      <c r="B1479">
        <v>44</v>
      </c>
      <c r="C1479" t="s">
        <v>32</v>
      </c>
      <c r="D1479" t="s">
        <v>44</v>
      </c>
      <c r="E1479" t="s">
        <v>25</v>
      </c>
      <c r="F1479" s="1">
        <v>43641</v>
      </c>
      <c r="G1479" t="s">
        <v>2956</v>
      </c>
      <c r="H1479" t="s">
        <v>2957</v>
      </c>
      <c r="I1479" t="s">
        <v>28</v>
      </c>
      <c r="J1479">
        <v>35284</v>
      </c>
      <c r="K1479">
        <v>464</v>
      </c>
      <c r="L1479" t="s">
        <v>21</v>
      </c>
      <c r="M1479" s="1">
        <v>43656</v>
      </c>
      <c r="N1479" t="s">
        <v>67</v>
      </c>
      <c r="O1479" t="s">
        <v>23</v>
      </c>
      <c r="P1479" t="str">
        <f t="shared" si="510"/>
        <v>P1478</v>
      </c>
      <c r="Q1479" t="str">
        <f t="shared" si="506"/>
        <v>Nutrition</v>
      </c>
      <c r="R1479">
        <f t="shared" si="507"/>
        <v>15</v>
      </c>
      <c r="S1479" t="str">
        <f t="shared" ca="1" si="511"/>
        <v>No</v>
      </c>
      <c r="T1479" t="str">
        <f t="shared" ca="1" si="512"/>
        <v>Mild</v>
      </c>
      <c r="U1479" t="str">
        <f t="shared" ca="1" si="513"/>
        <v>Semi-Private</v>
      </c>
      <c r="V1479" t="str">
        <f t="shared" si="514"/>
        <v>BED1478</v>
      </c>
      <c r="W1479" t="str">
        <f t="shared" ca="1" si="515"/>
        <v>General</v>
      </c>
      <c r="X1479" t="str">
        <f t="shared" si="516"/>
        <v>NUR028</v>
      </c>
      <c r="Y1479" t="str">
        <f t="shared" ca="1" si="517"/>
        <v>Night</v>
      </c>
      <c r="Z1479" t="str">
        <f t="shared" ca="1" si="518"/>
        <v>ECG Machine</v>
      </c>
      <c r="AA1479" t="str">
        <f t="shared" ca="1" si="519"/>
        <v>Maintenance</v>
      </c>
      <c r="AB1479" t="str">
        <f t="shared" ca="1" si="520"/>
        <v>Partially Paid</v>
      </c>
      <c r="AC1479" t="str">
        <f t="shared" ca="1" si="521"/>
        <v>Cash</v>
      </c>
      <c r="AD1479" t="str">
        <f t="shared" ca="1" si="522"/>
        <v>No</v>
      </c>
      <c r="AE1479" t="str">
        <f t="shared" ca="1" si="523"/>
        <v>No</v>
      </c>
      <c r="AF1479" t="str">
        <f t="shared" ca="1" si="524"/>
        <v>Under Observation</v>
      </c>
      <c r="AG1479" t="str">
        <f t="shared" ca="1" si="525"/>
        <v>Northeast</v>
      </c>
      <c r="AH1479" t="str">
        <f t="shared" si="508"/>
        <v>June</v>
      </c>
      <c r="AI1479">
        <f t="shared" si="509"/>
        <v>2019</v>
      </c>
      <c r="AJ1479" t="str">
        <f t="shared" ca="1" si="526"/>
        <v>Occupied</v>
      </c>
      <c r="AK1479">
        <f t="shared" ca="1" si="527"/>
        <v>2</v>
      </c>
    </row>
    <row r="1480" spans="1:37" x14ac:dyDescent="0.3">
      <c r="A1480" t="s">
        <v>5875</v>
      </c>
      <c r="B1480">
        <v>29</v>
      </c>
      <c r="C1480" t="s">
        <v>32</v>
      </c>
      <c r="D1480" t="s">
        <v>52</v>
      </c>
      <c r="E1480" t="s">
        <v>48</v>
      </c>
      <c r="F1480" s="1">
        <v>44001</v>
      </c>
      <c r="G1480" t="s">
        <v>2958</v>
      </c>
      <c r="H1480" t="s">
        <v>2959</v>
      </c>
      <c r="I1480" t="s">
        <v>36</v>
      </c>
      <c r="J1480">
        <v>4289</v>
      </c>
      <c r="K1480">
        <v>500</v>
      </c>
      <c r="L1480" t="s">
        <v>21</v>
      </c>
      <c r="M1480" s="1">
        <v>44020</v>
      </c>
      <c r="N1480" t="s">
        <v>30</v>
      </c>
      <c r="O1480" t="s">
        <v>23</v>
      </c>
      <c r="P1480" t="str">
        <f t="shared" si="510"/>
        <v>P1479</v>
      </c>
      <c r="Q1480" t="str">
        <f t="shared" si="506"/>
        <v>Pulmonology</v>
      </c>
      <c r="R1480">
        <f t="shared" si="507"/>
        <v>19</v>
      </c>
      <c r="S1480" t="str">
        <f t="shared" ca="1" si="511"/>
        <v>No</v>
      </c>
      <c r="T1480" t="str">
        <f t="shared" ca="1" si="512"/>
        <v>Mild</v>
      </c>
      <c r="U1480" t="str">
        <f t="shared" ca="1" si="513"/>
        <v>Emergency</v>
      </c>
      <c r="V1480" t="str">
        <f t="shared" si="514"/>
        <v>BED1479</v>
      </c>
      <c r="W1480" t="str">
        <f t="shared" ca="1" si="515"/>
        <v>ICU</v>
      </c>
      <c r="X1480" t="str">
        <f t="shared" si="516"/>
        <v>NUR029</v>
      </c>
      <c r="Y1480" t="str">
        <f t="shared" ca="1" si="517"/>
        <v>Morning</v>
      </c>
      <c r="Z1480" t="str">
        <f t="shared" ca="1" si="518"/>
        <v>Ventilator</v>
      </c>
      <c r="AA1480" t="str">
        <f t="shared" ca="1" si="519"/>
        <v>Available</v>
      </c>
      <c r="AB1480" t="str">
        <f t="shared" ca="1" si="520"/>
        <v>Pending</v>
      </c>
      <c r="AC1480" t="str">
        <f t="shared" ca="1" si="521"/>
        <v>Credit Card</v>
      </c>
      <c r="AD1480" t="str">
        <f t="shared" ca="1" si="522"/>
        <v>No</v>
      </c>
      <c r="AE1480" t="str">
        <f t="shared" ca="1" si="523"/>
        <v>No</v>
      </c>
      <c r="AF1480" t="str">
        <f t="shared" ca="1" si="524"/>
        <v>Transferred</v>
      </c>
      <c r="AG1480" t="str">
        <f t="shared" ca="1" si="525"/>
        <v>Northeast</v>
      </c>
      <c r="AH1480" t="str">
        <f t="shared" si="508"/>
        <v>June</v>
      </c>
      <c r="AI1480">
        <f t="shared" si="509"/>
        <v>2020</v>
      </c>
      <c r="AJ1480" t="str">
        <f t="shared" ca="1" si="526"/>
        <v>Vacant</v>
      </c>
      <c r="AK1480">
        <f t="shared" ca="1" si="527"/>
        <v>1</v>
      </c>
    </row>
    <row r="1481" spans="1:37" x14ac:dyDescent="0.3">
      <c r="A1481" t="s">
        <v>5876</v>
      </c>
      <c r="B1481">
        <v>35</v>
      </c>
      <c r="C1481" t="s">
        <v>32</v>
      </c>
      <c r="D1481" t="s">
        <v>44</v>
      </c>
      <c r="E1481" t="s">
        <v>39</v>
      </c>
      <c r="F1481" s="1">
        <v>43867</v>
      </c>
      <c r="G1481" t="s">
        <v>2960</v>
      </c>
      <c r="H1481" t="s">
        <v>2961</v>
      </c>
      <c r="I1481" t="s">
        <v>51</v>
      </c>
      <c r="J1481">
        <v>19769</v>
      </c>
      <c r="K1481">
        <v>464</v>
      </c>
      <c r="L1481" t="s">
        <v>42</v>
      </c>
      <c r="M1481" s="1">
        <v>43885</v>
      </c>
      <c r="N1481" t="s">
        <v>30</v>
      </c>
      <c r="O1481" t="s">
        <v>31</v>
      </c>
      <c r="P1481" t="str">
        <f t="shared" si="510"/>
        <v>P1480</v>
      </c>
      <c r="Q1481" t="str">
        <f t="shared" si="506"/>
        <v>Endocrinology</v>
      </c>
      <c r="R1481">
        <f t="shared" si="507"/>
        <v>18</v>
      </c>
      <c r="S1481" t="str">
        <f t="shared" ca="1" si="511"/>
        <v>No</v>
      </c>
      <c r="T1481" t="str">
        <f t="shared" ca="1" si="512"/>
        <v>Mild</v>
      </c>
      <c r="U1481" t="str">
        <f t="shared" ca="1" si="513"/>
        <v>Private Ward</v>
      </c>
      <c r="V1481" t="str">
        <f t="shared" si="514"/>
        <v>BED1480</v>
      </c>
      <c r="W1481" t="str">
        <f t="shared" ca="1" si="515"/>
        <v>Semi-Private</v>
      </c>
      <c r="X1481" t="str">
        <f t="shared" si="516"/>
        <v>NUR030</v>
      </c>
      <c r="Y1481" t="str">
        <f t="shared" ca="1" si="517"/>
        <v>Night</v>
      </c>
      <c r="Z1481" t="str">
        <f t="shared" ca="1" si="518"/>
        <v>ECG Machine</v>
      </c>
      <c r="AA1481" t="str">
        <f t="shared" ca="1" si="519"/>
        <v>Available</v>
      </c>
      <c r="AB1481" t="str">
        <f t="shared" ca="1" si="520"/>
        <v>Paid</v>
      </c>
      <c r="AC1481" t="str">
        <f t="shared" ca="1" si="521"/>
        <v>Bank Transfer</v>
      </c>
      <c r="AD1481" t="str">
        <f t="shared" ca="1" si="522"/>
        <v>Yes</v>
      </c>
      <c r="AE1481" t="str">
        <f t="shared" ca="1" si="523"/>
        <v>Yes</v>
      </c>
      <c r="AF1481" t="str">
        <f t="shared" ca="1" si="524"/>
        <v>Transferred</v>
      </c>
      <c r="AG1481" t="str">
        <f t="shared" ca="1" si="525"/>
        <v>Northeast</v>
      </c>
      <c r="AH1481" t="str">
        <f t="shared" si="508"/>
        <v>February</v>
      </c>
      <c r="AI1481">
        <f t="shared" si="509"/>
        <v>2020</v>
      </c>
      <c r="AJ1481" t="str">
        <f t="shared" ca="1" si="526"/>
        <v>Occupied</v>
      </c>
      <c r="AK1481">
        <f t="shared" ca="1" si="527"/>
        <v>2</v>
      </c>
    </row>
    <row r="1482" spans="1:37" x14ac:dyDescent="0.3">
      <c r="A1482" t="s">
        <v>5877</v>
      </c>
      <c r="B1482">
        <v>45</v>
      </c>
      <c r="C1482" t="s">
        <v>32</v>
      </c>
      <c r="D1482" t="s">
        <v>24</v>
      </c>
      <c r="E1482" t="s">
        <v>64</v>
      </c>
      <c r="F1482" s="1">
        <v>45277</v>
      </c>
      <c r="G1482" t="s">
        <v>2962</v>
      </c>
      <c r="H1482" t="s">
        <v>2963</v>
      </c>
      <c r="I1482" t="s">
        <v>51</v>
      </c>
      <c r="J1482">
        <v>30430</v>
      </c>
      <c r="K1482">
        <v>361</v>
      </c>
      <c r="L1482" t="s">
        <v>21</v>
      </c>
      <c r="M1482" s="1">
        <v>45303</v>
      </c>
      <c r="N1482" t="s">
        <v>22</v>
      </c>
      <c r="O1482" t="s">
        <v>23</v>
      </c>
      <c r="P1482" t="str">
        <f t="shared" si="510"/>
        <v>P1481</v>
      </c>
      <c r="Q1482" t="str">
        <f t="shared" si="506"/>
        <v>Cardiology</v>
      </c>
      <c r="R1482">
        <f t="shared" si="507"/>
        <v>26</v>
      </c>
      <c r="S1482" t="str">
        <f t="shared" ca="1" si="511"/>
        <v>Yes</v>
      </c>
      <c r="T1482" t="str">
        <f t="shared" ca="1" si="512"/>
        <v>Moderate</v>
      </c>
      <c r="U1482" t="str">
        <f t="shared" ca="1" si="513"/>
        <v>Private Ward</v>
      </c>
      <c r="V1482" t="str">
        <f t="shared" si="514"/>
        <v>BED1481</v>
      </c>
      <c r="W1482" t="str">
        <f t="shared" ca="1" si="515"/>
        <v>ICU</v>
      </c>
      <c r="X1482" t="str">
        <f t="shared" si="516"/>
        <v>NUR031</v>
      </c>
      <c r="Y1482" t="str">
        <f t="shared" ca="1" si="517"/>
        <v>Evening</v>
      </c>
      <c r="Z1482" t="str">
        <f t="shared" ca="1" si="518"/>
        <v>MRI Scanner</v>
      </c>
      <c r="AA1482" t="str">
        <f t="shared" ca="1" si="519"/>
        <v>In Use</v>
      </c>
      <c r="AB1482" t="str">
        <f t="shared" ca="1" si="520"/>
        <v>Paid</v>
      </c>
      <c r="AC1482" t="str">
        <f t="shared" ca="1" si="521"/>
        <v>Cash</v>
      </c>
      <c r="AD1482" t="str">
        <f t="shared" ca="1" si="522"/>
        <v>No</v>
      </c>
      <c r="AE1482" t="str">
        <f t="shared" ca="1" si="523"/>
        <v>No</v>
      </c>
      <c r="AF1482" t="str">
        <f t="shared" ca="1" si="524"/>
        <v>Recovered</v>
      </c>
      <c r="AG1482" t="str">
        <f t="shared" ca="1" si="525"/>
        <v>West Coast</v>
      </c>
      <c r="AH1482" t="str">
        <f t="shared" si="508"/>
        <v>December</v>
      </c>
      <c r="AI1482">
        <f t="shared" si="509"/>
        <v>2023</v>
      </c>
      <c r="AJ1482" t="str">
        <f t="shared" ca="1" si="526"/>
        <v>Vacant</v>
      </c>
      <c r="AK1482">
        <f t="shared" ca="1" si="527"/>
        <v>1</v>
      </c>
    </row>
    <row r="1483" spans="1:37" x14ac:dyDescent="0.3">
      <c r="A1483" t="s">
        <v>5878</v>
      </c>
      <c r="B1483">
        <v>49</v>
      </c>
      <c r="C1483" t="s">
        <v>32</v>
      </c>
      <c r="D1483" t="s">
        <v>16</v>
      </c>
      <c r="E1483" t="s">
        <v>17</v>
      </c>
      <c r="F1483" s="1">
        <v>44778</v>
      </c>
      <c r="G1483" t="s">
        <v>2964</v>
      </c>
      <c r="H1483" t="s">
        <v>2965</v>
      </c>
      <c r="I1483" t="s">
        <v>20</v>
      </c>
      <c r="J1483">
        <v>38716</v>
      </c>
      <c r="K1483">
        <v>185</v>
      </c>
      <c r="L1483" t="s">
        <v>21</v>
      </c>
      <c r="M1483" s="1">
        <v>44784</v>
      </c>
      <c r="N1483" t="s">
        <v>47</v>
      </c>
      <c r="O1483" t="s">
        <v>43</v>
      </c>
      <c r="P1483" t="str">
        <f t="shared" si="510"/>
        <v>P1482</v>
      </c>
      <c r="Q1483" t="str">
        <f t="shared" si="506"/>
        <v>Oncology</v>
      </c>
      <c r="R1483">
        <f t="shared" si="507"/>
        <v>6</v>
      </c>
      <c r="S1483" t="str">
        <f t="shared" ca="1" si="511"/>
        <v>Yes</v>
      </c>
      <c r="T1483" t="str">
        <f t="shared" ca="1" si="512"/>
        <v>Mild</v>
      </c>
      <c r="U1483" t="str">
        <f t="shared" ca="1" si="513"/>
        <v>Emergency</v>
      </c>
      <c r="V1483" t="str">
        <f t="shared" si="514"/>
        <v>BED1482</v>
      </c>
      <c r="W1483" t="str">
        <f t="shared" ca="1" si="515"/>
        <v>Semi-Private</v>
      </c>
      <c r="X1483" t="str">
        <f t="shared" si="516"/>
        <v>NUR032</v>
      </c>
      <c r="Y1483" t="str">
        <f t="shared" ca="1" si="517"/>
        <v>Night</v>
      </c>
      <c r="Z1483" t="str">
        <f t="shared" ca="1" si="518"/>
        <v>CT Scanner</v>
      </c>
      <c r="AA1483" t="str">
        <f t="shared" ca="1" si="519"/>
        <v>Available</v>
      </c>
      <c r="AB1483" t="str">
        <f t="shared" ca="1" si="520"/>
        <v>Pending</v>
      </c>
      <c r="AC1483" t="str">
        <f t="shared" ca="1" si="521"/>
        <v>Insurance</v>
      </c>
      <c r="AD1483" t="str">
        <f t="shared" ca="1" si="522"/>
        <v>No</v>
      </c>
      <c r="AE1483" t="str">
        <f t="shared" ca="1" si="523"/>
        <v>No</v>
      </c>
      <c r="AF1483" t="str">
        <f t="shared" ca="1" si="524"/>
        <v>Transferred</v>
      </c>
      <c r="AG1483" t="str">
        <f t="shared" ca="1" si="525"/>
        <v>Midwest</v>
      </c>
      <c r="AH1483" t="str">
        <f t="shared" si="508"/>
        <v>August</v>
      </c>
      <c r="AI1483">
        <f t="shared" si="509"/>
        <v>2022</v>
      </c>
      <c r="AJ1483" t="str">
        <f t="shared" ca="1" si="526"/>
        <v>Occupied</v>
      </c>
      <c r="AK1483">
        <f t="shared" ca="1" si="527"/>
        <v>4</v>
      </c>
    </row>
    <row r="1484" spans="1:37" x14ac:dyDescent="0.3">
      <c r="A1484" t="s">
        <v>5879</v>
      </c>
      <c r="B1484">
        <v>39</v>
      </c>
      <c r="C1484" t="s">
        <v>15</v>
      </c>
      <c r="D1484" t="s">
        <v>38</v>
      </c>
      <c r="E1484" t="s">
        <v>48</v>
      </c>
      <c r="F1484" s="1">
        <v>44102</v>
      </c>
      <c r="G1484" t="s">
        <v>2966</v>
      </c>
      <c r="H1484" t="s">
        <v>2967</v>
      </c>
      <c r="I1484" t="s">
        <v>51</v>
      </c>
      <c r="J1484">
        <v>15564</v>
      </c>
      <c r="K1484">
        <v>232</v>
      </c>
      <c r="L1484" t="s">
        <v>21</v>
      </c>
      <c r="M1484" s="1">
        <v>44109</v>
      </c>
      <c r="N1484" t="s">
        <v>22</v>
      </c>
      <c r="O1484" t="s">
        <v>31</v>
      </c>
      <c r="P1484" t="str">
        <f t="shared" si="510"/>
        <v>P1483</v>
      </c>
      <c r="Q1484" t="str">
        <f t="shared" si="506"/>
        <v>Pulmonology</v>
      </c>
      <c r="R1484">
        <f t="shared" si="507"/>
        <v>7</v>
      </c>
      <c r="S1484" t="str">
        <f t="shared" ca="1" si="511"/>
        <v>No</v>
      </c>
      <c r="T1484" t="str">
        <f t="shared" ca="1" si="512"/>
        <v>Severe</v>
      </c>
      <c r="U1484" t="str">
        <f t="shared" ca="1" si="513"/>
        <v>General Ward</v>
      </c>
      <c r="V1484" t="str">
        <f t="shared" si="514"/>
        <v>BED1483</v>
      </c>
      <c r="W1484" t="str">
        <f t="shared" ca="1" si="515"/>
        <v>General</v>
      </c>
      <c r="X1484" t="str">
        <f t="shared" si="516"/>
        <v>NUR033</v>
      </c>
      <c r="Y1484" t="str">
        <f t="shared" ca="1" si="517"/>
        <v>Night</v>
      </c>
      <c r="Z1484" t="str">
        <f t="shared" ca="1" si="518"/>
        <v>CT Scanner</v>
      </c>
      <c r="AA1484" t="str">
        <f t="shared" ca="1" si="519"/>
        <v>Available</v>
      </c>
      <c r="AB1484" t="str">
        <f t="shared" ca="1" si="520"/>
        <v>Paid</v>
      </c>
      <c r="AC1484" t="str">
        <f t="shared" ca="1" si="521"/>
        <v>Bank Transfer</v>
      </c>
      <c r="AD1484" t="str">
        <f t="shared" ca="1" si="522"/>
        <v>No</v>
      </c>
      <c r="AE1484" t="str">
        <f t="shared" ca="1" si="523"/>
        <v>No</v>
      </c>
      <c r="AF1484" t="str">
        <f t="shared" ca="1" si="524"/>
        <v>Under Observation</v>
      </c>
      <c r="AG1484" t="str">
        <f t="shared" ca="1" si="525"/>
        <v>West Coast</v>
      </c>
      <c r="AH1484" t="str">
        <f t="shared" si="508"/>
        <v>September</v>
      </c>
      <c r="AI1484">
        <f t="shared" si="509"/>
        <v>2020</v>
      </c>
      <c r="AJ1484" t="str">
        <f t="shared" ca="1" si="526"/>
        <v>Vacant</v>
      </c>
      <c r="AK1484">
        <f t="shared" ca="1" si="527"/>
        <v>1</v>
      </c>
    </row>
    <row r="1485" spans="1:37" x14ac:dyDescent="0.3">
      <c r="A1485" t="s">
        <v>5167</v>
      </c>
      <c r="B1485">
        <v>80</v>
      </c>
      <c r="C1485" t="s">
        <v>15</v>
      </c>
      <c r="D1485" t="s">
        <v>38</v>
      </c>
      <c r="E1485" t="s">
        <v>25</v>
      </c>
      <c r="F1485" s="1">
        <v>44090</v>
      </c>
      <c r="G1485" t="s">
        <v>2968</v>
      </c>
      <c r="H1485" t="s">
        <v>2969</v>
      </c>
      <c r="I1485" t="s">
        <v>57</v>
      </c>
      <c r="J1485">
        <v>27671</v>
      </c>
      <c r="K1485">
        <v>330</v>
      </c>
      <c r="L1485" t="s">
        <v>42</v>
      </c>
      <c r="M1485" s="1">
        <v>44117</v>
      </c>
      <c r="N1485" t="s">
        <v>30</v>
      </c>
      <c r="O1485" t="s">
        <v>43</v>
      </c>
      <c r="P1485" t="str">
        <f t="shared" si="510"/>
        <v>P1484</v>
      </c>
      <c r="Q1485" t="str">
        <f t="shared" si="506"/>
        <v>Nutrition</v>
      </c>
      <c r="R1485">
        <f t="shared" si="507"/>
        <v>27</v>
      </c>
      <c r="S1485" t="str">
        <f t="shared" ca="1" si="511"/>
        <v>No</v>
      </c>
      <c r="T1485" t="str">
        <f t="shared" ca="1" si="512"/>
        <v>Moderate</v>
      </c>
      <c r="U1485" t="str">
        <f t="shared" ca="1" si="513"/>
        <v>ICU</v>
      </c>
      <c r="V1485" t="str">
        <f t="shared" si="514"/>
        <v>BED1484</v>
      </c>
      <c r="W1485" t="str">
        <f t="shared" ca="1" si="515"/>
        <v>ICU</v>
      </c>
      <c r="X1485" t="str">
        <f t="shared" si="516"/>
        <v>NUR034</v>
      </c>
      <c r="Y1485" t="str">
        <f t="shared" ca="1" si="517"/>
        <v>Morning</v>
      </c>
      <c r="Z1485" t="str">
        <f t="shared" ca="1" si="518"/>
        <v>CT Scanner</v>
      </c>
      <c r="AA1485" t="str">
        <f t="shared" ca="1" si="519"/>
        <v>Available</v>
      </c>
      <c r="AB1485" t="str">
        <f t="shared" ca="1" si="520"/>
        <v>Pending</v>
      </c>
      <c r="AC1485" t="str">
        <f t="shared" ca="1" si="521"/>
        <v>Insurance</v>
      </c>
      <c r="AD1485" t="str">
        <f t="shared" ca="1" si="522"/>
        <v>Yes</v>
      </c>
      <c r="AE1485" t="str">
        <f t="shared" ca="1" si="523"/>
        <v>No</v>
      </c>
      <c r="AF1485" t="str">
        <f t="shared" ca="1" si="524"/>
        <v>Recovered</v>
      </c>
      <c r="AG1485" t="str">
        <f t="shared" ca="1" si="525"/>
        <v>Southwest</v>
      </c>
      <c r="AH1485" t="str">
        <f t="shared" si="508"/>
        <v>September</v>
      </c>
      <c r="AI1485">
        <f t="shared" si="509"/>
        <v>2020</v>
      </c>
      <c r="AJ1485" t="str">
        <f t="shared" ca="1" si="526"/>
        <v>Occupied</v>
      </c>
      <c r="AK1485">
        <f t="shared" ca="1" si="527"/>
        <v>2</v>
      </c>
    </row>
    <row r="1486" spans="1:37" x14ac:dyDescent="0.3">
      <c r="A1486" t="s">
        <v>5880</v>
      </c>
      <c r="B1486">
        <v>80</v>
      </c>
      <c r="C1486" t="s">
        <v>32</v>
      </c>
      <c r="D1486" t="s">
        <v>33</v>
      </c>
      <c r="E1486" t="s">
        <v>64</v>
      </c>
      <c r="F1486" s="1">
        <v>43857</v>
      </c>
      <c r="G1486" t="s">
        <v>2970</v>
      </c>
      <c r="H1486" t="s">
        <v>2971</v>
      </c>
      <c r="I1486" t="s">
        <v>36</v>
      </c>
      <c r="J1486">
        <v>10757</v>
      </c>
      <c r="K1486">
        <v>291</v>
      </c>
      <c r="L1486" t="s">
        <v>29</v>
      </c>
      <c r="M1486" s="1">
        <v>43882</v>
      </c>
      <c r="N1486" t="s">
        <v>47</v>
      </c>
      <c r="O1486" t="s">
        <v>31</v>
      </c>
      <c r="P1486" t="str">
        <f t="shared" si="510"/>
        <v>P1485</v>
      </c>
      <c r="Q1486" t="str">
        <f t="shared" si="506"/>
        <v>Cardiology</v>
      </c>
      <c r="R1486">
        <f t="shared" si="507"/>
        <v>25</v>
      </c>
      <c r="S1486" t="str">
        <f t="shared" ca="1" si="511"/>
        <v>No</v>
      </c>
      <c r="T1486" t="str">
        <f t="shared" ca="1" si="512"/>
        <v>Moderate</v>
      </c>
      <c r="U1486" t="str">
        <f t="shared" ca="1" si="513"/>
        <v>Emergency</v>
      </c>
      <c r="V1486" t="str">
        <f t="shared" si="514"/>
        <v>BED1485</v>
      </c>
      <c r="W1486" t="str">
        <f t="shared" ca="1" si="515"/>
        <v>General</v>
      </c>
      <c r="X1486" t="str">
        <f t="shared" si="516"/>
        <v>NUR035</v>
      </c>
      <c r="Y1486" t="str">
        <f t="shared" ca="1" si="517"/>
        <v>Evening</v>
      </c>
      <c r="Z1486" t="str">
        <f t="shared" ca="1" si="518"/>
        <v>CT Scanner</v>
      </c>
      <c r="AA1486" t="str">
        <f t="shared" ca="1" si="519"/>
        <v>Available</v>
      </c>
      <c r="AB1486" t="str">
        <f t="shared" ca="1" si="520"/>
        <v>Partially Paid</v>
      </c>
      <c r="AC1486" t="str">
        <f t="shared" ca="1" si="521"/>
        <v>Cash</v>
      </c>
      <c r="AD1486" t="str">
        <f t="shared" ca="1" si="522"/>
        <v>Yes</v>
      </c>
      <c r="AE1486" t="str">
        <f t="shared" ca="1" si="523"/>
        <v>Yes</v>
      </c>
      <c r="AF1486" t="str">
        <f t="shared" ca="1" si="524"/>
        <v>Transferred</v>
      </c>
      <c r="AG1486" t="str">
        <f t="shared" ca="1" si="525"/>
        <v>Southwest</v>
      </c>
      <c r="AH1486" t="str">
        <f t="shared" si="508"/>
        <v>January</v>
      </c>
      <c r="AI1486">
        <f t="shared" si="509"/>
        <v>2020</v>
      </c>
      <c r="AJ1486" t="str">
        <f t="shared" ca="1" si="526"/>
        <v>Vacant</v>
      </c>
      <c r="AK1486">
        <f t="shared" ca="1" si="527"/>
        <v>2</v>
      </c>
    </row>
    <row r="1487" spans="1:37" x14ac:dyDescent="0.3">
      <c r="A1487" t="s">
        <v>5881</v>
      </c>
      <c r="B1487">
        <v>51</v>
      </c>
      <c r="C1487" t="s">
        <v>15</v>
      </c>
      <c r="D1487" t="s">
        <v>33</v>
      </c>
      <c r="E1487" t="s">
        <v>48</v>
      </c>
      <c r="F1487" s="1">
        <v>43993</v>
      </c>
      <c r="G1487" t="s">
        <v>2972</v>
      </c>
      <c r="H1487" t="s">
        <v>2973</v>
      </c>
      <c r="I1487" t="s">
        <v>28</v>
      </c>
      <c r="J1487">
        <v>43583</v>
      </c>
      <c r="K1487">
        <v>231</v>
      </c>
      <c r="L1487" t="s">
        <v>29</v>
      </c>
      <c r="M1487" s="1">
        <v>43998</v>
      </c>
      <c r="N1487" t="s">
        <v>22</v>
      </c>
      <c r="O1487" t="s">
        <v>23</v>
      </c>
      <c r="P1487" t="str">
        <f t="shared" si="510"/>
        <v>P1486</v>
      </c>
      <c r="Q1487" t="str">
        <f t="shared" si="506"/>
        <v>Pulmonology</v>
      </c>
      <c r="R1487">
        <f t="shared" si="507"/>
        <v>5</v>
      </c>
      <c r="S1487" t="str">
        <f t="shared" ca="1" si="511"/>
        <v>No</v>
      </c>
      <c r="T1487" t="str">
        <f t="shared" ca="1" si="512"/>
        <v>Critical</v>
      </c>
      <c r="U1487" t="str">
        <f t="shared" ca="1" si="513"/>
        <v>General Ward</v>
      </c>
      <c r="V1487" t="str">
        <f t="shared" si="514"/>
        <v>BED1486</v>
      </c>
      <c r="W1487" t="str">
        <f t="shared" ca="1" si="515"/>
        <v>Private</v>
      </c>
      <c r="X1487" t="str">
        <f t="shared" si="516"/>
        <v>NUR036</v>
      </c>
      <c r="Y1487" t="str">
        <f t="shared" ca="1" si="517"/>
        <v>Morning</v>
      </c>
      <c r="Z1487" t="str">
        <f t="shared" ca="1" si="518"/>
        <v>MRI Scanner</v>
      </c>
      <c r="AA1487" t="str">
        <f t="shared" ca="1" si="519"/>
        <v>Maintenance</v>
      </c>
      <c r="AB1487" t="str">
        <f t="shared" ca="1" si="520"/>
        <v>Paid</v>
      </c>
      <c r="AC1487" t="str">
        <f t="shared" ca="1" si="521"/>
        <v>Credit Card</v>
      </c>
      <c r="AD1487" t="str">
        <f t="shared" ca="1" si="522"/>
        <v>No</v>
      </c>
      <c r="AE1487" t="str">
        <f t="shared" ca="1" si="523"/>
        <v>No</v>
      </c>
      <c r="AF1487" t="str">
        <f t="shared" ca="1" si="524"/>
        <v>Under Observation</v>
      </c>
      <c r="AG1487" t="str">
        <f t="shared" ca="1" si="525"/>
        <v>Southwest</v>
      </c>
      <c r="AH1487" t="str">
        <f t="shared" si="508"/>
        <v>June</v>
      </c>
      <c r="AI1487">
        <f t="shared" si="509"/>
        <v>2020</v>
      </c>
      <c r="AJ1487" t="str">
        <f t="shared" ca="1" si="526"/>
        <v>Occupied</v>
      </c>
      <c r="AK1487">
        <f t="shared" ca="1" si="527"/>
        <v>4</v>
      </c>
    </row>
    <row r="1488" spans="1:37" x14ac:dyDescent="0.3">
      <c r="A1488" t="s">
        <v>5882</v>
      </c>
      <c r="B1488">
        <v>70</v>
      </c>
      <c r="C1488" t="s">
        <v>32</v>
      </c>
      <c r="D1488" t="s">
        <v>16</v>
      </c>
      <c r="E1488" t="s">
        <v>76</v>
      </c>
      <c r="F1488" s="1">
        <v>43803</v>
      </c>
      <c r="G1488" t="s">
        <v>2974</v>
      </c>
      <c r="H1488" t="s">
        <v>2975</v>
      </c>
      <c r="I1488" t="s">
        <v>20</v>
      </c>
      <c r="J1488">
        <v>27006</v>
      </c>
      <c r="K1488">
        <v>412</v>
      </c>
      <c r="L1488" t="s">
        <v>29</v>
      </c>
      <c r="M1488" s="1">
        <v>43832</v>
      </c>
      <c r="N1488" t="s">
        <v>67</v>
      </c>
      <c r="O1488" t="s">
        <v>23</v>
      </c>
      <c r="P1488" t="str">
        <f t="shared" si="510"/>
        <v>P1487</v>
      </c>
      <c r="Q1488" t="str">
        <f t="shared" si="506"/>
        <v>Orthopedics</v>
      </c>
      <c r="R1488">
        <f t="shared" si="507"/>
        <v>29</v>
      </c>
      <c r="S1488" t="str">
        <f t="shared" ca="1" si="511"/>
        <v>No</v>
      </c>
      <c r="T1488" t="str">
        <f t="shared" ca="1" si="512"/>
        <v>Moderate</v>
      </c>
      <c r="U1488" t="str">
        <f t="shared" ca="1" si="513"/>
        <v>Emergency</v>
      </c>
      <c r="V1488" t="str">
        <f t="shared" si="514"/>
        <v>BED1487</v>
      </c>
      <c r="W1488" t="str">
        <f t="shared" ca="1" si="515"/>
        <v>ICU</v>
      </c>
      <c r="X1488" t="str">
        <f t="shared" si="516"/>
        <v>NUR037</v>
      </c>
      <c r="Y1488" t="str">
        <f t="shared" ca="1" si="517"/>
        <v>Morning</v>
      </c>
      <c r="Z1488" t="str">
        <f t="shared" ca="1" si="518"/>
        <v>CT Scanner</v>
      </c>
      <c r="AA1488" t="str">
        <f t="shared" ca="1" si="519"/>
        <v>In Use</v>
      </c>
      <c r="AB1488" t="str">
        <f t="shared" ca="1" si="520"/>
        <v>Pending</v>
      </c>
      <c r="AC1488" t="str">
        <f t="shared" ca="1" si="521"/>
        <v>Cash</v>
      </c>
      <c r="AD1488" t="str">
        <f t="shared" ca="1" si="522"/>
        <v>Yes</v>
      </c>
      <c r="AE1488" t="str">
        <f t="shared" ca="1" si="523"/>
        <v>No</v>
      </c>
      <c r="AF1488" t="str">
        <f t="shared" ca="1" si="524"/>
        <v>Under Observation</v>
      </c>
      <c r="AG1488" t="str">
        <f t="shared" ca="1" si="525"/>
        <v>West Coast</v>
      </c>
      <c r="AH1488" t="str">
        <f t="shared" si="508"/>
        <v>December</v>
      </c>
      <c r="AI1488">
        <f t="shared" si="509"/>
        <v>2019</v>
      </c>
      <c r="AJ1488" t="str">
        <f t="shared" ca="1" si="526"/>
        <v>Occupied</v>
      </c>
      <c r="AK1488">
        <f t="shared" ca="1" si="527"/>
        <v>1</v>
      </c>
    </row>
    <row r="1489" spans="1:37" x14ac:dyDescent="0.3">
      <c r="A1489" t="s">
        <v>5883</v>
      </c>
      <c r="B1489">
        <v>68</v>
      </c>
      <c r="C1489" t="s">
        <v>15</v>
      </c>
      <c r="D1489" t="s">
        <v>24</v>
      </c>
      <c r="E1489" t="s">
        <v>39</v>
      </c>
      <c r="F1489" s="1">
        <v>44170</v>
      </c>
      <c r="G1489" t="s">
        <v>2976</v>
      </c>
      <c r="H1489" t="s">
        <v>2977</v>
      </c>
      <c r="I1489" t="s">
        <v>28</v>
      </c>
      <c r="J1489">
        <v>6079</v>
      </c>
      <c r="K1489">
        <v>478</v>
      </c>
      <c r="L1489" t="s">
        <v>29</v>
      </c>
      <c r="M1489" s="1">
        <v>44183</v>
      </c>
      <c r="N1489" t="s">
        <v>30</v>
      </c>
      <c r="O1489" t="s">
        <v>31</v>
      </c>
      <c r="P1489" t="str">
        <f t="shared" si="510"/>
        <v>P1488</v>
      </c>
      <c r="Q1489" t="str">
        <f t="shared" si="506"/>
        <v>Endocrinology</v>
      </c>
      <c r="R1489">
        <f t="shared" si="507"/>
        <v>13</v>
      </c>
      <c r="S1489" t="str">
        <f t="shared" ca="1" si="511"/>
        <v>No</v>
      </c>
      <c r="T1489" t="str">
        <f t="shared" ca="1" si="512"/>
        <v>Moderate</v>
      </c>
      <c r="U1489" t="str">
        <f t="shared" ca="1" si="513"/>
        <v>ICU</v>
      </c>
      <c r="V1489" t="str">
        <f t="shared" si="514"/>
        <v>BED1488</v>
      </c>
      <c r="W1489" t="str">
        <f t="shared" ca="1" si="515"/>
        <v>ICU</v>
      </c>
      <c r="X1489" t="str">
        <f t="shared" si="516"/>
        <v>NUR038</v>
      </c>
      <c r="Y1489" t="str">
        <f t="shared" ca="1" si="517"/>
        <v>Morning</v>
      </c>
      <c r="Z1489" t="str">
        <f t="shared" ca="1" si="518"/>
        <v>Ventilator</v>
      </c>
      <c r="AA1489" t="str">
        <f t="shared" ca="1" si="519"/>
        <v>In Use</v>
      </c>
      <c r="AB1489" t="str">
        <f t="shared" ca="1" si="520"/>
        <v>Pending</v>
      </c>
      <c r="AC1489" t="str">
        <f t="shared" ca="1" si="521"/>
        <v>Debit Card</v>
      </c>
      <c r="AD1489" t="str">
        <f t="shared" ca="1" si="522"/>
        <v>No</v>
      </c>
      <c r="AE1489" t="str">
        <f t="shared" ca="1" si="523"/>
        <v>No</v>
      </c>
      <c r="AF1489" t="str">
        <f t="shared" ca="1" si="524"/>
        <v>Recovered</v>
      </c>
      <c r="AG1489" t="str">
        <f t="shared" ca="1" si="525"/>
        <v>West Coast</v>
      </c>
      <c r="AH1489" t="str">
        <f t="shared" si="508"/>
        <v>December</v>
      </c>
      <c r="AI1489">
        <f t="shared" si="509"/>
        <v>2020</v>
      </c>
      <c r="AJ1489" t="str">
        <f t="shared" ca="1" si="526"/>
        <v>Occupied</v>
      </c>
      <c r="AK1489">
        <f t="shared" ca="1" si="527"/>
        <v>4</v>
      </c>
    </row>
    <row r="1490" spans="1:37" x14ac:dyDescent="0.3">
      <c r="A1490" t="s">
        <v>5884</v>
      </c>
      <c r="B1490">
        <v>49</v>
      </c>
      <c r="C1490" t="s">
        <v>15</v>
      </c>
      <c r="D1490" t="s">
        <v>33</v>
      </c>
      <c r="E1490" t="s">
        <v>17</v>
      </c>
      <c r="F1490" s="1">
        <v>44338</v>
      </c>
      <c r="G1490" t="s">
        <v>2978</v>
      </c>
      <c r="H1490" t="s">
        <v>2979</v>
      </c>
      <c r="I1490" t="s">
        <v>36</v>
      </c>
      <c r="J1490">
        <v>49343</v>
      </c>
      <c r="K1490">
        <v>301</v>
      </c>
      <c r="L1490" t="s">
        <v>21</v>
      </c>
      <c r="M1490" s="1">
        <v>44355</v>
      </c>
      <c r="N1490" t="s">
        <v>37</v>
      </c>
      <c r="O1490" t="s">
        <v>23</v>
      </c>
      <c r="P1490" t="str">
        <f t="shared" si="510"/>
        <v>P1489</v>
      </c>
      <c r="Q1490" t="str">
        <f t="shared" si="506"/>
        <v>Oncology</v>
      </c>
      <c r="R1490">
        <f t="shared" si="507"/>
        <v>17</v>
      </c>
      <c r="S1490" t="str">
        <f t="shared" ca="1" si="511"/>
        <v>No</v>
      </c>
      <c r="T1490" t="str">
        <f t="shared" ca="1" si="512"/>
        <v>Mild</v>
      </c>
      <c r="U1490" t="str">
        <f t="shared" ca="1" si="513"/>
        <v>Emergency</v>
      </c>
      <c r="V1490" t="str">
        <f t="shared" si="514"/>
        <v>BED1489</v>
      </c>
      <c r="W1490" t="str">
        <f t="shared" ca="1" si="515"/>
        <v>ICU</v>
      </c>
      <c r="X1490" t="str">
        <f t="shared" si="516"/>
        <v>NUR039</v>
      </c>
      <c r="Y1490" t="str">
        <f t="shared" ca="1" si="517"/>
        <v>Evening</v>
      </c>
      <c r="Z1490" t="str">
        <f t="shared" ca="1" si="518"/>
        <v>CT Scanner</v>
      </c>
      <c r="AA1490" t="str">
        <f t="shared" ca="1" si="519"/>
        <v>In Use</v>
      </c>
      <c r="AB1490" t="str">
        <f t="shared" ca="1" si="520"/>
        <v>Paid</v>
      </c>
      <c r="AC1490" t="str">
        <f t="shared" ca="1" si="521"/>
        <v>Bank Transfer</v>
      </c>
      <c r="AD1490" t="str">
        <f t="shared" ca="1" si="522"/>
        <v>Yes</v>
      </c>
      <c r="AE1490" t="str">
        <f t="shared" ca="1" si="523"/>
        <v>No</v>
      </c>
      <c r="AF1490" t="str">
        <f t="shared" ca="1" si="524"/>
        <v>Transferred</v>
      </c>
      <c r="AG1490" t="str">
        <f t="shared" ca="1" si="525"/>
        <v>West Coast</v>
      </c>
      <c r="AH1490" t="str">
        <f t="shared" si="508"/>
        <v>May</v>
      </c>
      <c r="AI1490">
        <f t="shared" si="509"/>
        <v>2021</v>
      </c>
      <c r="AJ1490" t="str">
        <f t="shared" ca="1" si="526"/>
        <v>Occupied</v>
      </c>
      <c r="AK1490">
        <f t="shared" ca="1" si="527"/>
        <v>2</v>
      </c>
    </row>
    <row r="1491" spans="1:37" x14ac:dyDescent="0.3">
      <c r="A1491" t="s">
        <v>5885</v>
      </c>
      <c r="B1491">
        <v>54</v>
      </c>
      <c r="C1491" t="s">
        <v>32</v>
      </c>
      <c r="D1491" t="s">
        <v>38</v>
      </c>
      <c r="E1491" t="s">
        <v>48</v>
      </c>
      <c r="F1491" s="1">
        <v>44714</v>
      </c>
      <c r="G1491" t="s">
        <v>2980</v>
      </c>
      <c r="H1491" t="s">
        <v>2981</v>
      </c>
      <c r="I1491" t="s">
        <v>51</v>
      </c>
      <c r="J1491">
        <v>16516</v>
      </c>
      <c r="K1491">
        <v>373</v>
      </c>
      <c r="L1491" t="s">
        <v>21</v>
      </c>
      <c r="M1491" s="1">
        <v>44719</v>
      </c>
      <c r="N1491" t="s">
        <v>37</v>
      </c>
      <c r="O1491" t="s">
        <v>31</v>
      </c>
      <c r="P1491" t="str">
        <f t="shared" si="510"/>
        <v>P1490</v>
      </c>
      <c r="Q1491" t="str">
        <f t="shared" si="506"/>
        <v>Pulmonology</v>
      </c>
      <c r="R1491">
        <f t="shared" si="507"/>
        <v>5</v>
      </c>
      <c r="S1491" t="str">
        <f t="shared" ca="1" si="511"/>
        <v>No</v>
      </c>
      <c r="T1491" t="str">
        <f t="shared" ca="1" si="512"/>
        <v>Critical</v>
      </c>
      <c r="U1491" t="str">
        <f t="shared" ca="1" si="513"/>
        <v>Emergency</v>
      </c>
      <c r="V1491" t="str">
        <f t="shared" si="514"/>
        <v>BED1490</v>
      </c>
      <c r="W1491" t="str">
        <f t="shared" ca="1" si="515"/>
        <v>ICU</v>
      </c>
      <c r="X1491" t="str">
        <f t="shared" si="516"/>
        <v>NUR040</v>
      </c>
      <c r="Y1491" t="str">
        <f t="shared" ca="1" si="517"/>
        <v>Evening</v>
      </c>
      <c r="Z1491" t="str">
        <f t="shared" ca="1" si="518"/>
        <v>X-Ray</v>
      </c>
      <c r="AA1491" t="str">
        <f t="shared" ca="1" si="519"/>
        <v>Available</v>
      </c>
      <c r="AB1491" t="str">
        <f t="shared" ca="1" si="520"/>
        <v>Partially Paid</v>
      </c>
      <c r="AC1491" t="str">
        <f t="shared" ca="1" si="521"/>
        <v>Credit Card</v>
      </c>
      <c r="AD1491" t="str">
        <f t="shared" ca="1" si="522"/>
        <v>No</v>
      </c>
      <c r="AE1491" t="str">
        <f t="shared" ca="1" si="523"/>
        <v>No</v>
      </c>
      <c r="AF1491" t="str">
        <f t="shared" ca="1" si="524"/>
        <v>Transferred</v>
      </c>
      <c r="AG1491" t="str">
        <f t="shared" ca="1" si="525"/>
        <v>Midwest</v>
      </c>
      <c r="AH1491" t="str">
        <f t="shared" si="508"/>
        <v>June</v>
      </c>
      <c r="AI1491">
        <f t="shared" si="509"/>
        <v>2022</v>
      </c>
      <c r="AJ1491" t="str">
        <f t="shared" ca="1" si="526"/>
        <v>Occupied</v>
      </c>
      <c r="AK1491">
        <f t="shared" ca="1" si="527"/>
        <v>1</v>
      </c>
    </row>
    <row r="1492" spans="1:37" x14ac:dyDescent="0.3">
      <c r="A1492" t="s">
        <v>5886</v>
      </c>
      <c r="B1492">
        <v>81</v>
      </c>
      <c r="C1492" t="s">
        <v>15</v>
      </c>
      <c r="D1492" t="s">
        <v>16</v>
      </c>
      <c r="E1492" t="s">
        <v>76</v>
      </c>
      <c r="F1492" s="1">
        <v>44773</v>
      </c>
      <c r="G1492" t="s">
        <v>2982</v>
      </c>
      <c r="H1492" t="s">
        <v>2983</v>
      </c>
      <c r="I1492" t="s">
        <v>20</v>
      </c>
      <c r="J1492">
        <v>49000</v>
      </c>
      <c r="K1492">
        <v>213</v>
      </c>
      <c r="L1492" t="s">
        <v>21</v>
      </c>
      <c r="M1492" s="1">
        <v>44795</v>
      </c>
      <c r="N1492" t="s">
        <v>30</v>
      </c>
      <c r="O1492" t="s">
        <v>31</v>
      </c>
      <c r="P1492" t="str">
        <f t="shared" si="510"/>
        <v>P1491</v>
      </c>
      <c r="Q1492" t="str">
        <f t="shared" si="506"/>
        <v>Orthopedics</v>
      </c>
      <c r="R1492">
        <f t="shared" si="507"/>
        <v>22</v>
      </c>
      <c r="S1492" t="str">
        <f t="shared" ca="1" si="511"/>
        <v>No</v>
      </c>
      <c r="T1492" t="str">
        <f t="shared" ca="1" si="512"/>
        <v>Mild</v>
      </c>
      <c r="U1492" t="str">
        <f t="shared" ca="1" si="513"/>
        <v>Private Ward</v>
      </c>
      <c r="V1492" t="str">
        <f t="shared" si="514"/>
        <v>BED1491</v>
      </c>
      <c r="W1492" t="str">
        <f t="shared" ca="1" si="515"/>
        <v>ICU</v>
      </c>
      <c r="X1492" t="str">
        <f t="shared" si="516"/>
        <v>NUR041</v>
      </c>
      <c r="Y1492" t="str">
        <f t="shared" ca="1" si="517"/>
        <v>Morning</v>
      </c>
      <c r="Z1492" t="str">
        <f t="shared" ca="1" si="518"/>
        <v>ECG Machine</v>
      </c>
      <c r="AA1492" t="str">
        <f t="shared" ca="1" si="519"/>
        <v>Available</v>
      </c>
      <c r="AB1492" t="str">
        <f t="shared" ca="1" si="520"/>
        <v>Paid</v>
      </c>
      <c r="AC1492" t="str">
        <f t="shared" ca="1" si="521"/>
        <v>Credit Card</v>
      </c>
      <c r="AD1492" t="str">
        <f t="shared" ca="1" si="522"/>
        <v>No</v>
      </c>
      <c r="AE1492" t="str">
        <f t="shared" ca="1" si="523"/>
        <v>No</v>
      </c>
      <c r="AF1492" t="str">
        <f t="shared" ca="1" si="524"/>
        <v>Transferred</v>
      </c>
      <c r="AG1492" t="str">
        <f t="shared" ca="1" si="525"/>
        <v>Southeast</v>
      </c>
      <c r="AH1492" t="str">
        <f t="shared" si="508"/>
        <v>July</v>
      </c>
      <c r="AI1492">
        <f t="shared" si="509"/>
        <v>2022</v>
      </c>
      <c r="AJ1492" t="str">
        <f t="shared" ca="1" si="526"/>
        <v>Occupied</v>
      </c>
      <c r="AK1492">
        <f t="shared" ca="1" si="527"/>
        <v>4</v>
      </c>
    </row>
    <row r="1493" spans="1:37" x14ac:dyDescent="0.3">
      <c r="A1493" t="s">
        <v>5887</v>
      </c>
      <c r="B1493">
        <v>55</v>
      </c>
      <c r="C1493" t="s">
        <v>32</v>
      </c>
      <c r="D1493" t="s">
        <v>83</v>
      </c>
      <c r="E1493" t="s">
        <v>25</v>
      </c>
      <c r="F1493" s="1">
        <v>43693</v>
      </c>
      <c r="G1493" t="s">
        <v>2984</v>
      </c>
      <c r="H1493" t="s">
        <v>2985</v>
      </c>
      <c r="I1493" t="s">
        <v>20</v>
      </c>
      <c r="J1493">
        <v>31484</v>
      </c>
      <c r="K1493">
        <v>383</v>
      </c>
      <c r="L1493" t="s">
        <v>29</v>
      </c>
      <c r="M1493" s="1">
        <v>43713</v>
      </c>
      <c r="N1493" t="s">
        <v>37</v>
      </c>
      <c r="O1493" t="s">
        <v>23</v>
      </c>
      <c r="P1493" t="str">
        <f t="shared" si="510"/>
        <v>P1492</v>
      </c>
      <c r="Q1493" t="str">
        <f t="shared" si="506"/>
        <v>Nutrition</v>
      </c>
      <c r="R1493">
        <f t="shared" si="507"/>
        <v>20</v>
      </c>
      <c r="S1493" t="str">
        <f t="shared" ca="1" si="511"/>
        <v>No</v>
      </c>
      <c r="T1493" t="str">
        <f t="shared" ca="1" si="512"/>
        <v>Moderate</v>
      </c>
      <c r="U1493" t="str">
        <f t="shared" ca="1" si="513"/>
        <v>Semi-Private</v>
      </c>
      <c r="V1493" t="str">
        <f t="shared" si="514"/>
        <v>BED1492</v>
      </c>
      <c r="W1493" t="str">
        <f t="shared" ca="1" si="515"/>
        <v>Semi-Private</v>
      </c>
      <c r="X1493" t="str">
        <f t="shared" si="516"/>
        <v>NUR042</v>
      </c>
      <c r="Y1493" t="str">
        <f t="shared" ca="1" si="517"/>
        <v>Evening</v>
      </c>
      <c r="Z1493" t="str">
        <f t="shared" ca="1" si="518"/>
        <v>CT Scanner</v>
      </c>
      <c r="AA1493" t="str">
        <f t="shared" ca="1" si="519"/>
        <v>Maintenance</v>
      </c>
      <c r="AB1493" t="str">
        <f t="shared" ca="1" si="520"/>
        <v>Paid</v>
      </c>
      <c r="AC1493" t="str">
        <f t="shared" ca="1" si="521"/>
        <v>Credit Card</v>
      </c>
      <c r="AD1493" t="str">
        <f t="shared" ca="1" si="522"/>
        <v>No</v>
      </c>
      <c r="AE1493" t="str">
        <f t="shared" ca="1" si="523"/>
        <v>No</v>
      </c>
      <c r="AF1493" t="str">
        <f t="shared" ca="1" si="524"/>
        <v>Under Observation</v>
      </c>
      <c r="AG1493" t="str">
        <f t="shared" ca="1" si="525"/>
        <v>Northeast</v>
      </c>
      <c r="AH1493" t="str">
        <f t="shared" si="508"/>
        <v>August</v>
      </c>
      <c r="AI1493">
        <f t="shared" si="509"/>
        <v>2019</v>
      </c>
      <c r="AJ1493" t="str">
        <f t="shared" ca="1" si="526"/>
        <v>Occupied</v>
      </c>
      <c r="AK1493">
        <f t="shared" ca="1" si="527"/>
        <v>4</v>
      </c>
    </row>
    <row r="1494" spans="1:37" x14ac:dyDescent="0.3">
      <c r="A1494" t="s">
        <v>5888</v>
      </c>
      <c r="B1494">
        <v>34</v>
      </c>
      <c r="C1494" t="s">
        <v>15</v>
      </c>
      <c r="D1494" t="s">
        <v>52</v>
      </c>
      <c r="E1494" t="s">
        <v>39</v>
      </c>
      <c r="F1494" s="1">
        <v>44600</v>
      </c>
      <c r="G1494" t="s">
        <v>2986</v>
      </c>
      <c r="H1494" t="s">
        <v>2987</v>
      </c>
      <c r="I1494" t="s">
        <v>28</v>
      </c>
      <c r="J1494">
        <v>24702</v>
      </c>
      <c r="K1494">
        <v>443</v>
      </c>
      <c r="L1494" t="s">
        <v>21</v>
      </c>
      <c r="M1494" s="1">
        <v>44623</v>
      </c>
      <c r="N1494" t="s">
        <v>30</v>
      </c>
      <c r="O1494" t="s">
        <v>31</v>
      </c>
      <c r="P1494" t="str">
        <f t="shared" si="510"/>
        <v>P1493</v>
      </c>
      <c r="Q1494" t="str">
        <f t="shared" si="506"/>
        <v>Endocrinology</v>
      </c>
      <c r="R1494">
        <f t="shared" si="507"/>
        <v>23</v>
      </c>
      <c r="S1494" t="str">
        <f t="shared" ca="1" si="511"/>
        <v>No</v>
      </c>
      <c r="T1494" t="str">
        <f t="shared" ca="1" si="512"/>
        <v>Mild</v>
      </c>
      <c r="U1494" t="str">
        <f t="shared" ca="1" si="513"/>
        <v>General Ward</v>
      </c>
      <c r="V1494" t="str">
        <f t="shared" si="514"/>
        <v>BED1493</v>
      </c>
      <c r="W1494" t="str">
        <f t="shared" ca="1" si="515"/>
        <v>Private</v>
      </c>
      <c r="X1494" t="str">
        <f t="shared" si="516"/>
        <v>NUR043</v>
      </c>
      <c r="Y1494" t="str">
        <f t="shared" ca="1" si="517"/>
        <v>Evening</v>
      </c>
      <c r="Z1494" t="str">
        <f t="shared" ca="1" si="518"/>
        <v>Ventilator</v>
      </c>
      <c r="AA1494" t="str">
        <f t="shared" ca="1" si="519"/>
        <v>In Use</v>
      </c>
      <c r="AB1494" t="str">
        <f t="shared" ca="1" si="520"/>
        <v>Partially Paid</v>
      </c>
      <c r="AC1494" t="str">
        <f t="shared" ca="1" si="521"/>
        <v>Bank Transfer</v>
      </c>
      <c r="AD1494" t="str">
        <f t="shared" ca="1" si="522"/>
        <v>No</v>
      </c>
      <c r="AE1494" t="str">
        <f t="shared" ca="1" si="523"/>
        <v>No</v>
      </c>
      <c r="AF1494" t="str">
        <f t="shared" ca="1" si="524"/>
        <v>Under Observation</v>
      </c>
      <c r="AG1494" t="str">
        <f t="shared" ca="1" si="525"/>
        <v>Southeast</v>
      </c>
      <c r="AH1494" t="str">
        <f t="shared" si="508"/>
        <v>February</v>
      </c>
      <c r="AI1494">
        <f t="shared" si="509"/>
        <v>2022</v>
      </c>
      <c r="AJ1494" t="str">
        <f t="shared" ca="1" si="526"/>
        <v>Occupied</v>
      </c>
      <c r="AK1494">
        <f t="shared" ca="1" si="527"/>
        <v>2</v>
      </c>
    </row>
    <row r="1495" spans="1:37" x14ac:dyDescent="0.3">
      <c r="A1495" t="s">
        <v>5889</v>
      </c>
      <c r="B1495">
        <v>22</v>
      </c>
      <c r="C1495" t="s">
        <v>15</v>
      </c>
      <c r="D1495" t="s">
        <v>24</v>
      </c>
      <c r="E1495" t="s">
        <v>39</v>
      </c>
      <c r="F1495" s="1">
        <v>44278</v>
      </c>
      <c r="G1495" t="s">
        <v>2988</v>
      </c>
      <c r="H1495" t="s">
        <v>2989</v>
      </c>
      <c r="I1495" t="s">
        <v>28</v>
      </c>
      <c r="J1495">
        <v>18832</v>
      </c>
      <c r="K1495">
        <v>426</v>
      </c>
      <c r="L1495" t="s">
        <v>21</v>
      </c>
      <c r="M1495" s="1">
        <v>44308</v>
      </c>
      <c r="N1495" t="s">
        <v>47</v>
      </c>
      <c r="O1495" t="s">
        <v>43</v>
      </c>
      <c r="P1495" t="str">
        <f t="shared" si="510"/>
        <v>P1494</v>
      </c>
      <c r="Q1495" t="str">
        <f t="shared" si="506"/>
        <v>Endocrinology</v>
      </c>
      <c r="R1495">
        <f t="shared" si="507"/>
        <v>30</v>
      </c>
      <c r="S1495" t="str">
        <f t="shared" ca="1" si="511"/>
        <v>No</v>
      </c>
      <c r="T1495" t="str">
        <f t="shared" ca="1" si="512"/>
        <v>Mild</v>
      </c>
      <c r="U1495" t="str">
        <f t="shared" ca="1" si="513"/>
        <v>Emergency</v>
      </c>
      <c r="V1495" t="str">
        <f t="shared" si="514"/>
        <v>BED1494</v>
      </c>
      <c r="W1495" t="str">
        <f t="shared" ca="1" si="515"/>
        <v>ICU</v>
      </c>
      <c r="X1495" t="str">
        <f t="shared" si="516"/>
        <v>NUR044</v>
      </c>
      <c r="Y1495" t="str">
        <f t="shared" ca="1" si="517"/>
        <v>Evening</v>
      </c>
      <c r="Z1495" t="str">
        <f t="shared" ca="1" si="518"/>
        <v>Ventilator</v>
      </c>
      <c r="AA1495" t="str">
        <f t="shared" ca="1" si="519"/>
        <v>In Use</v>
      </c>
      <c r="AB1495" t="str">
        <f t="shared" ca="1" si="520"/>
        <v>Partially Paid</v>
      </c>
      <c r="AC1495" t="str">
        <f t="shared" ca="1" si="521"/>
        <v>Bank Transfer</v>
      </c>
      <c r="AD1495" t="str">
        <f t="shared" ca="1" si="522"/>
        <v>No</v>
      </c>
      <c r="AE1495" t="str">
        <f t="shared" ca="1" si="523"/>
        <v>No</v>
      </c>
      <c r="AF1495" t="str">
        <f t="shared" ca="1" si="524"/>
        <v>Recovered</v>
      </c>
      <c r="AG1495" t="str">
        <f t="shared" ca="1" si="525"/>
        <v>Southwest</v>
      </c>
      <c r="AH1495" t="str">
        <f t="shared" si="508"/>
        <v>March</v>
      </c>
      <c r="AI1495">
        <f t="shared" si="509"/>
        <v>2021</v>
      </c>
      <c r="AJ1495" t="str">
        <f t="shared" ca="1" si="526"/>
        <v>Occupied</v>
      </c>
      <c r="AK1495">
        <f t="shared" ca="1" si="527"/>
        <v>4</v>
      </c>
    </row>
    <row r="1496" spans="1:37" x14ac:dyDescent="0.3">
      <c r="A1496" t="s">
        <v>5890</v>
      </c>
      <c r="B1496">
        <v>74</v>
      </c>
      <c r="C1496" t="s">
        <v>15</v>
      </c>
      <c r="D1496" t="s">
        <v>24</v>
      </c>
      <c r="E1496" t="s">
        <v>17</v>
      </c>
      <c r="F1496" s="1">
        <v>44244</v>
      </c>
      <c r="G1496" t="s">
        <v>2990</v>
      </c>
      <c r="H1496" t="s">
        <v>2991</v>
      </c>
      <c r="I1496" t="s">
        <v>20</v>
      </c>
      <c r="J1496">
        <v>44439</v>
      </c>
      <c r="K1496">
        <v>110</v>
      </c>
      <c r="L1496" t="s">
        <v>21</v>
      </c>
      <c r="M1496" s="1">
        <v>44245</v>
      </c>
      <c r="N1496" t="s">
        <v>37</v>
      </c>
      <c r="O1496" t="s">
        <v>43</v>
      </c>
      <c r="P1496" t="str">
        <f t="shared" si="510"/>
        <v>P1495</v>
      </c>
      <c r="Q1496" t="str">
        <f t="shared" si="506"/>
        <v>Oncology</v>
      </c>
      <c r="R1496">
        <f t="shared" si="507"/>
        <v>1</v>
      </c>
      <c r="S1496" t="str">
        <f t="shared" ca="1" si="511"/>
        <v>No</v>
      </c>
      <c r="T1496" t="str">
        <f t="shared" ca="1" si="512"/>
        <v>Moderate</v>
      </c>
      <c r="U1496" t="str">
        <f t="shared" ca="1" si="513"/>
        <v>ICU</v>
      </c>
      <c r="V1496" t="str">
        <f t="shared" si="514"/>
        <v>BED1495</v>
      </c>
      <c r="W1496" t="str">
        <f t="shared" ca="1" si="515"/>
        <v>General</v>
      </c>
      <c r="X1496" t="str">
        <f t="shared" si="516"/>
        <v>NUR045</v>
      </c>
      <c r="Y1496" t="str">
        <f t="shared" ca="1" si="517"/>
        <v>Morning</v>
      </c>
      <c r="Z1496" t="str">
        <f t="shared" ca="1" si="518"/>
        <v>MRI Scanner</v>
      </c>
      <c r="AA1496" t="str">
        <f t="shared" ca="1" si="519"/>
        <v>Maintenance</v>
      </c>
      <c r="AB1496" t="str">
        <f t="shared" ca="1" si="520"/>
        <v>Paid</v>
      </c>
      <c r="AC1496" t="str">
        <f t="shared" ca="1" si="521"/>
        <v>Insurance</v>
      </c>
      <c r="AD1496" t="str">
        <f t="shared" ca="1" si="522"/>
        <v>No</v>
      </c>
      <c r="AE1496" t="str">
        <f t="shared" ca="1" si="523"/>
        <v>No</v>
      </c>
      <c r="AF1496" t="str">
        <f t="shared" ca="1" si="524"/>
        <v>Transferred</v>
      </c>
      <c r="AG1496" t="str">
        <f t="shared" ca="1" si="525"/>
        <v>Southeast</v>
      </c>
      <c r="AH1496" t="str">
        <f t="shared" si="508"/>
        <v>February</v>
      </c>
      <c r="AI1496">
        <f t="shared" si="509"/>
        <v>2021</v>
      </c>
      <c r="AJ1496" t="str">
        <f t="shared" ca="1" si="526"/>
        <v>Occupied</v>
      </c>
      <c r="AK1496">
        <f t="shared" ca="1" si="527"/>
        <v>2</v>
      </c>
    </row>
    <row r="1497" spans="1:37" x14ac:dyDescent="0.3">
      <c r="A1497" t="s">
        <v>5891</v>
      </c>
      <c r="B1497">
        <v>72</v>
      </c>
      <c r="C1497" t="s">
        <v>32</v>
      </c>
      <c r="D1497" t="s">
        <v>38</v>
      </c>
      <c r="E1497" t="s">
        <v>39</v>
      </c>
      <c r="F1497" s="1">
        <v>43617</v>
      </c>
      <c r="G1497" t="s">
        <v>2992</v>
      </c>
      <c r="H1497" t="s">
        <v>2993</v>
      </c>
      <c r="I1497" t="s">
        <v>57</v>
      </c>
      <c r="J1497">
        <v>6899</v>
      </c>
      <c r="K1497">
        <v>328</v>
      </c>
      <c r="L1497" t="s">
        <v>21</v>
      </c>
      <c r="M1497" s="1">
        <v>43634</v>
      </c>
      <c r="N1497" t="s">
        <v>22</v>
      </c>
      <c r="O1497" t="s">
        <v>31</v>
      </c>
      <c r="P1497" t="str">
        <f t="shared" si="510"/>
        <v>P1496</v>
      </c>
      <c r="Q1497" t="str">
        <f t="shared" si="506"/>
        <v>Endocrinology</v>
      </c>
      <c r="R1497">
        <f t="shared" si="507"/>
        <v>17</v>
      </c>
      <c r="S1497" t="str">
        <f t="shared" ca="1" si="511"/>
        <v>No</v>
      </c>
      <c r="T1497" t="str">
        <f t="shared" ca="1" si="512"/>
        <v>Moderate</v>
      </c>
      <c r="U1497" t="str">
        <f t="shared" ca="1" si="513"/>
        <v>ICU</v>
      </c>
      <c r="V1497" t="str">
        <f t="shared" si="514"/>
        <v>BED1496</v>
      </c>
      <c r="W1497" t="str">
        <f t="shared" ca="1" si="515"/>
        <v>ICU</v>
      </c>
      <c r="X1497" t="str">
        <f t="shared" si="516"/>
        <v>NUR046</v>
      </c>
      <c r="Y1497" t="str">
        <f t="shared" ca="1" si="517"/>
        <v>Evening</v>
      </c>
      <c r="Z1497" t="str">
        <f t="shared" ca="1" si="518"/>
        <v>Ventilator</v>
      </c>
      <c r="AA1497" t="str">
        <f t="shared" ca="1" si="519"/>
        <v>Maintenance</v>
      </c>
      <c r="AB1497" t="str">
        <f t="shared" ca="1" si="520"/>
        <v>Partially Paid</v>
      </c>
      <c r="AC1497" t="str">
        <f t="shared" ca="1" si="521"/>
        <v>Bank Transfer</v>
      </c>
      <c r="AD1497" t="str">
        <f t="shared" ca="1" si="522"/>
        <v>No</v>
      </c>
      <c r="AE1497" t="str">
        <f t="shared" ca="1" si="523"/>
        <v>No</v>
      </c>
      <c r="AF1497" t="str">
        <f t="shared" ca="1" si="524"/>
        <v>Transferred</v>
      </c>
      <c r="AG1497" t="str">
        <f t="shared" ca="1" si="525"/>
        <v>Southeast</v>
      </c>
      <c r="AH1497" t="str">
        <f t="shared" si="508"/>
        <v>June</v>
      </c>
      <c r="AI1497">
        <f t="shared" si="509"/>
        <v>2019</v>
      </c>
      <c r="AJ1497" t="str">
        <f t="shared" ca="1" si="526"/>
        <v>Vacant</v>
      </c>
      <c r="AK1497">
        <f t="shared" ca="1" si="527"/>
        <v>4</v>
      </c>
    </row>
    <row r="1498" spans="1:37" x14ac:dyDescent="0.3">
      <c r="A1498" t="s">
        <v>5892</v>
      </c>
      <c r="B1498">
        <v>75</v>
      </c>
      <c r="C1498" t="s">
        <v>32</v>
      </c>
      <c r="D1498" t="s">
        <v>24</v>
      </c>
      <c r="E1498" t="s">
        <v>25</v>
      </c>
      <c r="F1498" s="1">
        <v>44098</v>
      </c>
      <c r="G1498" t="s">
        <v>2994</v>
      </c>
      <c r="H1498" t="s">
        <v>2995</v>
      </c>
      <c r="I1498" t="s">
        <v>57</v>
      </c>
      <c r="J1498">
        <v>44516</v>
      </c>
      <c r="K1498">
        <v>494</v>
      </c>
      <c r="L1498" t="s">
        <v>29</v>
      </c>
      <c r="M1498" s="1">
        <v>44100</v>
      </c>
      <c r="N1498" t="s">
        <v>47</v>
      </c>
      <c r="O1498" t="s">
        <v>31</v>
      </c>
      <c r="P1498" t="str">
        <f t="shared" si="510"/>
        <v>P1497</v>
      </c>
      <c r="Q1498" t="str">
        <f t="shared" si="506"/>
        <v>Nutrition</v>
      </c>
      <c r="R1498">
        <f t="shared" si="507"/>
        <v>2</v>
      </c>
      <c r="S1498" t="str">
        <f t="shared" ca="1" si="511"/>
        <v>No</v>
      </c>
      <c r="T1498" t="str">
        <f t="shared" ca="1" si="512"/>
        <v>Critical</v>
      </c>
      <c r="U1498" t="str">
        <f t="shared" ca="1" si="513"/>
        <v>General Ward</v>
      </c>
      <c r="V1498" t="str">
        <f t="shared" si="514"/>
        <v>BED1497</v>
      </c>
      <c r="W1498" t="str">
        <f t="shared" ca="1" si="515"/>
        <v>ICU</v>
      </c>
      <c r="X1498" t="str">
        <f t="shared" si="516"/>
        <v>NUR047</v>
      </c>
      <c r="Y1498" t="str">
        <f t="shared" ca="1" si="517"/>
        <v>Morning</v>
      </c>
      <c r="Z1498" t="str">
        <f t="shared" ca="1" si="518"/>
        <v>Ventilator</v>
      </c>
      <c r="AA1498" t="str">
        <f t="shared" ca="1" si="519"/>
        <v>In Use</v>
      </c>
      <c r="AB1498" t="str">
        <f t="shared" ca="1" si="520"/>
        <v>Paid</v>
      </c>
      <c r="AC1498" t="str">
        <f t="shared" ca="1" si="521"/>
        <v>Insurance</v>
      </c>
      <c r="AD1498" t="str">
        <f t="shared" ca="1" si="522"/>
        <v>No</v>
      </c>
      <c r="AE1498" t="str">
        <f t="shared" ca="1" si="523"/>
        <v>No</v>
      </c>
      <c r="AF1498" t="str">
        <f t="shared" ca="1" si="524"/>
        <v>Under Observation</v>
      </c>
      <c r="AG1498" t="str">
        <f t="shared" ca="1" si="525"/>
        <v>West Coast</v>
      </c>
      <c r="AH1498" t="str">
        <f t="shared" si="508"/>
        <v>September</v>
      </c>
      <c r="AI1498">
        <f t="shared" si="509"/>
        <v>2020</v>
      </c>
      <c r="AJ1498" t="str">
        <f t="shared" ca="1" si="526"/>
        <v>Occupied</v>
      </c>
      <c r="AK1498">
        <f t="shared" ca="1" si="527"/>
        <v>2</v>
      </c>
    </row>
    <row r="1499" spans="1:37" x14ac:dyDescent="0.3">
      <c r="A1499" t="s">
        <v>5893</v>
      </c>
      <c r="B1499">
        <v>63</v>
      </c>
      <c r="C1499" t="s">
        <v>15</v>
      </c>
      <c r="D1499" t="s">
        <v>16</v>
      </c>
      <c r="E1499" t="s">
        <v>17</v>
      </c>
      <c r="F1499" s="1">
        <v>43678</v>
      </c>
      <c r="G1499" t="s">
        <v>2996</v>
      </c>
      <c r="H1499" t="s">
        <v>2997</v>
      </c>
      <c r="I1499" t="s">
        <v>51</v>
      </c>
      <c r="J1499">
        <v>16396</v>
      </c>
      <c r="K1499">
        <v>344</v>
      </c>
      <c r="L1499" t="s">
        <v>29</v>
      </c>
      <c r="M1499" s="1">
        <v>43703</v>
      </c>
      <c r="N1499" t="s">
        <v>30</v>
      </c>
      <c r="O1499" t="s">
        <v>23</v>
      </c>
      <c r="P1499" t="str">
        <f t="shared" si="510"/>
        <v>P1498</v>
      </c>
      <c r="Q1499" t="str">
        <f t="shared" si="506"/>
        <v>Oncology</v>
      </c>
      <c r="R1499">
        <f t="shared" si="507"/>
        <v>25</v>
      </c>
      <c r="S1499" t="str">
        <f t="shared" ca="1" si="511"/>
        <v>No</v>
      </c>
      <c r="T1499" t="str">
        <f t="shared" ca="1" si="512"/>
        <v>Mild</v>
      </c>
      <c r="U1499" t="str">
        <f t="shared" ca="1" si="513"/>
        <v>Semi-Private</v>
      </c>
      <c r="V1499" t="str">
        <f t="shared" si="514"/>
        <v>BED1498</v>
      </c>
      <c r="W1499" t="str">
        <f t="shared" ca="1" si="515"/>
        <v>Semi-Private</v>
      </c>
      <c r="X1499" t="str">
        <f t="shared" si="516"/>
        <v>NUR048</v>
      </c>
      <c r="Y1499" t="str">
        <f t="shared" ca="1" si="517"/>
        <v>Evening</v>
      </c>
      <c r="Z1499" t="str">
        <f t="shared" ca="1" si="518"/>
        <v>MRI Scanner</v>
      </c>
      <c r="AA1499" t="str">
        <f t="shared" ca="1" si="519"/>
        <v>Available</v>
      </c>
      <c r="AB1499" t="str">
        <f t="shared" ca="1" si="520"/>
        <v>Partially Paid</v>
      </c>
      <c r="AC1499" t="str">
        <f t="shared" ca="1" si="521"/>
        <v>Insurance</v>
      </c>
      <c r="AD1499" t="str">
        <f t="shared" ca="1" si="522"/>
        <v>No</v>
      </c>
      <c r="AE1499" t="str">
        <f t="shared" ca="1" si="523"/>
        <v>No</v>
      </c>
      <c r="AF1499" t="str">
        <f t="shared" ca="1" si="524"/>
        <v>Under Observation</v>
      </c>
      <c r="AG1499" t="str">
        <f t="shared" ca="1" si="525"/>
        <v>Southwest</v>
      </c>
      <c r="AH1499" t="str">
        <f t="shared" si="508"/>
        <v>August</v>
      </c>
      <c r="AI1499">
        <f t="shared" si="509"/>
        <v>2019</v>
      </c>
      <c r="AJ1499" t="str">
        <f t="shared" ca="1" si="526"/>
        <v>Occupied</v>
      </c>
      <c r="AK1499">
        <f t="shared" ca="1" si="527"/>
        <v>4</v>
      </c>
    </row>
    <row r="1500" spans="1:37" x14ac:dyDescent="0.3">
      <c r="A1500" t="s">
        <v>5894</v>
      </c>
      <c r="B1500">
        <v>32</v>
      </c>
      <c r="C1500" t="s">
        <v>32</v>
      </c>
      <c r="D1500" t="s">
        <v>33</v>
      </c>
      <c r="E1500" t="s">
        <v>76</v>
      </c>
      <c r="F1500" s="1">
        <v>44347</v>
      </c>
      <c r="G1500" t="s">
        <v>2998</v>
      </c>
      <c r="H1500" t="s">
        <v>2999</v>
      </c>
      <c r="I1500" t="s">
        <v>28</v>
      </c>
      <c r="J1500">
        <v>3916</v>
      </c>
      <c r="K1500">
        <v>268</v>
      </c>
      <c r="L1500" t="s">
        <v>21</v>
      </c>
      <c r="M1500" s="1">
        <v>44369</v>
      </c>
      <c r="N1500" t="s">
        <v>47</v>
      </c>
      <c r="O1500" t="s">
        <v>43</v>
      </c>
      <c r="P1500" t="str">
        <f t="shared" si="510"/>
        <v>P1499</v>
      </c>
      <c r="Q1500" t="str">
        <f t="shared" si="506"/>
        <v>Orthopedics</v>
      </c>
      <c r="R1500">
        <f t="shared" si="507"/>
        <v>22</v>
      </c>
      <c r="S1500" t="str">
        <f t="shared" ca="1" si="511"/>
        <v>No</v>
      </c>
      <c r="T1500" t="str">
        <f t="shared" ca="1" si="512"/>
        <v>Mild</v>
      </c>
      <c r="U1500" t="str">
        <f t="shared" ca="1" si="513"/>
        <v>Semi-Private</v>
      </c>
      <c r="V1500" t="str">
        <f t="shared" si="514"/>
        <v>BED1499</v>
      </c>
      <c r="W1500" t="str">
        <f t="shared" ca="1" si="515"/>
        <v>ICU</v>
      </c>
      <c r="X1500" t="str">
        <f t="shared" si="516"/>
        <v>NUR049</v>
      </c>
      <c r="Y1500" t="str">
        <f t="shared" ca="1" si="517"/>
        <v>Morning</v>
      </c>
      <c r="Z1500" t="str">
        <f t="shared" ca="1" si="518"/>
        <v>Ventilator</v>
      </c>
      <c r="AA1500" t="str">
        <f t="shared" ca="1" si="519"/>
        <v>Available</v>
      </c>
      <c r="AB1500" t="str">
        <f t="shared" ca="1" si="520"/>
        <v>Pending</v>
      </c>
      <c r="AC1500" t="str">
        <f t="shared" ca="1" si="521"/>
        <v>Cash</v>
      </c>
      <c r="AD1500" t="str">
        <f t="shared" ca="1" si="522"/>
        <v>Yes</v>
      </c>
      <c r="AE1500" t="str">
        <f t="shared" ca="1" si="523"/>
        <v>No</v>
      </c>
      <c r="AF1500" t="str">
        <f t="shared" ca="1" si="524"/>
        <v>Recovered</v>
      </c>
      <c r="AG1500" t="str">
        <f t="shared" ca="1" si="525"/>
        <v>West Coast</v>
      </c>
      <c r="AH1500" t="str">
        <f t="shared" si="508"/>
        <v>May</v>
      </c>
      <c r="AI1500">
        <f t="shared" si="509"/>
        <v>2021</v>
      </c>
      <c r="AJ1500" t="str">
        <f t="shared" ca="1" si="526"/>
        <v>Occupied</v>
      </c>
      <c r="AK1500">
        <f t="shared" ca="1" si="527"/>
        <v>4</v>
      </c>
    </row>
    <row r="1501" spans="1:37" x14ac:dyDescent="0.3">
      <c r="A1501" t="s">
        <v>5895</v>
      </c>
      <c r="B1501">
        <v>78</v>
      </c>
      <c r="C1501" t="s">
        <v>32</v>
      </c>
      <c r="D1501" t="s">
        <v>38</v>
      </c>
      <c r="E1501" t="s">
        <v>39</v>
      </c>
      <c r="F1501" s="1">
        <v>44819</v>
      </c>
      <c r="G1501" t="s">
        <v>3000</v>
      </c>
      <c r="H1501" t="s">
        <v>3001</v>
      </c>
      <c r="I1501" t="s">
        <v>28</v>
      </c>
      <c r="J1501">
        <v>28106</v>
      </c>
      <c r="K1501">
        <v>287</v>
      </c>
      <c r="L1501" t="s">
        <v>29</v>
      </c>
      <c r="M1501" s="1">
        <v>44823</v>
      </c>
      <c r="N1501" t="s">
        <v>37</v>
      </c>
      <c r="O1501" t="s">
        <v>31</v>
      </c>
      <c r="P1501" t="str">
        <f t="shared" si="510"/>
        <v>P1500</v>
      </c>
      <c r="Q1501" t="str">
        <f t="shared" si="506"/>
        <v>Endocrinology</v>
      </c>
      <c r="R1501">
        <f t="shared" si="507"/>
        <v>4</v>
      </c>
      <c r="S1501" t="str">
        <f t="shared" ca="1" si="511"/>
        <v>No</v>
      </c>
      <c r="T1501" t="str">
        <f t="shared" ca="1" si="512"/>
        <v>Moderate</v>
      </c>
      <c r="U1501" t="str">
        <f t="shared" ca="1" si="513"/>
        <v>General Ward</v>
      </c>
      <c r="V1501" t="str">
        <f t="shared" si="514"/>
        <v>BED1500</v>
      </c>
      <c r="W1501" t="str">
        <f t="shared" ca="1" si="515"/>
        <v>Private</v>
      </c>
      <c r="X1501" t="str">
        <f t="shared" si="516"/>
        <v>NUR050</v>
      </c>
      <c r="Y1501" t="str">
        <f t="shared" ca="1" si="517"/>
        <v>Night</v>
      </c>
      <c r="Z1501" t="str">
        <f t="shared" ca="1" si="518"/>
        <v>Ventilator</v>
      </c>
      <c r="AA1501" t="str">
        <f t="shared" ca="1" si="519"/>
        <v>Available</v>
      </c>
      <c r="AB1501" t="str">
        <f t="shared" ca="1" si="520"/>
        <v>Partially Paid</v>
      </c>
      <c r="AC1501" t="str">
        <f t="shared" ca="1" si="521"/>
        <v>Credit Card</v>
      </c>
      <c r="AD1501" t="str">
        <f t="shared" ca="1" si="522"/>
        <v>No</v>
      </c>
      <c r="AE1501" t="str">
        <f t="shared" ca="1" si="523"/>
        <v>No</v>
      </c>
      <c r="AF1501" t="str">
        <f t="shared" ca="1" si="524"/>
        <v>Recovered</v>
      </c>
      <c r="AG1501" t="str">
        <f t="shared" ca="1" si="525"/>
        <v>Midwest</v>
      </c>
      <c r="AH1501" t="str">
        <f t="shared" si="508"/>
        <v>September</v>
      </c>
      <c r="AI1501">
        <f t="shared" si="509"/>
        <v>2022</v>
      </c>
      <c r="AJ1501" t="str">
        <f t="shared" ca="1" si="526"/>
        <v>Occupied</v>
      </c>
      <c r="AK1501">
        <f t="shared" ca="1" si="527"/>
        <v>2</v>
      </c>
    </row>
    <row r="1502" spans="1:37" x14ac:dyDescent="0.3">
      <c r="A1502" t="s">
        <v>5896</v>
      </c>
      <c r="B1502">
        <v>55</v>
      </c>
      <c r="C1502" t="s">
        <v>32</v>
      </c>
      <c r="D1502" t="s">
        <v>38</v>
      </c>
      <c r="E1502" t="s">
        <v>25</v>
      </c>
      <c r="F1502" s="1">
        <v>44154</v>
      </c>
      <c r="G1502" t="s">
        <v>3002</v>
      </c>
      <c r="H1502" t="s">
        <v>3003</v>
      </c>
      <c r="I1502" t="s">
        <v>28</v>
      </c>
      <c r="J1502">
        <v>11561</v>
      </c>
      <c r="K1502">
        <v>327</v>
      </c>
      <c r="L1502" t="s">
        <v>21</v>
      </c>
      <c r="M1502" s="1">
        <v>44179</v>
      </c>
      <c r="N1502" t="s">
        <v>30</v>
      </c>
      <c r="O1502" t="s">
        <v>31</v>
      </c>
      <c r="P1502" t="str">
        <f t="shared" si="510"/>
        <v>P1501</v>
      </c>
      <c r="Q1502" t="str">
        <f t="shared" si="506"/>
        <v>Nutrition</v>
      </c>
      <c r="R1502">
        <f t="shared" si="507"/>
        <v>25</v>
      </c>
      <c r="S1502" t="str">
        <f t="shared" ca="1" si="511"/>
        <v>No</v>
      </c>
      <c r="T1502" t="str">
        <f t="shared" ca="1" si="512"/>
        <v>Critical</v>
      </c>
      <c r="U1502" t="str">
        <f t="shared" ca="1" si="513"/>
        <v>Emergency</v>
      </c>
      <c r="V1502" t="str">
        <f t="shared" si="514"/>
        <v>BED1501</v>
      </c>
      <c r="W1502" t="str">
        <f t="shared" ca="1" si="515"/>
        <v>Semi-Private</v>
      </c>
      <c r="X1502" t="str">
        <f t="shared" si="516"/>
        <v>NUR001</v>
      </c>
      <c r="Y1502" t="str">
        <f t="shared" ca="1" si="517"/>
        <v>Morning</v>
      </c>
      <c r="Z1502" t="str">
        <f t="shared" ca="1" si="518"/>
        <v>MRI Scanner</v>
      </c>
      <c r="AA1502" t="str">
        <f t="shared" ca="1" si="519"/>
        <v>Maintenance</v>
      </c>
      <c r="AB1502" t="str">
        <f t="shared" ca="1" si="520"/>
        <v>Pending</v>
      </c>
      <c r="AC1502" t="str">
        <f t="shared" ca="1" si="521"/>
        <v>Cash</v>
      </c>
      <c r="AD1502" t="str">
        <f t="shared" ca="1" si="522"/>
        <v>Yes</v>
      </c>
      <c r="AE1502" t="str">
        <f t="shared" ca="1" si="523"/>
        <v>Yes</v>
      </c>
      <c r="AF1502" t="str">
        <f t="shared" ca="1" si="524"/>
        <v>Transferred</v>
      </c>
      <c r="AG1502" t="str">
        <f t="shared" ca="1" si="525"/>
        <v>Southeast</v>
      </c>
      <c r="AH1502" t="str">
        <f t="shared" si="508"/>
        <v>November</v>
      </c>
      <c r="AI1502">
        <f t="shared" si="509"/>
        <v>2020</v>
      </c>
      <c r="AJ1502" t="str">
        <f t="shared" ca="1" si="526"/>
        <v>Occupied</v>
      </c>
      <c r="AK1502">
        <f t="shared" ca="1" si="527"/>
        <v>4</v>
      </c>
    </row>
    <row r="1503" spans="1:37" x14ac:dyDescent="0.3">
      <c r="A1503" t="s">
        <v>5897</v>
      </c>
      <c r="B1503">
        <v>84</v>
      </c>
      <c r="C1503" t="s">
        <v>15</v>
      </c>
      <c r="D1503" t="s">
        <v>33</v>
      </c>
      <c r="E1503" t="s">
        <v>48</v>
      </c>
      <c r="F1503" s="1">
        <v>43673</v>
      </c>
      <c r="G1503" t="s">
        <v>3004</v>
      </c>
      <c r="H1503" t="s">
        <v>3005</v>
      </c>
      <c r="I1503" t="s">
        <v>51</v>
      </c>
      <c r="J1503">
        <v>11685</v>
      </c>
      <c r="K1503">
        <v>373</v>
      </c>
      <c r="L1503" t="s">
        <v>42</v>
      </c>
      <c r="M1503" s="1">
        <v>43686</v>
      </c>
      <c r="N1503" t="s">
        <v>30</v>
      </c>
      <c r="O1503" t="s">
        <v>43</v>
      </c>
      <c r="P1503" t="str">
        <f t="shared" si="510"/>
        <v>P1502</v>
      </c>
      <c r="Q1503" t="str">
        <f t="shared" si="506"/>
        <v>Pulmonology</v>
      </c>
      <c r="R1503">
        <f t="shared" si="507"/>
        <v>13</v>
      </c>
      <c r="S1503" t="str">
        <f t="shared" ca="1" si="511"/>
        <v>No</v>
      </c>
      <c r="T1503" t="str">
        <f t="shared" ca="1" si="512"/>
        <v>Mild</v>
      </c>
      <c r="U1503" t="str">
        <f t="shared" ca="1" si="513"/>
        <v>General Ward</v>
      </c>
      <c r="V1503" t="str">
        <f t="shared" si="514"/>
        <v>BED1502</v>
      </c>
      <c r="W1503" t="str">
        <f t="shared" ca="1" si="515"/>
        <v>General</v>
      </c>
      <c r="X1503" t="str">
        <f t="shared" si="516"/>
        <v>NUR002</v>
      </c>
      <c r="Y1503" t="str">
        <f t="shared" ca="1" si="517"/>
        <v>Night</v>
      </c>
      <c r="Z1503" t="str">
        <f t="shared" ca="1" si="518"/>
        <v>Ultrasound</v>
      </c>
      <c r="AA1503" t="str">
        <f t="shared" ca="1" si="519"/>
        <v>Available</v>
      </c>
      <c r="AB1503" t="str">
        <f t="shared" ca="1" si="520"/>
        <v>Pending</v>
      </c>
      <c r="AC1503" t="str">
        <f t="shared" ca="1" si="521"/>
        <v>Credit Card</v>
      </c>
      <c r="AD1503" t="str">
        <f t="shared" ca="1" si="522"/>
        <v>Yes</v>
      </c>
      <c r="AE1503" t="str">
        <f t="shared" ca="1" si="523"/>
        <v>No</v>
      </c>
      <c r="AF1503" t="str">
        <f t="shared" ca="1" si="524"/>
        <v>Recovered</v>
      </c>
      <c r="AG1503" t="str">
        <f t="shared" ca="1" si="525"/>
        <v>Midwest</v>
      </c>
      <c r="AH1503" t="str">
        <f t="shared" si="508"/>
        <v>July</v>
      </c>
      <c r="AI1503">
        <f t="shared" si="509"/>
        <v>2019</v>
      </c>
      <c r="AJ1503" t="str">
        <f t="shared" ca="1" si="526"/>
        <v>Occupied</v>
      </c>
      <c r="AK1503">
        <f t="shared" ca="1" si="527"/>
        <v>4</v>
      </c>
    </row>
    <row r="1504" spans="1:37" x14ac:dyDescent="0.3">
      <c r="A1504" t="s">
        <v>5898</v>
      </c>
      <c r="B1504">
        <v>24</v>
      </c>
      <c r="C1504" t="s">
        <v>15</v>
      </c>
      <c r="D1504" t="s">
        <v>98</v>
      </c>
      <c r="E1504" t="s">
        <v>25</v>
      </c>
      <c r="F1504" s="1">
        <v>44377</v>
      </c>
      <c r="G1504" t="s">
        <v>3006</v>
      </c>
      <c r="H1504" t="s">
        <v>3007</v>
      </c>
      <c r="I1504" t="s">
        <v>51</v>
      </c>
      <c r="J1504">
        <v>6685</v>
      </c>
      <c r="K1504">
        <v>243</v>
      </c>
      <c r="L1504" t="s">
        <v>29</v>
      </c>
      <c r="M1504" s="1">
        <v>44378</v>
      </c>
      <c r="N1504" t="s">
        <v>67</v>
      </c>
      <c r="O1504" t="s">
        <v>31</v>
      </c>
      <c r="P1504" t="str">
        <f t="shared" si="510"/>
        <v>P1503</v>
      </c>
      <c r="Q1504" t="str">
        <f t="shared" si="506"/>
        <v>Nutrition</v>
      </c>
      <c r="R1504">
        <f t="shared" si="507"/>
        <v>1</v>
      </c>
      <c r="S1504" t="str">
        <f t="shared" ca="1" si="511"/>
        <v>No</v>
      </c>
      <c r="T1504" t="str">
        <f t="shared" ca="1" si="512"/>
        <v>Severe</v>
      </c>
      <c r="U1504" t="str">
        <f t="shared" ca="1" si="513"/>
        <v>Emergency</v>
      </c>
      <c r="V1504" t="str">
        <f t="shared" si="514"/>
        <v>BED1503</v>
      </c>
      <c r="W1504" t="str">
        <f t="shared" ca="1" si="515"/>
        <v>Private</v>
      </c>
      <c r="X1504" t="str">
        <f t="shared" si="516"/>
        <v>NUR003</v>
      </c>
      <c r="Y1504" t="str">
        <f t="shared" ca="1" si="517"/>
        <v>Morning</v>
      </c>
      <c r="Z1504" t="str">
        <f t="shared" ca="1" si="518"/>
        <v>ECG Machine</v>
      </c>
      <c r="AA1504" t="str">
        <f t="shared" ca="1" si="519"/>
        <v>In Use</v>
      </c>
      <c r="AB1504" t="str">
        <f t="shared" ca="1" si="520"/>
        <v>Paid</v>
      </c>
      <c r="AC1504" t="str">
        <f t="shared" ca="1" si="521"/>
        <v>Cash</v>
      </c>
      <c r="AD1504" t="str">
        <f t="shared" ca="1" si="522"/>
        <v>No</v>
      </c>
      <c r="AE1504" t="str">
        <f t="shared" ca="1" si="523"/>
        <v>No</v>
      </c>
      <c r="AF1504" t="str">
        <f t="shared" ca="1" si="524"/>
        <v>Recovered</v>
      </c>
      <c r="AG1504" t="str">
        <f t="shared" ca="1" si="525"/>
        <v>Southeast</v>
      </c>
      <c r="AH1504" t="str">
        <f t="shared" si="508"/>
        <v>June</v>
      </c>
      <c r="AI1504">
        <f t="shared" si="509"/>
        <v>2021</v>
      </c>
      <c r="AJ1504" t="str">
        <f t="shared" ca="1" si="526"/>
        <v>Occupied</v>
      </c>
      <c r="AK1504">
        <f t="shared" ca="1" si="527"/>
        <v>1</v>
      </c>
    </row>
    <row r="1505" spans="1:37" x14ac:dyDescent="0.3">
      <c r="A1505" t="s">
        <v>5899</v>
      </c>
      <c r="B1505">
        <v>60</v>
      </c>
      <c r="C1505" t="s">
        <v>32</v>
      </c>
      <c r="D1505" t="s">
        <v>16</v>
      </c>
      <c r="E1505" t="s">
        <v>64</v>
      </c>
      <c r="F1505" s="1">
        <v>44641</v>
      </c>
      <c r="G1505" t="s">
        <v>3008</v>
      </c>
      <c r="H1505" t="s">
        <v>3009</v>
      </c>
      <c r="I1505" t="s">
        <v>36</v>
      </c>
      <c r="J1505">
        <v>6610</v>
      </c>
      <c r="K1505">
        <v>181</v>
      </c>
      <c r="L1505" t="s">
        <v>21</v>
      </c>
      <c r="M1505" s="1">
        <v>44669</v>
      </c>
      <c r="N1505" t="s">
        <v>37</v>
      </c>
      <c r="O1505" t="s">
        <v>23</v>
      </c>
      <c r="P1505" t="str">
        <f t="shared" si="510"/>
        <v>P1504</v>
      </c>
      <c r="Q1505" t="str">
        <f t="shared" si="506"/>
        <v>Cardiology</v>
      </c>
      <c r="R1505">
        <f t="shared" si="507"/>
        <v>28</v>
      </c>
      <c r="S1505" t="str">
        <f t="shared" ca="1" si="511"/>
        <v>No</v>
      </c>
      <c r="T1505" t="str">
        <f t="shared" ca="1" si="512"/>
        <v>Mild</v>
      </c>
      <c r="U1505" t="str">
        <f t="shared" ca="1" si="513"/>
        <v>Private Ward</v>
      </c>
      <c r="V1505" t="str">
        <f t="shared" si="514"/>
        <v>BED1504</v>
      </c>
      <c r="W1505" t="str">
        <f t="shared" ca="1" si="515"/>
        <v>Semi-Private</v>
      </c>
      <c r="X1505" t="str">
        <f t="shared" si="516"/>
        <v>NUR004</v>
      </c>
      <c r="Y1505" t="str">
        <f t="shared" ca="1" si="517"/>
        <v>Evening</v>
      </c>
      <c r="Z1505" t="str">
        <f t="shared" ca="1" si="518"/>
        <v>ECG Machine</v>
      </c>
      <c r="AA1505" t="str">
        <f t="shared" ca="1" si="519"/>
        <v>Available</v>
      </c>
      <c r="AB1505" t="str">
        <f t="shared" ca="1" si="520"/>
        <v>Partially Paid</v>
      </c>
      <c r="AC1505" t="str">
        <f t="shared" ca="1" si="521"/>
        <v>Insurance</v>
      </c>
      <c r="AD1505" t="str">
        <f t="shared" ca="1" si="522"/>
        <v>Yes</v>
      </c>
      <c r="AE1505" t="str">
        <f t="shared" ca="1" si="523"/>
        <v>No</v>
      </c>
      <c r="AF1505" t="str">
        <f t="shared" ca="1" si="524"/>
        <v>Under Observation</v>
      </c>
      <c r="AG1505" t="str">
        <f t="shared" ca="1" si="525"/>
        <v>Midwest</v>
      </c>
      <c r="AH1505" t="str">
        <f t="shared" si="508"/>
        <v>March</v>
      </c>
      <c r="AI1505">
        <f t="shared" si="509"/>
        <v>2022</v>
      </c>
      <c r="AJ1505" t="str">
        <f t="shared" ca="1" si="526"/>
        <v>Vacant</v>
      </c>
      <c r="AK1505">
        <f t="shared" ca="1" si="527"/>
        <v>4</v>
      </c>
    </row>
    <row r="1506" spans="1:37" x14ac:dyDescent="0.3">
      <c r="A1506" t="s">
        <v>5900</v>
      </c>
      <c r="B1506">
        <v>48</v>
      </c>
      <c r="C1506" t="s">
        <v>15</v>
      </c>
      <c r="D1506" t="s">
        <v>52</v>
      </c>
      <c r="E1506" t="s">
        <v>48</v>
      </c>
      <c r="F1506" s="1">
        <v>45404</v>
      </c>
      <c r="G1506" t="s">
        <v>3010</v>
      </c>
      <c r="H1506" t="s">
        <v>1589</v>
      </c>
      <c r="I1506" t="s">
        <v>20</v>
      </c>
      <c r="J1506">
        <v>42291</v>
      </c>
      <c r="K1506">
        <v>295</v>
      </c>
      <c r="L1506" t="s">
        <v>29</v>
      </c>
      <c r="M1506" s="1">
        <v>45422</v>
      </c>
      <c r="N1506" t="s">
        <v>47</v>
      </c>
      <c r="O1506" t="s">
        <v>43</v>
      </c>
      <c r="P1506" t="str">
        <f t="shared" si="510"/>
        <v>P1505</v>
      </c>
      <c r="Q1506" t="str">
        <f t="shared" si="506"/>
        <v>Pulmonology</v>
      </c>
      <c r="R1506">
        <f t="shared" si="507"/>
        <v>18</v>
      </c>
      <c r="S1506" t="str">
        <f t="shared" ca="1" si="511"/>
        <v>No</v>
      </c>
      <c r="T1506" t="str">
        <f t="shared" ca="1" si="512"/>
        <v>Severe</v>
      </c>
      <c r="U1506" t="str">
        <f t="shared" ca="1" si="513"/>
        <v>General Ward</v>
      </c>
      <c r="V1506" t="str">
        <f t="shared" si="514"/>
        <v>BED1505</v>
      </c>
      <c r="W1506" t="str">
        <f t="shared" ca="1" si="515"/>
        <v>Private</v>
      </c>
      <c r="X1506" t="str">
        <f t="shared" si="516"/>
        <v>NUR005</v>
      </c>
      <c r="Y1506" t="str">
        <f t="shared" ca="1" si="517"/>
        <v>Night</v>
      </c>
      <c r="Z1506" t="str">
        <f t="shared" ca="1" si="518"/>
        <v>CT Scanner</v>
      </c>
      <c r="AA1506" t="str">
        <f t="shared" ca="1" si="519"/>
        <v>In Use</v>
      </c>
      <c r="AB1506" t="str">
        <f t="shared" ca="1" si="520"/>
        <v>Paid</v>
      </c>
      <c r="AC1506" t="str">
        <f t="shared" ca="1" si="521"/>
        <v>Insurance</v>
      </c>
      <c r="AD1506" t="str">
        <f t="shared" ca="1" si="522"/>
        <v>Yes</v>
      </c>
      <c r="AE1506" t="str">
        <f t="shared" ca="1" si="523"/>
        <v>No</v>
      </c>
      <c r="AF1506" t="str">
        <f t="shared" ca="1" si="524"/>
        <v>Recovered</v>
      </c>
      <c r="AG1506" t="str">
        <f t="shared" ca="1" si="525"/>
        <v>Southeast</v>
      </c>
      <c r="AH1506" t="str">
        <f t="shared" si="508"/>
        <v>April</v>
      </c>
      <c r="AI1506">
        <f t="shared" si="509"/>
        <v>2024</v>
      </c>
      <c r="AJ1506" t="str">
        <f t="shared" ca="1" si="526"/>
        <v>Occupied</v>
      </c>
      <c r="AK1506">
        <f t="shared" ca="1" si="527"/>
        <v>4</v>
      </c>
    </row>
    <row r="1507" spans="1:37" x14ac:dyDescent="0.3">
      <c r="A1507" t="s">
        <v>5901</v>
      </c>
      <c r="B1507">
        <v>31</v>
      </c>
      <c r="C1507" t="s">
        <v>15</v>
      </c>
      <c r="D1507" t="s">
        <v>83</v>
      </c>
      <c r="E1507" t="s">
        <v>64</v>
      </c>
      <c r="F1507" s="1">
        <v>44435</v>
      </c>
      <c r="G1507" t="s">
        <v>3011</v>
      </c>
      <c r="H1507" t="s">
        <v>3012</v>
      </c>
      <c r="I1507" t="s">
        <v>57</v>
      </c>
      <c r="J1507">
        <v>2451</v>
      </c>
      <c r="K1507">
        <v>273</v>
      </c>
      <c r="L1507" t="s">
        <v>21</v>
      </c>
      <c r="M1507" s="1">
        <v>44440</v>
      </c>
      <c r="N1507" t="s">
        <v>67</v>
      </c>
      <c r="O1507" t="s">
        <v>31</v>
      </c>
      <c r="P1507" t="str">
        <f t="shared" si="510"/>
        <v>P1506</v>
      </c>
      <c r="Q1507" t="str">
        <f t="shared" si="506"/>
        <v>Cardiology</v>
      </c>
      <c r="R1507">
        <f t="shared" si="507"/>
        <v>5</v>
      </c>
      <c r="S1507" t="str">
        <f t="shared" ca="1" si="511"/>
        <v>No</v>
      </c>
      <c r="T1507" t="str">
        <f t="shared" ca="1" si="512"/>
        <v>Mild</v>
      </c>
      <c r="U1507" t="str">
        <f t="shared" ca="1" si="513"/>
        <v>Private Ward</v>
      </c>
      <c r="V1507" t="str">
        <f t="shared" si="514"/>
        <v>BED1506</v>
      </c>
      <c r="W1507" t="str">
        <f t="shared" ca="1" si="515"/>
        <v>Private</v>
      </c>
      <c r="X1507" t="str">
        <f t="shared" si="516"/>
        <v>NUR006</v>
      </c>
      <c r="Y1507" t="str">
        <f t="shared" ca="1" si="517"/>
        <v>Night</v>
      </c>
      <c r="Z1507" t="str">
        <f t="shared" ca="1" si="518"/>
        <v>Ultrasound</v>
      </c>
      <c r="AA1507" t="str">
        <f t="shared" ca="1" si="519"/>
        <v>Maintenance</v>
      </c>
      <c r="AB1507" t="str">
        <f t="shared" ca="1" si="520"/>
        <v>Partially Paid</v>
      </c>
      <c r="AC1507" t="str">
        <f t="shared" ca="1" si="521"/>
        <v>Credit Card</v>
      </c>
      <c r="AD1507" t="str">
        <f t="shared" ca="1" si="522"/>
        <v>Yes</v>
      </c>
      <c r="AE1507" t="str">
        <f t="shared" ca="1" si="523"/>
        <v>No</v>
      </c>
      <c r="AF1507" t="str">
        <f t="shared" ca="1" si="524"/>
        <v>Recovered</v>
      </c>
      <c r="AG1507" t="str">
        <f t="shared" ca="1" si="525"/>
        <v>West Coast</v>
      </c>
      <c r="AH1507" t="str">
        <f t="shared" si="508"/>
        <v>August</v>
      </c>
      <c r="AI1507">
        <f t="shared" si="509"/>
        <v>2021</v>
      </c>
      <c r="AJ1507" t="str">
        <f t="shared" ca="1" si="526"/>
        <v>Occupied</v>
      </c>
      <c r="AK1507">
        <f t="shared" ca="1" si="527"/>
        <v>1</v>
      </c>
    </row>
    <row r="1508" spans="1:37" x14ac:dyDescent="0.3">
      <c r="A1508" t="s">
        <v>5902</v>
      </c>
      <c r="B1508">
        <v>48</v>
      </c>
      <c r="C1508" t="s">
        <v>32</v>
      </c>
      <c r="D1508" t="s">
        <v>38</v>
      </c>
      <c r="E1508" t="s">
        <v>76</v>
      </c>
      <c r="F1508" s="1">
        <v>44851</v>
      </c>
      <c r="G1508" t="s">
        <v>3013</v>
      </c>
      <c r="H1508" t="s">
        <v>3014</v>
      </c>
      <c r="I1508" t="s">
        <v>57</v>
      </c>
      <c r="J1508">
        <v>2268</v>
      </c>
      <c r="K1508">
        <v>253</v>
      </c>
      <c r="L1508" t="s">
        <v>29</v>
      </c>
      <c r="M1508" s="1">
        <v>44871</v>
      </c>
      <c r="N1508" t="s">
        <v>47</v>
      </c>
      <c r="O1508" t="s">
        <v>23</v>
      </c>
      <c r="P1508" t="str">
        <f t="shared" si="510"/>
        <v>P1507</v>
      </c>
      <c r="Q1508" t="str">
        <f t="shared" si="506"/>
        <v>Orthopedics</v>
      </c>
      <c r="R1508">
        <f t="shared" si="507"/>
        <v>20</v>
      </c>
      <c r="S1508" t="str">
        <f t="shared" ca="1" si="511"/>
        <v>No</v>
      </c>
      <c r="T1508" t="str">
        <f t="shared" ca="1" si="512"/>
        <v>Moderate</v>
      </c>
      <c r="U1508" t="str">
        <f t="shared" ca="1" si="513"/>
        <v>Emergency</v>
      </c>
      <c r="V1508" t="str">
        <f t="shared" si="514"/>
        <v>BED1507</v>
      </c>
      <c r="W1508" t="str">
        <f t="shared" ca="1" si="515"/>
        <v>ICU</v>
      </c>
      <c r="X1508" t="str">
        <f t="shared" si="516"/>
        <v>NUR007</v>
      </c>
      <c r="Y1508" t="str">
        <f t="shared" ca="1" si="517"/>
        <v>Evening</v>
      </c>
      <c r="Z1508" t="str">
        <f t="shared" ca="1" si="518"/>
        <v>X-Ray</v>
      </c>
      <c r="AA1508" t="str">
        <f t="shared" ca="1" si="519"/>
        <v>In Use</v>
      </c>
      <c r="AB1508" t="str">
        <f t="shared" ca="1" si="520"/>
        <v>Partially Paid</v>
      </c>
      <c r="AC1508" t="str">
        <f t="shared" ca="1" si="521"/>
        <v>Bank Transfer</v>
      </c>
      <c r="AD1508" t="str">
        <f t="shared" ca="1" si="522"/>
        <v>Yes</v>
      </c>
      <c r="AE1508" t="str">
        <f t="shared" ca="1" si="523"/>
        <v>No</v>
      </c>
      <c r="AF1508" t="str">
        <f t="shared" ca="1" si="524"/>
        <v>Recovered</v>
      </c>
      <c r="AG1508" t="str">
        <f t="shared" ca="1" si="525"/>
        <v>Northeast</v>
      </c>
      <c r="AH1508" t="str">
        <f t="shared" si="508"/>
        <v>October</v>
      </c>
      <c r="AI1508">
        <f t="shared" si="509"/>
        <v>2022</v>
      </c>
      <c r="AJ1508" t="str">
        <f t="shared" ca="1" si="526"/>
        <v>Vacant</v>
      </c>
      <c r="AK1508">
        <f t="shared" ca="1" si="527"/>
        <v>1</v>
      </c>
    </row>
    <row r="1509" spans="1:37" x14ac:dyDescent="0.3">
      <c r="A1509" t="s">
        <v>5903</v>
      </c>
      <c r="B1509">
        <v>60</v>
      </c>
      <c r="C1509" t="s">
        <v>32</v>
      </c>
      <c r="D1509" t="s">
        <v>98</v>
      </c>
      <c r="E1509" t="s">
        <v>64</v>
      </c>
      <c r="F1509" s="1">
        <v>45360</v>
      </c>
      <c r="G1509" t="s">
        <v>3015</v>
      </c>
      <c r="H1509" t="s">
        <v>3016</v>
      </c>
      <c r="I1509" t="s">
        <v>28</v>
      </c>
      <c r="J1509">
        <v>16321</v>
      </c>
      <c r="K1509">
        <v>475</v>
      </c>
      <c r="L1509" t="s">
        <v>21</v>
      </c>
      <c r="M1509" s="1">
        <v>45384</v>
      </c>
      <c r="N1509" t="s">
        <v>37</v>
      </c>
      <c r="O1509" t="s">
        <v>31</v>
      </c>
      <c r="P1509" t="str">
        <f t="shared" si="510"/>
        <v>P1508</v>
      </c>
      <c r="Q1509" t="str">
        <f t="shared" si="506"/>
        <v>Cardiology</v>
      </c>
      <c r="R1509">
        <f t="shared" si="507"/>
        <v>24</v>
      </c>
      <c r="S1509" t="str">
        <f t="shared" ca="1" si="511"/>
        <v>Yes</v>
      </c>
      <c r="T1509" t="str">
        <f t="shared" ca="1" si="512"/>
        <v>Critical</v>
      </c>
      <c r="U1509" t="str">
        <f t="shared" ca="1" si="513"/>
        <v>General Ward</v>
      </c>
      <c r="V1509" t="str">
        <f t="shared" si="514"/>
        <v>BED1508</v>
      </c>
      <c r="W1509" t="str">
        <f t="shared" ca="1" si="515"/>
        <v>Semi-Private</v>
      </c>
      <c r="X1509" t="str">
        <f t="shared" si="516"/>
        <v>NUR008</v>
      </c>
      <c r="Y1509" t="str">
        <f t="shared" ca="1" si="517"/>
        <v>Night</v>
      </c>
      <c r="Z1509" t="str">
        <f t="shared" ca="1" si="518"/>
        <v>Ultrasound</v>
      </c>
      <c r="AA1509" t="str">
        <f t="shared" ca="1" si="519"/>
        <v>Maintenance</v>
      </c>
      <c r="AB1509" t="str">
        <f t="shared" ca="1" si="520"/>
        <v>Partially Paid</v>
      </c>
      <c r="AC1509" t="str">
        <f t="shared" ca="1" si="521"/>
        <v>Insurance</v>
      </c>
      <c r="AD1509" t="str">
        <f t="shared" ca="1" si="522"/>
        <v>No</v>
      </c>
      <c r="AE1509" t="str">
        <f t="shared" ca="1" si="523"/>
        <v>No</v>
      </c>
      <c r="AF1509" t="str">
        <f t="shared" ca="1" si="524"/>
        <v>Under Observation</v>
      </c>
      <c r="AG1509" t="str">
        <f t="shared" ca="1" si="525"/>
        <v>West Coast</v>
      </c>
      <c r="AH1509" t="str">
        <f t="shared" si="508"/>
        <v>March</v>
      </c>
      <c r="AI1509">
        <f t="shared" si="509"/>
        <v>2024</v>
      </c>
      <c r="AJ1509" t="str">
        <f t="shared" ca="1" si="526"/>
        <v>Vacant</v>
      </c>
      <c r="AK1509">
        <f t="shared" ca="1" si="527"/>
        <v>2</v>
      </c>
    </row>
    <row r="1510" spans="1:37" x14ac:dyDescent="0.3">
      <c r="A1510" t="s">
        <v>5904</v>
      </c>
      <c r="B1510">
        <v>29</v>
      </c>
      <c r="C1510" t="s">
        <v>32</v>
      </c>
      <c r="D1510" t="s">
        <v>38</v>
      </c>
      <c r="E1510" t="s">
        <v>17</v>
      </c>
      <c r="F1510" s="1">
        <v>45081</v>
      </c>
      <c r="G1510" t="s">
        <v>3017</v>
      </c>
      <c r="H1510" t="s">
        <v>3018</v>
      </c>
      <c r="I1510" t="s">
        <v>51</v>
      </c>
      <c r="J1510">
        <v>40829</v>
      </c>
      <c r="K1510">
        <v>105</v>
      </c>
      <c r="L1510" t="s">
        <v>21</v>
      </c>
      <c r="M1510" s="1">
        <v>45110</v>
      </c>
      <c r="N1510" t="s">
        <v>30</v>
      </c>
      <c r="O1510" t="s">
        <v>43</v>
      </c>
      <c r="P1510" t="str">
        <f t="shared" si="510"/>
        <v>P1509</v>
      </c>
      <c r="Q1510" t="str">
        <f t="shared" si="506"/>
        <v>Oncology</v>
      </c>
      <c r="R1510">
        <f t="shared" si="507"/>
        <v>29</v>
      </c>
      <c r="S1510" t="str">
        <f t="shared" ca="1" si="511"/>
        <v>No</v>
      </c>
      <c r="T1510" t="str">
        <f t="shared" ca="1" si="512"/>
        <v>Mild</v>
      </c>
      <c r="U1510" t="str">
        <f t="shared" ca="1" si="513"/>
        <v>Private Ward</v>
      </c>
      <c r="V1510" t="str">
        <f t="shared" si="514"/>
        <v>BED1509</v>
      </c>
      <c r="W1510" t="str">
        <f t="shared" ca="1" si="515"/>
        <v>ICU</v>
      </c>
      <c r="X1510" t="str">
        <f t="shared" si="516"/>
        <v>NUR009</v>
      </c>
      <c r="Y1510" t="str">
        <f t="shared" ca="1" si="517"/>
        <v>Night</v>
      </c>
      <c r="Z1510" t="str">
        <f t="shared" ca="1" si="518"/>
        <v>Ultrasound</v>
      </c>
      <c r="AA1510" t="str">
        <f t="shared" ca="1" si="519"/>
        <v>Maintenance</v>
      </c>
      <c r="AB1510" t="str">
        <f t="shared" ca="1" si="520"/>
        <v>Paid</v>
      </c>
      <c r="AC1510" t="str">
        <f t="shared" ca="1" si="521"/>
        <v>Debit Card</v>
      </c>
      <c r="AD1510" t="str">
        <f t="shared" ca="1" si="522"/>
        <v>Yes</v>
      </c>
      <c r="AE1510" t="str">
        <f t="shared" ca="1" si="523"/>
        <v>No</v>
      </c>
      <c r="AF1510" t="str">
        <f t="shared" ca="1" si="524"/>
        <v>Under Observation</v>
      </c>
      <c r="AG1510" t="str">
        <f t="shared" ca="1" si="525"/>
        <v>Southwest</v>
      </c>
      <c r="AH1510" t="str">
        <f t="shared" si="508"/>
        <v>June</v>
      </c>
      <c r="AI1510">
        <f t="shared" si="509"/>
        <v>2023</v>
      </c>
      <c r="AJ1510" t="str">
        <f t="shared" ca="1" si="526"/>
        <v>Occupied</v>
      </c>
      <c r="AK1510">
        <f t="shared" ca="1" si="527"/>
        <v>2</v>
      </c>
    </row>
    <row r="1511" spans="1:37" x14ac:dyDescent="0.3">
      <c r="A1511" t="s">
        <v>5905</v>
      </c>
      <c r="B1511">
        <v>81</v>
      </c>
      <c r="C1511" t="s">
        <v>32</v>
      </c>
      <c r="D1511" t="s">
        <v>44</v>
      </c>
      <c r="E1511" t="s">
        <v>76</v>
      </c>
      <c r="F1511" s="1">
        <v>44047</v>
      </c>
      <c r="G1511" t="s">
        <v>3019</v>
      </c>
      <c r="H1511" t="s">
        <v>3020</v>
      </c>
      <c r="I1511" t="s">
        <v>57</v>
      </c>
      <c r="J1511">
        <v>13277</v>
      </c>
      <c r="K1511">
        <v>457</v>
      </c>
      <c r="L1511" t="s">
        <v>42</v>
      </c>
      <c r="M1511" s="1">
        <v>44054</v>
      </c>
      <c r="N1511" t="s">
        <v>67</v>
      </c>
      <c r="O1511" t="s">
        <v>23</v>
      </c>
      <c r="P1511" t="str">
        <f t="shared" si="510"/>
        <v>P1510</v>
      </c>
      <c r="Q1511" t="str">
        <f t="shared" si="506"/>
        <v>Orthopedics</v>
      </c>
      <c r="R1511">
        <f t="shared" si="507"/>
        <v>7</v>
      </c>
      <c r="S1511" t="str">
        <f t="shared" ca="1" si="511"/>
        <v>No</v>
      </c>
      <c r="T1511" t="str">
        <f t="shared" ca="1" si="512"/>
        <v>Moderate</v>
      </c>
      <c r="U1511" t="str">
        <f t="shared" ca="1" si="513"/>
        <v>Semi-Private</v>
      </c>
      <c r="V1511" t="str">
        <f t="shared" si="514"/>
        <v>BED1510</v>
      </c>
      <c r="W1511" t="str">
        <f t="shared" ca="1" si="515"/>
        <v>Private</v>
      </c>
      <c r="X1511" t="str">
        <f t="shared" si="516"/>
        <v>NUR010</v>
      </c>
      <c r="Y1511" t="str">
        <f t="shared" ca="1" si="517"/>
        <v>Morning</v>
      </c>
      <c r="Z1511" t="str">
        <f t="shared" ca="1" si="518"/>
        <v>MRI Scanner</v>
      </c>
      <c r="AA1511" t="str">
        <f t="shared" ca="1" si="519"/>
        <v>Maintenance</v>
      </c>
      <c r="AB1511" t="str">
        <f t="shared" ca="1" si="520"/>
        <v>Partially Paid</v>
      </c>
      <c r="AC1511" t="str">
        <f t="shared" ca="1" si="521"/>
        <v>Cash</v>
      </c>
      <c r="AD1511" t="str">
        <f t="shared" ca="1" si="522"/>
        <v>No</v>
      </c>
      <c r="AE1511" t="str">
        <f t="shared" ca="1" si="523"/>
        <v>Yes</v>
      </c>
      <c r="AF1511" t="str">
        <f t="shared" ca="1" si="524"/>
        <v>Under Observation</v>
      </c>
      <c r="AG1511" t="str">
        <f t="shared" ca="1" si="525"/>
        <v>Northeast</v>
      </c>
      <c r="AH1511" t="str">
        <f t="shared" si="508"/>
        <v>August</v>
      </c>
      <c r="AI1511">
        <f t="shared" si="509"/>
        <v>2020</v>
      </c>
      <c r="AJ1511" t="str">
        <f t="shared" ca="1" si="526"/>
        <v>Occupied</v>
      </c>
      <c r="AK1511">
        <f t="shared" ca="1" si="527"/>
        <v>1</v>
      </c>
    </row>
    <row r="1512" spans="1:37" x14ac:dyDescent="0.3">
      <c r="A1512" t="s">
        <v>5906</v>
      </c>
      <c r="B1512">
        <v>83</v>
      </c>
      <c r="C1512" t="s">
        <v>15</v>
      </c>
      <c r="D1512" t="s">
        <v>38</v>
      </c>
      <c r="E1512" t="s">
        <v>39</v>
      </c>
      <c r="F1512" s="1">
        <v>44921</v>
      </c>
      <c r="G1512" t="s">
        <v>3021</v>
      </c>
      <c r="H1512" t="s">
        <v>3022</v>
      </c>
      <c r="I1512" t="s">
        <v>28</v>
      </c>
      <c r="J1512">
        <v>9691</v>
      </c>
      <c r="K1512">
        <v>388</v>
      </c>
      <c r="L1512" t="s">
        <v>42</v>
      </c>
      <c r="M1512" s="1">
        <v>44946</v>
      </c>
      <c r="N1512" t="s">
        <v>67</v>
      </c>
      <c r="O1512" t="s">
        <v>23</v>
      </c>
      <c r="P1512" t="str">
        <f t="shared" si="510"/>
        <v>P1511</v>
      </c>
      <c r="Q1512" t="str">
        <f t="shared" si="506"/>
        <v>Endocrinology</v>
      </c>
      <c r="R1512">
        <f t="shared" si="507"/>
        <v>25</v>
      </c>
      <c r="S1512" t="str">
        <f t="shared" ca="1" si="511"/>
        <v>No</v>
      </c>
      <c r="T1512" t="str">
        <f t="shared" ca="1" si="512"/>
        <v>Mild</v>
      </c>
      <c r="U1512" t="str">
        <f t="shared" ca="1" si="513"/>
        <v>Semi-Private</v>
      </c>
      <c r="V1512" t="str">
        <f t="shared" si="514"/>
        <v>BED1511</v>
      </c>
      <c r="W1512" t="str">
        <f t="shared" ca="1" si="515"/>
        <v>Semi-Private</v>
      </c>
      <c r="X1512" t="str">
        <f t="shared" si="516"/>
        <v>NUR011</v>
      </c>
      <c r="Y1512" t="str">
        <f t="shared" ca="1" si="517"/>
        <v>Evening</v>
      </c>
      <c r="Z1512" t="str">
        <f t="shared" ca="1" si="518"/>
        <v>Ultrasound</v>
      </c>
      <c r="AA1512" t="str">
        <f t="shared" ca="1" si="519"/>
        <v>Available</v>
      </c>
      <c r="AB1512" t="str">
        <f t="shared" ca="1" si="520"/>
        <v>Partially Paid</v>
      </c>
      <c r="AC1512" t="str">
        <f t="shared" ca="1" si="521"/>
        <v>Credit Card</v>
      </c>
      <c r="AD1512" t="str">
        <f t="shared" ca="1" si="522"/>
        <v>No</v>
      </c>
      <c r="AE1512" t="str">
        <f t="shared" ca="1" si="523"/>
        <v>No</v>
      </c>
      <c r="AF1512" t="str">
        <f t="shared" ca="1" si="524"/>
        <v>Transferred</v>
      </c>
      <c r="AG1512" t="str">
        <f t="shared" ca="1" si="525"/>
        <v>Southeast</v>
      </c>
      <c r="AH1512" t="str">
        <f t="shared" si="508"/>
        <v>December</v>
      </c>
      <c r="AI1512">
        <f t="shared" si="509"/>
        <v>2022</v>
      </c>
      <c r="AJ1512" t="str">
        <f t="shared" ca="1" si="526"/>
        <v>Occupied</v>
      </c>
      <c r="AK1512">
        <f t="shared" ca="1" si="527"/>
        <v>1</v>
      </c>
    </row>
    <row r="1513" spans="1:37" x14ac:dyDescent="0.3">
      <c r="A1513" t="s">
        <v>5907</v>
      </c>
      <c r="B1513">
        <v>19</v>
      </c>
      <c r="C1513" t="s">
        <v>15</v>
      </c>
      <c r="D1513" t="s">
        <v>83</v>
      </c>
      <c r="E1513" t="s">
        <v>64</v>
      </c>
      <c r="F1513" s="1">
        <v>44366</v>
      </c>
      <c r="G1513" t="s">
        <v>3023</v>
      </c>
      <c r="H1513" t="s">
        <v>1812</v>
      </c>
      <c r="I1513" t="s">
        <v>36</v>
      </c>
      <c r="J1513">
        <v>49168</v>
      </c>
      <c r="K1513">
        <v>254</v>
      </c>
      <c r="L1513" t="s">
        <v>42</v>
      </c>
      <c r="M1513" s="1">
        <v>44367</v>
      </c>
      <c r="N1513" t="s">
        <v>67</v>
      </c>
      <c r="O1513" t="s">
        <v>31</v>
      </c>
      <c r="P1513" t="str">
        <f t="shared" si="510"/>
        <v>P1512</v>
      </c>
      <c r="Q1513" t="str">
        <f t="shared" si="506"/>
        <v>Cardiology</v>
      </c>
      <c r="R1513">
        <f t="shared" si="507"/>
        <v>1</v>
      </c>
      <c r="S1513" t="str">
        <f t="shared" ca="1" si="511"/>
        <v>No</v>
      </c>
      <c r="T1513" t="str">
        <f t="shared" ca="1" si="512"/>
        <v>Critical</v>
      </c>
      <c r="U1513" t="str">
        <f t="shared" ca="1" si="513"/>
        <v>Semi-Private</v>
      </c>
      <c r="V1513" t="str">
        <f t="shared" si="514"/>
        <v>BED1512</v>
      </c>
      <c r="W1513" t="str">
        <f t="shared" ca="1" si="515"/>
        <v>Semi-Private</v>
      </c>
      <c r="X1513" t="str">
        <f t="shared" si="516"/>
        <v>NUR012</v>
      </c>
      <c r="Y1513" t="str">
        <f t="shared" ca="1" si="517"/>
        <v>Night</v>
      </c>
      <c r="Z1513" t="str">
        <f t="shared" ca="1" si="518"/>
        <v>X-Ray</v>
      </c>
      <c r="AA1513" t="str">
        <f t="shared" ca="1" si="519"/>
        <v>Available</v>
      </c>
      <c r="AB1513" t="str">
        <f t="shared" ca="1" si="520"/>
        <v>Pending</v>
      </c>
      <c r="AC1513" t="str">
        <f t="shared" ca="1" si="521"/>
        <v>Bank Transfer</v>
      </c>
      <c r="AD1513" t="str">
        <f t="shared" ca="1" si="522"/>
        <v>No</v>
      </c>
      <c r="AE1513" t="str">
        <f t="shared" ca="1" si="523"/>
        <v>No</v>
      </c>
      <c r="AF1513" t="str">
        <f t="shared" ca="1" si="524"/>
        <v>Under Observation</v>
      </c>
      <c r="AG1513" t="str">
        <f t="shared" ca="1" si="525"/>
        <v>Southeast</v>
      </c>
      <c r="AH1513" t="str">
        <f t="shared" si="508"/>
        <v>June</v>
      </c>
      <c r="AI1513">
        <f t="shared" si="509"/>
        <v>2021</v>
      </c>
      <c r="AJ1513" t="str">
        <f t="shared" ca="1" si="526"/>
        <v>Occupied</v>
      </c>
      <c r="AK1513">
        <f t="shared" ca="1" si="527"/>
        <v>4</v>
      </c>
    </row>
    <row r="1514" spans="1:37" x14ac:dyDescent="0.3">
      <c r="A1514" t="s">
        <v>5908</v>
      </c>
      <c r="B1514">
        <v>31</v>
      </c>
      <c r="C1514" t="s">
        <v>15</v>
      </c>
      <c r="D1514" t="s">
        <v>16</v>
      </c>
      <c r="E1514" t="s">
        <v>64</v>
      </c>
      <c r="F1514" s="1">
        <v>44529</v>
      </c>
      <c r="G1514" t="s">
        <v>3024</v>
      </c>
      <c r="H1514" t="s">
        <v>3025</v>
      </c>
      <c r="I1514" t="s">
        <v>51</v>
      </c>
      <c r="J1514">
        <v>1499</v>
      </c>
      <c r="K1514">
        <v>472</v>
      </c>
      <c r="L1514" t="s">
        <v>21</v>
      </c>
      <c r="M1514" s="1">
        <v>44557</v>
      </c>
      <c r="N1514" t="s">
        <v>30</v>
      </c>
      <c r="O1514" t="s">
        <v>31</v>
      </c>
      <c r="P1514" t="str">
        <f t="shared" si="510"/>
        <v>P1513</v>
      </c>
      <c r="Q1514" t="str">
        <f t="shared" si="506"/>
        <v>Cardiology</v>
      </c>
      <c r="R1514">
        <f t="shared" si="507"/>
        <v>28</v>
      </c>
      <c r="S1514" t="str">
        <f t="shared" ca="1" si="511"/>
        <v>No</v>
      </c>
      <c r="T1514" t="str">
        <f t="shared" ca="1" si="512"/>
        <v>Moderate</v>
      </c>
      <c r="U1514" t="str">
        <f t="shared" ca="1" si="513"/>
        <v>ICU</v>
      </c>
      <c r="V1514" t="str">
        <f t="shared" si="514"/>
        <v>BED1513</v>
      </c>
      <c r="W1514" t="str">
        <f t="shared" ca="1" si="515"/>
        <v>Private</v>
      </c>
      <c r="X1514" t="str">
        <f t="shared" si="516"/>
        <v>NUR013</v>
      </c>
      <c r="Y1514" t="str">
        <f t="shared" ca="1" si="517"/>
        <v>Morning</v>
      </c>
      <c r="Z1514" t="str">
        <f t="shared" ca="1" si="518"/>
        <v>Ventilator</v>
      </c>
      <c r="AA1514" t="str">
        <f t="shared" ca="1" si="519"/>
        <v>In Use</v>
      </c>
      <c r="AB1514" t="str">
        <f t="shared" ca="1" si="520"/>
        <v>Pending</v>
      </c>
      <c r="AC1514" t="str">
        <f t="shared" ca="1" si="521"/>
        <v>Debit Card</v>
      </c>
      <c r="AD1514" t="str">
        <f t="shared" ca="1" si="522"/>
        <v>Yes</v>
      </c>
      <c r="AE1514" t="str">
        <f t="shared" ca="1" si="523"/>
        <v>No</v>
      </c>
      <c r="AF1514" t="str">
        <f t="shared" ca="1" si="524"/>
        <v>Under Observation</v>
      </c>
      <c r="AG1514" t="str">
        <f t="shared" ca="1" si="525"/>
        <v>Northeast</v>
      </c>
      <c r="AH1514" t="str">
        <f t="shared" si="508"/>
        <v>November</v>
      </c>
      <c r="AI1514">
        <f t="shared" si="509"/>
        <v>2021</v>
      </c>
      <c r="AJ1514" t="str">
        <f t="shared" ca="1" si="526"/>
        <v>Occupied</v>
      </c>
      <c r="AK1514">
        <f t="shared" ca="1" si="527"/>
        <v>1</v>
      </c>
    </row>
    <row r="1515" spans="1:37" x14ac:dyDescent="0.3">
      <c r="A1515" t="s">
        <v>5909</v>
      </c>
      <c r="B1515">
        <v>75</v>
      </c>
      <c r="C1515" t="s">
        <v>15</v>
      </c>
      <c r="D1515" t="s">
        <v>24</v>
      </c>
      <c r="E1515" t="s">
        <v>76</v>
      </c>
      <c r="F1515" s="1">
        <v>43660</v>
      </c>
      <c r="G1515" t="s">
        <v>3026</v>
      </c>
      <c r="H1515" t="s">
        <v>3027</v>
      </c>
      <c r="I1515" t="s">
        <v>57</v>
      </c>
      <c r="J1515">
        <v>31580</v>
      </c>
      <c r="K1515">
        <v>312</v>
      </c>
      <c r="L1515" t="s">
        <v>29</v>
      </c>
      <c r="M1515" s="1">
        <v>43683</v>
      </c>
      <c r="N1515" t="s">
        <v>37</v>
      </c>
      <c r="O1515" t="s">
        <v>43</v>
      </c>
      <c r="P1515" t="str">
        <f t="shared" si="510"/>
        <v>P1514</v>
      </c>
      <c r="Q1515" t="str">
        <f t="shared" si="506"/>
        <v>Orthopedics</v>
      </c>
      <c r="R1515">
        <f t="shared" si="507"/>
        <v>23</v>
      </c>
      <c r="S1515" t="str">
        <f t="shared" ca="1" si="511"/>
        <v>No</v>
      </c>
      <c r="T1515" t="str">
        <f t="shared" ca="1" si="512"/>
        <v>Mild</v>
      </c>
      <c r="U1515" t="str">
        <f t="shared" ca="1" si="513"/>
        <v>Semi-Private</v>
      </c>
      <c r="V1515" t="str">
        <f t="shared" si="514"/>
        <v>BED1514</v>
      </c>
      <c r="W1515" t="str">
        <f t="shared" ca="1" si="515"/>
        <v>Semi-Private</v>
      </c>
      <c r="X1515" t="str">
        <f t="shared" si="516"/>
        <v>NUR014</v>
      </c>
      <c r="Y1515" t="str">
        <f t="shared" ca="1" si="517"/>
        <v>Morning</v>
      </c>
      <c r="Z1515" t="str">
        <f t="shared" ca="1" si="518"/>
        <v>MRI Scanner</v>
      </c>
      <c r="AA1515" t="str">
        <f t="shared" ca="1" si="519"/>
        <v>Maintenance</v>
      </c>
      <c r="AB1515" t="str">
        <f t="shared" ca="1" si="520"/>
        <v>Partially Paid</v>
      </c>
      <c r="AC1515" t="str">
        <f t="shared" ca="1" si="521"/>
        <v>Credit Card</v>
      </c>
      <c r="AD1515" t="str">
        <f t="shared" ca="1" si="522"/>
        <v>No</v>
      </c>
      <c r="AE1515" t="str">
        <f t="shared" ca="1" si="523"/>
        <v>Yes</v>
      </c>
      <c r="AF1515" t="str">
        <f t="shared" ca="1" si="524"/>
        <v>Transferred</v>
      </c>
      <c r="AG1515" t="str">
        <f t="shared" ca="1" si="525"/>
        <v>Southwest</v>
      </c>
      <c r="AH1515" t="str">
        <f t="shared" si="508"/>
        <v>July</v>
      </c>
      <c r="AI1515">
        <f t="shared" si="509"/>
        <v>2019</v>
      </c>
      <c r="AJ1515" t="str">
        <f t="shared" ca="1" si="526"/>
        <v>Occupied</v>
      </c>
      <c r="AK1515">
        <f t="shared" ca="1" si="527"/>
        <v>4</v>
      </c>
    </row>
    <row r="1516" spans="1:37" x14ac:dyDescent="0.3">
      <c r="A1516" t="s">
        <v>5910</v>
      </c>
      <c r="B1516">
        <v>53</v>
      </c>
      <c r="C1516" t="s">
        <v>15</v>
      </c>
      <c r="D1516" t="s">
        <v>16</v>
      </c>
      <c r="E1516" t="s">
        <v>25</v>
      </c>
      <c r="F1516" s="1">
        <v>43692</v>
      </c>
      <c r="G1516" t="s">
        <v>3028</v>
      </c>
      <c r="H1516" t="s">
        <v>3029</v>
      </c>
      <c r="I1516" t="s">
        <v>20</v>
      </c>
      <c r="J1516">
        <v>16243</v>
      </c>
      <c r="K1516">
        <v>305</v>
      </c>
      <c r="L1516" t="s">
        <v>29</v>
      </c>
      <c r="M1516" s="1">
        <v>43704</v>
      </c>
      <c r="N1516" t="s">
        <v>37</v>
      </c>
      <c r="O1516" t="s">
        <v>31</v>
      </c>
      <c r="P1516" t="str">
        <f t="shared" si="510"/>
        <v>P1515</v>
      </c>
      <c r="Q1516" t="str">
        <f t="shared" si="506"/>
        <v>Nutrition</v>
      </c>
      <c r="R1516">
        <f t="shared" si="507"/>
        <v>12</v>
      </c>
      <c r="S1516" t="str">
        <f t="shared" ca="1" si="511"/>
        <v>No</v>
      </c>
      <c r="T1516" t="str">
        <f t="shared" ca="1" si="512"/>
        <v>Severe</v>
      </c>
      <c r="U1516" t="str">
        <f t="shared" ca="1" si="513"/>
        <v>General Ward</v>
      </c>
      <c r="V1516" t="str">
        <f t="shared" si="514"/>
        <v>BED1515</v>
      </c>
      <c r="W1516" t="str">
        <f t="shared" ca="1" si="515"/>
        <v>ICU</v>
      </c>
      <c r="X1516" t="str">
        <f t="shared" si="516"/>
        <v>NUR015</v>
      </c>
      <c r="Y1516" t="str">
        <f t="shared" ca="1" si="517"/>
        <v>Evening</v>
      </c>
      <c r="Z1516" t="str">
        <f t="shared" ca="1" si="518"/>
        <v>Ultrasound</v>
      </c>
      <c r="AA1516" t="str">
        <f t="shared" ca="1" si="519"/>
        <v>Maintenance</v>
      </c>
      <c r="AB1516" t="str">
        <f t="shared" ca="1" si="520"/>
        <v>Pending</v>
      </c>
      <c r="AC1516" t="str">
        <f t="shared" ca="1" si="521"/>
        <v>Cash</v>
      </c>
      <c r="AD1516" t="str">
        <f t="shared" ca="1" si="522"/>
        <v>No</v>
      </c>
      <c r="AE1516" t="str">
        <f t="shared" ca="1" si="523"/>
        <v>No</v>
      </c>
      <c r="AF1516" t="str">
        <f t="shared" ca="1" si="524"/>
        <v>Transferred</v>
      </c>
      <c r="AG1516" t="str">
        <f t="shared" ca="1" si="525"/>
        <v>Southwest</v>
      </c>
      <c r="AH1516" t="str">
        <f t="shared" si="508"/>
        <v>August</v>
      </c>
      <c r="AI1516">
        <f t="shared" si="509"/>
        <v>2019</v>
      </c>
      <c r="AJ1516" t="str">
        <f t="shared" ca="1" si="526"/>
        <v>Occupied</v>
      </c>
      <c r="AK1516">
        <f t="shared" ca="1" si="527"/>
        <v>2</v>
      </c>
    </row>
    <row r="1517" spans="1:37" x14ac:dyDescent="0.3">
      <c r="A1517" t="s">
        <v>5911</v>
      </c>
      <c r="B1517">
        <v>47</v>
      </c>
      <c r="C1517" t="s">
        <v>32</v>
      </c>
      <c r="D1517" t="s">
        <v>16</v>
      </c>
      <c r="E1517" t="s">
        <v>17</v>
      </c>
      <c r="F1517" s="1">
        <v>44271</v>
      </c>
      <c r="G1517" t="s">
        <v>3030</v>
      </c>
      <c r="H1517" t="s">
        <v>3031</v>
      </c>
      <c r="I1517" t="s">
        <v>57</v>
      </c>
      <c r="J1517">
        <v>36570</v>
      </c>
      <c r="K1517">
        <v>268</v>
      </c>
      <c r="L1517" t="s">
        <v>29</v>
      </c>
      <c r="M1517" s="1">
        <v>44295</v>
      </c>
      <c r="N1517" t="s">
        <v>67</v>
      </c>
      <c r="O1517" t="s">
        <v>43</v>
      </c>
      <c r="P1517" t="str">
        <f t="shared" si="510"/>
        <v>P1516</v>
      </c>
      <c r="Q1517" t="str">
        <f t="shared" si="506"/>
        <v>Oncology</v>
      </c>
      <c r="R1517">
        <f t="shared" si="507"/>
        <v>24</v>
      </c>
      <c r="S1517" t="str">
        <f t="shared" ca="1" si="511"/>
        <v>No</v>
      </c>
      <c r="T1517" t="str">
        <f t="shared" ca="1" si="512"/>
        <v>Critical</v>
      </c>
      <c r="U1517" t="str">
        <f t="shared" ca="1" si="513"/>
        <v>Emergency</v>
      </c>
      <c r="V1517" t="str">
        <f t="shared" si="514"/>
        <v>BED1516</v>
      </c>
      <c r="W1517" t="str">
        <f t="shared" ca="1" si="515"/>
        <v>ICU</v>
      </c>
      <c r="X1517" t="str">
        <f t="shared" si="516"/>
        <v>NUR016</v>
      </c>
      <c r="Y1517" t="str">
        <f t="shared" ca="1" si="517"/>
        <v>Evening</v>
      </c>
      <c r="Z1517" t="str">
        <f t="shared" ca="1" si="518"/>
        <v>Ultrasound</v>
      </c>
      <c r="AA1517" t="str">
        <f t="shared" ca="1" si="519"/>
        <v>Available</v>
      </c>
      <c r="AB1517" t="str">
        <f t="shared" ca="1" si="520"/>
        <v>Pending</v>
      </c>
      <c r="AC1517" t="str">
        <f t="shared" ca="1" si="521"/>
        <v>Credit Card</v>
      </c>
      <c r="AD1517" t="str">
        <f t="shared" ca="1" si="522"/>
        <v>No</v>
      </c>
      <c r="AE1517" t="str">
        <f t="shared" ca="1" si="523"/>
        <v>No</v>
      </c>
      <c r="AF1517" t="str">
        <f t="shared" ca="1" si="524"/>
        <v>Transferred</v>
      </c>
      <c r="AG1517" t="str">
        <f t="shared" ca="1" si="525"/>
        <v>Southeast</v>
      </c>
      <c r="AH1517" t="str">
        <f t="shared" si="508"/>
        <v>March</v>
      </c>
      <c r="AI1517">
        <f t="shared" si="509"/>
        <v>2021</v>
      </c>
      <c r="AJ1517" t="str">
        <f t="shared" ca="1" si="526"/>
        <v>Vacant</v>
      </c>
      <c r="AK1517">
        <f t="shared" ca="1" si="527"/>
        <v>4</v>
      </c>
    </row>
    <row r="1518" spans="1:37" x14ac:dyDescent="0.3">
      <c r="A1518" t="s">
        <v>5912</v>
      </c>
      <c r="B1518">
        <v>69</v>
      </c>
      <c r="C1518" t="s">
        <v>15</v>
      </c>
      <c r="D1518" t="s">
        <v>24</v>
      </c>
      <c r="E1518" t="s">
        <v>64</v>
      </c>
      <c r="F1518" s="1">
        <v>44971</v>
      </c>
      <c r="G1518" t="s">
        <v>3032</v>
      </c>
      <c r="H1518" t="s">
        <v>3033</v>
      </c>
      <c r="I1518" t="s">
        <v>28</v>
      </c>
      <c r="J1518">
        <v>34498</v>
      </c>
      <c r="K1518">
        <v>354</v>
      </c>
      <c r="L1518" t="s">
        <v>42</v>
      </c>
      <c r="M1518" s="1">
        <v>44987</v>
      </c>
      <c r="N1518" t="s">
        <v>30</v>
      </c>
      <c r="O1518" t="s">
        <v>23</v>
      </c>
      <c r="P1518" t="str">
        <f t="shared" si="510"/>
        <v>P1517</v>
      </c>
      <c r="Q1518" t="str">
        <f t="shared" si="506"/>
        <v>Cardiology</v>
      </c>
      <c r="R1518">
        <f t="shared" si="507"/>
        <v>16</v>
      </c>
      <c r="S1518" t="str">
        <f t="shared" ca="1" si="511"/>
        <v>No</v>
      </c>
      <c r="T1518" t="str">
        <f t="shared" ca="1" si="512"/>
        <v>Moderate</v>
      </c>
      <c r="U1518" t="str">
        <f t="shared" ca="1" si="513"/>
        <v>Private Ward</v>
      </c>
      <c r="V1518" t="str">
        <f t="shared" si="514"/>
        <v>BED1517</v>
      </c>
      <c r="W1518" t="str">
        <f t="shared" ca="1" si="515"/>
        <v>ICU</v>
      </c>
      <c r="X1518" t="str">
        <f t="shared" si="516"/>
        <v>NUR017</v>
      </c>
      <c r="Y1518" t="str">
        <f t="shared" ca="1" si="517"/>
        <v>Morning</v>
      </c>
      <c r="Z1518" t="str">
        <f t="shared" ca="1" si="518"/>
        <v>X-Ray</v>
      </c>
      <c r="AA1518" t="str">
        <f t="shared" ca="1" si="519"/>
        <v>Available</v>
      </c>
      <c r="AB1518" t="str">
        <f t="shared" ca="1" si="520"/>
        <v>Paid</v>
      </c>
      <c r="AC1518" t="str">
        <f t="shared" ca="1" si="521"/>
        <v>Cash</v>
      </c>
      <c r="AD1518" t="str">
        <f t="shared" ca="1" si="522"/>
        <v>No</v>
      </c>
      <c r="AE1518" t="str">
        <f t="shared" ca="1" si="523"/>
        <v>No</v>
      </c>
      <c r="AF1518" t="str">
        <f t="shared" ca="1" si="524"/>
        <v>Recovered</v>
      </c>
      <c r="AG1518" t="str">
        <f t="shared" ca="1" si="525"/>
        <v>West Coast</v>
      </c>
      <c r="AH1518" t="str">
        <f t="shared" si="508"/>
        <v>February</v>
      </c>
      <c r="AI1518">
        <f t="shared" si="509"/>
        <v>2023</v>
      </c>
      <c r="AJ1518" t="str">
        <f t="shared" ca="1" si="526"/>
        <v>Occupied</v>
      </c>
      <c r="AK1518">
        <f t="shared" ca="1" si="527"/>
        <v>2</v>
      </c>
    </row>
    <row r="1519" spans="1:37" x14ac:dyDescent="0.3">
      <c r="A1519" t="s">
        <v>5913</v>
      </c>
      <c r="B1519">
        <v>28</v>
      </c>
      <c r="C1519" t="s">
        <v>15</v>
      </c>
      <c r="D1519" t="s">
        <v>16</v>
      </c>
      <c r="E1519" t="s">
        <v>25</v>
      </c>
      <c r="F1519" s="1">
        <v>44712</v>
      </c>
      <c r="G1519" t="s">
        <v>3034</v>
      </c>
      <c r="H1519" t="s">
        <v>3035</v>
      </c>
      <c r="I1519" t="s">
        <v>28</v>
      </c>
      <c r="J1519">
        <v>1771</v>
      </c>
      <c r="K1519">
        <v>141</v>
      </c>
      <c r="L1519" t="s">
        <v>42</v>
      </c>
      <c r="M1519" s="1">
        <v>44736</v>
      </c>
      <c r="N1519" t="s">
        <v>67</v>
      </c>
      <c r="O1519" t="s">
        <v>43</v>
      </c>
      <c r="P1519" t="str">
        <f t="shared" si="510"/>
        <v>P1518</v>
      </c>
      <c r="Q1519" t="str">
        <f t="shared" si="506"/>
        <v>Nutrition</v>
      </c>
      <c r="R1519">
        <f t="shared" si="507"/>
        <v>24</v>
      </c>
      <c r="S1519" t="str">
        <f t="shared" ca="1" si="511"/>
        <v>No</v>
      </c>
      <c r="T1519" t="str">
        <f t="shared" ca="1" si="512"/>
        <v>Mild</v>
      </c>
      <c r="U1519" t="str">
        <f t="shared" ca="1" si="513"/>
        <v>Semi-Private</v>
      </c>
      <c r="V1519" t="str">
        <f t="shared" si="514"/>
        <v>BED1518</v>
      </c>
      <c r="W1519" t="str">
        <f t="shared" ca="1" si="515"/>
        <v>Private</v>
      </c>
      <c r="X1519" t="str">
        <f t="shared" si="516"/>
        <v>NUR018</v>
      </c>
      <c r="Y1519" t="str">
        <f t="shared" ca="1" si="517"/>
        <v>Night</v>
      </c>
      <c r="Z1519" t="str">
        <f t="shared" ca="1" si="518"/>
        <v>CT Scanner</v>
      </c>
      <c r="AA1519" t="str">
        <f t="shared" ca="1" si="519"/>
        <v>Available</v>
      </c>
      <c r="AB1519" t="str">
        <f t="shared" ca="1" si="520"/>
        <v>Pending</v>
      </c>
      <c r="AC1519" t="str">
        <f t="shared" ca="1" si="521"/>
        <v>Insurance</v>
      </c>
      <c r="AD1519" t="str">
        <f t="shared" ca="1" si="522"/>
        <v>Yes</v>
      </c>
      <c r="AE1519" t="str">
        <f t="shared" ca="1" si="523"/>
        <v>No</v>
      </c>
      <c r="AF1519" t="str">
        <f t="shared" ca="1" si="524"/>
        <v>Recovered</v>
      </c>
      <c r="AG1519" t="str">
        <f t="shared" ca="1" si="525"/>
        <v>Northeast</v>
      </c>
      <c r="AH1519" t="str">
        <f t="shared" si="508"/>
        <v>May</v>
      </c>
      <c r="AI1519">
        <f t="shared" si="509"/>
        <v>2022</v>
      </c>
      <c r="AJ1519" t="str">
        <f t="shared" ca="1" si="526"/>
        <v>Occupied</v>
      </c>
      <c r="AK1519">
        <f t="shared" ca="1" si="527"/>
        <v>2</v>
      </c>
    </row>
    <row r="1520" spans="1:37" x14ac:dyDescent="0.3">
      <c r="A1520" t="s">
        <v>5914</v>
      </c>
      <c r="B1520">
        <v>61</v>
      </c>
      <c r="C1520" t="s">
        <v>15</v>
      </c>
      <c r="D1520" t="s">
        <v>38</v>
      </c>
      <c r="E1520" t="s">
        <v>64</v>
      </c>
      <c r="F1520" s="1">
        <v>45016</v>
      </c>
      <c r="G1520" t="s">
        <v>3036</v>
      </c>
      <c r="H1520" t="s">
        <v>3037</v>
      </c>
      <c r="I1520" t="s">
        <v>57</v>
      </c>
      <c r="J1520">
        <v>10898</v>
      </c>
      <c r="K1520">
        <v>476</v>
      </c>
      <c r="L1520" t="s">
        <v>42</v>
      </c>
      <c r="M1520" s="1">
        <v>45028</v>
      </c>
      <c r="N1520" t="s">
        <v>47</v>
      </c>
      <c r="O1520" t="s">
        <v>31</v>
      </c>
      <c r="P1520" t="str">
        <f t="shared" si="510"/>
        <v>P1519</v>
      </c>
      <c r="Q1520" t="str">
        <f t="shared" si="506"/>
        <v>Cardiology</v>
      </c>
      <c r="R1520">
        <f t="shared" si="507"/>
        <v>12</v>
      </c>
      <c r="S1520" t="str">
        <f t="shared" ca="1" si="511"/>
        <v>No</v>
      </c>
      <c r="T1520" t="str">
        <f t="shared" ca="1" si="512"/>
        <v>Moderate</v>
      </c>
      <c r="U1520" t="str">
        <f t="shared" ca="1" si="513"/>
        <v>Semi-Private</v>
      </c>
      <c r="V1520" t="str">
        <f t="shared" si="514"/>
        <v>BED1519</v>
      </c>
      <c r="W1520" t="str">
        <f t="shared" ca="1" si="515"/>
        <v>Private</v>
      </c>
      <c r="X1520" t="str">
        <f t="shared" si="516"/>
        <v>NUR019</v>
      </c>
      <c r="Y1520" t="str">
        <f t="shared" ca="1" si="517"/>
        <v>Night</v>
      </c>
      <c r="Z1520" t="str">
        <f t="shared" ca="1" si="518"/>
        <v>X-Ray</v>
      </c>
      <c r="AA1520" t="str">
        <f t="shared" ca="1" si="519"/>
        <v>In Use</v>
      </c>
      <c r="AB1520" t="str">
        <f t="shared" ca="1" si="520"/>
        <v>Partially Paid</v>
      </c>
      <c r="AC1520" t="str">
        <f t="shared" ca="1" si="521"/>
        <v>Debit Card</v>
      </c>
      <c r="AD1520" t="str">
        <f t="shared" ca="1" si="522"/>
        <v>No</v>
      </c>
      <c r="AE1520" t="str">
        <f t="shared" ca="1" si="523"/>
        <v>No</v>
      </c>
      <c r="AF1520" t="str">
        <f t="shared" ca="1" si="524"/>
        <v>Under Observation</v>
      </c>
      <c r="AG1520" t="str">
        <f t="shared" ca="1" si="525"/>
        <v>Northeast</v>
      </c>
      <c r="AH1520" t="str">
        <f t="shared" si="508"/>
        <v>March</v>
      </c>
      <c r="AI1520">
        <f t="shared" si="509"/>
        <v>2023</v>
      </c>
      <c r="AJ1520" t="str">
        <f t="shared" ca="1" si="526"/>
        <v>Occupied</v>
      </c>
      <c r="AK1520">
        <f t="shared" ca="1" si="527"/>
        <v>4</v>
      </c>
    </row>
    <row r="1521" spans="1:37" x14ac:dyDescent="0.3">
      <c r="A1521" t="s">
        <v>5915</v>
      </c>
      <c r="B1521">
        <v>75</v>
      </c>
      <c r="C1521" t="s">
        <v>32</v>
      </c>
      <c r="D1521" t="s">
        <v>16</v>
      </c>
      <c r="E1521" t="s">
        <v>64</v>
      </c>
      <c r="F1521" s="1">
        <v>44277</v>
      </c>
      <c r="G1521" t="s">
        <v>2436</v>
      </c>
      <c r="H1521" t="s">
        <v>3038</v>
      </c>
      <c r="I1521" t="s">
        <v>51</v>
      </c>
      <c r="J1521">
        <v>17145</v>
      </c>
      <c r="K1521">
        <v>201</v>
      </c>
      <c r="L1521" t="s">
        <v>42</v>
      </c>
      <c r="M1521" s="1">
        <v>44285</v>
      </c>
      <c r="N1521" t="s">
        <v>67</v>
      </c>
      <c r="O1521" t="s">
        <v>23</v>
      </c>
      <c r="P1521" t="str">
        <f t="shared" si="510"/>
        <v>P1520</v>
      </c>
      <c r="Q1521" t="str">
        <f t="shared" si="506"/>
        <v>Cardiology</v>
      </c>
      <c r="R1521">
        <f t="shared" si="507"/>
        <v>8</v>
      </c>
      <c r="S1521" t="str">
        <f t="shared" ca="1" si="511"/>
        <v>No</v>
      </c>
      <c r="T1521" t="str">
        <f t="shared" ca="1" si="512"/>
        <v>Moderate</v>
      </c>
      <c r="U1521" t="str">
        <f t="shared" ca="1" si="513"/>
        <v>General Ward</v>
      </c>
      <c r="V1521" t="str">
        <f t="shared" si="514"/>
        <v>BED1520</v>
      </c>
      <c r="W1521" t="str">
        <f t="shared" ca="1" si="515"/>
        <v>Semi-Private</v>
      </c>
      <c r="X1521" t="str">
        <f t="shared" si="516"/>
        <v>NUR020</v>
      </c>
      <c r="Y1521" t="str">
        <f t="shared" ca="1" si="517"/>
        <v>Evening</v>
      </c>
      <c r="Z1521" t="str">
        <f t="shared" ca="1" si="518"/>
        <v>MRI Scanner</v>
      </c>
      <c r="AA1521" t="str">
        <f t="shared" ca="1" si="519"/>
        <v>Available</v>
      </c>
      <c r="AB1521" t="str">
        <f t="shared" ca="1" si="520"/>
        <v>Paid</v>
      </c>
      <c r="AC1521" t="str">
        <f t="shared" ca="1" si="521"/>
        <v>Debit Card</v>
      </c>
      <c r="AD1521" t="str">
        <f t="shared" ca="1" si="522"/>
        <v>No</v>
      </c>
      <c r="AE1521" t="str">
        <f t="shared" ca="1" si="523"/>
        <v>No</v>
      </c>
      <c r="AF1521" t="str">
        <f t="shared" ca="1" si="524"/>
        <v>Transferred</v>
      </c>
      <c r="AG1521" t="str">
        <f t="shared" ca="1" si="525"/>
        <v>Southwest</v>
      </c>
      <c r="AH1521" t="str">
        <f t="shared" si="508"/>
        <v>March</v>
      </c>
      <c r="AI1521">
        <f t="shared" si="509"/>
        <v>2021</v>
      </c>
      <c r="AJ1521" t="str">
        <f t="shared" ca="1" si="526"/>
        <v>Occupied</v>
      </c>
      <c r="AK1521">
        <f t="shared" ca="1" si="527"/>
        <v>1</v>
      </c>
    </row>
    <row r="1522" spans="1:37" x14ac:dyDescent="0.3">
      <c r="A1522" t="s">
        <v>5916</v>
      </c>
      <c r="B1522">
        <v>74</v>
      </c>
      <c r="C1522" t="s">
        <v>15</v>
      </c>
      <c r="D1522" t="s">
        <v>44</v>
      </c>
      <c r="E1522" t="s">
        <v>17</v>
      </c>
      <c r="F1522" s="1">
        <v>44516</v>
      </c>
      <c r="G1522" t="s">
        <v>3039</v>
      </c>
      <c r="H1522" t="s">
        <v>3040</v>
      </c>
      <c r="I1522" t="s">
        <v>57</v>
      </c>
      <c r="J1522">
        <v>40810</v>
      </c>
      <c r="K1522">
        <v>148</v>
      </c>
      <c r="L1522" t="s">
        <v>21</v>
      </c>
      <c r="M1522" s="1">
        <v>44521</v>
      </c>
      <c r="N1522" t="s">
        <v>67</v>
      </c>
      <c r="O1522" t="s">
        <v>43</v>
      </c>
      <c r="P1522" t="str">
        <f t="shared" si="510"/>
        <v>P1521</v>
      </c>
      <c r="Q1522" t="str">
        <f t="shared" si="506"/>
        <v>Oncology</v>
      </c>
      <c r="R1522">
        <f t="shared" si="507"/>
        <v>5</v>
      </c>
      <c r="S1522" t="str">
        <f t="shared" ca="1" si="511"/>
        <v>No</v>
      </c>
      <c r="T1522" t="str">
        <f t="shared" ca="1" si="512"/>
        <v>Critical</v>
      </c>
      <c r="U1522" t="str">
        <f t="shared" ca="1" si="513"/>
        <v>General Ward</v>
      </c>
      <c r="V1522" t="str">
        <f t="shared" si="514"/>
        <v>BED1521</v>
      </c>
      <c r="W1522" t="str">
        <f t="shared" ca="1" si="515"/>
        <v>ICU</v>
      </c>
      <c r="X1522" t="str">
        <f t="shared" si="516"/>
        <v>NUR021</v>
      </c>
      <c r="Y1522" t="str">
        <f t="shared" ca="1" si="517"/>
        <v>Night</v>
      </c>
      <c r="Z1522" t="str">
        <f t="shared" ca="1" si="518"/>
        <v>MRI Scanner</v>
      </c>
      <c r="AA1522" t="str">
        <f t="shared" ca="1" si="519"/>
        <v>Available</v>
      </c>
      <c r="AB1522" t="str">
        <f t="shared" ca="1" si="520"/>
        <v>Partially Paid</v>
      </c>
      <c r="AC1522" t="str">
        <f t="shared" ca="1" si="521"/>
        <v>Insurance</v>
      </c>
      <c r="AD1522" t="str">
        <f t="shared" ca="1" si="522"/>
        <v>Yes</v>
      </c>
      <c r="AE1522" t="str">
        <f t="shared" ca="1" si="523"/>
        <v>No</v>
      </c>
      <c r="AF1522" t="str">
        <f t="shared" ca="1" si="524"/>
        <v>Recovered</v>
      </c>
      <c r="AG1522" t="str">
        <f t="shared" ca="1" si="525"/>
        <v>Midwest</v>
      </c>
      <c r="AH1522" t="str">
        <f t="shared" si="508"/>
        <v>November</v>
      </c>
      <c r="AI1522">
        <f t="shared" si="509"/>
        <v>2021</v>
      </c>
      <c r="AJ1522" t="str">
        <f t="shared" ca="1" si="526"/>
        <v>Vacant</v>
      </c>
      <c r="AK1522">
        <f t="shared" ca="1" si="527"/>
        <v>2</v>
      </c>
    </row>
    <row r="1523" spans="1:37" x14ac:dyDescent="0.3">
      <c r="A1523" t="s">
        <v>5917</v>
      </c>
      <c r="B1523">
        <v>64</v>
      </c>
      <c r="C1523" t="s">
        <v>32</v>
      </c>
      <c r="D1523" t="s">
        <v>52</v>
      </c>
      <c r="E1523" t="s">
        <v>64</v>
      </c>
      <c r="F1523" s="1">
        <v>44860</v>
      </c>
      <c r="G1523" t="s">
        <v>3041</v>
      </c>
      <c r="H1523" t="s">
        <v>3042</v>
      </c>
      <c r="I1523" t="s">
        <v>28</v>
      </c>
      <c r="J1523">
        <v>36836</v>
      </c>
      <c r="K1523">
        <v>130</v>
      </c>
      <c r="L1523" t="s">
        <v>29</v>
      </c>
      <c r="M1523" s="1">
        <v>44881</v>
      </c>
      <c r="N1523" t="s">
        <v>67</v>
      </c>
      <c r="O1523" t="s">
        <v>31</v>
      </c>
      <c r="P1523" t="str">
        <f t="shared" si="510"/>
        <v>P1522</v>
      </c>
      <c r="Q1523" t="str">
        <f t="shared" si="506"/>
        <v>Cardiology</v>
      </c>
      <c r="R1523">
        <f t="shared" si="507"/>
        <v>21</v>
      </c>
      <c r="S1523" t="str">
        <f t="shared" ca="1" si="511"/>
        <v>No</v>
      </c>
      <c r="T1523" t="str">
        <f t="shared" ca="1" si="512"/>
        <v>Moderate</v>
      </c>
      <c r="U1523" t="str">
        <f t="shared" ca="1" si="513"/>
        <v>Emergency</v>
      </c>
      <c r="V1523" t="str">
        <f t="shared" si="514"/>
        <v>BED1522</v>
      </c>
      <c r="W1523" t="str">
        <f t="shared" ca="1" si="515"/>
        <v>Private</v>
      </c>
      <c r="X1523" t="str">
        <f t="shared" si="516"/>
        <v>NUR022</v>
      </c>
      <c r="Y1523" t="str">
        <f t="shared" ca="1" si="517"/>
        <v>Morning</v>
      </c>
      <c r="Z1523" t="str">
        <f t="shared" ca="1" si="518"/>
        <v>MRI Scanner</v>
      </c>
      <c r="AA1523" t="str">
        <f t="shared" ca="1" si="519"/>
        <v>In Use</v>
      </c>
      <c r="AB1523" t="str">
        <f t="shared" ca="1" si="520"/>
        <v>Paid</v>
      </c>
      <c r="AC1523" t="str">
        <f t="shared" ca="1" si="521"/>
        <v>Cash</v>
      </c>
      <c r="AD1523" t="str">
        <f t="shared" ca="1" si="522"/>
        <v>No</v>
      </c>
      <c r="AE1523" t="str">
        <f t="shared" ca="1" si="523"/>
        <v>No</v>
      </c>
      <c r="AF1523" t="str">
        <f t="shared" ca="1" si="524"/>
        <v>Transferred</v>
      </c>
      <c r="AG1523" t="str">
        <f t="shared" ca="1" si="525"/>
        <v>Northeast</v>
      </c>
      <c r="AH1523" t="str">
        <f t="shared" si="508"/>
        <v>October</v>
      </c>
      <c r="AI1523">
        <f t="shared" si="509"/>
        <v>2022</v>
      </c>
      <c r="AJ1523" t="str">
        <f t="shared" ca="1" si="526"/>
        <v>Occupied</v>
      </c>
      <c r="AK1523">
        <f t="shared" ca="1" si="527"/>
        <v>2</v>
      </c>
    </row>
    <row r="1524" spans="1:37" x14ac:dyDescent="0.3">
      <c r="A1524" t="s">
        <v>5918</v>
      </c>
      <c r="B1524">
        <v>56</v>
      </c>
      <c r="C1524" t="s">
        <v>15</v>
      </c>
      <c r="D1524" t="s">
        <v>52</v>
      </c>
      <c r="E1524" t="s">
        <v>25</v>
      </c>
      <c r="F1524" s="1">
        <v>44134</v>
      </c>
      <c r="G1524" t="s">
        <v>3043</v>
      </c>
      <c r="H1524" t="s">
        <v>3044</v>
      </c>
      <c r="I1524" t="s">
        <v>36</v>
      </c>
      <c r="J1524">
        <v>45321</v>
      </c>
      <c r="K1524">
        <v>254</v>
      </c>
      <c r="L1524" t="s">
        <v>21</v>
      </c>
      <c r="M1524" s="1">
        <v>44163</v>
      </c>
      <c r="N1524" t="s">
        <v>30</v>
      </c>
      <c r="O1524" t="s">
        <v>43</v>
      </c>
      <c r="P1524" t="str">
        <f t="shared" si="510"/>
        <v>P1523</v>
      </c>
      <c r="Q1524" t="str">
        <f t="shared" si="506"/>
        <v>Nutrition</v>
      </c>
      <c r="R1524">
        <f t="shared" si="507"/>
        <v>29</v>
      </c>
      <c r="S1524" t="str">
        <f t="shared" ca="1" si="511"/>
        <v>No</v>
      </c>
      <c r="T1524" t="str">
        <f t="shared" ca="1" si="512"/>
        <v>Critical</v>
      </c>
      <c r="U1524" t="str">
        <f t="shared" ca="1" si="513"/>
        <v>General Ward</v>
      </c>
      <c r="V1524" t="str">
        <f t="shared" si="514"/>
        <v>BED1523</v>
      </c>
      <c r="W1524" t="str">
        <f t="shared" ca="1" si="515"/>
        <v>ICU</v>
      </c>
      <c r="X1524" t="str">
        <f t="shared" si="516"/>
        <v>NUR023</v>
      </c>
      <c r="Y1524" t="str">
        <f t="shared" ca="1" si="517"/>
        <v>Night</v>
      </c>
      <c r="Z1524" t="str">
        <f t="shared" ca="1" si="518"/>
        <v>CT Scanner</v>
      </c>
      <c r="AA1524" t="str">
        <f t="shared" ca="1" si="519"/>
        <v>In Use</v>
      </c>
      <c r="AB1524" t="str">
        <f t="shared" ca="1" si="520"/>
        <v>Partially Paid</v>
      </c>
      <c r="AC1524" t="str">
        <f t="shared" ca="1" si="521"/>
        <v>Cash</v>
      </c>
      <c r="AD1524" t="str">
        <f t="shared" ca="1" si="522"/>
        <v>No</v>
      </c>
      <c r="AE1524" t="str">
        <f t="shared" ca="1" si="523"/>
        <v>No</v>
      </c>
      <c r="AF1524" t="str">
        <f t="shared" ca="1" si="524"/>
        <v>Transferred</v>
      </c>
      <c r="AG1524" t="str">
        <f t="shared" ca="1" si="525"/>
        <v>West Coast</v>
      </c>
      <c r="AH1524" t="str">
        <f t="shared" si="508"/>
        <v>October</v>
      </c>
      <c r="AI1524">
        <f t="shared" si="509"/>
        <v>2020</v>
      </c>
      <c r="AJ1524" t="str">
        <f t="shared" ca="1" si="526"/>
        <v>Occupied</v>
      </c>
      <c r="AK1524">
        <f t="shared" ca="1" si="527"/>
        <v>1</v>
      </c>
    </row>
    <row r="1525" spans="1:37" x14ac:dyDescent="0.3">
      <c r="A1525" t="s">
        <v>5919</v>
      </c>
      <c r="B1525">
        <v>59</v>
      </c>
      <c r="C1525" t="s">
        <v>32</v>
      </c>
      <c r="D1525" t="s">
        <v>44</v>
      </c>
      <c r="E1525" t="s">
        <v>25</v>
      </c>
      <c r="F1525" s="1">
        <v>45049</v>
      </c>
      <c r="G1525" t="s">
        <v>3045</v>
      </c>
      <c r="H1525" t="s">
        <v>3046</v>
      </c>
      <c r="I1525" t="s">
        <v>51</v>
      </c>
      <c r="J1525">
        <v>43546</v>
      </c>
      <c r="K1525">
        <v>299</v>
      </c>
      <c r="L1525" t="s">
        <v>29</v>
      </c>
      <c r="M1525" s="1">
        <v>45051</v>
      </c>
      <c r="N1525" t="s">
        <v>37</v>
      </c>
      <c r="O1525" t="s">
        <v>31</v>
      </c>
      <c r="P1525" t="str">
        <f t="shared" si="510"/>
        <v>P1524</v>
      </c>
      <c r="Q1525" t="str">
        <f t="shared" si="506"/>
        <v>Nutrition</v>
      </c>
      <c r="R1525">
        <f t="shared" si="507"/>
        <v>2</v>
      </c>
      <c r="S1525" t="str">
        <f t="shared" ca="1" si="511"/>
        <v>No</v>
      </c>
      <c r="T1525" t="str">
        <f t="shared" ca="1" si="512"/>
        <v>Mild</v>
      </c>
      <c r="U1525" t="str">
        <f t="shared" ca="1" si="513"/>
        <v>Emergency</v>
      </c>
      <c r="V1525" t="str">
        <f t="shared" si="514"/>
        <v>BED1524</v>
      </c>
      <c r="W1525" t="str">
        <f t="shared" ca="1" si="515"/>
        <v>ICU</v>
      </c>
      <c r="X1525" t="str">
        <f t="shared" si="516"/>
        <v>NUR024</v>
      </c>
      <c r="Y1525" t="str">
        <f t="shared" ca="1" si="517"/>
        <v>Morning</v>
      </c>
      <c r="Z1525" t="str">
        <f t="shared" ca="1" si="518"/>
        <v>ECG Machine</v>
      </c>
      <c r="AA1525" t="str">
        <f t="shared" ca="1" si="519"/>
        <v>Available</v>
      </c>
      <c r="AB1525" t="str">
        <f t="shared" ca="1" si="520"/>
        <v>Paid</v>
      </c>
      <c r="AC1525" t="str">
        <f t="shared" ca="1" si="521"/>
        <v>Debit Card</v>
      </c>
      <c r="AD1525" t="str">
        <f t="shared" ca="1" si="522"/>
        <v>No</v>
      </c>
      <c r="AE1525" t="str">
        <f t="shared" ca="1" si="523"/>
        <v>Yes</v>
      </c>
      <c r="AF1525" t="str">
        <f t="shared" ca="1" si="524"/>
        <v>Transferred</v>
      </c>
      <c r="AG1525" t="str">
        <f t="shared" ca="1" si="525"/>
        <v>Southwest</v>
      </c>
      <c r="AH1525" t="str">
        <f t="shared" si="508"/>
        <v>May</v>
      </c>
      <c r="AI1525">
        <f t="shared" si="509"/>
        <v>2023</v>
      </c>
      <c r="AJ1525" t="str">
        <f t="shared" ca="1" si="526"/>
        <v>Occupied</v>
      </c>
      <c r="AK1525">
        <f t="shared" ca="1" si="527"/>
        <v>2</v>
      </c>
    </row>
    <row r="1526" spans="1:37" x14ac:dyDescent="0.3">
      <c r="A1526" t="s">
        <v>5920</v>
      </c>
      <c r="B1526">
        <v>37</v>
      </c>
      <c r="C1526" t="s">
        <v>32</v>
      </c>
      <c r="D1526" t="s">
        <v>52</v>
      </c>
      <c r="E1526" t="s">
        <v>76</v>
      </c>
      <c r="F1526" s="1">
        <v>44217</v>
      </c>
      <c r="G1526" t="s">
        <v>3047</v>
      </c>
      <c r="H1526" t="s">
        <v>3048</v>
      </c>
      <c r="I1526" t="s">
        <v>20</v>
      </c>
      <c r="J1526">
        <v>11732</v>
      </c>
      <c r="K1526">
        <v>219</v>
      </c>
      <c r="L1526" t="s">
        <v>29</v>
      </c>
      <c r="M1526" s="1">
        <v>44242</v>
      </c>
      <c r="N1526" t="s">
        <v>37</v>
      </c>
      <c r="O1526" t="s">
        <v>23</v>
      </c>
      <c r="P1526" t="str">
        <f t="shared" si="510"/>
        <v>P1525</v>
      </c>
      <c r="Q1526" t="str">
        <f t="shared" si="506"/>
        <v>Orthopedics</v>
      </c>
      <c r="R1526">
        <f t="shared" si="507"/>
        <v>25</v>
      </c>
      <c r="S1526" t="str">
        <f t="shared" ca="1" si="511"/>
        <v>No</v>
      </c>
      <c r="T1526" t="str">
        <f t="shared" ca="1" si="512"/>
        <v>Critical</v>
      </c>
      <c r="U1526" t="str">
        <f t="shared" ca="1" si="513"/>
        <v>ICU</v>
      </c>
      <c r="V1526" t="str">
        <f t="shared" si="514"/>
        <v>BED1525</v>
      </c>
      <c r="W1526" t="str">
        <f t="shared" ca="1" si="515"/>
        <v>Private</v>
      </c>
      <c r="X1526" t="str">
        <f t="shared" si="516"/>
        <v>NUR025</v>
      </c>
      <c r="Y1526" t="str">
        <f t="shared" ca="1" si="517"/>
        <v>Night</v>
      </c>
      <c r="Z1526" t="str">
        <f t="shared" ca="1" si="518"/>
        <v>X-Ray</v>
      </c>
      <c r="AA1526" t="str">
        <f t="shared" ca="1" si="519"/>
        <v>In Use</v>
      </c>
      <c r="AB1526" t="str">
        <f t="shared" ca="1" si="520"/>
        <v>Pending</v>
      </c>
      <c r="AC1526" t="str">
        <f t="shared" ca="1" si="521"/>
        <v>Debit Card</v>
      </c>
      <c r="AD1526" t="str">
        <f t="shared" ca="1" si="522"/>
        <v>No</v>
      </c>
      <c r="AE1526" t="str">
        <f t="shared" ca="1" si="523"/>
        <v>No</v>
      </c>
      <c r="AF1526" t="str">
        <f t="shared" ca="1" si="524"/>
        <v>Under Observation</v>
      </c>
      <c r="AG1526" t="str">
        <f t="shared" ca="1" si="525"/>
        <v>West Coast</v>
      </c>
      <c r="AH1526" t="str">
        <f t="shared" si="508"/>
        <v>January</v>
      </c>
      <c r="AI1526">
        <f t="shared" si="509"/>
        <v>2021</v>
      </c>
      <c r="AJ1526" t="str">
        <f t="shared" ca="1" si="526"/>
        <v>Occupied</v>
      </c>
      <c r="AK1526">
        <f t="shared" ca="1" si="527"/>
        <v>1</v>
      </c>
    </row>
    <row r="1527" spans="1:37" x14ac:dyDescent="0.3">
      <c r="A1527" t="s">
        <v>5921</v>
      </c>
      <c r="B1527">
        <v>37</v>
      </c>
      <c r="C1527" t="s">
        <v>15</v>
      </c>
      <c r="D1527" t="s">
        <v>98</v>
      </c>
      <c r="E1527" t="s">
        <v>48</v>
      </c>
      <c r="F1527" s="1">
        <v>45271</v>
      </c>
      <c r="G1527" t="s">
        <v>3049</v>
      </c>
      <c r="H1527" t="s">
        <v>3050</v>
      </c>
      <c r="I1527" t="s">
        <v>51</v>
      </c>
      <c r="J1527">
        <v>45775</v>
      </c>
      <c r="K1527">
        <v>407</v>
      </c>
      <c r="L1527" t="s">
        <v>42</v>
      </c>
      <c r="M1527" s="1">
        <v>45274</v>
      </c>
      <c r="N1527" t="s">
        <v>30</v>
      </c>
      <c r="O1527" t="s">
        <v>23</v>
      </c>
      <c r="P1527" t="str">
        <f t="shared" si="510"/>
        <v>P1526</v>
      </c>
      <c r="Q1527" t="str">
        <f t="shared" si="506"/>
        <v>Pulmonology</v>
      </c>
      <c r="R1527">
        <f t="shared" si="507"/>
        <v>3</v>
      </c>
      <c r="S1527" t="str">
        <f t="shared" ca="1" si="511"/>
        <v>No</v>
      </c>
      <c r="T1527" t="str">
        <f t="shared" ca="1" si="512"/>
        <v>Moderate</v>
      </c>
      <c r="U1527" t="str">
        <f t="shared" ca="1" si="513"/>
        <v>Semi-Private</v>
      </c>
      <c r="V1527" t="str">
        <f t="shared" si="514"/>
        <v>BED1526</v>
      </c>
      <c r="W1527" t="str">
        <f t="shared" ca="1" si="515"/>
        <v>Semi-Private</v>
      </c>
      <c r="X1527" t="str">
        <f t="shared" si="516"/>
        <v>NUR026</v>
      </c>
      <c r="Y1527" t="str">
        <f t="shared" ca="1" si="517"/>
        <v>Morning</v>
      </c>
      <c r="Z1527" t="str">
        <f t="shared" ca="1" si="518"/>
        <v>ECG Machine</v>
      </c>
      <c r="AA1527" t="str">
        <f t="shared" ca="1" si="519"/>
        <v>Available</v>
      </c>
      <c r="AB1527" t="str">
        <f t="shared" ca="1" si="520"/>
        <v>Pending</v>
      </c>
      <c r="AC1527" t="str">
        <f t="shared" ca="1" si="521"/>
        <v>Debit Card</v>
      </c>
      <c r="AD1527" t="str">
        <f t="shared" ca="1" si="522"/>
        <v>No</v>
      </c>
      <c r="AE1527" t="str">
        <f t="shared" ca="1" si="523"/>
        <v>No</v>
      </c>
      <c r="AF1527" t="str">
        <f t="shared" ca="1" si="524"/>
        <v>Recovered</v>
      </c>
      <c r="AG1527" t="str">
        <f t="shared" ca="1" si="525"/>
        <v>Southwest</v>
      </c>
      <c r="AH1527" t="str">
        <f t="shared" si="508"/>
        <v>December</v>
      </c>
      <c r="AI1527">
        <f t="shared" si="509"/>
        <v>2023</v>
      </c>
      <c r="AJ1527" t="str">
        <f t="shared" ca="1" si="526"/>
        <v>Occupied</v>
      </c>
      <c r="AK1527">
        <f t="shared" ca="1" si="527"/>
        <v>2</v>
      </c>
    </row>
    <row r="1528" spans="1:37" x14ac:dyDescent="0.3">
      <c r="A1528" t="s">
        <v>5922</v>
      </c>
      <c r="B1528">
        <v>26</v>
      </c>
      <c r="C1528" t="s">
        <v>15</v>
      </c>
      <c r="D1528" t="s">
        <v>16</v>
      </c>
      <c r="E1528" t="s">
        <v>25</v>
      </c>
      <c r="F1528" s="1">
        <v>44183</v>
      </c>
      <c r="G1528" t="s">
        <v>3051</v>
      </c>
      <c r="H1528" t="s">
        <v>3052</v>
      </c>
      <c r="I1528" t="s">
        <v>28</v>
      </c>
      <c r="J1528">
        <v>39979</v>
      </c>
      <c r="K1528">
        <v>217</v>
      </c>
      <c r="L1528" t="s">
        <v>21</v>
      </c>
      <c r="M1528" s="1">
        <v>44205</v>
      </c>
      <c r="N1528" t="s">
        <v>30</v>
      </c>
      <c r="O1528" t="s">
        <v>43</v>
      </c>
      <c r="P1528" t="str">
        <f t="shared" si="510"/>
        <v>P1527</v>
      </c>
      <c r="Q1528" t="str">
        <f t="shared" si="506"/>
        <v>Nutrition</v>
      </c>
      <c r="R1528">
        <f t="shared" si="507"/>
        <v>22</v>
      </c>
      <c r="S1528" t="str">
        <f t="shared" ca="1" si="511"/>
        <v>No</v>
      </c>
      <c r="T1528" t="str">
        <f t="shared" ca="1" si="512"/>
        <v>Mild</v>
      </c>
      <c r="U1528" t="str">
        <f t="shared" ca="1" si="513"/>
        <v>Private Ward</v>
      </c>
      <c r="V1528" t="str">
        <f t="shared" si="514"/>
        <v>BED1527</v>
      </c>
      <c r="W1528" t="str">
        <f t="shared" ca="1" si="515"/>
        <v>Semi-Private</v>
      </c>
      <c r="X1528" t="str">
        <f t="shared" si="516"/>
        <v>NUR027</v>
      </c>
      <c r="Y1528" t="str">
        <f t="shared" ca="1" si="517"/>
        <v>Night</v>
      </c>
      <c r="Z1528" t="str">
        <f t="shared" ca="1" si="518"/>
        <v>Ultrasound</v>
      </c>
      <c r="AA1528" t="str">
        <f t="shared" ca="1" si="519"/>
        <v>Available</v>
      </c>
      <c r="AB1528" t="str">
        <f t="shared" ca="1" si="520"/>
        <v>Paid</v>
      </c>
      <c r="AC1528" t="str">
        <f t="shared" ca="1" si="521"/>
        <v>Bank Transfer</v>
      </c>
      <c r="AD1528" t="str">
        <f t="shared" ca="1" si="522"/>
        <v>Yes</v>
      </c>
      <c r="AE1528" t="str">
        <f t="shared" ca="1" si="523"/>
        <v>Yes</v>
      </c>
      <c r="AF1528" t="str">
        <f t="shared" ca="1" si="524"/>
        <v>Recovered</v>
      </c>
      <c r="AG1528" t="str">
        <f t="shared" ca="1" si="525"/>
        <v>Southeast</v>
      </c>
      <c r="AH1528" t="str">
        <f t="shared" si="508"/>
        <v>December</v>
      </c>
      <c r="AI1528">
        <f t="shared" si="509"/>
        <v>2020</v>
      </c>
      <c r="AJ1528" t="str">
        <f t="shared" ca="1" si="526"/>
        <v>Occupied</v>
      </c>
      <c r="AK1528">
        <f t="shared" ca="1" si="527"/>
        <v>1</v>
      </c>
    </row>
    <row r="1529" spans="1:37" x14ac:dyDescent="0.3">
      <c r="A1529" t="s">
        <v>5923</v>
      </c>
      <c r="B1529">
        <v>62</v>
      </c>
      <c r="C1529" t="s">
        <v>32</v>
      </c>
      <c r="D1529" t="s">
        <v>24</v>
      </c>
      <c r="E1529" t="s">
        <v>48</v>
      </c>
      <c r="F1529" s="1">
        <v>44732</v>
      </c>
      <c r="G1529" t="s">
        <v>3053</v>
      </c>
      <c r="H1529" t="s">
        <v>3054</v>
      </c>
      <c r="I1529" t="s">
        <v>20</v>
      </c>
      <c r="J1529">
        <v>25170</v>
      </c>
      <c r="K1529">
        <v>475</v>
      </c>
      <c r="L1529" t="s">
        <v>21</v>
      </c>
      <c r="M1529" s="1">
        <v>44761</v>
      </c>
      <c r="N1529" t="s">
        <v>67</v>
      </c>
      <c r="O1529" t="s">
        <v>31</v>
      </c>
      <c r="P1529" t="str">
        <f t="shared" si="510"/>
        <v>P1528</v>
      </c>
      <c r="Q1529" t="str">
        <f t="shared" si="506"/>
        <v>Pulmonology</v>
      </c>
      <c r="R1529">
        <f t="shared" si="507"/>
        <v>29</v>
      </c>
      <c r="S1529" t="str">
        <f t="shared" ca="1" si="511"/>
        <v>No</v>
      </c>
      <c r="T1529" t="str">
        <f t="shared" ca="1" si="512"/>
        <v>Severe</v>
      </c>
      <c r="U1529" t="str">
        <f t="shared" ca="1" si="513"/>
        <v>General Ward</v>
      </c>
      <c r="V1529" t="str">
        <f t="shared" si="514"/>
        <v>BED1528</v>
      </c>
      <c r="W1529" t="str">
        <f t="shared" ca="1" si="515"/>
        <v>ICU</v>
      </c>
      <c r="X1529" t="str">
        <f t="shared" si="516"/>
        <v>NUR028</v>
      </c>
      <c r="Y1529" t="str">
        <f t="shared" ca="1" si="517"/>
        <v>Evening</v>
      </c>
      <c r="Z1529" t="str">
        <f t="shared" ca="1" si="518"/>
        <v>X-Ray</v>
      </c>
      <c r="AA1529" t="str">
        <f t="shared" ca="1" si="519"/>
        <v>Maintenance</v>
      </c>
      <c r="AB1529" t="str">
        <f t="shared" ca="1" si="520"/>
        <v>Partially Paid</v>
      </c>
      <c r="AC1529" t="str">
        <f t="shared" ca="1" si="521"/>
        <v>Insurance</v>
      </c>
      <c r="AD1529" t="str">
        <f t="shared" ca="1" si="522"/>
        <v>Yes</v>
      </c>
      <c r="AE1529" t="str">
        <f t="shared" ca="1" si="523"/>
        <v>No</v>
      </c>
      <c r="AF1529" t="str">
        <f t="shared" ca="1" si="524"/>
        <v>Recovered</v>
      </c>
      <c r="AG1529" t="str">
        <f t="shared" ca="1" si="525"/>
        <v>Midwest</v>
      </c>
      <c r="AH1529" t="str">
        <f t="shared" si="508"/>
        <v>June</v>
      </c>
      <c r="AI1529">
        <f t="shared" si="509"/>
        <v>2022</v>
      </c>
      <c r="AJ1529" t="str">
        <f t="shared" ca="1" si="526"/>
        <v>Vacant</v>
      </c>
      <c r="AK1529">
        <f t="shared" ca="1" si="527"/>
        <v>1</v>
      </c>
    </row>
    <row r="1530" spans="1:37" x14ac:dyDescent="0.3">
      <c r="A1530" t="s">
        <v>5924</v>
      </c>
      <c r="B1530">
        <v>50</v>
      </c>
      <c r="C1530" t="s">
        <v>32</v>
      </c>
      <c r="D1530" t="s">
        <v>98</v>
      </c>
      <c r="E1530" t="s">
        <v>48</v>
      </c>
      <c r="F1530" s="1">
        <v>44167</v>
      </c>
      <c r="G1530" t="s">
        <v>3055</v>
      </c>
      <c r="H1530" t="s">
        <v>3056</v>
      </c>
      <c r="I1530" t="s">
        <v>28</v>
      </c>
      <c r="J1530">
        <v>14963</v>
      </c>
      <c r="K1530">
        <v>473</v>
      </c>
      <c r="L1530" t="s">
        <v>29</v>
      </c>
      <c r="M1530" s="1">
        <v>44169</v>
      </c>
      <c r="N1530" t="s">
        <v>67</v>
      </c>
      <c r="O1530" t="s">
        <v>23</v>
      </c>
      <c r="P1530" t="str">
        <f t="shared" si="510"/>
        <v>P1529</v>
      </c>
      <c r="Q1530" t="str">
        <f t="shared" si="506"/>
        <v>Pulmonology</v>
      </c>
      <c r="R1530">
        <f t="shared" si="507"/>
        <v>2</v>
      </c>
      <c r="S1530" t="str">
        <f t="shared" ca="1" si="511"/>
        <v>No</v>
      </c>
      <c r="T1530" t="str">
        <f t="shared" ca="1" si="512"/>
        <v>Moderate</v>
      </c>
      <c r="U1530" t="str">
        <f t="shared" ca="1" si="513"/>
        <v>ICU</v>
      </c>
      <c r="V1530" t="str">
        <f t="shared" si="514"/>
        <v>BED1529</v>
      </c>
      <c r="W1530" t="str">
        <f t="shared" ca="1" si="515"/>
        <v>ICU</v>
      </c>
      <c r="X1530" t="str">
        <f t="shared" si="516"/>
        <v>NUR029</v>
      </c>
      <c r="Y1530" t="str">
        <f t="shared" ca="1" si="517"/>
        <v>Morning</v>
      </c>
      <c r="Z1530" t="str">
        <f t="shared" ca="1" si="518"/>
        <v>Ventilator</v>
      </c>
      <c r="AA1530" t="str">
        <f t="shared" ca="1" si="519"/>
        <v>In Use</v>
      </c>
      <c r="AB1530" t="str">
        <f t="shared" ca="1" si="520"/>
        <v>Partially Paid</v>
      </c>
      <c r="AC1530" t="str">
        <f t="shared" ca="1" si="521"/>
        <v>Debit Card</v>
      </c>
      <c r="AD1530" t="str">
        <f t="shared" ca="1" si="522"/>
        <v>No</v>
      </c>
      <c r="AE1530" t="str">
        <f t="shared" ca="1" si="523"/>
        <v>No</v>
      </c>
      <c r="AF1530" t="str">
        <f t="shared" ca="1" si="524"/>
        <v>Transferred</v>
      </c>
      <c r="AG1530" t="str">
        <f t="shared" ca="1" si="525"/>
        <v>Midwest</v>
      </c>
      <c r="AH1530" t="str">
        <f t="shared" si="508"/>
        <v>December</v>
      </c>
      <c r="AI1530">
        <f t="shared" si="509"/>
        <v>2020</v>
      </c>
      <c r="AJ1530" t="str">
        <f t="shared" ca="1" si="526"/>
        <v>Occupied</v>
      </c>
      <c r="AK1530">
        <f t="shared" ca="1" si="527"/>
        <v>4</v>
      </c>
    </row>
    <row r="1531" spans="1:37" x14ac:dyDescent="0.3">
      <c r="A1531" t="s">
        <v>5925</v>
      </c>
      <c r="B1531">
        <v>68</v>
      </c>
      <c r="C1531" t="s">
        <v>15</v>
      </c>
      <c r="D1531" t="s">
        <v>98</v>
      </c>
      <c r="E1531" t="s">
        <v>17</v>
      </c>
      <c r="F1531" s="1">
        <v>45356</v>
      </c>
      <c r="G1531" t="s">
        <v>3057</v>
      </c>
      <c r="H1531" t="s">
        <v>3058</v>
      </c>
      <c r="I1531" t="s">
        <v>20</v>
      </c>
      <c r="J1531">
        <v>20910</v>
      </c>
      <c r="K1531">
        <v>386</v>
      </c>
      <c r="L1531" t="s">
        <v>29</v>
      </c>
      <c r="M1531" s="1">
        <v>45386</v>
      </c>
      <c r="N1531" t="s">
        <v>22</v>
      </c>
      <c r="O1531" t="s">
        <v>31</v>
      </c>
      <c r="P1531" t="str">
        <f t="shared" si="510"/>
        <v>P1530</v>
      </c>
      <c r="Q1531" t="str">
        <f t="shared" si="506"/>
        <v>Oncology</v>
      </c>
      <c r="R1531">
        <f t="shared" si="507"/>
        <v>30</v>
      </c>
      <c r="S1531" t="str">
        <f t="shared" ca="1" si="511"/>
        <v>No</v>
      </c>
      <c r="T1531" t="str">
        <f t="shared" ca="1" si="512"/>
        <v>Critical</v>
      </c>
      <c r="U1531" t="str">
        <f t="shared" ca="1" si="513"/>
        <v>Semi-Private</v>
      </c>
      <c r="V1531" t="str">
        <f t="shared" si="514"/>
        <v>BED1530</v>
      </c>
      <c r="W1531" t="str">
        <f t="shared" ca="1" si="515"/>
        <v>Semi-Private</v>
      </c>
      <c r="X1531" t="str">
        <f t="shared" si="516"/>
        <v>NUR030</v>
      </c>
      <c r="Y1531" t="str">
        <f t="shared" ca="1" si="517"/>
        <v>Evening</v>
      </c>
      <c r="Z1531" t="str">
        <f t="shared" ca="1" si="518"/>
        <v>CT Scanner</v>
      </c>
      <c r="AA1531" t="str">
        <f t="shared" ca="1" si="519"/>
        <v>In Use</v>
      </c>
      <c r="AB1531" t="str">
        <f t="shared" ca="1" si="520"/>
        <v>Paid</v>
      </c>
      <c r="AC1531" t="str">
        <f t="shared" ca="1" si="521"/>
        <v>Insurance</v>
      </c>
      <c r="AD1531" t="str">
        <f t="shared" ca="1" si="522"/>
        <v>No</v>
      </c>
      <c r="AE1531" t="str">
        <f t="shared" ca="1" si="523"/>
        <v>No</v>
      </c>
      <c r="AF1531" t="str">
        <f t="shared" ca="1" si="524"/>
        <v>Under Observation</v>
      </c>
      <c r="AG1531" t="str">
        <f t="shared" ca="1" si="525"/>
        <v>Northeast</v>
      </c>
      <c r="AH1531" t="str">
        <f t="shared" si="508"/>
        <v>March</v>
      </c>
      <c r="AI1531">
        <f t="shared" si="509"/>
        <v>2024</v>
      </c>
      <c r="AJ1531" t="str">
        <f t="shared" ca="1" si="526"/>
        <v>Occupied</v>
      </c>
      <c r="AK1531">
        <f t="shared" ca="1" si="527"/>
        <v>1</v>
      </c>
    </row>
    <row r="1532" spans="1:37" x14ac:dyDescent="0.3">
      <c r="A1532" t="s">
        <v>5926</v>
      </c>
      <c r="B1532">
        <v>41</v>
      </c>
      <c r="C1532" t="s">
        <v>15</v>
      </c>
      <c r="D1532" t="s">
        <v>24</v>
      </c>
      <c r="E1532" t="s">
        <v>76</v>
      </c>
      <c r="F1532" s="1">
        <v>44992</v>
      </c>
      <c r="G1532" t="s">
        <v>3059</v>
      </c>
      <c r="H1532" t="s">
        <v>3060</v>
      </c>
      <c r="I1532" t="s">
        <v>36</v>
      </c>
      <c r="J1532">
        <v>18655</v>
      </c>
      <c r="K1532">
        <v>431</v>
      </c>
      <c r="L1532" t="s">
        <v>42</v>
      </c>
      <c r="M1532" s="1">
        <v>45015</v>
      </c>
      <c r="N1532" t="s">
        <v>67</v>
      </c>
      <c r="O1532" t="s">
        <v>43</v>
      </c>
      <c r="P1532" t="str">
        <f t="shared" si="510"/>
        <v>P1531</v>
      </c>
      <c r="Q1532" t="str">
        <f t="shared" si="506"/>
        <v>Orthopedics</v>
      </c>
      <c r="R1532">
        <f t="shared" si="507"/>
        <v>23</v>
      </c>
      <c r="S1532" t="str">
        <f t="shared" ca="1" si="511"/>
        <v>Yes</v>
      </c>
      <c r="T1532" t="str">
        <f t="shared" ca="1" si="512"/>
        <v>Severe</v>
      </c>
      <c r="U1532" t="str">
        <f t="shared" ca="1" si="513"/>
        <v>Semi-Private</v>
      </c>
      <c r="V1532" t="str">
        <f t="shared" si="514"/>
        <v>BED1531</v>
      </c>
      <c r="W1532" t="str">
        <f t="shared" ca="1" si="515"/>
        <v>General</v>
      </c>
      <c r="X1532" t="str">
        <f t="shared" si="516"/>
        <v>NUR031</v>
      </c>
      <c r="Y1532" t="str">
        <f t="shared" ca="1" si="517"/>
        <v>Night</v>
      </c>
      <c r="Z1532" t="str">
        <f t="shared" ca="1" si="518"/>
        <v>ECG Machine</v>
      </c>
      <c r="AA1532" t="str">
        <f t="shared" ca="1" si="519"/>
        <v>Maintenance</v>
      </c>
      <c r="AB1532" t="str">
        <f t="shared" ca="1" si="520"/>
        <v>Paid</v>
      </c>
      <c r="AC1532" t="str">
        <f t="shared" ca="1" si="521"/>
        <v>Bank Transfer</v>
      </c>
      <c r="AD1532" t="str">
        <f t="shared" ca="1" si="522"/>
        <v>No</v>
      </c>
      <c r="AE1532" t="str">
        <f t="shared" ca="1" si="523"/>
        <v>No</v>
      </c>
      <c r="AF1532" t="str">
        <f t="shared" ca="1" si="524"/>
        <v>Recovered</v>
      </c>
      <c r="AG1532" t="str">
        <f t="shared" ca="1" si="525"/>
        <v>Northeast</v>
      </c>
      <c r="AH1532" t="str">
        <f t="shared" si="508"/>
        <v>March</v>
      </c>
      <c r="AI1532">
        <f t="shared" si="509"/>
        <v>2023</v>
      </c>
      <c r="AJ1532" t="str">
        <f t="shared" ca="1" si="526"/>
        <v>Occupied</v>
      </c>
      <c r="AK1532">
        <f t="shared" ca="1" si="527"/>
        <v>1</v>
      </c>
    </row>
    <row r="1533" spans="1:37" x14ac:dyDescent="0.3">
      <c r="A1533" t="s">
        <v>5927</v>
      </c>
      <c r="B1533">
        <v>54</v>
      </c>
      <c r="C1533" t="s">
        <v>32</v>
      </c>
      <c r="D1533" t="s">
        <v>52</v>
      </c>
      <c r="E1533" t="s">
        <v>64</v>
      </c>
      <c r="F1533" s="1">
        <v>44540</v>
      </c>
      <c r="G1533" t="s">
        <v>3061</v>
      </c>
      <c r="H1533" t="s">
        <v>3062</v>
      </c>
      <c r="I1533" t="s">
        <v>36</v>
      </c>
      <c r="J1533">
        <v>20964</v>
      </c>
      <c r="K1533">
        <v>188</v>
      </c>
      <c r="L1533" t="s">
        <v>29</v>
      </c>
      <c r="M1533" s="1">
        <v>44542</v>
      </c>
      <c r="N1533" t="s">
        <v>37</v>
      </c>
      <c r="O1533" t="s">
        <v>43</v>
      </c>
      <c r="P1533" t="str">
        <f t="shared" si="510"/>
        <v>P1532</v>
      </c>
      <c r="Q1533" t="str">
        <f t="shared" si="506"/>
        <v>Cardiology</v>
      </c>
      <c r="R1533">
        <f t="shared" si="507"/>
        <v>2</v>
      </c>
      <c r="S1533" t="str">
        <f t="shared" ca="1" si="511"/>
        <v>Yes</v>
      </c>
      <c r="T1533" t="str">
        <f t="shared" ca="1" si="512"/>
        <v>Moderate</v>
      </c>
      <c r="U1533" t="str">
        <f t="shared" ca="1" si="513"/>
        <v>Emergency</v>
      </c>
      <c r="V1533" t="str">
        <f t="shared" si="514"/>
        <v>BED1532</v>
      </c>
      <c r="W1533" t="str">
        <f t="shared" ca="1" si="515"/>
        <v>Private</v>
      </c>
      <c r="X1533" t="str">
        <f t="shared" si="516"/>
        <v>NUR032</v>
      </c>
      <c r="Y1533" t="str">
        <f t="shared" ca="1" si="517"/>
        <v>Morning</v>
      </c>
      <c r="Z1533" t="str">
        <f t="shared" ca="1" si="518"/>
        <v>CT Scanner</v>
      </c>
      <c r="AA1533" t="str">
        <f t="shared" ca="1" si="519"/>
        <v>In Use</v>
      </c>
      <c r="AB1533" t="str">
        <f t="shared" ca="1" si="520"/>
        <v>Pending</v>
      </c>
      <c r="AC1533" t="str">
        <f t="shared" ca="1" si="521"/>
        <v>Cash</v>
      </c>
      <c r="AD1533" t="str">
        <f t="shared" ca="1" si="522"/>
        <v>No</v>
      </c>
      <c r="AE1533" t="str">
        <f t="shared" ca="1" si="523"/>
        <v>No</v>
      </c>
      <c r="AF1533" t="str">
        <f t="shared" ca="1" si="524"/>
        <v>Recovered</v>
      </c>
      <c r="AG1533" t="str">
        <f t="shared" ca="1" si="525"/>
        <v>Midwest</v>
      </c>
      <c r="AH1533" t="str">
        <f t="shared" si="508"/>
        <v>December</v>
      </c>
      <c r="AI1533">
        <f t="shared" si="509"/>
        <v>2021</v>
      </c>
      <c r="AJ1533" t="str">
        <f t="shared" ca="1" si="526"/>
        <v>Occupied</v>
      </c>
      <c r="AK1533">
        <f t="shared" ca="1" si="527"/>
        <v>2</v>
      </c>
    </row>
    <row r="1534" spans="1:37" x14ac:dyDescent="0.3">
      <c r="A1534" t="s">
        <v>5928</v>
      </c>
      <c r="B1534">
        <v>28</v>
      </c>
      <c r="C1534" t="s">
        <v>32</v>
      </c>
      <c r="D1534" t="s">
        <v>98</v>
      </c>
      <c r="E1534" t="s">
        <v>39</v>
      </c>
      <c r="F1534" s="1">
        <v>43659</v>
      </c>
      <c r="G1534" t="s">
        <v>3063</v>
      </c>
      <c r="H1534" t="s">
        <v>3064</v>
      </c>
      <c r="I1534" t="s">
        <v>57</v>
      </c>
      <c r="J1534">
        <v>48775</v>
      </c>
      <c r="K1534">
        <v>117</v>
      </c>
      <c r="L1534" t="s">
        <v>29</v>
      </c>
      <c r="M1534" s="1">
        <v>43679</v>
      </c>
      <c r="N1534" t="s">
        <v>67</v>
      </c>
      <c r="O1534" t="s">
        <v>31</v>
      </c>
      <c r="P1534" t="str">
        <f t="shared" si="510"/>
        <v>P1533</v>
      </c>
      <c r="Q1534" t="str">
        <f t="shared" si="506"/>
        <v>Endocrinology</v>
      </c>
      <c r="R1534">
        <f t="shared" si="507"/>
        <v>20</v>
      </c>
      <c r="S1534" t="str">
        <f t="shared" ca="1" si="511"/>
        <v>Yes</v>
      </c>
      <c r="T1534" t="str">
        <f t="shared" ca="1" si="512"/>
        <v>Severe</v>
      </c>
      <c r="U1534" t="str">
        <f t="shared" ca="1" si="513"/>
        <v>Emergency</v>
      </c>
      <c r="V1534" t="str">
        <f t="shared" si="514"/>
        <v>BED1533</v>
      </c>
      <c r="W1534" t="str">
        <f t="shared" ca="1" si="515"/>
        <v>Private</v>
      </c>
      <c r="X1534" t="str">
        <f t="shared" si="516"/>
        <v>NUR033</v>
      </c>
      <c r="Y1534" t="str">
        <f t="shared" ca="1" si="517"/>
        <v>Night</v>
      </c>
      <c r="Z1534" t="str">
        <f t="shared" ca="1" si="518"/>
        <v>X-Ray</v>
      </c>
      <c r="AA1534" t="str">
        <f t="shared" ca="1" si="519"/>
        <v>Maintenance</v>
      </c>
      <c r="AB1534" t="str">
        <f t="shared" ca="1" si="520"/>
        <v>Paid</v>
      </c>
      <c r="AC1534" t="str">
        <f t="shared" ca="1" si="521"/>
        <v>Credit Card</v>
      </c>
      <c r="AD1534" t="str">
        <f t="shared" ca="1" si="522"/>
        <v>No</v>
      </c>
      <c r="AE1534" t="str">
        <f t="shared" ca="1" si="523"/>
        <v>No</v>
      </c>
      <c r="AF1534" t="str">
        <f t="shared" ca="1" si="524"/>
        <v>Under Observation</v>
      </c>
      <c r="AG1534" t="str">
        <f t="shared" ca="1" si="525"/>
        <v>Midwest</v>
      </c>
      <c r="AH1534" t="str">
        <f t="shared" si="508"/>
        <v>July</v>
      </c>
      <c r="AI1534">
        <f t="shared" si="509"/>
        <v>2019</v>
      </c>
      <c r="AJ1534" t="str">
        <f t="shared" ca="1" si="526"/>
        <v>Vacant</v>
      </c>
      <c r="AK1534">
        <f t="shared" ca="1" si="527"/>
        <v>1</v>
      </c>
    </row>
    <row r="1535" spans="1:37" x14ac:dyDescent="0.3">
      <c r="A1535" t="s">
        <v>5929</v>
      </c>
      <c r="B1535">
        <v>66</v>
      </c>
      <c r="C1535" t="s">
        <v>32</v>
      </c>
      <c r="D1535" t="s">
        <v>52</v>
      </c>
      <c r="E1535" t="s">
        <v>39</v>
      </c>
      <c r="F1535" s="1">
        <v>44054</v>
      </c>
      <c r="G1535" t="s">
        <v>3065</v>
      </c>
      <c r="H1535" t="s">
        <v>3066</v>
      </c>
      <c r="I1535" t="s">
        <v>57</v>
      </c>
      <c r="J1535">
        <v>21109</v>
      </c>
      <c r="K1535">
        <v>144</v>
      </c>
      <c r="L1535" t="s">
        <v>42</v>
      </c>
      <c r="M1535" s="1">
        <v>44070</v>
      </c>
      <c r="N1535" t="s">
        <v>47</v>
      </c>
      <c r="O1535" t="s">
        <v>23</v>
      </c>
      <c r="P1535" t="str">
        <f t="shared" si="510"/>
        <v>P1534</v>
      </c>
      <c r="Q1535" t="str">
        <f t="shared" si="506"/>
        <v>Endocrinology</v>
      </c>
      <c r="R1535">
        <f t="shared" si="507"/>
        <v>16</v>
      </c>
      <c r="S1535" t="str">
        <f t="shared" ca="1" si="511"/>
        <v>No</v>
      </c>
      <c r="T1535" t="str">
        <f t="shared" ca="1" si="512"/>
        <v>Moderate</v>
      </c>
      <c r="U1535" t="str">
        <f t="shared" ca="1" si="513"/>
        <v>General Ward</v>
      </c>
      <c r="V1535" t="str">
        <f t="shared" si="514"/>
        <v>BED1534</v>
      </c>
      <c r="W1535" t="str">
        <f t="shared" ca="1" si="515"/>
        <v>General</v>
      </c>
      <c r="X1535" t="str">
        <f t="shared" si="516"/>
        <v>NUR034</v>
      </c>
      <c r="Y1535" t="str">
        <f t="shared" ca="1" si="517"/>
        <v>Night</v>
      </c>
      <c r="Z1535" t="str">
        <f t="shared" ca="1" si="518"/>
        <v>Ultrasound</v>
      </c>
      <c r="AA1535" t="str">
        <f t="shared" ca="1" si="519"/>
        <v>In Use</v>
      </c>
      <c r="AB1535" t="str">
        <f t="shared" ca="1" si="520"/>
        <v>Pending</v>
      </c>
      <c r="AC1535" t="str">
        <f t="shared" ca="1" si="521"/>
        <v>Cash</v>
      </c>
      <c r="AD1535" t="str">
        <f t="shared" ca="1" si="522"/>
        <v>No</v>
      </c>
      <c r="AE1535" t="str">
        <f t="shared" ca="1" si="523"/>
        <v>No</v>
      </c>
      <c r="AF1535" t="str">
        <f t="shared" ca="1" si="524"/>
        <v>Recovered</v>
      </c>
      <c r="AG1535" t="str">
        <f t="shared" ca="1" si="525"/>
        <v>West Coast</v>
      </c>
      <c r="AH1535" t="str">
        <f t="shared" si="508"/>
        <v>August</v>
      </c>
      <c r="AI1535">
        <f t="shared" si="509"/>
        <v>2020</v>
      </c>
      <c r="AJ1535" t="str">
        <f t="shared" ca="1" si="526"/>
        <v>Occupied</v>
      </c>
      <c r="AK1535">
        <f t="shared" ca="1" si="527"/>
        <v>1</v>
      </c>
    </row>
    <row r="1536" spans="1:37" x14ac:dyDescent="0.3">
      <c r="A1536" t="s">
        <v>5930</v>
      </c>
      <c r="B1536">
        <v>79</v>
      </c>
      <c r="C1536" t="s">
        <v>15</v>
      </c>
      <c r="D1536" t="s">
        <v>38</v>
      </c>
      <c r="E1536" t="s">
        <v>39</v>
      </c>
      <c r="F1536" s="1">
        <v>44624</v>
      </c>
      <c r="G1536" t="s">
        <v>3067</v>
      </c>
      <c r="H1536" t="s">
        <v>3068</v>
      </c>
      <c r="I1536" t="s">
        <v>51</v>
      </c>
      <c r="J1536">
        <v>47964</v>
      </c>
      <c r="K1536">
        <v>208</v>
      </c>
      <c r="L1536" t="s">
        <v>42</v>
      </c>
      <c r="M1536" s="1">
        <v>44644</v>
      </c>
      <c r="N1536" t="s">
        <v>30</v>
      </c>
      <c r="O1536" t="s">
        <v>43</v>
      </c>
      <c r="P1536" t="str">
        <f t="shared" si="510"/>
        <v>P1535</v>
      </c>
      <c r="Q1536" t="str">
        <f t="shared" si="506"/>
        <v>Endocrinology</v>
      </c>
      <c r="R1536">
        <f t="shared" si="507"/>
        <v>20</v>
      </c>
      <c r="S1536" t="str">
        <f t="shared" ca="1" si="511"/>
        <v>No</v>
      </c>
      <c r="T1536" t="str">
        <f t="shared" ca="1" si="512"/>
        <v>Severe</v>
      </c>
      <c r="U1536" t="str">
        <f t="shared" ca="1" si="513"/>
        <v>General Ward</v>
      </c>
      <c r="V1536" t="str">
        <f t="shared" si="514"/>
        <v>BED1535</v>
      </c>
      <c r="W1536" t="str">
        <f t="shared" ca="1" si="515"/>
        <v>Private</v>
      </c>
      <c r="X1536" t="str">
        <f t="shared" si="516"/>
        <v>NUR035</v>
      </c>
      <c r="Y1536" t="str">
        <f t="shared" ca="1" si="517"/>
        <v>Evening</v>
      </c>
      <c r="Z1536" t="str">
        <f t="shared" ca="1" si="518"/>
        <v>CT Scanner</v>
      </c>
      <c r="AA1536" t="str">
        <f t="shared" ca="1" si="519"/>
        <v>Maintenance</v>
      </c>
      <c r="AB1536" t="str">
        <f t="shared" ca="1" si="520"/>
        <v>Paid</v>
      </c>
      <c r="AC1536" t="str">
        <f t="shared" ca="1" si="521"/>
        <v>Cash</v>
      </c>
      <c r="AD1536" t="str">
        <f t="shared" ca="1" si="522"/>
        <v>No</v>
      </c>
      <c r="AE1536" t="str">
        <f t="shared" ca="1" si="523"/>
        <v>No</v>
      </c>
      <c r="AF1536" t="str">
        <f t="shared" ca="1" si="524"/>
        <v>Recovered</v>
      </c>
      <c r="AG1536" t="str">
        <f t="shared" ca="1" si="525"/>
        <v>Southeast</v>
      </c>
      <c r="AH1536" t="str">
        <f t="shared" si="508"/>
        <v>March</v>
      </c>
      <c r="AI1536">
        <f t="shared" si="509"/>
        <v>2022</v>
      </c>
      <c r="AJ1536" t="str">
        <f t="shared" ca="1" si="526"/>
        <v>Occupied</v>
      </c>
      <c r="AK1536">
        <f t="shared" ca="1" si="527"/>
        <v>2</v>
      </c>
    </row>
    <row r="1537" spans="1:37" x14ac:dyDescent="0.3">
      <c r="A1537" t="s">
        <v>5931</v>
      </c>
      <c r="B1537">
        <v>23</v>
      </c>
      <c r="C1537" t="s">
        <v>15</v>
      </c>
      <c r="D1537" t="s">
        <v>52</v>
      </c>
      <c r="E1537" t="s">
        <v>48</v>
      </c>
      <c r="F1537" s="1">
        <v>43985</v>
      </c>
      <c r="G1537" t="s">
        <v>3069</v>
      </c>
      <c r="H1537" t="s">
        <v>3070</v>
      </c>
      <c r="I1537" t="s">
        <v>28</v>
      </c>
      <c r="J1537">
        <v>17544</v>
      </c>
      <c r="K1537">
        <v>372</v>
      </c>
      <c r="L1537" t="s">
        <v>29</v>
      </c>
      <c r="M1537" s="1">
        <v>44006</v>
      </c>
      <c r="N1537" t="s">
        <v>47</v>
      </c>
      <c r="O1537" t="s">
        <v>43</v>
      </c>
      <c r="P1537" t="str">
        <f t="shared" si="510"/>
        <v>P1536</v>
      </c>
      <c r="Q1537" t="str">
        <f t="shared" si="506"/>
        <v>Pulmonology</v>
      </c>
      <c r="R1537">
        <f t="shared" si="507"/>
        <v>21</v>
      </c>
      <c r="S1537" t="str">
        <f t="shared" ca="1" si="511"/>
        <v>No</v>
      </c>
      <c r="T1537" t="str">
        <f t="shared" ca="1" si="512"/>
        <v>Severe</v>
      </c>
      <c r="U1537" t="str">
        <f t="shared" ca="1" si="513"/>
        <v>General Ward</v>
      </c>
      <c r="V1537" t="str">
        <f t="shared" si="514"/>
        <v>BED1536</v>
      </c>
      <c r="W1537" t="str">
        <f t="shared" ca="1" si="515"/>
        <v>Private</v>
      </c>
      <c r="X1537" t="str">
        <f t="shared" si="516"/>
        <v>NUR036</v>
      </c>
      <c r="Y1537" t="str">
        <f t="shared" ca="1" si="517"/>
        <v>Morning</v>
      </c>
      <c r="Z1537" t="str">
        <f t="shared" ca="1" si="518"/>
        <v>MRI Scanner</v>
      </c>
      <c r="AA1537" t="str">
        <f t="shared" ca="1" si="519"/>
        <v>Maintenance</v>
      </c>
      <c r="AB1537" t="str">
        <f t="shared" ca="1" si="520"/>
        <v>Partially Paid</v>
      </c>
      <c r="AC1537" t="str">
        <f t="shared" ca="1" si="521"/>
        <v>Insurance</v>
      </c>
      <c r="AD1537" t="str">
        <f t="shared" ca="1" si="522"/>
        <v>No</v>
      </c>
      <c r="AE1537" t="str">
        <f t="shared" ca="1" si="523"/>
        <v>No</v>
      </c>
      <c r="AF1537" t="str">
        <f t="shared" ca="1" si="524"/>
        <v>Transferred</v>
      </c>
      <c r="AG1537" t="str">
        <f t="shared" ca="1" si="525"/>
        <v>Southeast</v>
      </c>
      <c r="AH1537" t="str">
        <f t="shared" si="508"/>
        <v>June</v>
      </c>
      <c r="AI1537">
        <f t="shared" si="509"/>
        <v>2020</v>
      </c>
      <c r="AJ1537" t="str">
        <f t="shared" ca="1" si="526"/>
        <v>Occupied</v>
      </c>
      <c r="AK1537">
        <f t="shared" ca="1" si="527"/>
        <v>1</v>
      </c>
    </row>
    <row r="1538" spans="1:37" x14ac:dyDescent="0.3">
      <c r="A1538" t="s">
        <v>5932</v>
      </c>
      <c r="B1538">
        <v>82</v>
      </c>
      <c r="C1538" t="s">
        <v>32</v>
      </c>
      <c r="D1538" t="s">
        <v>98</v>
      </c>
      <c r="E1538" t="s">
        <v>25</v>
      </c>
      <c r="F1538" s="1">
        <v>45290</v>
      </c>
      <c r="G1538" t="s">
        <v>3071</v>
      </c>
      <c r="H1538" t="s">
        <v>3072</v>
      </c>
      <c r="I1538" t="s">
        <v>36</v>
      </c>
      <c r="J1538">
        <v>45812</v>
      </c>
      <c r="K1538">
        <v>474</v>
      </c>
      <c r="L1538" t="s">
        <v>29</v>
      </c>
      <c r="M1538" s="1">
        <v>45297</v>
      </c>
      <c r="N1538" t="s">
        <v>22</v>
      </c>
      <c r="O1538" t="s">
        <v>43</v>
      </c>
      <c r="P1538" t="str">
        <f t="shared" si="510"/>
        <v>P1537</v>
      </c>
      <c r="Q1538" t="str">
        <f t="shared" ref="Q1538:Q1601" si="528">IF(E1538="Cancer","Oncology",IF(E1538="Obesity","Nutrition",IF(E1538="Diabetes","Endocrinology",IF(E1538="Asthma","Pulmonology",IF(E1538="Arthritis","Orthopedics",IF(E1538="Hypertension","Cardiology","General Medicine"))))))</f>
        <v>Nutrition</v>
      </c>
      <c r="R1538">
        <f t="shared" ref="R1538:R1601" si="529">M1538-F1538</f>
        <v>7</v>
      </c>
      <c r="S1538" t="str">
        <f t="shared" ca="1" si="511"/>
        <v>No</v>
      </c>
      <c r="T1538" t="str">
        <f t="shared" ca="1" si="512"/>
        <v>Severe</v>
      </c>
      <c r="U1538" t="str">
        <f t="shared" ca="1" si="513"/>
        <v>Emergency</v>
      </c>
      <c r="V1538" t="str">
        <f t="shared" si="514"/>
        <v>BED1537</v>
      </c>
      <c r="W1538" t="str">
        <f t="shared" ca="1" si="515"/>
        <v>Semi-Private</v>
      </c>
      <c r="X1538" t="str">
        <f t="shared" si="516"/>
        <v>NUR037</v>
      </c>
      <c r="Y1538" t="str">
        <f t="shared" ca="1" si="517"/>
        <v>Night</v>
      </c>
      <c r="Z1538" t="str">
        <f t="shared" ca="1" si="518"/>
        <v>ECG Machine</v>
      </c>
      <c r="AA1538" t="str">
        <f t="shared" ca="1" si="519"/>
        <v>Available</v>
      </c>
      <c r="AB1538" t="str">
        <f t="shared" ca="1" si="520"/>
        <v>Pending</v>
      </c>
      <c r="AC1538" t="str">
        <f t="shared" ca="1" si="521"/>
        <v>Cash</v>
      </c>
      <c r="AD1538" t="str">
        <f t="shared" ca="1" si="522"/>
        <v>Yes</v>
      </c>
      <c r="AE1538" t="str">
        <f t="shared" ca="1" si="523"/>
        <v>No</v>
      </c>
      <c r="AF1538" t="str">
        <f t="shared" ca="1" si="524"/>
        <v>Transferred</v>
      </c>
      <c r="AG1538" t="str">
        <f t="shared" ca="1" si="525"/>
        <v>Southwest</v>
      </c>
      <c r="AH1538" t="str">
        <f t="shared" ref="AH1538:AH1601" si="530">TEXT(F1538,"MMMM")</f>
        <v>December</v>
      </c>
      <c r="AI1538">
        <f t="shared" ref="AI1538:AI1601" si="531">YEAR(F1538)</f>
        <v>2023</v>
      </c>
      <c r="AJ1538" t="str">
        <f t="shared" ca="1" si="526"/>
        <v>Occupied</v>
      </c>
      <c r="AK1538">
        <f t="shared" ca="1" si="527"/>
        <v>2</v>
      </c>
    </row>
    <row r="1539" spans="1:37" x14ac:dyDescent="0.3">
      <c r="A1539" t="s">
        <v>5933</v>
      </c>
      <c r="B1539">
        <v>33</v>
      </c>
      <c r="C1539" t="s">
        <v>15</v>
      </c>
      <c r="D1539" t="s">
        <v>33</v>
      </c>
      <c r="E1539" t="s">
        <v>64</v>
      </c>
      <c r="F1539" s="1">
        <v>43986</v>
      </c>
      <c r="G1539" t="s">
        <v>3073</v>
      </c>
      <c r="H1539" t="s">
        <v>3074</v>
      </c>
      <c r="I1539" t="s">
        <v>20</v>
      </c>
      <c r="J1539">
        <v>31820</v>
      </c>
      <c r="K1539">
        <v>316</v>
      </c>
      <c r="L1539" t="s">
        <v>42</v>
      </c>
      <c r="M1539" s="1">
        <v>43996</v>
      </c>
      <c r="N1539" t="s">
        <v>67</v>
      </c>
      <c r="O1539" t="s">
        <v>43</v>
      </c>
      <c r="P1539" t="str">
        <f t="shared" ref="P1539:P1602" si="532">"P"&amp;TEXT(ROW()-1,"0000")</f>
        <v>P1538</v>
      </c>
      <c r="Q1539" t="str">
        <f t="shared" si="528"/>
        <v>Cardiology</v>
      </c>
      <c r="R1539">
        <f t="shared" si="529"/>
        <v>10</v>
      </c>
      <c r="S1539" t="str">
        <f t="shared" ref="S1539:S1602" ca="1" si="533">IF(RAND()&lt;0.1,"Yes","No")</f>
        <v>No</v>
      </c>
      <c r="T1539" t="str">
        <f t="shared" ref="T1539:T1602" ca="1" si="534">CHOOSE(RANDBETWEEN(1,4),"Mild","Moderate","Severe","Critical")</f>
        <v>Critical</v>
      </c>
      <c r="U1539" t="str">
        <f t="shared" ref="U1539:U1602" ca="1" si="535">CHOOSE(RANDBETWEEN(1,5),"General Ward","ICU","Emergency","Private Ward","Semi-Private")</f>
        <v>ICU</v>
      </c>
      <c r="V1539" t="str">
        <f t="shared" ref="V1539:V1602" si="536">"BED"&amp;TEXT(ROW()-1,"0000")</f>
        <v>BED1538</v>
      </c>
      <c r="W1539" t="str">
        <f t="shared" ref="W1539:W1602" ca="1" si="537">CHOOSE(RANDBETWEEN(1,4),"General","Private","Semi-Private","ICU")</f>
        <v>Private</v>
      </c>
      <c r="X1539" t="str">
        <f t="shared" ref="X1539:X1602" si="538">"NUR"&amp;TEXT(MOD(ROW()-2,50)+1,"000")</f>
        <v>NUR038</v>
      </c>
      <c r="Y1539" t="str">
        <f t="shared" ref="Y1539:Y1602" ca="1" si="539">CHOOSE(RANDBETWEEN(1,3),"Morning","Evening","Night")</f>
        <v>Evening</v>
      </c>
      <c r="Z1539" t="str">
        <f t="shared" ref="Z1539:Z1602" ca="1" si="540">CHOOSE(RANDBETWEEN(1,6),"MRI Scanner","CT Scanner","Ventilator","X-Ray","ECG Machine","Ultrasound")</f>
        <v>MRI Scanner</v>
      </c>
      <c r="AA1539" t="str">
        <f t="shared" ref="AA1539:AA1602" ca="1" si="541">CHOOSE(RANDBETWEEN(1,3),"Available","In Use","Maintenance")</f>
        <v>Available</v>
      </c>
      <c r="AB1539" t="str">
        <f t="shared" ref="AB1539:AB1602" ca="1" si="542">CHOOSE(RANDBETWEEN(1,3),"Paid","Pending","Partially Paid")</f>
        <v>Partially Paid</v>
      </c>
      <c r="AC1539" t="str">
        <f t="shared" ref="AC1539:AC1602" ca="1" si="543">CHOOSE(RANDBETWEEN(1,5),"Cash","Credit Card","Debit Card","Insurance","Bank Transfer")</f>
        <v>Debit Card</v>
      </c>
      <c r="AD1539" t="str">
        <f t="shared" ref="AD1539:AD1602" ca="1" si="544">IF(RAND()&lt;0.2,"Yes","No")</f>
        <v>No</v>
      </c>
      <c r="AE1539" t="str">
        <f t="shared" ref="AE1539:AE1602" ca="1" si="545">IF(RAND()&lt;0.15,"Yes","No")</f>
        <v>No</v>
      </c>
      <c r="AF1539" t="str">
        <f t="shared" ref="AF1539:AF1602" ca="1" si="546">CHOOSE(RANDBETWEEN(1,3),"Recovered","Transferred","Under Observation")</f>
        <v>Transferred</v>
      </c>
      <c r="AG1539" t="str">
        <f t="shared" ref="AG1539:AG1602" ca="1" si="547">CHOOSE(RANDBETWEEN(1,5),"Northeast","Southeast","Midwest","Southwest","West Coast")</f>
        <v>Southeast</v>
      </c>
      <c r="AH1539" t="str">
        <f t="shared" si="530"/>
        <v>June</v>
      </c>
      <c r="AI1539">
        <f t="shared" si="531"/>
        <v>2020</v>
      </c>
      <c r="AJ1539" t="str">
        <f t="shared" ref="AJ1539:AJ1602" ca="1" si="548">IF(RANDBETWEEN(1,100)&lt;=80,"Occupied","Vacant")</f>
        <v>Occupied</v>
      </c>
      <c r="AK1539">
        <f t="shared" ref="AK1539:AK1602" ca="1" si="549">CHOOSE(RANDBETWEEN(1,3),1,2,4)</f>
        <v>1</v>
      </c>
    </row>
    <row r="1540" spans="1:37" x14ac:dyDescent="0.3">
      <c r="A1540" t="s">
        <v>5934</v>
      </c>
      <c r="B1540">
        <v>68</v>
      </c>
      <c r="C1540" t="s">
        <v>15</v>
      </c>
      <c r="D1540" t="s">
        <v>98</v>
      </c>
      <c r="E1540" t="s">
        <v>17</v>
      </c>
      <c r="F1540" s="1">
        <v>43759</v>
      </c>
      <c r="G1540" t="s">
        <v>3075</v>
      </c>
      <c r="H1540" t="s">
        <v>3076</v>
      </c>
      <c r="I1540" t="s">
        <v>36</v>
      </c>
      <c r="J1540">
        <v>29063</v>
      </c>
      <c r="K1540">
        <v>175</v>
      </c>
      <c r="L1540" t="s">
        <v>21</v>
      </c>
      <c r="M1540" s="1">
        <v>43769</v>
      </c>
      <c r="N1540" t="s">
        <v>30</v>
      </c>
      <c r="O1540" t="s">
        <v>31</v>
      </c>
      <c r="P1540" t="str">
        <f t="shared" si="532"/>
        <v>P1539</v>
      </c>
      <c r="Q1540" t="str">
        <f t="shared" si="528"/>
        <v>Oncology</v>
      </c>
      <c r="R1540">
        <f t="shared" si="529"/>
        <v>10</v>
      </c>
      <c r="S1540" t="str">
        <f t="shared" ca="1" si="533"/>
        <v>No</v>
      </c>
      <c r="T1540" t="str">
        <f t="shared" ca="1" si="534"/>
        <v>Severe</v>
      </c>
      <c r="U1540" t="str">
        <f t="shared" ca="1" si="535"/>
        <v>Emergency</v>
      </c>
      <c r="V1540" t="str">
        <f t="shared" si="536"/>
        <v>BED1539</v>
      </c>
      <c r="W1540" t="str">
        <f t="shared" ca="1" si="537"/>
        <v>ICU</v>
      </c>
      <c r="X1540" t="str">
        <f t="shared" si="538"/>
        <v>NUR039</v>
      </c>
      <c r="Y1540" t="str">
        <f t="shared" ca="1" si="539"/>
        <v>Evening</v>
      </c>
      <c r="Z1540" t="str">
        <f t="shared" ca="1" si="540"/>
        <v>ECG Machine</v>
      </c>
      <c r="AA1540" t="str">
        <f t="shared" ca="1" si="541"/>
        <v>In Use</v>
      </c>
      <c r="AB1540" t="str">
        <f t="shared" ca="1" si="542"/>
        <v>Partially Paid</v>
      </c>
      <c r="AC1540" t="str">
        <f t="shared" ca="1" si="543"/>
        <v>Bank Transfer</v>
      </c>
      <c r="AD1540" t="str">
        <f t="shared" ca="1" si="544"/>
        <v>No</v>
      </c>
      <c r="AE1540" t="str">
        <f t="shared" ca="1" si="545"/>
        <v>No</v>
      </c>
      <c r="AF1540" t="str">
        <f t="shared" ca="1" si="546"/>
        <v>Under Observation</v>
      </c>
      <c r="AG1540" t="str">
        <f t="shared" ca="1" si="547"/>
        <v>Southwest</v>
      </c>
      <c r="AH1540" t="str">
        <f t="shared" si="530"/>
        <v>October</v>
      </c>
      <c r="AI1540">
        <f t="shared" si="531"/>
        <v>2019</v>
      </c>
      <c r="AJ1540" t="str">
        <f t="shared" ca="1" si="548"/>
        <v>Occupied</v>
      </c>
      <c r="AK1540">
        <f t="shared" ca="1" si="549"/>
        <v>2</v>
      </c>
    </row>
    <row r="1541" spans="1:37" x14ac:dyDescent="0.3">
      <c r="A1541" t="s">
        <v>5935</v>
      </c>
      <c r="B1541">
        <v>31</v>
      </c>
      <c r="C1541" t="s">
        <v>15</v>
      </c>
      <c r="D1541" t="s">
        <v>24</v>
      </c>
      <c r="E1541" t="s">
        <v>17</v>
      </c>
      <c r="F1541" s="1">
        <v>44351</v>
      </c>
      <c r="G1541" t="s">
        <v>3077</v>
      </c>
      <c r="H1541" t="s">
        <v>3078</v>
      </c>
      <c r="I1541" t="s">
        <v>20</v>
      </c>
      <c r="J1541">
        <v>18516</v>
      </c>
      <c r="K1541">
        <v>243</v>
      </c>
      <c r="L1541" t="s">
        <v>29</v>
      </c>
      <c r="M1541" s="1">
        <v>44371</v>
      </c>
      <c r="N1541" t="s">
        <v>30</v>
      </c>
      <c r="O1541" t="s">
        <v>43</v>
      </c>
      <c r="P1541" t="str">
        <f t="shared" si="532"/>
        <v>P1540</v>
      </c>
      <c r="Q1541" t="str">
        <f t="shared" si="528"/>
        <v>Oncology</v>
      </c>
      <c r="R1541">
        <f t="shared" si="529"/>
        <v>20</v>
      </c>
      <c r="S1541" t="str">
        <f t="shared" ca="1" si="533"/>
        <v>No</v>
      </c>
      <c r="T1541" t="str">
        <f t="shared" ca="1" si="534"/>
        <v>Severe</v>
      </c>
      <c r="U1541" t="str">
        <f t="shared" ca="1" si="535"/>
        <v>General Ward</v>
      </c>
      <c r="V1541" t="str">
        <f t="shared" si="536"/>
        <v>BED1540</v>
      </c>
      <c r="W1541" t="str">
        <f t="shared" ca="1" si="537"/>
        <v>ICU</v>
      </c>
      <c r="X1541" t="str">
        <f t="shared" si="538"/>
        <v>NUR040</v>
      </c>
      <c r="Y1541" t="str">
        <f t="shared" ca="1" si="539"/>
        <v>Evening</v>
      </c>
      <c r="Z1541" t="str">
        <f t="shared" ca="1" si="540"/>
        <v>Ultrasound</v>
      </c>
      <c r="AA1541" t="str">
        <f t="shared" ca="1" si="541"/>
        <v>In Use</v>
      </c>
      <c r="AB1541" t="str">
        <f t="shared" ca="1" si="542"/>
        <v>Partially Paid</v>
      </c>
      <c r="AC1541" t="str">
        <f t="shared" ca="1" si="543"/>
        <v>Cash</v>
      </c>
      <c r="AD1541" t="str">
        <f t="shared" ca="1" si="544"/>
        <v>Yes</v>
      </c>
      <c r="AE1541" t="str">
        <f t="shared" ca="1" si="545"/>
        <v>No</v>
      </c>
      <c r="AF1541" t="str">
        <f t="shared" ca="1" si="546"/>
        <v>Recovered</v>
      </c>
      <c r="AG1541" t="str">
        <f t="shared" ca="1" si="547"/>
        <v>Southwest</v>
      </c>
      <c r="AH1541" t="str">
        <f t="shared" si="530"/>
        <v>June</v>
      </c>
      <c r="AI1541">
        <f t="shared" si="531"/>
        <v>2021</v>
      </c>
      <c r="AJ1541" t="str">
        <f t="shared" ca="1" si="548"/>
        <v>Occupied</v>
      </c>
      <c r="AK1541">
        <f t="shared" ca="1" si="549"/>
        <v>1</v>
      </c>
    </row>
    <row r="1542" spans="1:37" x14ac:dyDescent="0.3">
      <c r="A1542" t="s">
        <v>5936</v>
      </c>
      <c r="B1542">
        <v>44</v>
      </c>
      <c r="C1542" t="s">
        <v>15</v>
      </c>
      <c r="D1542" t="s">
        <v>98</v>
      </c>
      <c r="E1542" t="s">
        <v>39</v>
      </c>
      <c r="F1542" s="1">
        <v>44165</v>
      </c>
      <c r="G1542" t="s">
        <v>3079</v>
      </c>
      <c r="H1542" t="s">
        <v>3080</v>
      </c>
      <c r="I1542" t="s">
        <v>57</v>
      </c>
      <c r="J1542">
        <v>39445</v>
      </c>
      <c r="K1542">
        <v>163</v>
      </c>
      <c r="L1542" t="s">
        <v>42</v>
      </c>
      <c r="M1542" s="1">
        <v>44173</v>
      </c>
      <c r="N1542" t="s">
        <v>47</v>
      </c>
      <c r="O1542" t="s">
        <v>23</v>
      </c>
      <c r="P1542" t="str">
        <f t="shared" si="532"/>
        <v>P1541</v>
      </c>
      <c r="Q1542" t="str">
        <f t="shared" si="528"/>
        <v>Endocrinology</v>
      </c>
      <c r="R1542">
        <f t="shared" si="529"/>
        <v>8</v>
      </c>
      <c r="S1542" t="str">
        <f t="shared" ca="1" si="533"/>
        <v>No</v>
      </c>
      <c r="T1542" t="str">
        <f t="shared" ca="1" si="534"/>
        <v>Critical</v>
      </c>
      <c r="U1542" t="str">
        <f t="shared" ca="1" si="535"/>
        <v>General Ward</v>
      </c>
      <c r="V1542" t="str">
        <f t="shared" si="536"/>
        <v>BED1541</v>
      </c>
      <c r="W1542" t="str">
        <f t="shared" ca="1" si="537"/>
        <v>Private</v>
      </c>
      <c r="X1542" t="str">
        <f t="shared" si="538"/>
        <v>NUR041</v>
      </c>
      <c r="Y1542" t="str">
        <f t="shared" ca="1" si="539"/>
        <v>Evening</v>
      </c>
      <c r="Z1542" t="str">
        <f t="shared" ca="1" si="540"/>
        <v>Ultrasound</v>
      </c>
      <c r="AA1542" t="str">
        <f t="shared" ca="1" si="541"/>
        <v>In Use</v>
      </c>
      <c r="AB1542" t="str">
        <f t="shared" ca="1" si="542"/>
        <v>Partially Paid</v>
      </c>
      <c r="AC1542" t="str">
        <f t="shared" ca="1" si="543"/>
        <v>Insurance</v>
      </c>
      <c r="AD1542" t="str">
        <f t="shared" ca="1" si="544"/>
        <v>No</v>
      </c>
      <c r="AE1542" t="str">
        <f t="shared" ca="1" si="545"/>
        <v>Yes</v>
      </c>
      <c r="AF1542" t="str">
        <f t="shared" ca="1" si="546"/>
        <v>Recovered</v>
      </c>
      <c r="AG1542" t="str">
        <f t="shared" ca="1" si="547"/>
        <v>Southeast</v>
      </c>
      <c r="AH1542" t="str">
        <f t="shared" si="530"/>
        <v>November</v>
      </c>
      <c r="AI1542">
        <f t="shared" si="531"/>
        <v>2020</v>
      </c>
      <c r="AJ1542" t="str">
        <f t="shared" ca="1" si="548"/>
        <v>Occupied</v>
      </c>
      <c r="AK1542">
        <f t="shared" ca="1" si="549"/>
        <v>1</v>
      </c>
    </row>
    <row r="1543" spans="1:37" x14ac:dyDescent="0.3">
      <c r="A1543" t="s">
        <v>5937</v>
      </c>
      <c r="B1543">
        <v>56</v>
      </c>
      <c r="C1543" t="s">
        <v>32</v>
      </c>
      <c r="D1543" t="s">
        <v>24</v>
      </c>
      <c r="E1543" t="s">
        <v>25</v>
      </c>
      <c r="F1543" s="1">
        <v>45207</v>
      </c>
      <c r="G1543" t="s">
        <v>3081</v>
      </c>
      <c r="H1543" t="s">
        <v>3082</v>
      </c>
      <c r="I1543" t="s">
        <v>20</v>
      </c>
      <c r="J1543">
        <v>4754</v>
      </c>
      <c r="K1543">
        <v>168</v>
      </c>
      <c r="L1543" t="s">
        <v>29</v>
      </c>
      <c r="M1543" s="1">
        <v>45217</v>
      </c>
      <c r="N1543" t="s">
        <v>30</v>
      </c>
      <c r="O1543" t="s">
        <v>31</v>
      </c>
      <c r="P1543" t="str">
        <f t="shared" si="532"/>
        <v>P1542</v>
      </c>
      <c r="Q1543" t="str">
        <f t="shared" si="528"/>
        <v>Nutrition</v>
      </c>
      <c r="R1543">
        <f t="shared" si="529"/>
        <v>10</v>
      </c>
      <c r="S1543" t="str">
        <f t="shared" ca="1" si="533"/>
        <v>No</v>
      </c>
      <c r="T1543" t="str">
        <f t="shared" ca="1" si="534"/>
        <v>Moderate</v>
      </c>
      <c r="U1543" t="str">
        <f t="shared" ca="1" si="535"/>
        <v>General Ward</v>
      </c>
      <c r="V1543" t="str">
        <f t="shared" si="536"/>
        <v>BED1542</v>
      </c>
      <c r="W1543" t="str">
        <f t="shared" ca="1" si="537"/>
        <v>Semi-Private</v>
      </c>
      <c r="X1543" t="str">
        <f t="shared" si="538"/>
        <v>NUR042</v>
      </c>
      <c r="Y1543" t="str">
        <f t="shared" ca="1" si="539"/>
        <v>Morning</v>
      </c>
      <c r="Z1543" t="str">
        <f t="shared" ca="1" si="540"/>
        <v>CT Scanner</v>
      </c>
      <c r="AA1543" t="str">
        <f t="shared" ca="1" si="541"/>
        <v>In Use</v>
      </c>
      <c r="AB1543" t="str">
        <f t="shared" ca="1" si="542"/>
        <v>Pending</v>
      </c>
      <c r="AC1543" t="str">
        <f t="shared" ca="1" si="543"/>
        <v>Bank Transfer</v>
      </c>
      <c r="AD1543" t="str">
        <f t="shared" ca="1" si="544"/>
        <v>No</v>
      </c>
      <c r="AE1543" t="str">
        <f t="shared" ca="1" si="545"/>
        <v>No</v>
      </c>
      <c r="AF1543" t="str">
        <f t="shared" ca="1" si="546"/>
        <v>Recovered</v>
      </c>
      <c r="AG1543" t="str">
        <f t="shared" ca="1" si="547"/>
        <v>Northeast</v>
      </c>
      <c r="AH1543" t="str">
        <f t="shared" si="530"/>
        <v>October</v>
      </c>
      <c r="AI1543">
        <f t="shared" si="531"/>
        <v>2023</v>
      </c>
      <c r="AJ1543" t="str">
        <f t="shared" ca="1" si="548"/>
        <v>Occupied</v>
      </c>
      <c r="AK1543">
        <f t="shared" ca="1" si="549"/>
        <v>4</v>
      </c>
    </row>
    <row r="1544" spans="1:37" x14ac:dyDescent="0.3">
      <c r="A1544" t="s">
        <v>5938</v>
      </c>
      <c r="B1544">
        <v>59</v>
      </c>
      <c r="C1544" t="s">
        <v>15</v>
      </c>
      <c r="D1544" t="s">
        <v>98</v>
      </c>
      <c r="E1544" t="s">
        <v>64</v>
      </c>
      <c r="F1544" s="1">
        <v>44729</v>
      </c>
      <c r="G1544" t="s">
        <v>3083</v>
      </c>
      <c r="H1544" t="s">
        <v>87</v>
      </c>
      <c r="I1544" t="s">
        <v>28</v>
      </c>
      <c r="J1544">
        <v>43055</v>
      </c>
      <c r="K1544">
        <v>458</v>
      </c>
      <c r="L1544" t="s">
        <v>29</v>
      </c>
      <c r="M1544" s="1">
        <v>44741</v>
      </c>
      <c r="N1544" t="s">
        <v>67</v>
      </c>
      <c r="O1544" t="s">
        <v>23</v>
      </c>
      <c r="P1544" t="str">
        <f t="shared" si="532"/>
        <v>P1543</v>
      </c>
      <c r="Q1544" t="str">
        <f t="shared" si="528"/>
        <v>Cardiology</v>
      </c>
      <c r="R1544">
        <f t="shared" si="529"/>
        <v>12</v>
      </c>
      <c r="S1544" t="str">
        <f t="shared" ca="1" si="533"/>
        <v>No</v>
      </c>
      <c r="T1544" t="str">
        <f t="shared" ca="1" si="534"/>
        <v>Mild</v>
      </c>
      <c r="U1544" t="str">
        <f t="shared" ca="1" si="535"/>
        <v>Private Ward</v>
      </c>
      <c r="V1544" t="str">
        <f t="shared" si="536"/>
        <v>BED1543</v>
      </c>
      <c r="W1544" t="str">
        <f t="shared" ca="1" si="537"/>
        <v>General</v>
      </c>
      <c r="X1544" t="str">
        <f t="shared" si="538"/>
        <v>NUR043</v>
      </c>
      <c r="Y1544" t="str">
        <f t="shared" ca="1" si="539"/>
        <v>Morning</v>
      </c>
      <c r="Z1544" t="str">
        <f t="shared" ca="1" si="540"/>
        <v>Ultrasound</v>
      </c>
      <c r="AA1544" t="str">
        <f t="shared" ca="1" si="541"/>
        <v>Maintenance</v>
      </c>
      <c r="AB1544" t="str">
        <f t="shared" ca="1" si="542"/>
        <v>Pending</v>
      </c>
      <c r="AC1544" t="str">
        <f t="shared" ca="1" si="543"/>
        <v>Debit Card</v>
      </c>
      <c r="AD1544" t="str">
        <f t="shared" ca="1" si="544"/>
        <v>No</v>
      </c>
      <c r="AE1544" t="str">
        <f t="shared" ca="1" si="545"/>
        <v>No</v>
      </c>
      <c r="AF1544" t="str">
        <f t="shared" ca="1" si="546"/>
        <v>Under Observation</v>
      </c>
      <c r="AG1544" t="str">
        <f t="shared" ca="1" si="547"/>
        <v>Midwest</v>
      </c>
      <c r="AH1544" t="str">
        <f t="shared" si="530"/>
        <v>June</v>
      </c>
      <c r="AI1544">
        <f t="shared" si="531"/>
        <v>2022</v>
      </c>
      <c r="AJ1544" t="str">
        <f t="shared" ca="1" si="548"/>
        <v>Occupied</v>
      </c>
      <c r="AK1544">
        <f t="shared" ca="1" si="549"/>
        <v>4</v>
      </c>
    </row>
    <row r="1545" spans="1:37" x14ac:dyDescent="0.3">
      <c r="A1545" t="s">
        <v>5939</v>
      </c>
      <c r="B1545">
        <v>20</v>
      </c>
      <c r="C1545" t="s">
        <v>32</v>
      </c>
      <c r="D1545" t="s">
        <v>33</v>
      </c>
      <c r="E1545" t="s">
        <v>17</v>
      </c>
      <c r="F1545" s="1">
        <v>44255</v>
      </c>
      <c r="G1545" t="s">
        <v>3084</v>
      </c>
      <c r="H1545" t="s">
        <v>3085</v>
      </c>
      <c r="I1545" t="s">
        <v>20</v>
      </c>
      <c r="J1545">
        <v>48226</v>
      </c>
      <c r="K1545">
        <v>443</v>
      </c>
      <c r="L1545" t="s">
        <v>42</v>
      </c>
      <c r="M1545" s="1">
        <v>44259</v>
      </c>
      <c r="N1545" t="s">
        <v>22</v>
      </c>
      <c r="O1545" t="s">
        <v>31</v>
      </c>
      <c r="P1545" t="str">
        <f t="shared" si="532"/>
        <v>P1544</v>
      </c>
      <c r="Q1545" t="str">
        <f t="shared" si="528"/>
        <v>Oncology</v>
      </c>
      <c r="R1545">
        <f t="shared" si="529"/>
        <v>4</v>
      </c>
      <c r="S1545" t="str">
        <f t="shared" ca="1" si="533"/>
        <v>No</v>
      </c>
      <c r="T1545" t="str">
        <f t="shared" ca="1" si="534"/>
        <v>Critical</v>
      </c>
      <c r="U1545" t="str">
        <f t="shared" ca="1" si="535"/>
        <v>Semi-Private</v>
      </c>
      <c r="V1545" t="str">
        <f t="shared" si="536"/>
        <v>BED1544</v>
      </c>
      <c r="W1545" t="str">
        <f t="shared" ca="1" si="537"/>
        <v>Private</v>
      </c>
      <c r="X1545" t="str">
        <f t="shared" si="538"/>
        <v>NUR044</v>
      </c>
      <c r="Y1545" t="str">
        <f t="shared" ca="1" si="539"/>
        <v>Night</v>
      </c>
      <c r="Z1545" t="str">
        <f t="shared" ca="1" si="540"/>
        <v>Ultrasound</v>
      </c>
      <c r="AA1545" t="str">
        <f t="shared" ca="1" si="541"/>
        <v>In Use</v>
      </c>
      <c r="AB1545" t="str">
        <f t="shared" ca="1" si="542"/>
        <v>Paid</v>
      </c>
      <c r="AC1545" t="str">
        <f t="shared" ca="1" si="543"/>
        <v>Insurance</v>
      </c>
      <c r="AD1545" t="str">
        <f t="shared" ca="1" si="544"/>
        <v>No</v>
      </c>
      <c r="AE1545" t="str">
        <f t="shared" ca="1" si="545"/>
        <v>No</v>
      </c>
      <c r="AF1545" t="str">
        <f t="shared" ca="1" si="546"/>
        <v>Transferred</v>
      </c>
      <c r="AG1545" t="str">
        <f t="shared" ca="1" si="547"/>
        <v>Southeast</v>
      </c>
      <c r="AH1545" t="str">
        <f t="shared" si="530"/>
        <v>February</v>
      </c>
      <c r="AI1545">
        <f t="shared" si="531"/>
        <v>2021</v>
      </c>
      <c r="AJ1545" t="str">
        <f t="shared" ca="1" si="548"/>
        <v>Occupied</v>
      </c>
      <c r="AK1545">
        <f t="shared" ca="1" si="549"/>
        <v>2</v>
      </c>
    </row>
    <row r="1546" spans="1:37" x14ac:dyDescent="0.3">
      <c r="A1546" t="s">
        <v>5940</v>
      </c>
      <c r="B1546">
        <v>81</v>
      </c>
      <c r="C1546" t="s">
        <v>32</v>
      </c>
      <c r="D1546" t="s">
        <v>33</v>
      </c>
      <c r="E1546" t="s">
        <v>48</v>
      </c>
      <c r="F1546" s="1">
        <v>44761</v>
      </c>
      <c r="G1546" t="s">
        <v>3086</v>
      </c>
      <c r="H1546" t="s">
        <v>3087</v>
      </c>
      <c r="I1546" t="s">
        <v>51</v>
      </c>
      <c r="J1546">
        <v>18449</v>
      </c>
      <c r="K1546">
        <v>191</v>
      </c>
      <c r="L1546" t="s">
        <v>42</v>
      </c>
      <c r="M1546" s="1">
        <v>44773</v>
      </c>
      <c r="N1546" t="s">
        <v>37</v>
      </c>
      <c r="O1546" t="s">
        <v>23</v>
      </c>
      <c r="P1546" t="str">
        <f t="shared" si="532"/>
        <v>P1545</v>
      </c>
      <c r="Q1546" t="str">
        <f t="shared" si="528"/>
        <v>Pulmonology</v>
      </c>
      <c r="R1546">
        <f t="shared" si="529"/>
        <v>12</v>
      </c>
      <c r="S1546" t="str">
        <f t="shared" ca="1" si="533"/>
        <v>No</v>
      </c>
      <c r="T1546" t="str">
        <f t="shared" ca="1" si="534"/>
        <v>Mild</v>
      </c>
      <c r="U1546" t="str">
        <f t="shared" ca="1" si="535"/>
        <v>Emergency</v>
      </c>
      <c r="V1546" t="str">
        <f t="shared" si="536"/>
        <v>BED1545</v>
      </c>
      <c r="W1546" t="str">
        <f t="shared" ca="1" si="537"/>
        <v>Semi-Private</v>
      </c>
      <c r="X1546" t="str">
        <f t="shared" si="538"/>
        <v>NUR045</v>
      </c>
      <c r="Y1546" t="str">
        <f t="shared" ca="1" si="539"/>
        <v>Morning</v>
      </c>
      <c r="Z1546" t="str">
        <f t="shared" ca="1" si="540"/>
        <v>X-Ray</v>
      </c>
      <c r="AA1546" t="str">
        <f t="shared" ca="1" si="541"/>
        <v>In Use</v>
      </c>
      <c r="AB1546" t="str">
        <f t="shared" ca="1" si="542"/>
        <v>Partially Paid</v>
      </c>
      <c r="AC1546" t="str">
        <f t="shared" ca="1" si="543"/>
        <v>Debit Card</v>
      </c>
      <c r="AD1546" t="str">
        <f t="shared" ca="1" si="544"/>
        <v>No</v>
      </c>
      <c r="AE1546" t="str">
        <f t="shared" ca="1" si="545"/>
        <v>No</v>
      </c>
      <c r="AF1546" t="str">
        <f t="shared" ca="1" si="546"/>
        <v>Transferred</v>
      </c>
      <c r="AG1546" t="str">
        <f t="shared" ca="1" si="547"/>
        <v>Southeast</v>
      </c>
      <c r="AH1546" t="str">
        <f t="shared" si="530"/>
        <v>July</v>
      </c>
      <c r="AI1546">
        <f t="shared" si="531"/>
        <v>2022</v>
      </c>
      <c r="AJ1546" t="str">
        <f t="shared" ca="1" si="548"/>
        <v>Occupied</v>
      </c>
      <c r="AK1546">
        <f t="shared" ca="1" si="549"/>
        <v>2</v>
      </c>
    </row>
    <row r="1547" spans="1:37" x14ac:dyDescent="0.3">
      <c r="A1547" t="s">
        <v>5941</v>
      </c>
      <c r="B1547">
        <v>24</v>
      </c>
      <c r="C1547" t="s">
        <v>15</v>
      </c>
      <c r="D1547" t="s">
        <v>52</v>
      </c>
      <c r="E1547" t="s">
        <v>39</v>
      </c>
      <c r="F1547" s="1">
        <v>43999</v>
      </c>
      <c r="G1547" t="s">
        <v>3088</v>
      </c>
      <c r="H1547" t="s">
        <v>3089</v>
      </c>
      <c r="I1547" t="s">
        <v>36</v>
      </c>
      <c r="J1547">
        <v>6406</v>
      </c>
      <c r="K1547">
        <v>391</v>
      </c>
      <c r="L1547" t="s">
        <v>29</v>
      </c>
      <c r="M1547" s="1">
        <v>44005</v>
      </c>
      <c r="N1547" t="s">
        <v>67</v>
      </c>
      <c r="O1547" t="s">
        <v>31</v>
      </c>
      <c r="P1547" t="str">
        <f t="shared" si="532"/>
        <v>P1546</v>
      </c>
      <c r="Q1547" t="str">
        <f t="shared" si="528"/>
        <v>Endocrinology</v>
      </c>
      <c r="R1547">
        <f t="shared" si="529"/>
        <v>6</v>
      </c>
      <c r="S1547" t="str">
        <f t="shared" ca="1" si="533"/>
        <v>No</v>
      </c>
      <c r="T1547" t="str">
        <f t="shared" ca="1" si="534"/>
        <v>Moderate</v>
      </c>
      <c r="U1547" t="str">
        <f t="shared" ca="1" si="535"/>
        <v>Emergency</v>
      </c>
      <c r="V1547" t="str">
        <f t="shared" si="536"/>
        <v>BED1546</v>
      </c>
      <c r="W1547" t="str">
        <f t="shared" ca="1" si="537"/>
        <v>General</v>
      </c>
      <c r="X1547" t="str">
        <f t="shared" si="538"/>
        <v>NUR046</v>
      </c>
      <c r="Y1547" t="str">
        <f t="shared" ca="1" si="539"/>
        <v>Evening</v>
      </c>
      <c r="Z1547" t="str">
        <f t="shared" ca="1" si="540"/>
        <v>CT Scanner</v>
      </c>
      <c r="AA1547" t="str">
        <f t="shared" ca="1" si="541"/>
        <v>Available</v>
      </c>
      <c r="AB1547" t="str">
        <f t="shared" ca="1" si="542"/>
        <v>Paid</v>
      </c>
      <c r="AC1547" t="str">
        <f t="shared" ca="1" si="543"/>
        <v>Bank Transfer</v>
      </c>
      <c r="AD1547" t="str">
        <f t="shared" ca="1" si="544"/>
        <v>No</v>
      </c>
      <c r="AE1547" t="str">
        <f t="shared" ca="1" si="545"/>
        <v>No</v>
      </c>
      <c r="AF1547" t="str">
        <f t="shared" ca="1" si="546"/>
        <v>Under Observation</v>
      </c>
      <c r="AG1547" t="str">
        <f t="shared" ca="1" si="547"/>
        <v>West Coast</v>
      </c>
      <c r="AH1547" t="str">
        <f t="shared" si="530"/>
        <v>June</v>
      </c>
      <c r="AI1547">
        <f t="shared" si="531"/>
        <v>2020</v>
      </c>
      <c r="AJ1547" t="str">
        <f t="shared" ca="1" si="548"/>
        <v>Occupied</v>
      </c>
      <c r="AK1547">
        <f t="shared" ca="1" si="549"/>
        <v>1</v>
      </c>
    </row>
    <row r="1548" spans="1:37" x14ac:dyDescent="0.3">
      <c r="A1548" t="s">
        <v>5942</v>
      </c>
      <c r="B1548">
        <v>79</v>
      </c>
      <c r="C1548" t="s">
        <v>15</v>
      </c>
      <c r="D1548" t="s">
        <v>16</v>
      </c>
      <c r="E1548" t="s">
        <v>39</v>
      </c>
      <c r="F1548" s="1">
        <v>45380</v>
      </c>
      <c r="G1548" t="s">
        <v>3090</v>
      </c>
      <c r="H1548" t="s">
        <v>3091</v>
      </c>
      <c r="I1548" t="s">
        <v>20</v>
      </c>
      <c r="J1548">
        <v>28958</v>
      </c>
      <c r="K1548">
        <v>258</v>
      </c>
      <c r="L1548" t="s">
        <v>29</v>
      </c>
      <c r="M1548" s="1">
        <v>45392</v>
      </c>
      <c r="N1548" t="s">
        <v>47</v>
      </c>
      <c r="O1548" t="s">
        <v>23</v>
      </c>
      <c r="P1548" t="str">
        <f t="shared" si="532"/>
        <v>P1547</v>
      </c>
      <c r="Q1548" t="str">
        <f t="shared" si="528"/>
        <v>Endocrinology</v>
      </c>
      <c r="R1548">
        <f t="shared" si="529"/>
        <v>12</v>
      </c>
      <c r="S1548" t="str">
        <f t="shared" ca="1" si="533"/>
        <v>No</v>
      </c>
      <c r="T1548" t="str">
        <f t="shared" ca="1" si="534"/>
        <v>Moderate</v>
      </c>
      <c r="U1548" t="str">
        <f t="shared" ca="1" si="535"/>
        <v>Emergency</v>
      </c>
      <c r="V1548" t="str">
        <f t="shared" si="536"/>
        <v>BED1547</v>
      </c>
      <c r="W1548" t="str">
        <f t="shared" ca="1" si="537"/>
        <v>Private</v>
      </c>
      <c r="X1548" t="str">
        <f t="shared" si="538"/>
        <v>NUR047</v>
      </c>
      <c r="Y1548" t="str">
        <f t="shared" ca="1" si="539"/>
        <v>Evening</v>
      </c>
      <c r="Z1548" t="str">
        <f t="shared" ca="1" si="540"/>
        <v>X-Ray</v>
      </c>
      <c r="AA1548" t="str">
        <f t="shared" ca="1" si="541"/>
        <v>Available</v>
      </c>
      <c r="AB1548" t="str">
        <f t="shared" ca="1" si="542"/>
        <v>Paid</v>
      </c>
      <c r="AC1548" t="str">
        <f t="shared" ca="1" si="543"/>
        <v>Debit Card</v>
      </c>
      <c r="AD1548" t="str">
        <f t="shared" ca="1" si="544"/>
        <v>No</v>
      </c>
      <c r="AE1548" t="str">
        <f t="shared" ca="1" si="545"/>
        <v>No</v>
      </c>
      <c r="AF1548" t="str">
        <f t="shared" ca="1" si="546"/>
        <v>Under Observation</v>
      </c>
      <c r="AG1548" t="str">
        <f t="shared" ca="1" si="547"/>
        <v>West Coast</v>
      </c>
      <c r="AH1548" t="str">
        <f t="shared" si="530"/>
        <v>March</v>
      </c>
      <c r="AI1548">
        <f t="shared" si="531"/>
        <v>2024</v>
      </c>
      <c r="AJ1548" t="str">
        <f t="shared" ca="1" si="548"/>
        <v>Vacant</v>
      </c>
      <c r="AK1548">
        <f t="shared" ca="1" si="549"/>
        <v>1</v>
      </c>
    </row>
    <row r="1549" spans="1:37" x14ac:dyDescent="0.3">
      <c r="A1549" t="s">
        <v>5943</v>
      </c>
      <c r="B1549">
        <v>40</v>
      </c>
      <c r="C1549" t="s">
        <v>15</v>
      </c>
      <c r="D1549" t="s">
        <v>44</v>
      </c>
      <c r="E1549" t="s">
        <v>64</v>
      </c>
      <c r="F1549" s="1">
        <v>44774</v>
      </c>
      <c r="G1549" t="s">
        <v>3092</v>
      </c>
      <c r="H1549" t="s">
        <v>3093</v>
      </c>
      <c r="I1549" t="s">
        <v>51</v>
      </c>
      <c r="J1549">
        <v>20671</v>
      </c>
      <c r="K1549">
        <v>139</v>
      </c>
      <c r="L1549" t="s">
        <v>42</v>
      </c>
      <c r="M1549" s="1">
        <v>44783</v>
      </c>
      <c r="N1549" t="s">
        <v>22</v>
      </c>
      <c r="O1549" t="s">
        <v>23</v>
      </c>
      <c r="P1549" t="str">
        <f t="shared" si="532"/>
        <v>P1548</v>
      </c>
      <c r="Q1549" t="str">
        <f t="shared" si="528"/>
        <v>Cardiology</v>
      </c>
      <c r="R1549">
        <f t="shared" si="529"/>
        <v>9</v>
      </c>
      <c r="S1549" t="str">
        <f t="shared" ca="1" si="533"/>
        <v>No</v>
      </c>
      <c r="T1549" t="str">
        <f t="shared" ca="1" si="534"/>
        <v>Mild</v>
      </c>
      <c r="U1549" t="str">
        <f t="shared" ca="1" si="535"/>
        <v>General Ward</v>
      </c>
      <c r="V1549" t="str">
        <f t="shared" si="536"/>
        <v>BED1548</v>
      </c>
      <c r="W1549" t="str">
        <f t="shared" ca="1" si="537"/>
        <v>Semi-Private</v>
      </c>
      <c r="X1549" t="str">
        <f t="shared" si="538"/>
        <v>NUR048</v>
      </c>
      <c r="Y1549" t="str">
        <f t="shared" ca="1" si="539"/>
        <v>Morning</v>
      </c>
      <c r="Z1549" t="str">
        <f t="shared" ca="1" si="540"/>
        <v>X-Ray</v>
      </c>
      <c r="AA1549" t="str">
        <f t="shared" ca="1" si="541"/>
        <v>In Use</v>
      </c>
      <c r="AB1549" t="str">
        <f t="shared" ca="1" si="542"/>
        <v>Partially Paid</v>
      </c>
      <c r="AC1549" t="str">
        <f t="shared" ca="1" si="543"/>
        <v>Cash</v>
      </c>
      <c r="AD1549" t="str">
        <f t="shared" ca="1" si="544"/>
        <v>No</v>
      </c>
      <c r="AE1549" t="str">
        <f t="shared" ca="1" si="545"/>
        <v>No</v>
      </c>
      <c r="AF1549" t="str">
        <f t="shared" ca="1" si="546"/>
        <v>Under Observation</v>
      </c>
      <c r="AG1549" t="str">
        <f t="shared" ca="1" si="547"/>
        <v>West Coast</v>
      </c>
      <c r="AH1549" t="str">
        <f t="shared" si="530"/>
        <v>August</v>
      </c>
      <c r="AI1549">
        <f t="shared" si="531"/>
        <v>2022</v>
      </c>
      <c r="AJ1549" t="str">
        <f t="shared" ca="1" si="548"/>
        <v>Occupied</v>
      </c>
      <c r="AK1549">
        <f t="shared" ca="1" si="549"/>
        <v>2</v>
      </c>
    </row>
    <row r="1550" spans="1:37" x14ac:dyDescent="0.3">
      <c r="A1550" t="s">
        <v>5944</v>
      </c>
      <c r="B1550">
        <v>25</v>
      </c>
      <c r="C1550" t="s">
        <v>15</v>
      </c>
      <c r="D1550" t="s">
        <v>24</v>
      </c>
      <c r="E1550" t="s">
        <v>48</v>
      </c>
      <c r="F1550" s="1">
        <v>44914</v>
      </c>
      <c r="G1550" t="s">
        <v>3094</v>
      </c>
      <c r="H1550" t="s">
        <v>3095</v>
      </c>
      <c r="I1550" t="s">
        <v>36</v>
      </c>
      <c r="J1550">
        <v>30933</v>
      </c>
      <c r="K1550">
        <v>317</v>
      </c>
      <c r="L1550" t="s">
        <v>42</v>
      </c>
      <c r="M1550" s="1">
        <v>44926</v>
      </c>
      <c r="N1550" t="s">
        <v>30</v>
      </c>
      <c r="O1550" t="s">
        <v>23</v>
      </c>
      <c r="P1550" t="str">
        <f t="shared" si="532"/>
        <v>P1549</v>
      </c>
      <c r="Q1550" t="str">
        <f t="shared" si="528"/>
        <v>Pulmonology</v>
      </c>
      <c r="R1550">
        <f t="shared" si="529"/>
        <v>12</v>
      </c>
      <c r="S1550" t="str">
        <f t="shared" ca="1" si="533"/>
        <v>No</v>
      </c>
      <c r="T1550" t="str">
        <f t="shared" ca="1" si="534"/>
        <v>Moderate</v>
      </c>
      <c r="U1550" t="str">
        <f t="shared" ca="1" si="535"/>
        <v>Private Ward</v>
      </c>
      <c r="V1550" t="str">
        <f t="shared" si="536"/>
        <v>BED1549</v>
      </c>
      <c r="W1550" t="str">
        <f t="shared" ca="1" si="537"/>
        <v>Private</v>
      </c>
      <c r="X1550" t="str">
        <f t="shared" si="538"/>
        <v>NUR049</v>
      </c>
      <c r="Y1550" t="str">
        <f t="shared" ca="1" si="539"/>
        <v>Night</v>
      </c>
      <c r="Z1550" t="str">
        <f t="shared" ca="1" si="540"/>
        <v>X-Ray</v>
      </c>
      <c r="AA1550" t="str">
        <f t="shared" ca="1" si="541"/>
        <v>Maintenance</v>
      </c>
      <c r="AB1550" t="str">
        <f t="shared" ca="1" si="542"/>
        <v>Pending</v>
      </c>
      <c r="AC1550" t="str">
        <f t="shared" ca="1" si="543"/>
        <v>Credit Card</v>
      </c>
      <c r="AD1550" t="str">
        <f t="shared" ca="1" si="544"/>
        <v>No</v>
      </c>
      <c r="AE1550" t="str">
        <f t="shared" ca="1" si="545"/>
        <v>No</v>
      </c>
      <c r="AF1550" t="str">
        <f t="shared" ca="1" si="546"/>
        <v>Recovered</v>
      </c>
      <c r="AG1550" t="str">
        <f t="shared" ca="1" si="547"/>
        <v>Southwest</v>
      </c>
      <c r="AH1550" t="str">
        <f t="shared" si="530"/>
        <v>December</v>
      </c>
      <c r="AI1550">
        <f t="shared" si="531"/>
        <v>2022</v>
      </c>
      <c r="AJ1550" t="str">
        <f t="shared" ca="1" si="548"/>
        <v>Occupied</v>
      </c>
      <c r="AK1550">
        <f t="shared" ca="1" si="549"/>
        <v>4</v>
      </c>
    </row>
    <row r="1551" spans="1:37" x14ac:dyDescent="0.3">
      <c r="A1551" t="s">
        <v>5945</v>
      </c>
      <c r="B1551">
        <v>42</v>
      </c>
      <c r="C1551" t="s">
        <v>32</v>
      </c>
      <c r="D1551" t="s">
        <v>52</v>
      </c>
      <c r="E1551" t="s">
        <v>17</v>
      </c>
      <c r="F1551" s="1">
        <v>45260</v>
      </c>
      <c r="G1551" t="s">
        <v>3096</v>
      </c>
      <c r="H1551" t="s">
        <v>3097</v>
      </c>
      <c r="I1551" t="s">
        <v>51</v>
      </c>
      <c r="J1551">
        <v>20952</v>
      </c>
      <c r="K1551">
        <v>102</v>
      </c>
      <c r="L1551" t="s">
        <v>21</v>
      </c>
      <c r="M1551" s="1">
        <v>45287</v>
      </c>
      <c r="N1551" t="s">
        <v>30</v>
      </c>
      <c r="O1551" t="s">
        <v>43</v>
      </c>
      <c r="P1551" t="str">
        <f t="shared" si="532"/>
        <v>P1550</v>
      </c>
      <c r="Q1551" t="str">
        <f t="shared" si="528"/>
        <v>Oncology</v>
      </c>
      <c r="R1551">
        <f t="shared" si="529"/>
        <v>27</v>
      </c>
      <c r="S1551" t="str">
        <f t="shared" ca="1" si="533"/>
        <v>No</v>
      </c>
      <c r="T1551" t="str">
        <f t="shared" ca="1" si="534"/>
        <v>Mild</v>
      </c>
      <c r="U1551" t="str">
        <f t="shared" ca="1" si="535"/>
        <v>General Ward</v>
      </c>
      <c r="V1551" t="str">
        <f t="shared" si="536"/>
        <v>BED1550</v>
      </c>
      <c r="W1551" t="str">
        <f t="shared" ca="1" si="537"/>
        <v>Semi-Private</v>
      </c>
      <c r="X1551" t="str">
        <f t="shared" si="538"/>
        <v>NUR050</v>
      </c>
      <c r="Y1551" t="str">
        <f t="shared" ca="1" si="539"/>
        <v>Night</v>
      </c>
      <c r="Z1551" t="str">
        <f t="shared" ca="1" si="540"/>
        <v>MRI Scanner</v>
      </c>
      <c r="AA1551" t="str">
        <f t="shared" ca="1" si="541"/>
        <v>Maintenance</v>
      </c>
      <c r="AB1551" t="str">
        <f t="shared" ca="1" si="542"/>
        <v>Pending</v>
      </c>
      <c r="AC1551" t="str">
        <f t="shared" ca="1" si="543"/>
        <v>Cash</v>
      </c>
      <c r="AD1551" t="str">
        <f t="shared" ca="1" si="544"/>
        <v>No</v>
      </c>
      <c r="AE1551" t="str">
        <f t="shared" ca="1" si="545"/>
        <v>No</v>
      </c>
      <c r="AF1551" t="str">
        <f t="shared" ca="1" si="546"/>
        <v>Recovered</v>
      </c>
      <c r="AG1551" t="str">
        <f t="shared" ca="1" si="547"/>
        <v>Southeast</v>
      </c>
      <c r="AH1551" t="str">
        <f t="shared" si="530"/>
        <v>November</v>
      </c>
      <c r="AI1551">
        <f t="shared" si="531"/>
        <v>2023</v>
      </c>
      <c r="AJ1551" t="str">
        <f t="shared" ca="1" si="548"/>
        <v>Occupied</v>
      </c>
      <c r="AK1551">
        <f t="shared" ca="1" si="549"/>
        <v>1</v>
      </c>
    </row>
    <row r="1552" spans="1:37" x14ac:dyDescent="0.3">
      <c r="A1552" t="s">
        <v>5946</v>
      </c>
      <c r="B1552">
        <v>41</v>
      </c>
      <c r="C1552" t="s">
        <v>32</v>
      </c>
      <c r="D1552" t="s">
        <v>98</v>
      </c>
      <c r="E1552" t="s">
        <v>64</v>
      </c>
      <c r="F1552" s="1">
        <v>44024</v>
      </c>
      <c r="G1552" t="s">
        <v>3098</v>
      </c>
      <c r="H1552" t="s">
        <v>3099</v>
      </c>
      <c r="I1552" t="s">
        <v>20</v>
      </c>
      <c r="J1552">
        <v>33216</v>
      </c>
      <c r="K1552">
        <v>275</v>
      </c>
      <c r="L1552" t="s">
        <v>29</v>
      </c>
      <c r="M1552" s="1">
        <v>44037</v>
      </c>
      <c r="N1552" t="s">
        <v>30</v>
      </c>
      <c r="O1552" t="s">
        <v>43</v>
      </c>
      <c r="P1552" t="str">
        <f t="shared" si="532"/>
        <v>P1551</v>
      </c>
      <c r="Q1552" t="str">
        <f t="shared" si="528"/>
        <v>Cardiology</v>
      </c>
      <c r="R1552">
        <f t="shared" si="529"/>
        <v>13</v>
      </c>
      <c r="S1552" t="str">
        <f t="shared" ca="1" si="533"/>
        <v>No</v>
      </c>
      <c r="T1552" t="str">
        <f t="shared" ca="1" si="534"/>
        <v>Moderate</v>
      </c>
      <c r="U1552" t="str">
        <f t="shared" ca="1" si="535"/>
        <v>Semi-Private</v>
      </c>
      <c r="V1552" t="str">
        <f t="shared" si="536"/>
        <v>BED1551</v>
      </c>
      <c r="W1552" t="str">
        <f t="shared" ca="1" si="537"/>
        <v>Private</v>
      </c>
      <c r="X1552" t="str">
        <f t="shared" si="538"/>
        <v>NUR001</v>
      </c>
      <c r="Y1552" t="str">
        <f t="shared" ca="1" si="539"/>
        <v>Evening</v>
      </c>
      <c r="Z1552" t="str">
        <f t="shared" ca="1" si="540"/>
        <v>Ventilator</v>
      </c>
      <c r="AA1552" t="str">
        <f t="shared" ca="1" si="541"/>
        <v>In Use</v>
      </c>
      <c r="AB1552" t="str">
        <f t="shared" ca="1" si="542"/>
        <v>Partially Paid</v>
      </c>
      <c r="AC1552" t="str">
        <f t="shared" ca="1" si="543"/>
        <v>Credit Card</v>
      </c>
      <c r="AD1552" t="str">
        <f t="shared" ca="1" si="544"/>
        <v>No</v>
      </c>
      <c r="AE1552" t="str">
        <f t="shared" ca="1" si="545"/>
        <v>No</v>
      </c>
      <c r="AF1552" t="str">
        <f t="shared" ca="1" si="546"/>
        <v>Recovered</v>
      </c>
      <c r="AG1552" t="str">
        <f t="shared" ca="1" si="547"/>
        <v>West Coast</v>
      </c>
      <c r="AH1552" t="str">
        <f t="shared" si="530"/>
        <v>July</v>
      </c>
      <c r="AI1552">
        <f t="shared" si="531"/>
        <v>2020</v>
      </c>
      <c r="AJ1552" t="str">
        <f t="shared" ca="1" si="548"/>
        <v>Occupied</v>
      </c>
      <c r="AK1552">
        <f t="shared" ca="1" si="549"/>
        <v>4</v>
      </c>
    </row>
    <row r="1553" spans="1:37" x14ac:dyDescent="0.3">
      <c r="A1553" t="s">
        <v>5947</v>
      </c>
      <c r="B1553">
        <v>77</v>
      </c>
      <c r="C1553" t="s">
        <v>32</v>
      </c>
      <c r="D1553" t="s">
        <v>38</v>
      </c>
      <c r="E1553" t="s">
        <v>25</v>
      </c>
      <c r="F1553" s="1">
        <v>45243</v>
      </c>
      <c r="G1553" t="s">
        <v>3100</v>
      </c>
      <c r="H1553" t="s">
        <v>3101</v>
      </c>
      <c r="I1553" t="s">
        <v>20</v>
      </c>
      <c r="J1553">
        <v>46505</v>
      </c>
      <c r="K1553">
        <v>320</v>
      </c>
      <c r="L1553" t="s">
        <v>42</v>
      </c>
      <c r="M1553" s="1">
        <v>45258</v>
      </c>
      <c r="N1553" t="s">
        <v>37</v>
      </c>
      <c r="O1553" t="s">
        <v>23</v>
      </c>
      <c r="P1553" t="str">
        <f t="shared" si="532"/>
        <v>P1552</v>
      </c>
      <c r="Q1553" t="str">
        <f t="shared" si="528"/>
        <v>Nutrition</v>
      </c>
      <c r="R1553">
        <f t="shared" si="529"/>
        <v>15</v>
      </c>
      <c r="S1553" t="str">
        <f t="shared" ca="1" si="533"/>
        <v>No</v>
      </c>
      <c r="T1553" t="str">
        <f t="shared" ca="1" si="534"/>
        <v>Critical</v>
      </c>
      <c r="U1553" t="str">
        <f t="shared" ca="1" si="535"/>
        <v>Semi-Private</v>
      </c>
      <c r="V1553" t="str">
        <f t="shared" si="536"/>
        <v>BED1552</v>
      </c>
      <c r="W1553" t="str">
        <f t="shared" ca="1" si="537"/>
        <v>Semi-Private</v>
      </c>
      <c r="X1553" t="str">
        <f t="shared" si="538"/>
        <v>NUR002</v>
      </c>
      <c r="Y1553" t="str">
        <f t="shared" ca="1" si="539"/>
        <v>Night</v>
      </c>
      <c r="Z1553" t="str">
        <f t="shared" ca="1" si="540"/>
        <v>ECG Machine</v>
      </c>
      <c r="AA1553" t="str">
        <f t="shared" ca="1" si="541"/>
        <v>Maintenance</v>
      </c>
      <c r="AB1553" t="str">
        <f t="shared" ca="1" si="542"/>
        <v>Partially Paid</v>
      </c>
      <c r="AC1553" t="str">
        <f t="shared" ca="1" si="543"/>
        <v>Credit Card</v>
      </c>
      <c r="AD1553" t="str">
        <f t="shared" ca="1" si="544"/>
        <v>No</v>
      </c>
      <c r="AE1553" t="str">
        <f t="shared" ca="1" si="545"/>
        <v>No</v>
      </c>
      <c r="AF1553" t="str">
        <f t="shared" ca="1" si="546"/>
        <v>Recovered</v>
      </c>
      <c r="AG1553" t="str">
        <f t="shared" ca="1" si="547"/>
        <v>Southwest</v>
      </c>
      <c r="AH1553" t="str">
        <f t="shared" si="530"/>
        <v>November</v>
      </c>
      <c r="AI1553">
        <f t="shared" si="531"/>
        <v>2023</v>
      </c>
      <c r="AJ1553" t="str">
        <f t="shared" ca="1" si="548"/>
        <v>Occupied</v>
      </c>
      <c r="AK1553">
        <f t="shared" ca="1" si="549"/>
        <v>4</v>
      </c>
    </row>
    <row r="1554" spans="1:37" x14ac:dyDescent="0.3">
      <c r="A1554" t="s">
        <v>5948</v>
      </c>
      <c r="B1554">
        <v>34</v>
      </c>
      <c r="C1554" t="s">
        <v>32</v>
      </c>
      <c r="D1554" t="s">
        <v>33</v>
      </c>
      <c r="E1554" t="s">
        <v>17</v>
      </c>
      <c r="F1554" s="1">
        <v>43935</v>
      </c>
      <c r="G1554" t="s">
        <v>3102</v>
      </c>
      <c r="H1554" t="s">
        <v>3103</v>
      </c>
      <c r="I1554" t="s">
        <v>28</v>
      </c>
      <c r="J1554">
        <v>21623</v>
      </c>
      <c r="K1554">
        <v>128</v>
      </c>
      <c r="L1554" t="s">
        <v>42</v>
      </c>
      <c r="M1554" s="1">
        <v>43963</v>
      </c>
      <c r="N1554" t="s">
        <v>30</v>
      </c>
      <c r="O1554" t="s">
        <v>31</v>
      </c>
      <c r="P1554" t="str">
        <f t="shared" si="532"/>
        <v>P1553</v>
      </c>
      <c r="Q1554" t="str">
        <f t="shared" si="528"/>
        <v>Oncology</v>
      </c>
      <c r="R1554">
        <f t="shared" si="529"/>
        <v>28</v>
      </c>
      <c r="S1554" t="str">
        <f t="shared" ca="1" si="533"/>
        <v>No</v>
      </c>
      <c r="T1554" t="str">
        <f t="shared" ca="1" si="534"/>
        <v>Severe</v>
      </c>
      <c r="U1554" t="str">
        <f t="shared" ca="1" si="535"/>
        <v>General Ward</v>
      </c>
      <c r="V1554" t="str">
        <f t="shared" si="536"/>
        <v>BED1553</v>
      </c>
      <c r="W1554" t="str">
        <f t="shared" ca="1" si="537"/>
        <v>Private</v>
      </c>
      <c r="X1554" t="str">
        <f t="shared" si="538"/>
        <v>NUR003</v>
      </c>
      <c r="Y1554" t="str">
        <f t="shared" ca="1" si="539"/>
        <v>Evening</v>
      </c>
      <c r="Z1554" t="str">
        <f t="shared" ca="1" si="540"/>
        <v>MRI Scanner</v>
      </c>
      <c r="AA1554" t="str">
        <f t="shared" ca="1" si="541"/>
        <v>Maintenance</v>
      </c>
      <c r="AB1554" t="str">
        <f t="shared" ca="1" si="542"/>
        <v>Pending</v>
      </c>
      <c r="AC1554" t="str">
        <f t="shared" ca="1" si="543"/>
        <v>Credit Card</v>
      </c>
      <c r="AD1554" t="str">
        <f t="shared" ca="1" si="544"/>
        <v>No</v>
      </c>
      <c r="AE1554" t="str">
        <f t="shared" ca="1" si="545"/>
        <v>No</v>
      </c>
      <c r="AF1554" t="str">
        <f t="shared" ca="1" si="546"/>
        <v>Recovered</v>
      </c>
      <c r="AG1554" t="str">
        <f t="shared" ca="1" si="547"/>
        <v>West Coast</v>
      </c>
      <c r="AH1554" t="str">
        <f t="shared" si="530"/>
        <v>April</v>
      </c>
      <c r="AI1554">
        <f t="shared" si="531"/>
        <v>2020</v>
      </c>
      <c r="AJ1554" t="str">
        <f t="shared" ca="1" si="548"/>
        <v>Occupied</v>
      </c>
      <c r="AK1554">
        <f t="shared" ca="1" si="549"/>
        <v>4</v>
      </c>
    </row>
    <row r="1555" spans="1:37" x14ac:dyDescent="0.3">
      <c r="A1555" t="s">
        <v>5949</v>
      </c>
      <c r="B1555">
        <v>57</v>
      </c>
      <c r="C1555" t="s">
        <v>32</v>
      </c>
      <c r="D1555" t="s">
        <v>24</v>
      </c>
      <c r="E1555" t="s">
        <v>17</v>
      </c>
      <c r="F1555" s="1">
        <v>43624</v>
      </c>
      <c r="G1555" t="s">
        <v>3104</v>
      </c>
      <c r="H1555" t="s">
        <v>3105</v>
      </c>
      <c r="I1555" t="s">
        <v>20</v>
      </c>
      <c r="J1555">
        <v>11114</v>
      </c>
      <c r="K1555">
        <v>336</v>
      </c>
      <c r="L1555" t="s">
        <v>21</v>
      </c>
      <c r="M1555" s="1">
        <v>43639</v>
      </c>
      <c r="N1555" t="s">
        <v>67</v>
      </c>
      <c r="O1555" t="s">
        <v>31</v>
      </c>
      <c r="P1555" t="str">
        <f t="shared" si="532"/>
        <v>P1554</v>
      </c>
      <c r="Q1555" t="str">
        <f t="shared" si="528"/>
        <v>Oncology</v>
      </c>
      <c r="R1555">
        <f t="shared" si="529"/>
        <v>15</v>
      </c>
      <c r="S1555" t="str">
        <f t="shared" ca="1" si="533"/>
        <v>No</v>
      </c>
      <c r="T1555" t="str">
        <f t="shared" ca="1" si="534"/>
        <v>Moderate</v>
      </c>
      <c r="U1555" t="str">
        <f t="shared" ca="1" si="535"/>
        <v>Emergency</v>
      </c>
      <c r="V1555" t="str">
        <f t="shared" si="536"/>
        <v>BED1554</v>
      </c>
      <c r="W1555" t="str">
        <f t="shared" ca="1" si="537"/>
        <v>Semi-Private</v>
      </c>
      <c r="X1555" t="str">
        <f t="shared" si="538"/>
        <v>NUR004</v>
      </c>
      <c r="Y1555" t="str">
        <f t="shared" ca="1" si="539"/>
        <v>Morning</v>
      </c>
      <c r="Z1555" t="str">
        <f t="shared" ca="1" si="540"/>
        <v>Ventilator</v>
      </c>
      <c r="AA1555" t="str">
        <f t="shared" ca="1" si="541"/>
        <v>In Use</v>
      </c>
      <c r="AB1555" t="str">
        <f t="shared" ca="1" si="542"/>
        <v>Partially Paid</v>
      </c>
      <c r="AC1555" t="str">
        <f t="shared" ca="1" si="543"/>
        <v>Debit Card</v>
      </c>
      <c r="AD1555" t="str">
        <f t="shared" ca="1" si="544"/>
        <v>No</v>
      </c>
      <c r="AE1555" t="str">
        <f t="shared" ca="1" si="545"/>
        <v>No</v>
      </c>
      <c r="AF1555" t="str">
        <f t="shared" ca="1" si="546"/>
        <v>Transferred</v>
      </c>
      <c r="AG1555" t="str">
        <f t="shared" ca="1" si="547"/>
        <v>West Coast</v>
      </c>
      <c r="AH1555" t="str">
        <f t="shared" si="530"/>
        <v>June</v>
      </c>
      <c r="AI1555">
        <f t="shared" si="531"/>
        <v>2019</v>
      </c>
      <c r="AJ1555" t="str">
        <f t="shared" ca="1" si="548"/>
        <v>Occupied</v>
      </c>
      <c r="AK1555">
        <f t="shared" ca="1" si="549"/>
        <v>1</v>
      </c>
    </row>
    <row r="1556" spans="1:37" x14ac:dyDescent="0.3">
      <c r="A1556" t="s">
        <v>5950</v>
      </c>
      <c r="B1556">
        <v>36</v>
      </c>
      <c r="C1556" t="s">
        <v>32</v>
      </c>
      <c r="D1556" t="s">
        <v>33</v>
      </c>
      <c r="E1556" t="s">
        <v>48</v>
      </c>
      <c r="F1556" s="1">
        <v>43647</v>
      </c>
      <c r="G1556" t="s">
        <v>3106</v>
      </c>
      <c r="H1556" t="s">
        <v>3107</v>
      </c>
      <c r="I1556" t="s">
        <v>28</v>
      </c>
      <c r="J1556">
        <v>21718</v>
      </c>
      <c r="K1556">
        <v>312</v>
      </c>
      <c r="L1556" t="s">
        <v>42</v>
      </c>
      <c r="M1556" s="1">
        <v>43655</v>
      </c>
      <c r="N1556" t="s">
        <v>67</v>
      </c>
      <c r="O1556" t="s">
        <v>43</v>
      </c>
      <c r="P1556" t="str">
        <f t="shared" si="532"/>
        <v>P1555</v>
      </c>
      <c r="Q1556" t="str">
        <f t="shared" si="528"/>
        <v>Pulmonology</v>
      </c>
      <c r="R1556">
        <f t="shared" si="529"/>
        <v>8</v>
      </c>
      <c r="S1556" t="str">
        <f t="shared" ca="1" si="533"/>
        <v>Yes</v>
      </c>
      <c r="T1556" t="str">
        <f t="shared" ca="1" si="534"/>
        <v>Severe</v>
      </c>
      <c r="U1556" t="str">
        <f t="shared" ca="1" si="535"/>
        <v>General Ward</v>
      </c>
      <c r="V1556" t="str">
        <f t="shared" si="536"/>
        <v>BED1555</v>
      </c>
      <c r="W1556" t="str">
        <f t="shared" ca="1" si="537"/>
        <v>Semi-Private</v>
      </c>
      <c r="X1556" t="str">
        <f t="shared" si="538"/>
        <v>NUR005</v>
      </c>
      <c r="Y1556" t="str">
        <f t="shared" ca="1" si="539"/>
        <v>Evening</v>
      </c>
      <c r="Z1556" t="str">
        <f t="shared" ca="1" si="540"/>
        <v>X-Ray</v>
      </c>
      <c r="AA1556" t="str">
        <f t="shared" ca="1" si="541"/>
        <v>Available</v>
      </c>
      <c r="AB1556" t="str">
        <f t="shared" ca="1" si="542"/>
        <v>Partially Paid</v>
      </c>
      <c r="AC1556" t="str">
        <f t="shared" ca="1" si="543"/>
        <v>Bank Transfer</v>
      </c>
      <c r="AD1556" t="str">
        <f t="shared" ca="1" si="544"/>
        <v>No</v>
      </c>
      <c r="AE1556" t="str">
        <f t="shared" ca="1" si="545"/>
        <v>No</v>
      </c>
      <c r="AF1556" t="str">
        <f t="shared" ca="1" si="546"/>
        <v>Recovered</v>
      </c>
      <c r="AG1556" t="str">
        <f t="shared" ca="1" si="547"/>
        <v>Midwest</v>
      </c>
      <c r="AH1556" t="str">
        <f t="shared" si="530"/>
        <v>July</v>
      </c>
      <c r="AI1556">
        <f t="shared" si="531"/>
        <v>2019</v>
      </c>
      <c r="AJ1556" t="str">
        <f t="shared" ca="1" si="548"/>
        <v>Occupied</v>
      </c>
      <c r="AK1556">
        <f t="shared" ca="1" si="549"/>
        <v>2</v>
      </c>
    </row>
    <row r="1557" spans="1:37" x14ac:dyDescent="0.3">
      <c r="A1557" t="s">
        <v>5951</v>
      </c>
      <c r="B1557">
        <v>45</v>
      </c>
      <c r="C1557" t="s">
        <v>32</v>
      </c>
      <c r="D1557" t="s">
        <v>83</v>
      </c>
      <c r="E1557" t="s">
        <v>64</v>
      </c>
      <c r="F1557" s="1">
        <v>45008</v>
      </c>
      <c r="G1557" t="s">
        <v>3108</v>
      </c>
      <c r="H1557" t="s">
        <v>3109</v>
      </c>
      <c r="I1557" t="s">
        <v>57</v>
      </c>
      <c r="J1557">
        <v>11605</v>
      </c>
      <c r="K1557">
        <v>311</v>
      </c>
      <c r="L1557" t="s">
        <v>42</v>
      </c>
      <c r="M1557" s="1">
        <v>45018</v>
      </c>
      <c r="N1557" t="s">
        <v>22</v>
      </c>
      <c r="O1557" t="s">
        <v>43</v>
      </c>
      <c r="P1557" t="str">
        <f t="shared" si="532"/>
        <v>P1556</v>
      </c>
      <c r="Q1557" t="str">
        <f t="shared" si="528"/>
        <v>Cardiology</v>
      </c>
      <c r="R1557">
        <f t="shared" si="529"/>
        <v>10</v>
      </c>
      <c r="S1557" t="str">
        <f t="shared" ca="1" si="533"/>
        <v>No</v>
      </c>
      <c r="T1557" t="str">
        <f t="shared" ca="1" si="534"/>
        <v>Moderate</v>
      </c>
      <c r="U1557" t="str">
        <f t="shared" ca="1" si="535"/>
        <v>Semi-Private</v>
      </c>
      <c r="V1557" t="str">
        <f t="shared" si="536"/>
        <v>BED1556</v>
      </c>
      <c r="W1557" t="str">
        <f t="shared" ca="1" si="537"/>
        <v>Semi-Private</v>
      </c>
      <c r="X1557" t="str">
        <f t="shared" si="538"/>
        <v>NUR006</v>
      </c>
      <c r="Y1557" t="str">
        <f t="shared" ca="1" si="539"/>
        <v>Morning</v>
      </c>
      <c r="Z1557" t="str">
        <f t="shared" ca="1" si="540"/>
        <v>CT Scanner</v>
      </c>
      <c r="AA1557" t="str">
        <f t="shared" ca="1" si="541"/>
        <v>Available</v>
      </c>
      <c r="AB1557" t="str">
        <f t="shared" ca="1" si="542"/>
        <v>Partially Paid</v>
      </c>
      <c r="AC1557" t="str">
        <f t="shared" ca="1" si="543"/>
        <v>Cash</v>
      </c>
      <c r="AD1557" t="str">
        <f t="shared" ca="1" si="544"/>
        <v>No</v>
      </c>
      <c r="AE1557" t="str">
        <f t="shared" ca="1" si="545"/>
        <v>No</v>
      </c>
      <c r="AF1557" t="str">
        <f t="shared" ca="1" si="546"/>
        <v>Transferred</v>
      </c>
      <c r="AG1557" t="str">
        <f t="shared" ca="1" si="547"/>
        <v>Southeast</v>
      </c>
      <c r="AH1557" t="str">
        <f t="shared" si="530"/>
        <v>March</v>
      </c>
      <c r="AI1557">
        <f t="shared" si="531"/>
        <v>2023</v>
      </c>
      <c r="AJ1557" t="str">
        <f t="shared" ca="1" si="548"/>
        <v>Occupied</v>
      </c>
      <c r="AK1557">
        <f t="shared" ca="1" si="549"/>
        <v>4</v>
      </c>
    </row>
    <row r="1558" spans="1:37" x14ac:dyDescent="0.3">
      <c r="A1558" t="s">
        <v>5952</v>
      </c>
      <c r="B1558">
        <v>27</v>
      </c>
      <c r="C1558" t="s">
        <v>32</v>
      </c>
      <c r="D1558" t="s">
        <v>44</v>
      </c>
      <c r="E1558" t="s">
        <v>48</v>
      </c>
      <c r="F1558" s="1">
        <v>45292</v>
      </c>
      <c r="G1558" t="s">
        <v>3110</v>
      </c>
      <c r="H1558" t="s">
        <v>3111</v>
      </c>
      <c r="I1558" t="s">
        <v>36</v>
      </c>
      <c r="J1558">
        <v>21389</v>
      </c>
      <c r="K1558">
        <v>297</v>
      </c>
      <c r="L1558" t="s">
        <v>21</v>
      </c>
      <c r="M1558" s="1">
        <v>45318</v>
      </c>
      <c r="N1558" t="s">
        <v>37</v>
      </c>
      <c r="O1558" t="s">
        <v>23</v>
      </c>
      <c r="P1558" t="str">
        <f t="shared" si="532"/>
        <v>P1557</v>
      </c>
      <c r="Q1558" t="str">
        <f t="shared" si="528"/>
        <v>Pulmonology</v>
      </c>
      <c r="R1558">
        <f t="shared" si="529"/>
        <v>26</v>
      </c>
      <c r="S1558" t="str">
        <f t="shared" ca="1" si="533"/>
        <v>No</v>
      </c>
      <c r="T1558" t="str">
        <f t="shared" ca="1" si="534"/>
        <v>Critical</v>
      </c>
      <c r="U1558" t="str">
        <f t="shared" ca="1" si="535"/>
        <v>Private Ward</v>
      </c>
      <c r="V1558" t="str">
        <f t="shared" si="536"/>
        <v>BED1557</v>
      </c>
      <c r="W1558" t="str">
        <f t="shared" ca="1" si="537"/>
        <v>ICU</v>
      </c>
      <c r="X1558" t="str">
        <f t="shared" si="538"/>
        <v>NUR007</v>
      </c>
      <c r="Y1558" t="str">
        <f t="shared" ca="1" si="539"/>
        <v>Morning</v>
      </c>
      <c r="Z1558" t="str">
        <f t="shared" ca="1" si="540"/>
        <v>Ventilator</v>
      </c>
      <c r="AA1558" t="str">
        <f t="shared" ca="1" si="541"/>
        <v>In Use</v>
      </c>
      <c r="AB1558" t="str">
        <f t="shared" ca="1" si="542"/>
        <v>Paid</v>
      </c>
      <c r="AC1558" t="str">
        <f t="shared" ca="1" si="543"/>
        <v>Cash</v>
      </c>
      <c r="AD1558" t="str">
        <f t="shared" ca="1" si="544"/>
        <v>Yes</v>
      </c>
      <c r="AE1558" t="str">
        <f t="shared" ca="1" si="545"/>
        <v>No</v>
      </c>
      <c r="AF1558" t="str">
        <f t="shared" ca="1" si="546"/>
        <v>Recovered</v>
      </c>
      <c r="AG1558" t="str">
        <f t="shared" ca="1" si="547"/>
        <v>West Coast</v>
      </c>
      <c r="AH1558" t="str">
        <f t="shared" si="530"/>
        <v>January</v>
      </c>
      <c r="AI1558">
        <f t="shared" si="531"/>
        <v>2024</v>
      </c>
      <c r="AJ1558" t="str">
        <f t="shared" ca="1" si="548"/>
        <v>Vacant</v>
      </c>
      <c r="AK1558">
        <f t="shared" ca="1" si="549"/>
        <v>2</v>
      </c>
    </row>
    <row r="1559" spans="1:37" x14ac:dyDescent="0.3">
      <c r="A1559" t="s">
        <v>5953</v>
      </c>
      <c r="B1559">
        <v>29</v>
      </c>
      <c r="C1559" t="s">
        <v>15</v>
      </c>
      <c r="D1559" t="s">
        <v>83</v>
      </c>
      <c r="E1559" t="s">
        <v>17</v>
      </c>
      <c r="F1559" s="1">
        <v>45130</v>
      </c>
      <c r="G1559" t="s">
        <v>3112</v>
      </c>
      <c r="H1559" t="s">
        <v>3113</v>
      </c>
      <c r="I1559" t="s">
        <v>51</v>
      </c>
      <c r="J1559">
        <v>25805</v>
      </c>
      <c r="K1559">
        <v>163</v>
      </c>
      <c r="L1559" t="s">
        <v>29</v>
      </c>
      <c r="M1559" s="1">
        <v>45146</v>
      </c>
      <c r="N1559" t="s">
        <v>37</v>
      </c>
      <c r="O1559" t="s">
        <v>23</v>
      </c>
      <c r="P1559" t="str">
        <f t="shared" si="532"/>
        <v>P1558</v>
      </c>
      <c r="Q1559" t="str">
        <f t="shared" si="528"/>
        <v>Oncology</v>
      </c>
      <c r="R1559">
        <f t="shared" si="529"/>
        <v>16</v>
      </c>
      <c r="S1559" t="str">
        <f t="shared" ca="1" si="533"/>
        <v>No</v>
      </c>
      <c r="T1559" t="str">
        <f t="shared" ca="1" si="534"/>
        <v>Moderate</v>
      </c>
      <c r="U1559" t="str">
        <f t="shared" ca="1" si="535"/>
        <v>Emergency</v>
      </c>
      <c r="V1559" t="str">
        <f t="shared" si="536"/>
        <v>BED1558</v>
      </c>
      <c r="W1559" t="str">
        <f t="shared" ca="1" si="537"/>
        <v>Private</v>
      </c>
      <c r="X1559" t="str">
        <f t="shared" si="538"/>
        <v>NUR008</v>
      </c>
      <c r="Y1559" t="str">
        <f t="shared" ca="1" si="539"/>
        <v>Night</v>
      </c>
      <c r="Z1559" t="str">
        <f t="shared" ca="1" si="540"/>
        <v>MRI Scanner</v>
      </c>
      <c r="AA1559" t="str">
        <f t="shared" ca="1" si="541"/>
        <v>In Use</v>
      </c>
      <c r="AB1559" t="str">
        <f t="shared" ca="1" si="542"/>
        <v>Pending</v>
      </c>
      <c r="AC1559" t="str">
        <f t="shared" ca="1" si="543"/>
        <v>Debit Card</v>
      </c>
      <c r="AD1559" t="str">
        <f t="shared" ca="1" si="544"/>
        <v>Yes</v>
      </c>
      <c r="AE1559" t="str">
        <f t="shared" ca="1" si="545"/>
        <v>No</v>
      </c>
      <c r="AF1559" t="str">
        <f t="shared" ca="1" si="546"/>
        <v>Recovered</v>
      </c>
      <c r="AG1559" t="str">
        <f t="shared" ca="1" si="547"/>
        <v>Northeast</v>
      </c>
      <c r="AH1559" t="str">
        <f t="shared" si="530"/>
        <v>July</v>
      </c>
      <c r="AI1559">
        <f t="shared" si="531"/>
        <v>2023</v>
      </c>
      <c r="AJ1559" t="str">
        <f t="shared" ca="1" si="548"/>
        <v>Vacant</v>
      </c>
      <c r="AK1559">
        <f t="shared" ca="1" si="549"/>
        <v>4</v>
      </c>
    </row>
    <row r="1560" spans="1:37" x14ac:dyDescent="0.3">
      <c r="A1560" t="s">
        <v>5954</v>
      </c>
      <c r="B1560">
        <v>42</v>
      </c>
      <c r="C1560" t="s">
        <v>15</v>
      </c>
      <c r="D1560" t="s">
        <v>44</v>
      </c>
      <c r="E1560" t="s">
        <v>17</v>
      </c>
      <c r="F1560" s="1">
        <v>44776</v>
      </c>
      <c r="G1560" t="s">
        <v>3114</v>
      </c>
      <c r="H1560" t="s">
        <v>3115</v>
      </c>
      <c r="I1560" t="s">
        <v>28</v>
      </c>
      <c r="J1560">
        <v>37907</v>
      </c>
      <c r="K1560">
        <v>415</v>
      </c>
      <c r="L1560" t="s">
        <v>29</v>
      </c>
      <c r="M1560" s="1">
        <v>44791</v>
      </c>
      <c r="N1560" t="s">
        <v>47</v>
      </c>
      <c r="O1560" t="s">
        <v>31</v>
      </c>
      <c r="P1560" t="str">
        <f t="shared" si="532"/>
        <v>P1559</v>
      </c>
      <c r="Q1560" t="str">
        <f t="shared" si="528"/>
        <v>Oncology</v>
      </c>
      <c r="R1560">
        <f t="shared" si="529"/>
        <v>15</v>
      </c>
      <c r="S1560" t="str">
        <f t="shared" ca="1" si="533"/>
        <v>No</v>
      </c>
      <c r="T1560" t="str">
        <f t="shared" ca="1" si="534"/>
        <v>Moderate</v>
      </c>
      <c r="U1560" t="str">
        <f t="shared" ca="1" si="535"/>
        <v>General Ward</v>
      </c>
      <c r="V1560" t="str">
        <f t="shared" si="536"/>
        <v>BED1559</v>
      </c>
      <c r="W1560" t="str">
        <f t="shared" ca="1" si="537"/>
        <v>Semi-Private</v>
      </c>
      <c r="X1560" t="str">
        <f t="shared" si="538"/>
        <v>NUR009</v>
      </c>
      <c r="Y1560" t="str">
        <f t="shared" ca="1" si="539"/>
        <v>Evening</v>
      </c>
      <c r="Z1560" t="str">
        <f t="shared" ca="1" si="540"/>
        <v>MRI Scanner</v>
      </c>
      <c r="AA1560" t="str">
        <f t="shared" ca="1" si="541"/>
        <v>In Use</v>
      </c>
      <c r="AB1560" t="str">
        <f t="shared" ca="1" si="542"/>
        <v>Pending</v>
      </c>
      <c r="AC1560" t="str">
        <f t="shared" ca="1" si="543"/>
        <v>Insurance</v>
      </c>
      <c r="AD1560" t="str">
        <f t="shared" ca="1" si="544"/>
        <v>No</v>
      </c>
      <c r="AE1560" t="str">
        <f t="shared" ca="1" si="545"/>
        <v>No</v>
      </c>
      <c r="AF1560" t="str">
        <f t="shared" ca="1" si="546"/>
        <v>Under Observation</v>
      </c>
      <c r="AG1560" t="str">
        <f t="shared" ca="1" si="547"/>
        <v>Midwest</v>
      </c>
      <c r="AH1560" t="str">
        <f t="shared" si="530"/>
        <v>August</v>
      </c>
      <c r="AI1560">
        <f t="shared" si="531"/>
        <v>2022</v>
      </c>
      <c r="AJ1560" t="str">
        <f t="shared" ca="1" si="548"/>
        <v>Occupied</v>
      </c>
      <c r="AK1560">
        <f t="shared" ca="1" si="549"/>
        <v>4</v>
      </c>
    </row>
    <row r="1561" spans="1:37" x14ac:dyDescent="0.3">
      <c r="A1561" t="s">
        <v>5955</v>
      </c>
      <c r="B1561">
        <v>52</v>
      </c>
      <c r="C1561" t="s">
        <v>15</v>
      </c>
      <c r="D1561" t="s">
        <v>33</v>
      </c>
      <c r="E1561" t="s">
        <v>76</v>
      </c>
      <c r="F1561" s="1">
        <v>44420</v>
      </c>
      <c r="G1561" t="s">
        <v>3116</v>
      </c>
      <c r="H1561" t="s">
        <v>3117</v>
      </c>
      <c r="I1561" t="s">
        <v>57</v>
      </c>
      <c r="J1561">
        <v>13254</v>
      </c>
      <c r="K1561">
        <v>303</v>
      </c>
      <c r="L1561" t="s">
        <v>21</v>
      </c>
      <c r="M1561" s="1">
        <v>44427</v>
      </c>
      <c r="N1561" t="s">
        <v>67</v>
      </c>
      <c r="O1561" t="s">
        <v>31</v>
      </c>
      <c r="P1561" t="str">
        <f t="shared" si="532"/>
        <v>P1560</v>
      </c>
      <c r="Q1561" t="str">
        <f t="shared" si="528"/>
        <v>Orthopedics</v>
      </c>
      <c r="R1561">
        <f t="shared" si="529"/>
        <v>7</v>
      </c>
      <c r="S1561" t="str">
        <f t="shared" ca="1" si="533"/>
        <v>Yes</v>
      </c>
      <c r="T1561" t="str">
        <f t="shared" ca="1" si="534"/>
        <v>Mild</v>
      </c>
      <c r="U1561" t="str">
        <f t="shared" ca="1" si="535"/>
        <v>Private Ward</v>
      </c>
      <c r="V1561" t="str">
        <f t="shared" si="536"/>
        <v>BED1560</v>
      </c>
      <c r="W1561" t="str">
        <f t="shared" ca="1" si="537"/>
        <v>Semi-Private</v>
      </c>
      <c r="X1561" t="str">
        <f t="shared" si="538"/>
        <v>NUR010</v>
      </c>
      <c r="Y1561" t="str">
        <f t="shared" ca="1" si="539"/>
        <v>Evening</v>
      </c>
      <c r="Z1561" t="str">
        <f t="shared" ca="1" si="540"/>
        <v>CT Scanner</v>
      </c>
      <c r="AA1561" t="str">
        <f t="shared" ca="1" si="541"/>
        <v>In Use</v>
      </c>
      <c r="AB1561" t="str">
        <f t="shared" ca="1" si="542"/>
        <v>Pending</v>
      </c>
      <c r="AC1561" t="str">
        <f t="shared" ca="1" si="543"/>
        <v>Debit Card</v>
      </c>
      <c r="AD1561" t="str">
        <f t="shared" ca="1" si="544"/>
        <v>No</v>
      </c>
      <c r="AE1561" t="str">
        <f t="shared" ca="1" si="545"/>
        <v>No</v>
      </c>
      <c r="AF1561" t="str">
        <f t="shared" ca="1" si="546"/>
        <v>Transferred</v>
      </c>
      <c r="AG1561" t="str">
        <f t="shared" ca="1" si="547"/>
        <v>Southeast</v>
      </c>
      <c r="AH1561" t="str">
        <f t="shared" si="530"/>
        <v>August</v>
      </c>
      <c r="AI1561">
        <f t="shared" si="531"/>
        <v>2021</v>
      </c>
      <c r="AJ1561" t="str">
        <f t="shared" ca="1" si="548"/>
        <v>Occupied</v>
      </c>
      <c r="AK1561">
        <f t="shared" ca="1" si="549"/>
        <v>1</v>
      </c>
    </row>
    <row r="1562" spans="1:37" x14ac:dyDescent="0.3">
      <c r="A1562" t="s">
        <v>5956</v>
      </c>
      <c r="B1562">
        <v>72</v>
      </c>
      <c r="C1562" t="s">
        <v>32</v>
      </c>
      <c r="D1562" t="s">
        <v>24</v>
      </c>
      <c r="E1562" t="s">
        <v>25</v>
      </c>
      <c r="F1562" s="1">
        <v>44537</v>
      </c>
      <c r="G1562" t="s">
        <v>3118</v>
      </c>
      <c r="H1562" t="s">
        <v>3119</v>
      </c>
      <c r="I1562" t="s">
        <v>20</v>
      </c>
      <c r="J1562">
        <v>11820</v>
      </c>
      <c r="K1562">
        <v>298</v>
      </c>
      <c r="L1562" t="s">
        <v>29</v>
      </c>
      <c r="M1562" s="1">
        <v>44543</v>
      </c>
      <c r="N1562" t="s">
        <v>30</v>
      </c>
      <c r="O1562" t="s">
        <v>31</v>
      </c>
      <c r="P1562" t="str">
        <f t="shared" si="532"/>
        <v>P1561</v>
      </c>
      <c r="Q1562" t="str">
        <f t="shared" si="528"/>
        <v>Nutrition</v>
      </c>
      <c r="R1562">
        <f t="shared" si="529"/>
        <v>6</v>
      </c>
      <c r="S1562" t="str">
        <f t="shared" ca="1" si="533"/>
        <v>No</v>
      </c>
      <c r="T1562" t="str">
        <f t="shared" ca="1" si="534"/>
        <v>Severe</v>
      </c>
      <c r="U1562" t="str">
        <f t="shared" ca="1" si="535"/>
        <v>General Ward</v>
      </c>
      <c r="V1562" t="str">
        <f t="shared" si="536"/>
        <v>BED1561</v>
      </c>
      <c r="W1562" t="str">
        <f t="shared" ca="1" si="537"/>
        <v>Private</v>
      </c>
      <c r="X1562" t="str">
        <f t="shared" si="538"/>
        <v>NUR011</v>
      </c>
      <c r="Y1562" t="str">
        <f t="shared" ca="1" si="539"/>
        <v>Night</v>
      </c>
      <c r="Z1562" t="str">
        <f t="shared" ca="1" si="540"/>
        <v>CT Scanner</v>
      </c>
      <c r="AA1562" t="str">
        <f t="shared" ca="1" si="541"/>
        <v>In Use</v>
      </c>
      <c r="AB1562" t="str">
        <f t="shared" ca="1" si="542"/>
        <v>Pending</v>
      </c>
      <c r="AC1562" t="str">
        <f t="shared" ca="1" si="543"/>
        <v>Insurance</v>
      </c>
      <c r="AD1562" t="str">
        <f t="shared" ca="1" si="544"/>
        <v>No</v>
      </c>
      <c r="AE1562" t="str">
        <f t="shared" ca="1" si="545"/>
        <v>No</v>
      </c>
      <c r="AF1562" t="str">
        <f t="shared" ca="1" si="546"/>
        <v>Transferred</v>
      </c>
      <c r="AG1562" t="str">
        <f t="shared" ca="1" si="547"/>
        <v>Southwest</v>
      </c>
      <c r="AH1562" t="str">
        <f t="shared" si="530"/>
        <v>December</v>
      </c>
      <c r="AI1562">
        <f t="shared" si="531"/>
        <v>2021</v>
      </c>
      <c r="AJ1562" t="str">
        <f t="shared" ca="1" si="548"/>
        <v>Occupied</v>
      </c>
      <c r="AK1562">
        <f t="shared" ca="1" si="549"/>
        <v>2</v>
      </c>
    </row>
    <row r="1563" spans="1:37" x14ac:dyDescent="0.3">
      <c r="A1563" t="s">
        <v>5957</v>
      </c>
      <c r="B1563">
        <v>34</v>
      </c>
      <c r="C1563" t="s">
        <v>32</v>
      </c>
      <c r="D1563" t="s">
        <v>38</v>
      </c>
      <c r="E1563" t="s">
        <v>64</v>
      </c>
      <c r="F1563" s="1">
        <v>44126</v>
      </c>
      <c r="G1563" t="s">
        <v>3120</v>
      </c>
      <c r="H1563" t="s">
        <v>3121</v>
      </c>
      <c r="I1563" t="s">
        <v>28</v>
      </c>
      <c r="J1563">
        <v>43263</v>
      </c>
      <c r="K1563">
        <v>248</v>
      </c>
      <c r="L1563" t="s">
        <v>29</v>
      </c>
      <c r="M1563" s="1">
        <v>44145</v>
      </c>
      <c r="N1563" t="s">
        <v>37</v>
      </c>
      <c r="O1563" t="s">
        <v>23</v>
      </c>
      <c r="P1563" t="str">
        <f t="shared" si="532"/>
        <v>P1562</v>
      </c>
      <c r="Q1563" t="str">
        <f t="shared" si="528"/>
        <v>Cardiology</v>
      </c>
      <c r="R1563">
        <f t="shared" si="529"/>
        <v>19</v>
      </c>
      <c r="S1563" t="str">
        <f t="shared" ca="1" si="533"/>
        <v>Yes</v>
      </c>
      <c r="T1563" t="str">
        <f t="shared" ca="1" si="534"/>
        <v>Mild</v>
      </c>
      <c r="U1563" t="str">
        <f t="shared" ca="1" si="535"/>
        <v>General Ward</v>
      </c>
      <c r="V1563" t="str">
        <f t="shared" si="536"/>
        <v>BED1562</v>
      </c>
      <c r="W1563" t="str">
        <f t="shared" ca="1" si="537"/>
        <v>General</v>
      </c>
      <c r="X1563" t="str">
        <f t="shared" si="538"/>
        <v>NUR012</v>
      </c>
      <c r="Y1563" t="str">
        <f t="shared" ca="1" si="539"/>
        <v>Morning</v>
      </c>
      <c r="Z1563" t="str">
        <f t="shared" ca="1" si="540"/>
        <v>X-Ray</v>
      </c>
      <c r="AA1563" t="str">
        <f t="shared" ca="1" si="541"/>
        <v>Available</v>
      </c>
      <c r="AB1563" t="str">
        <f t="shared" ca="1" si="542"/>
        <v>Paid</v>
      </c>
      <c r="AC1563" t="str">
        <f t="shared" ca="1" si="543"/>
        <v>Insurance</v>
      </c>
      <c r="AD1563" t="str">
        <f t="shared" ca="1" si="544"/>
        <v>No</v>
      </c>
      <c r="AE1563" t="str">
        <f t="shared" ca="1" si="545"/>
        <v>Yes</v>
      </c>
      <c r="AF1563" t="str">
        <f t="shared" ca="1" si="546"/>
        <v>Transferred</v>
      </c>
      <c r="AG1563" t="str">
        <f t="shared" ca="1" si="547"/>
        <v>Northeast</v>
      </c>
      <c r="AH1563" t="str">
        <f t="shared" si="530"/>
        <v>October</v>
      </c>
      <c r="AI1563">
        <f t="shared" si="531"/>
        <v>2020</v>
      </c>
      <c r="AJ1563" t="str">
        <f t="shared" ca="1" si="548"/>
        <v>Occupied</v>
      </c>
      <c r="AK1563">
        <f t="shared" ca="1" si="549"/>
        <v>4</v>
      </c>
    </row>
    <row r="1564" spans="1:37" x14ac:dyDescent="0.3">
      <c r="A1564" t="s">
        <v>5958</v>
      </c>
      <c r="B1564">
        <v>49</v>
      </c>
      <c r="C1564" t="s">
        <v>32</v>
      </c>
      <c r="D1564" t="s">
        <v>38</v>
      </c>
      <c r="E1564" t="s">
        <v>48</v>
      </c>
      <c r="F1564" s="1">
        <v>43843</v>
      </c>
      <c r="G1564" t="s">
        <v>3122</v>
      </c>
      <c r="H1564" t="s">
        <v>3123</v>
      </c>
      <c r="I1564" t="s">
        <v>20</v>
      </c>
      <c r="J1564">
        <v>42031</v>
      </c>
      <c r="K1564">
        <v>112</v>
      </c>
      <c r="L1564" t="s">
        <v>42</v>
      </c>
      <c r="M1564" s="1">
        <v>43859</v>
      </c>
      <c r="N1564" t="s">
        <v>37</v>
      </c>
      <c r="O1564" t="s">
        <v>31</v>
      </c>
      <c r="P1564" t="str">
        <f t="shared" si="532"/>
        <v>P1563</v>
      </c>
      <c r="Q1564" t="str">
        <f t="shared" si="528"/>
        <v>Pulmonology</v>
      </c>
      <c r="R1564">
        <f t="shared" si="529"/>
        <v>16</v>
      </c>
      <c r="S1564" t="str">
        <f t="shared" ca="1" si="533"/>
        <v>No</v>
      </c>
      <c r="T1564" t="str">
        <f t="shared" ca="1" si="534"/>
        <v>Severe</v>
      </c>
      <c r="U1564" t="str">
        <f t="shared" ca="1" si="535"/>
        <v>ICU</v>
      </c>
      <c r="V1564" t="str">
        <f t="shared" si="536"/>
        <v>BED1563</v>
      </c>
      <c r="W1564" t="str">
        <f t="shared" ca="1" si="537"/>
        <v>Semi-Private</v>
      </c>
      <c r="X1564" t="str">
        <f t="shared" si="538"/>
        <v>NUR013</v>
      </c>
      <c r="Y1564" t="str">
        <f t="shared" ca="1" si="539"/>
        <v>Night</v>
      </c>
      <c r="Z1564" t="str">
        <f t="shared" ca="1" si="540"/>
        <v>X-Ray</v>
      </c>
      <c r="AA1564" t="str">
        <f t="shared" ca="1" si="541"/>
        <v>In Use</v>
      </c>
      <c r="AB1564" t="str">
        <f t="shared" ca="1" si="542"/>
        <v>Paid</v>
      </c>
      <c r="AC1564" t="str">
        <f t="shared" ca="1" si="543"/>
        <v>Bank Transfer</v>
      </c>
      <c r="AD1564" t="str">
        <f t="shared" ca="1" si="544"/>
        <v>Yes</v>
      </c>
      <c r="AE1564" t="str">
        <f t="shared" ca="1" si="545"/>
        <v>No</v>
      </c>
      <c r="AF1564" t="str">
        <f t="shared" ca="1" si="546"/>
        <v>Recovered</v>
      </c>
      <c r="AG1564" t="str">
        <f t="shared" ca="1" si="547"/>
        <v>West Coast</v>
      </c>
      <c r="AH1564" t="str">
        <f t="shared" si="530"/>
        <v>January</v>
      </c>
      <c r="AI1564">
        <f t="shared" si="531"/>
        <v>2020</v>
      </c>
      <c r="AJ1564" t="str">
        <f t="shared" ca="1" si="548"/>
        <v>Occupied</v>
      </c>
      <c r="AK1564">
        <f t="shared" ca="1" si="549"/>
        <v>1</v>
      </c>
    </row>
    <row r="1565" spans="1:37" x14ac:dyDescent="0.3">
      <c r="A1565" t="s">
        <v>5959</v>
      </c>
      <c r="B1565">
        <v>22</v>
      </c>
      <c r="C1565" t="s">
        <v>15</v>
      </c>
      <c r="D1565" t="s">
        <v>52</v>
      </c>
      <c r="E1565" t="s">
        <v>64</v>
      </c>
      <c r="F1565" s="1">
        <v>45037</v>
      </c>
      <c r="G1565" t="s">
        <v>3124</v>
      </c>
      <c r="H1565" t="s">
        <v>3125</v>
      </c>
      <c r="I1565" t="s">
        <v>57</v>
      </c>
      <c r="J1565">
        <v>27082</v>
      </c>
      <c r="K1565">
        <v>307</v>
      </c>
      <c r="L1565" t="s">
        <v>21</v>
      </c>
      <c r="M1565" s="1">
        <v>45057</v>
      </c>
      <c r="N1565" t="s">
        <v>37</v>
      </c>
      <c r="O1565" t="s">
        <v>43</v>
      </c>
      <c r="P1565" t="str">
        <f t="shared" si="532"/>
        <v>P1564</v>
      </c>
      <c r="Q1565" t="str">
        <f t="shared" si="528"/>
        <v>Cardiology</v>
      </c>
      <c r="R1565">
        <f t="shared" si="529"/>
        <v>20</v>
      </c>
      <c r="S1565" t="str">
        <f t="shared" ca="1" si="533"/>
        <v>No</v>
      </c>
      <c r="T1565" t="str">
        <f t="shared" ca="1" si="534"/>
        <v>Mild</v>
      </c>
      <c r="U1565" t="str">
        <f t="shared" ca="1" si="535"/>
        <v>Semi-Private</v>
      </c>
      <c r="V1565" t="str">
        <f t="shared" si="536"/>
        <v>BED1564</v>
      </c>
      <c r="W1565" t="str">
        <f t="shared" ca="1" si="537"/>
        <v>Semi-Private</v>
      </c>
      <c r="X1565" t="str">
        <f t="shared" si="538"/>
        <v>NUR014</v>
      </c>
      <c r="Y1565" t="str">
        <f t="shared" ca="1" si="539"/>
        <v>Evening</v>
      </c>
      <c r="Z1565" t="str">
        <f t="shared" ca="1" si="540"/>
        <v>ECG Machine</v>
      </c>
      <c r="AA1565" t="str">
        <f t="shared" ca="1" si="541"/>
        <v>Maintenance</v>
      </c>
      <c r="AB1565" t="str">
        <f t="shared" ca="1" si="542"/>
        <v>Pending</v>
      </c>
      <c r="AC1565" t="str">
        <f t="shared" ca="1" si="543"/>
        <v>Credit Card</v>
      </c>
      <c r="AD1565" t="str">
        <f t="shared" ca="1" si="544"/>
        <v>No</v>
      </c>
      <c r="AE1565" t="str">
        <f t="shared" ca="1" si="545"/>
        <v>No</v>
      </c>
      <c r="AF1565" t="str">
        <f t="shared" ca="1" si="546"/>
        <v>Recovered</v>
      </c>
      <c r="AG1565" t="str">
        <f t="shared" ca="1" si="547"/>
        <v>West Coast</v>
      </c>
      <c r="AH1565" t="str">
        <f t="shared" si="530"/>
        <v>April</v>
      </c>
      <c r="AI1565">
        <f t="shared" si="531"/>
        <v>2023</v>
      </c>
      <c r="AJ1565" t="str">
        <f t="shared" ca="1" si="548"/>
        <v>Occupied</v>
      </c>
      <c r="AK1565">
        <f t="shared" ca="1" si="549"/>
        <v>1</v>
      </c>
    </row>
    <row r="1566" spans="1:37" x14ac:dyDescent="0.3">
      <c r="A1566" t="s">
        <v>5960</v>
      </c>
      <c r="B1566">
        <v>46</v>
      </c>
      <c r="C1566" t="s">
        <v>32</v>
      </c>
      <c r="D1566" t="s">
        <v>83</v>
      </c>
      <c r="E1566" t="s">
        <v>25</v>
      </c>
      <c r="F1566" s="1">
        <v>45290</v>
      </c>
      <c r="G1566" t="s">
        <v>3126</v>
      </c>
      <c r="H1566" t="s">
        <v>3127</v>
      </c>
      <c r="I1566" t="s">
        <v>28</v>
      </c>
      <c r="J1566">
        <v>12130</v>
      </c>
      <c r="K1566">
        <v>245</v>
      </c>
      <c r="L1566" t="s">
        <v>21</v>
      </c>
      <c r="M1566" s="1">
        <v>45314</v>
      </c>
      <c r="N1566" t="s">
        <v>22</v>
      </c>
      <c r="O1566" t="s">
        <v>31</v>
      </c>
      <c r="P1566" t="str">
        <f t="shared" si="532"/>
        <v>P1565</v>
      </c>
      <c r="Q1566" t="str">
        <f t="shared" si="528"/>
        <v>Nutrition</v>
      </c>
      <c r="R1566">
        <f t="shared" si="529"/>
        <v>24</v>
      </c>
      <c r="S1566" t="str">
        <f t="shared" ca="1" si="533"/>
        <v>No</v>
      </c>
      <c r="T1566" t="str">
        <f t="shared" ca="1" si="534"/>
        <v>Mild</v>
      </c>
      <c r="U1566" t="str">
        <f t="shared" ca="1" si="535"/>
        <v>Emergency</v>
      </c>
      <c r="V1566" t="str">
        <f t="shared" si="536"/>
        <v>BED1565</v>
      </c>
      <c r="W1566" t="str">
        <f t="shared" ca="1" si="537"/>
        <v>Private</v>
      </c>
      <c r="X1566" t="str">
        <f t="shared" si="538"/>
        <v>NUR015</v>
      </c>
      <c r="Y1566" t="str">
        <f t="shared" ca="1" si="539"/>
        <v>Morning</v>
      </c>
      <c r="Z1566" t="str">
        <f t="shared" ca="1" si="540"/>
        <v>ECG Machine</v>
      </c>
      <c r="AA1566" t="str">
        <f t="shared" ca="1" si="541"/>
        <v>In Use</v>
      </c>
      <c r="AB1566" t="str">
        <f t="shared" ca="1" si="542"/>
        <v>Partially Paid</v>
      </c>
      <c r="AC1566" t="str">
        <f t="shared" ca="1" si="543"/>
        <v>Insurance</v>
      </c>
      <c r="AD1566" t="str">
        <f t="shared" ca="1" si="544"/>
        <v>Yes</v>
      </c>
      <c r="AE1566" t="str">
        <f t="shared" ca="1" si="545"/>
        <v>No</v>
      </c>
      <c r="AF1566" t="str">
        <f t="shared" ca="1" si="546"/>
        <v>Recovered</v>
      </c>
      <c r="AG1566" t="str">
        <f t="shared" ca="1" si="547"/>
        <v>Southwest</v>
      </c>
      <c r="AH1566" t="str">
        <f t="shared" si="530"/>
        <v>December</v>
      </c>
      <c r="AI1566">
        <f t="shared" si="531"/>
        <v>2023</v>
      </c>
      <c r="AJ1566" t="str">
        <f t="shared" ca="1" si="548"/>
        <v>Occupied</v>
      </c>
      <c r="AK1566">
        <f t="shared" ca="1" si="549"/>
        <v>4</v>
      </c>
    </row>
    <row r="1567" spans="1:37" x14ac:dyDescent="0.3">
      <c r="A1567" t="s">
        <v>5961</v>
      </c>
      <c r="B1567">
        <v>31</v>
      </c>
      <c r="C1567" t="s">
        <v>32</v>
      </c>
      <c r="D1567" t="s">
        <v>44</v>
      </c>
      <c r="E1567" t="s">
        <v>76</v>
      </c>
      <c r="F1567" s="1">
        <v>43754</v>
      </c>
      <c r="G1567" t="s">
        <v>3128</v>
      </c>
      <c r="H1567" t="s">
        <v>3129</v>
      </c>
      <c r="I1567" t="s">
        <v>57</v>
      </c>
      <c r="J1567">
        <v>44378</v>
      </c>
      <c r="K1567">
        <v>444</v>
      </c>
      <c r="L1567" t="s">
        <v>29</v>
      </c>
      <c r="M1567" s="1">
        <v>43758</v>
      </c>
      <c r="N1567" t="s">
        <v>30</v>
      </c>
      <c r="O1567" t="s">
        <v>43</v>
      </c>
      <c r="P1567" t="str">
        <f t="shared" si="532"/>
        <v>P1566</v>
      </c>
      <c r="Q1567" t="str">
        <f t="shared" si="528"/>
        <v>Orthopedics</v>
      </c>
      <c r="R1567">
        <f t="shared" si="529"/>
        <v>4</v>
      </c>
      <c r="S1567" t="str">
        <f t="shared" ca="1" si="533"/>
        <v>No</v>
      </c>
      <c r="T1567" t="str">
        <f t="shared" ca="1" si="534"/>
        <v>Severe</v>
      </c>
      <c r="U1567" t="str">
        <f t="shared" ca="1" si="535"/>
        <v>General Ward</v>
      </c>
      <c r="V1567" t="str">
        <f t="shared" si="536"/>
        <v>BED1566</v>
      </c>
      <c r="W1567" t="str">
        <f t="shared" ca="1" si="537"/>
        <v>Semi-Private</v>
      </c>
      <c r="X1567" t="str">
        <f t="shared" si="538"/>
        <v>NUR016</v>
      </c>
      <c r="Y1567" t="str">
        <f t="shared" ca="1" si="539"/>
        <v>Night</v>
      </c>
      <c r="Z1567" t="str">
        <f t="shared" ca="1" si="540"/>
        <v>MRI Scanner</v>
      </c>
      <c r="AA1567" t="str">
        <f t="shared" ca="1" si="541"/>
        <v>Maintenance</v>
      </c>
      <c r="AB1567" t="str">
        <f t="shared" ca="1" si="542"/>
        <v>Pending</v>
      </c>
      <c r="AC1567" t="str">
        <f t="shared" ca="1" si="543"/>
        <v>Bank Transfer</v>
      </c>
      <c r="AD1567" t="str">
        <f t="shared" ca="1" si="544"/>
        <v>No</v>
      </c>
      <c r="AE1567" t="str">
        <f t="shared" ca="1" si="545"/>
        <v>No</v>
      </c>
      <c r="AF1567" t="str">
        <f t="shared" ca="1" si="546"/>
        <v>Under Observation</v>
      </c>
      <c r="AG1567" t="str">
        <f t="shared" ca="1" si="547"/>
        <v>Southeast</v>
      </c>
      <c r="AH1567" t="str">
        <f t="shared" si="530"/>
        <v>October</v>
      </c>
      <c r="AI1567">
        <f t="shared" si="531"/>
        <v>2019</v>
      </c>
      <c r="AJ1567" t="str">
        <f t="shared" ca="1" si="548"/>
        <v>Occupied</v>
      </c>
      <c r="AK1567">
        <f t="shared" ca="1" si="549"/>
        <v>1</v>
      </c>
    </row>
    <row r="1568" spans="1:37" x14ac:dyDescent="0.3">
      <c r="A1568" t="s">
        <v>5962</v>
      </c>
      <c r="B1568">
        <v>74</v>
      </c>
      <c r="C1568" t="s">
        <v>15</v>
      </c>
      <c r="D1568" t="s">
        <v>98</v>
      </c>
      <c r="E1568" t="s">
        <v>17</v>
      </c>
      <c r="F1568" s="1">
        <v>45063</v>
      </c>
      <c r="G1568" t="s">
        <v>3130</v>
      </c>
      <c r="H1568" t="s">
        <v>3131</v>
      </c>
      <c r="I1568" t="s">
        <v>57</v>
      </c>
      <c r="J1568">
        <v>18032</v>
      </c>
      <c r="K1568">
        <v>396</v>
      </c>
      <c r="L1568" t="s">
        <v>21</v>
      </c>
      <c r="M1568" s="1">
        <v>45067</v>
      </c>
      <c r="N1568" t="s">
        <v>22</v>
      </c>
      <c r="O1568" t="s">
        <v>31</v>
      </c>
      <c r="P1568" t="str">
        <f t="shared" si="532"/>
        <v>P1567</v>
      </c>
      <c r="Q1568" t="str">
        <f t="shared" si="528"/>
        <v>Oncology</v>
      </c>
      <c r="R1568">
        <f t="shared" si="529"/>
        <v>4</v>
      </c>
      <c r="S1568" t="str">
        <f t="shared" ca="1" si="533"/>
        <v>No</v>
      </c>
      <c r="T1568" t="str">
        <f t="shared" ca="1" si="534"/>
        <v>Moderate</v>
      </c>
      <c r="U1568" t="str">
        <f t="shared" ca="1" si="535"/>
        <v>Semi-Private</v>
      </c>
      <c r="V1568" t="str">
        <f t="shared" si="536"/>
        <v>BED1567</v>
      </c>
      <c r="W1568" t="str">
        <f t="shared" ca="1" si="537"/>
        <v>General</v>
      </c>
      <c r="X1568" t="str">
        <f t="shared" si="538"/>
        <v>NUR017</v>
      </c>
      <c r="Y1568" t="str">
        <f t="shared" ca="1" si="539"/>
        <v>Morning</v>
      </c>
      <c r="Z1568" t="str">
        <f t="shared" ca="1" si="540"/>
        <v>X-Ray</v>
      </c>
      <c r="AA1568" t="str">
        <f t="shared" ca="1" si="541"/>
        <v>In Use</v>
      </c>
      <c r="AB1568" t="str">
        <f t="shared" ca="1" si="542"/>
        <v>Partially Paid</v>
      </c>
      <c r="AC1568" t="str">
        <f t="shared" ca="1" si="543"/>
        <v>Debit Card</v>
      </c>
      <c r="AD1568" t="str">
        <f t="shared" ca="1" si="544"/>
        <v>Yes</v>
      </c>
      <c r="AE1568" t="str">
        <f t="shared" ca="1" si="545"/>
        <v>No</v>
      </c>
      <c r="AF1568" t="str">
        <f t="shared" ca="1" si="546"/>
        <v>Recovered</v>
      </c>
      <c r="AG1568" t="str">
        <f t="shared" ca="1" si="547"/>
        <v>West Coast</v>
      </c>
      <c r="AH1568" t="str">
        <f t="shared" si="530"/>
        <v>May</v>
      </c>
      <c r="AI1568">
        <f t="shared" si="531"/>
        <v>2023</v>
      </c>
      <c r="AJ1568" t="str">
        <f t="shared" ca="1" si="548"/>
        <v>Vacant</v>
      </c>
      <c r="AK1568">
        <f t="shared" ca="1" si="549"/>
        <v>1</v>
      </c>
    </row>
    <row r="1569" spans="1:37" x14ac:dyDescent="0.3">
      <c r="A1569" t="s">
        <v>5963</v>
      </c>
      <c r="B1569">
        <v>82</v>
      </c>
      <c r="C1569" t="s">
        <v>15</v>
      </c>
      <c r="D1569" t="s">
        <v>38</v>
      </c>
      <c r="E1569" t="s">
        <v>25</v>
      </c>
      <c r="F1569" s="1">
        <v>43768</v>
      </c>
      <c r="G1569" t="s">
        <v>3132</v>
      </c>
      <c r="H1569" t="s">
        <v>3133</v>
      </c>
      <c r="I1569" t="s">
        <v>36</v>
      </c>
      <c r="J1569">
        <v>41646</v>
      </c>
      <c r="K1569">
        <v>485</v>
      </c>
      <c r="L1569" t="s">
        <v>29</v>
      </c>
      <c r="M1569" s="1">
        <v>43773</v>
      </c>
      <c r="N1569" t="s">
        <v>22</v>
      </c>
      <c r="O1569" t="s">
        <v>23</v>
      </c>
      <c r="P1569" t="str">
        <f t="shared" si="532"/>
        <v>P1568</v>
      </c>
      <c r="Q1569" t="str">
        <f t="shared" si="528"/>
        <v>Nutrition</v>
      </c>
      <c r="R1569">
        <f t="shared" si="529"/>
        <v>5</v>
      </c>
      <c r="S1569" t="str">
        <f t="shared" ca="1" si="533"/>
        <v>No</v>
      </c>
      <c r="T1569" t="str">
        <f t="shared" ca="1" si="534"/>
        <v>Critical</v>
      </c>
      <c r="U1569" t="str">
        <f t="shared" ca="1" si="535"/>
        <v>Semi-Private</v>
      </c>
      <c r="V1569" t="str">
        <f t="shared" si="536"/>
        <v>BED1568</v>
      </c>
      <c r="W1569" t="str">
        <f t="shared" ca="1" si="537"/>
        <v>General</v>
      </c>
      <c r="X1569" t="str">
        <f t="shared" si="538"/>
        <v>NUR018</v>
      </c>
      <c r="Y1569" t="str">
        <f t="shared" ca="1" si="539"/>
        <v>Evening</v>
      </c>
      <c r="Z1569" t="str">
        <f t="shared" ca="1" si="540"/>
        <v>CT Scanner</v>
      </c>
      <c r="AA1569" t="str">
        <f t="shared" ca="1" si="541"/>
        <v>Available</v>
      </c>
      <c r="AB1569" t="str">
        <f t="shared" ca="1" si="542"/>
        <v>Pending</v>
      </c>
      <c r="AC1569" t="str">
        <f t="shared" ca="1" si="543"/>
        <v>Credit Card</v>
      </c>
      <c r="AD1569" t="str">
        <f t="shared" ca="1" si="544"/>
        <v>No</v>
      </c>
      <c r="AE1569" t="str">
        <f t="shared" ca="1" si="545"/>
        <v>No</v>
      </c>
      <c r="AF1569" t="str">
        <f t="shared" ca="1" si="546"/>
        <v>Transferred</v>
      </c>
      <c r="AG1569" t="str">
        <f t="shared" ca="1" si="547"/>
        <v>Southwest</v>
      </c>
      <c r="AH1569" t="str">
        <f t="shared" si="530"/>
        <v>October</v>
      </c>
      <c r="AI1569">
        <f t="shared" si="531"/>
        <v>2019</v>
      </c>
      <c r="AJ1569" t="str">
        <f t="shared" ca="1" si="548"/>
        <v>Vacant</v>
      </c>
      <c r="AK1569">
        <f t="shared" ca="1" si="549"/>
        <v>2</v>
      </c>
    </row>
    <row r="1570" spans="1:37" x14ac:dyDescent="0.3">
      <c r="A1570" t="s">
        <v>5964</v>
      </c>
      <c r="B1570">
        <v>53</v>
      </c>
      <c r="C1570" t="s">
        <v>15</v>
      </c>
      <c r="D1570" t="s">
        <v>44</v>
      </c>
      <c r="E1570" t="s">
        <v>48</v>
      </c>
      <c r="F1570" s="1">
        <v>44640</v>
      </c>
      <c r="G1570" t="s">
        <v>1378</v>
      </c>
      <c r="H1570" t="s">
        <v>3134</v>
      </c>
      <c r="I1570" t="s">
        <v>28</v>
      </c>
      <c r="J1570">
        <v>28859</v>
      </c>
      <c r="K1570">
        <v>308</v>
      </c>
      <c r="L1570" t="s">
        <v>21</v>
      </c>
      <c r="M1570" s="1">
        <v>44655</v>
      </c>
      <c r="N1570" t="s">
        <v>47</v>
      </c>
      <c r="O1570" t="s">
        <v>43</v>
      </c>
      <c r="P1570" t="str">
        <f t="shared" si="532"/>
        <v>P1569</v>
      </c>
      <c r="Q1570" t="str">
        <f t="shared" si="528"/>
        <v>Pulmonology</v>
      </c>
      <c r="R1570">
        <f t="shared" si="529"/>
        <v>15</v>
      </c>
      <c r="S1570" t="str">
        <f t="shared" ca="1" si="533"/>
        <v>Yes</v>
      </c>
      <c r="T1570" t="str">
        <f t="shared" ca="1" si="534"/>
        <v>Moderate</v>
      </c>
      <c r="U1570" t="str">
        <f t="shared" ca="1" si="535"/>
        <v>Emergency</v>
      </c>
      <c r="V1570" t="str">
        <f t="shared" si="536"/>
        <v>BED1569</v>
      </c>
      <c r="W1570" t="str">
        <f t="shared" ca="1" si="537"/>
        <v>ICU</v>
      </c>
      <c r="X1570" t="str">
        <f t="shared" si="538"/>
        <v>NUR019</v>
      </c>
      <c r="Y1570" t="str">
        <f t="shared" ca="1" si="539"/>
        <v>Evening</v>
      </c>
      <c r="Z1570" t="str">
        <f t="shared" ca="1" si="540"/>
        <v>MRI Scanner</v>
      </c>
      <c r="AA1570" t="str">
        <f t="shared" ca="1" si="541"/>
        <v>In Use</v>
      </c>
      <c r="AB1570" t="str">
        <f t="shared" ca="1" si="542"/>
        <v>Pending</v>
      </c>
      <c r="AC1570" t="str">
        <f t="shared" ca="1" si="543"/>
        <v>Credit Card</v>
      </c>
      <c r="AD1570" t="str">
        <f t="shared" ca="1" si="544"/>
        <v>No</v>
      </c>
      <c r="AE1570" t="str">
        <f t="shared" ca="1" si="545"/>
        <v>No</v>
      </c>
      <c r="AF1570" t="str">
        <f t="shared" ca="1" si="546"/>
        <v>Transferred</v>
      </c>
      <c r="AG1570" t="str">
        <f t="shared" ca="1" si="547"/>
        <v>Midwest</v>
      </c>
      <c r="AH1570" t="str">
        <f t="shared" si="530"/>
        <v>March</v>
      </c>
      <c r="AI1570">
        <f t="shared" si="531"/>
        <v>2022</v>
      </c>
      <c r="AJ1570" t="str">
        <f t="shared" ca="1" si="548"/>
        <v>Occupied</v>
      </c>
      <c r="AK1570">
        <f t="shared" ca="1" si="549"/>
        <v>2</v>
      </c>
    </row>
    <row r="1571" spans="1:37" x14ac:dyDescent="0.3">
      <c r="A1571" t="s">
        <v>5965</v>
      </c>
      <c r="B1571">
        <v>56</v>
      </c>
      <c r="C1571" t="s">
        <v>15</v>
      </c>
      <c r="D1571" t="s">
        <v>98</v>
      </c>
      <c r="E1571" t="s">
        <v>48</v>
      </c>
      <c r="F1571" s="1">
        <v>44559</v>
      </c>
      <c r="G1571" t="s">
        <v>3135</v>
      </c>
      <c r="H1571" t="s">
        <v>3136</v>
      </c>
      <c r="I1571" t="s">
        <v>57</v>
      </c>
      <c r="J1571">
        <v>8997</v>
      </c>
      <c r="K1571">
        <v>266</v>
      </c>
      <c r="L1571" t="s">
        <v>42</v>
      </c>
      <c r="M1571" s="1">
        <v>44560</v>
      </c>
      <c r="N1571" t="s">
        <v>22</v>
      </c>
      <c r="O1571" t="s">
        <v>43</v>
      </c>
      <c r="P1571" t="str">
        <f t="shared" si="532"/>
        <v>P1570</v>
      </c>
      <c r="Q1571" t="str">
        <f t="shared" si="528"/>
        <v>Pulmonology</v>
      </c>
      <c r="R1571">
        <f t="shared" si="529"/>
        <v>1</v>
      </c>
      <c r="S1571" t="str">
        <f t="shared" ca="1" si="533"/>
        <v>No</v>
      </c>
      <c r="T1571" t="str">
        <f t="shared" ca="1" si="534"/>
        <v>Moderate</v>
      </c>
      <c r="U1571" t="str">
        <f t="shared" ca="1" si="535"/>
        <v>Semi-Private</v>
      </c>
      <c r="V1571" t="str">
        <f t="shared" si="536"/>
        <v>BED1570</v>
      </c>
      <c r="W1571" t="str">
        <f t="shared" ca="1" si="537"/>
        <v>ICU</v>
      </c>
      <c r="X1571" t="str">
        <f t="shared" si="538"/>
        <v>NUR020</v>
      </c>
      <c r="Y1571" t="str">
        <f t="shared" ca="1" si="539"/>
        <v>Evening</v>
      </c>
      <c r="Z1571" t="str">
        <f t="shared" ca="1" si="540"/>
        <v>X-Ray</v>
      </c>
      <c r="AA1571" t="str">
        <f t="shared" ca="1" si="541"/>
        <v>Available</v>
      </c>
      <c r="AB1571" t="str">
        <f t="shared" ca="1" si="542"/>
        <v>Partially Paid</v>
      </c>
      <c r="AC1571" t="str">
        <f t="shared" ca="1" si="543"/>
        <v>Bank Transfer</v>
      </c>
      <c r="AD1571" t="str">
        <f t="shared" ca="1" si="544"/>
        <v>No</v>
      </c>
      <c r="AE1571" t="str">
        <f t="shared" ca="1" si="545"/>
        <v>No</v>
      </c>
      <c r="AF1571" t="str">
        <f t="shared" ca="1" si="546"/>
        <v>Transferred</v>
      </c>
      <c r="AG1571" t="str">
        <f t="shared" ca="1" si="547"/>
        <v>Northeast</v>
      </c>
      <c r="AH1571" t="str">
        <f t="shared" si="530"/>
        <v>December</v>
      </c>
      <c r="AI1571">
        <f t="shared" si="531"/>
        <v>2021</v>
      </c>
      <c r="AJ1571" t="str">
        <f t="shared" ca="1" si="548"/>
        <v>Occupied</v>
      </c>
      <c r="AK1571">
        <f t="shared" ca="1" si="549"/>
        <v>2</v>
      </c>
    </row>
    <row r="1572" spans="1:37" x14ac:dyDescent="0.3">
      <c r="A1572" t="s">
        <v>5966</v>
      </c>
      <c r="B1572">
        <v>30</v>
      </c>
      <c r="C1572" t="s">
        <v>15</v>
      </c>
      <c r="D1572" t="s">
        <v>44</v>
      </c>
      <c r="E1572" t="s">
        <v>64</v>
      </c>
      <c r="F1572" s="1">
        <v>44822</v>
      </c>
      <c r="G1572" t="s">
        <v>3137</v>
      </c>
      <c r="H1572" t="s">
        <v>3138</v>
      </c>
      <c r="I1572" t="s">
        <v>36</v>
      </c>
      <c r="J1572">
        <v>32780</v>
      </c>
      <c r="K1572">
        <v>288</v>
      </c>
      <c r="L1572" t="s">
        <v>29</v>
      </c>
      <c r="M1572" s="1">
        <v>44850</v>
      </c>
      <c r="N1572" t="s">
        <v>22</v>
      </c>
      <c r="O1572" t="s">
        <v>43</v>
      </c>
      <c r="P1572" t="str">
        <f t="shared" si="532"/>
        <v>P1571</v>
      </c>
      <c r="Q1572" t="str">
        <f t="shared" si="528"/>
        <v>Cardiology</v>
      </c>
      <c r="R1572">
        <f t="shared" si="529"/>
        <v>28</v>
      </c>
      <c r="S1572" t="str">
        <f t="shared" ca="1" si="533"/>
        <v>No</v>
      </c>
      <c r="T1572" t="str">
        <f t="shared" ca="1" si="534"/>
        <v>Severe</v>
      </c>
      <c r="U1572" t="str">
        <f t="shared" ca="1" si="535"/>
        <v>Private Ward</v>
      </c>
      <c r="V1572" t="str">
        <f t="shared" si="536"/>
        <v>BED1571</v>
      </c>
      <c r="W1572" t="str">
        <f t="shared" ca="1" si="537"/>
        <v>Private</v>
      </c>
      <c r="X1572" t="str">
        <f t="shared" si="538"/>
        <v>NUR021</v>
      </c>
      <c r="Y1572" t="str">
        <f t="shared" ca="1" si="539"/>
        <v>Night</v>
      </c>
      <c r="Z1572" t="str">
        <f t="shared" ca="1" si="540"/>
        <v>Ventilator</v>
      </c>
      <c r="AA1572" t="str">
        <f t="shared" ca="1" si="541"/>
        <v>Maintenance</v>
      </c>
      <c r="AB1572" t="str">
        <f t="shared" ca="1" si="542"/>
        <v>Pending</v>
      </c>
      <c r="AC1572" t="str">
        <f t="shared" ca="1" si="543"/>
        <v>Insurance</v>
      </c>
      <c r="AD1572" t="str">
        <f t="shared" ca="1" si="544"/>
        <v>No</v>
      </c>
      <c r="AE1572" t="str">
        <f t="shared" ca="1" si="545"/>
        <v>Yes</v>
      </c>
      <c r="AF1572" t="str">
        <f t="shared" ca="1" si="546"/>
        <v>Under Observation</v>
      </c>
      <c r="AG1572" t="str">
        <f t="shared" ca="1" si="547"/>
        <v>Northeast</v>
      </c>
      <c r="AH1572" t="str">
        <f t="shared" si="530"/>
        <v>September</v>
      </c>
      <c r="AI1572">
        <f t="shared" si="531"/>
        <v>2022</v>
      </c>
      <c r="AJ1572" t="str">
        <f t="shared" ca="1" si="548"/>
        <v>Occupied</v>
      </c>
      <c r="AK1572">
        <f t="shared" ca="1" si="549"/>
        <v>2</v>
      </c>
    </row>
    <row r="1573" spans="1:37" x14ac:dyDescent="0.3">
      <c r="A1573" t="s">
        <v>5967</v>
      </c>
      <c r="B1573">
        <v>32</v>
      </c>
      <c r="C1573" t="s">
        <v>15</v>
      </c>
      <c r="D1573" t="s">
        <v>98</v>
      </c>
      <c r="E1573" t="s">
        <v>39</v>
      </c>
      <c r="F1573" s="1">
        <v>44624</v>
      </c>
      <c r="G1573" t="s">
        <v>3139</v>
      </c>
      <c r="H1573" t="s">
        <v>3140</v>
      </c>
      <c r="I1573" t="s">
        <v>28</v>
      </c>
      <c r="J1573">
        <v>42492</v>
      </c>
      <c r="K1573">
        <v>312</v>
      </c>
      <c r="L1573" t="s">
        <v>29</v>
      </c>
      <c r="M1573" s="1">
        <v>44641</v>
      </c>
      <c r="N1573" t="s">
        <v>67</v>
      </c>
      <c r="O1573" t="s">
        <v>23</v>
      </c>
      <c r="P1573" t="str">
        <f t="shared" si="532"/>
        <v>P1572</v>
      </c>
      <c r="Q1573" t="str">
        <f t="shared" si="528"/>
        <v>Endocrinology</v>
      </c>
      <c r="R1573">
        <f t="shared" si="529"/>
        <v>17</v>
      </c>
      <c r="S1573" t="str">
        <f t="shared" ca="1" si="533"/>
        <v>No</v>
      </c>
      <c r="T1573" t="str">
        <f t="shared" ca="1" si="534"/>
        <v>Mild</v>
      </c>
      <c r="U1573" t="str">
        <f t="shared" ca="1" si="535"/>
        <v>ICU</v>
      </c>
      <c r="V1573" t="str">
        <f t="shared" si="536"/>
        <v>BED1572</v>
      </c>
      <c r="W1573" t="str">
        <f t="shared" ca="1" si="537"/>
        <v>Semi-Private</v>
      </c>
      <c r="X1573" t="str">
        <f t="shared" si="538"/>
        <v>NUR022</v>
      </c>
      <c r="Y1573" t="str">
        <f t="shared" ca="1" si="539"/>
        <v>Evening</v>
      </c>
      <c r="Z1573" t="str">
        <f t="shared" ca="1" si="540"/>
        <v>Ventilator</v>
      </c>
      <c r="AA1573" t="str">
        <f t="shared" ca="1" si="541"/>
        <v>Maintenance</v>
      </c>
      <c r="AB1573" t="str">
        <f t="shared" ca="1" si="542"/>
        <v>Paid</v>
      </c>
      <c r="AC1573" t="str">
        <f t="shared" ca="1" si="543"/>
        <v>Credit Card</v>
      </c>
      <c r="AD1573" t="str">
        <f t="shared" ca="1" si="544"/>
        <v>No</v>
      </c>
      <c r="AE1573" t="str">
        <f t="shared" ca="1" si="545"/>
        <v>No</v>
      </c>
      <c r="AF1573" t="str">
        <f t="shared" ca="1" si="546"/>
        <v>Recovered</v>
      </c>
      <c r="AG1573" t="str">
        <f t="shared" ca="1" si="547"/>
        <v>Southwest</v>
      </c>
      <c r="AH1573" t="str">
        <f t="shared" si="530"/>
        <v>March</v>
      </c>
      <c r="AI1573">
        <f t="shared" si="531"/>
        <v>2022</v>
      </c>
      <c r="AJ1573" t="str">
        <f t="shared" ca="1" si="548"/>
        <v>Occupied</v>
      </c>
      <c r="AK1573">
        <f t="shared" ca="1" si="549"/>
        <v>1</v>
      </c>
    </row>
    <row r="1574" spans="1:37" x14ac:dyDescent="0.3">
      <c r="A1574" t="s">
        <v>5968</v>
      </c>
      <c r="B1574">
        <v>77</v>
      </c>
      <c r="C1574" t="s">
        <v>15</v>
      </c>
      <c r="D1574" t="s">
        <v>44</v>
      </c>
      <c r="E1574" t="s">
        <v>39</v>
      </c>
      <c r="F1574" s="1">
        <v>44513</v>
      </c>
      <c r="G1574" t="s">
        <v>3141</v>
      </c>
      <c r="H1574" t="s">
        <v>3142</v>
      </c>
      <c r="I1574" t="s">
        <v>20</v>
      </c>
      <c r="J1574">
        <v>49126</v>
      </c>
      <c r="K1574">
        <v>159</v>
      </c>
      <c r="L1574" t="s">
        <v>29</v>
      </c>
      <c r="M1574" s="1">
        <v>44534</v>
      </c>
      <c r="N1574" t="s">
        <v>30</v>
      </c>
      <c r="O1574" t="s">
        <v>31</v>
      </c>
      <c r="P1574" t="str">
        <f t="shared" si="532"/>
        <v>P1573</v>
      </c>
      <c r="Q1574" t="str">
        <f t="shared" si="528"/>
        <v>Endocrinology</v>
      </c>
      <c r="R1574">
        <f t="shared" si="529"/>
        <v>21</v>
      </c>
      <c r="S1574" t="str">
        <f t="shared" ca="1" si="533"/>
        <v>No</v>
      </c>
      <c r="T1574" t="str">
        <f t="shared" ca="1" si="534"/>
        <v>Critical</v>
      </c>
      <c r="U1574" t="str">
        <f t="shared" ca="1" si="535"/>
        <v>Semi-Private</v>
      </c>
      <c r="V1574" t="str">
        <f t="shared" si="536"/>
        <v>BED1573</v>
      </c>
      <c r="W1574" t="str">
        <f t="shared" ca="1" si="537"/>
        <v>Private</v>
      </c>
      <c r="X1574" t="str">
        <f t="shared" si="538"/>
        <v>NUR023</v>
      </c>
      <c r="Y1574" t="str">
        <f t="shared" ca="1" si="539"/>
        <v>Evening</v>
      </c>
      <c r="Z1574" t="str">
        <f t="shared" ca="1" si="540"/>
        <v>X-Ray</v>
      </c>
      <c r="AA1574" t="str">
        <f t="shared" ca="1" si="541"/>
        <v>Available</v>
      </c>
      <c r="AB1574" t="str">
        <f t="shared" ca="1" si="542"/>
        <v>Pending</v>
      </c>
      <c r="AC1574" t="str">
        <f t="shared" ca="1" si="543"/>
        <v>Cash</v>
      </c>
      <c r="AD1574" t="str">
        <f t="shared" ca="1" si="544"/>
        <v>No</v>
      </c>
      <c r="AE1574" t="str">
        <f t="shared" ca="1" si="545"/>
        <v>No</v>
      </c>
      <c r="AF1574" t="str">
        <f t="shared" ca="1" si="546"/>
        <v>Transferred</v>
      </c>
      <c r="AG1574" t="str">
        <f t="shared" ca="1" si="547"/>
        <v>Midwest</v>
      </c>
      <c r="AH1574" t="str">
        <f t="shared" si="530"/>
        <v>November</v>
      </c>
      <c r="AI1574">
        <f t="shared" si="531"/>
        <v>2021</v>
      </c>
      <c r="AJ1574" t="str">
        <f t="shared" ca="1" si="548"/>
        <v>Occupied</v>
      </c>
      <c r="AK1574">
        <f t="shared" ca="1" si="549"/>
        <v>4</v>
      </c>
    </row>
    <row r="1575" spans="1:37" x14ac:dyDescent="0.3">
      <c r="A1575" t="s">
        <v>5969</v>
      </c>
      <c r="B1575">
        <v>61</v>
      </c>
      <c r="C1575" t="s">
        <v>15</v>
      </c>
      <c r="D1575" t="s">
        <v>38</v>
      </c>
      <c r="E1575" t="s">
        <v>17</v>
      </c>
      <c r="F1575" s="1">
        <v>43603</v>
      </c>
      <c r="G1575" t="s">
        <v>3143</v>
      </c>
      <c r="H1575" t="s">
        <v>3144</v>
      </c>
      <c r="I1575" t="s">
        <v>57</v>
      </c>
      <c r="J1575">
        <v>15289</v>
      </c>
      <c r="K1575">
        <v>353</v>
      </c>
      <c r="L1575" t="s">
        <v>29</v>
      </c>
      <c r="M1575" s="1">
        <v>43607</v>
      </c>
      <c r="N1575" t="s">
        <v>37</v>
      </c>
      <c r="O1575" t="s">
        <v>23</v>
      </c>
      <c r="P1575" t="str">
        <f t="shared" si="532"/>
        <v>P1574</v>
      </c>
      <c r="Q1575" t="str">
        <f t="shared" si="528"/>
        <v>Oncology</v>
      </c>
      <c r="R1575">
        <f t="shared" si="529"/>
        <v>4</v>
      </c>
      <c r="S1575" t="str">
        <f t="shared" ca="1" si="533"/>
        <v>No</v>
      </c>
      <c r="T1575" t="str">
        <f t="shared" ca="1" si="534"/>
        <v>Moderate</v>
      </c>
      <c r="U1575" t="str">
        <f t="shared" ca="1" si="535"/>
        <v>Private Ward</v>
      </c>
      <c r="V1575" t="str">
        <f t="shared" si="536"/>
        <v>BED1574</v>
      </c>
      <c r="W1575" t="str">
        <f t="shared" ca="1" si="537"/>
        <v>Private</v>
      </c>
      <c r="X1575" t="str">
        <f t="shared" si="538"/>
        <v>NUR024</v>
      </c>
      <c r="Y1575" t="str">
        <f t="shared" ca="1" si="539"/>
        <v>Morning</v>
      </c>
      <c r="Z1575" t="str">
        <f t="shared" ca="1" si="540"/>
        <v>MRI Scanner</v>
      </c>
      <c r="AA1575" t="str">
        <f t="shared" ca="1" si="541"/>
        <v>Available</v>
      </c>
      <c r="AB1575" t="str">
        <f t="shared" ca="1" si="542"/>
        <v>Partially Paid</v>
      </c>
      <c r="AC1575" t="str">
        <f t="shared" ca="1" si="543"/>
        <v>Bank Transfer</v>
      </c>
      <c r="AD1575" t="str">
        <f t="shared" ca="1" si="544"/>
        <v>No</v>
      </c>
      <c r="AE1575" t="str">
        <f t="shared" ca="1" si="545"/>
        <v>No</v>
      </c>
      <c r="AF1575" t="str">
        <f t="shared" ca="1" si="546"/>
        <v>Recovered</v>
      </c>
      <c r="AG1575" t="str">
        <f t="shared" ca="1" si="547"/>
        <v>Southwest</v>
      </c>
      <c r="AH1575" t="str">
        <f t="shared" si="530"/>
        <v>May</v>
      </c>
      <c r="AI1575">
        <f t="shared" si="531"/>
        <v>2019</v>
      </c>
      <c r="AJ1575" t="str">
        <f t="shared" ca="1" si="548"/>
        <v>Occupied</v>
      </c>
      <c r="AK1575">
        <f t="shared" ca="1" si="549"/>
        <v>2</v>
      </c>
    </row>
    <row r="1576" spans="1:37" x14ac:dyDescent="0.3">
      <c r="A1576" t="s">
        <v>5970</v>
      </c>
      <c r="B1576">
        <v>42</v>
      </c>
      <c r="C1576" t="s">
        <v>32</v>
      </c>
      <c r="D1576" t="s">
        <v>83</v>
      </c>
      <c r="E1576" t="s">
        <v>48</v>
      </c>
      <c r="F1576" s="1">
        <v>44510</v>
      </c>
      <c r="G1576" t="s">
        <v>3145</v>
      </c>
      <c r="H1576" t="s">
        <v>3146</v>
      </c>
      <c r="I1576" t="s">
        <v>36</v>
      </c>
      <c r="J1576">
        <v>52182</v>
      </c>
      <c r="K1576">
        <v>140</v>
      </c>
      <c r="L1576" t="s">
        <v>29</v>
      </c>
      <c r="M1576" s="1">
        <v>44517</v>
      </c>
      <c r="N1576" t="s">
        <v>47</v>
      </c>
      <c r="O1576" t="s">
        <v>31</v>
      </c>
      <c r="P1576" t="str">
        <f t="shared" si="532"/>
        <v>P1575</v>
      </c>
      <c r="Q1576" t="str">
        <f t="shared" si="528"/>
        <v>Pulmonology</v>
      </c>
      <c r="R1576">
        <f t="shared" si="529"/>
        <v>7</v>
      </c>
      <c r="S1576" t="str">
        <f t="shared" ca="1" si="533"/>
        <v>No</v>
      </c>
      <c r="T1576" t="str">
        <f t="shared" ca="1" si="534"/>
        <v>Severe</v>
      </c>
      <c r="U1576" t="str">
        <f t="shared" ca="1" si="535"/>
        <v>Semi-Private</v>
      </c>
      <c r="V1576" t="str">
        <f t="shared" si="536"/>
        <v>BED1575</v>
      </c>
      <c r="W1576" t="str">
        <f t="shared" ca="1" si="537"/>
        <v>Private</v>
      </c>
      <c r="X1576" t="str">
        <f t="shared" si="538"/>
        <v>NUR025</v>
      </c>
      <c r="Y1576" t="str">
        <f t="shared" ca="1" si="539"/>
        <v>Evening</v>
      </c>
      <c r="Z1576" t="str">
        <f t="shared" ca="1" si="540"/>
        <v>X-Ray</v>
      </c>
      <c r="AA1576" t="str">
        <f t="shared" ca="1" si="541"/>
        <v>In Use</v>
      </c>
      <c r="AB1576" t="str">
        <f t="shared" ca="1" si="542"/>
        <v>Pending</v>
      </c>
      <c r="AC1576" t="str">
        <f t="shared" ca="1" si="543"/>
        <v>Cash</v>
      </c>
      <c r="AD1576" t="str">
        <f t="shared" ca="1" si="544"/>
        <v>No</v>
      </c>
      <c r="AE1576" t="str">
        <f t="shared" ca="1" si="545"/>
        <v>No</v>
      </c>
      <c r="AF1576" t="str">
        <f t="shared" ca="1" si="546"/>
        <v>Under Observation</v>
      </c>
      <c r="AG1576" t="str">
        <f t="shared" ca="1" si="547"/>
        <v>Northeast</v>
      </c>
      <c r="AH1576" t="str">
        <f t="shared" si="530"/>
        <v>November</v>
      </c>
      <c r="AI1576">
        <f t="shared" si="531"/>
        <v>2021</v>
      </c>
      <c r="AJ1576" t="str">
        <f t="shared" ca="1" si="548"/>
        <v>Vacant</v>
      </c>
      <c r="AK1576">
        <f t="shared" ca="1" si="549"/>
        <v>4</v>
      </c>
    </row>
    <row r="1577" spans="1:37" x14ac:dyDescent="0.3">
      <c r="A1577" t="s">
        <v>5971</v>
      </c>
      <c r="B1577">
        <v>58</v>
      </c>
      <c r="C1577" t="s">
        <v>15</v>
      </c>
      <c r="D1577" t="s">
        <v>24</v>
      </c>
      <c r="E1577" t="s">
        <v>64</v>
      </c>
      <c r="F1577" s="1">
        <v>44271</v>
      </c>
      <c r="G1577" t="s">
        <v>3147</v>
      </c>
      <c r="H1577" t="s">
        <v>3148</v>
      </c>
      <c r="I1577" t="s">
        <v>36</v>
      </c>
      <c r="J1577">
        <v>4512</v>
      </c>
      <c r="K1577">
        <v>353</v>
      </c>
      <c r="L1577" t="s">
        <v>29</v>
      </c>
      <c r="M1577" s="1">
        <v>44288</v>
      </c>
      <c r="N1577" t="s">
        <v>47</v>
      </c>
      <c r="O1577" t="s">
        <v>43</v>
      </c>
      <c r="P1577" t="str">
        <f t="shared" si="532"/>
        <v>P1576</v>
      </c>
      <c r="Q1577" t="str">
        <f t="shared" si="528"/>
        <v>Cardiology</v>
      </c>
      <c r="R1577">
        <f t="shared" si="529"/>
        <v>17</v>
      </c>
      <c r="S1577" t="str">
        <f t="shared" ca="1" si="533"/>
        <v>No</v>
      </c>
      <c r="T1577" t="str">
        <f t="shared" ca="1" si="534"/>
        <v>Moderate</v>
      </c>
      <c r="U1577" t="str">
        <f t="shared" ca="1" si="535"/>
        <v>Emergency</v>
      </c>
      <c r="V1577" t="str">
        <f t="shared" si="536"/>
        <v>BED1576</v>
      </c>
      <c r="W1577" t="str">
        <f t="shared" ca="1" si="537"/>
        <v>General</v>
      </c>
      <c r="X1577" t="str">
        <f t="shared" si="538"/>
        <v>NUR026</v>
      </c>
      <c r="Y1577" t="str">
        <f t="shared" ca="1" si="539"/>
        <v>Evening</v>
      </c>
      <c r="Z1577" t="str">
        <f t="shared" ca="1" si="540"/>
        <v>ECG Machine</v>
      </c>
      <c r="AA1577" t="str">
        <f t="shared" ca="1" si="541"/>
        <v>Maintenance</v>
      </c>
      <c r="AB1577" t="str">
        <f t="shared" ca="1" si="542"/>
        <v>Partially Paid</v>
      </c>
      <c r="AC1577" t="str">
        <f t="shared" ca="1" si="543"/>
        <v>Cash</v>
      </c>
      <c r="AD1577" t="str">
        <f t="shared" ca="1" si="544"/>
        <v>No</v>
      </c>
      <c r="AE1577" t="str">
        <f t="shared" ca="1" si="545"/>
        <v>No</v>
      </c>
      <c r="AF1577" t="str">
        <f t="shared" ca="1" si="546"/>
        <v>Transferred</v>
      </c>
      <c r="AG1577" t="str">
        <f t="shared" ca="1" si="547"/>
        <v>Midwest</v>
      </c>
      <c r="AH1577" t="str">
        <f t="shared" si="530"/>
        <v>March</v>
      </c>
      <c r="AI1577">
        <f t="shared" si="531"/>
        <v>2021</v>
      </c>
      <c r="AJ1577" t="str">
        <f t="shared" ca="1" si="548"/>
        <v>Occupied</v>
      </c>
      <c r="AK1577">
        <f t="shared" ca="1" si="549"/>
        <v>1</v>
      </c>
    </row>
    <row r="1578" spans="1:37" x14ac:dyDescent="0.3">
      <c r="A1578" t="s">
        <v>5972</v>
      </c>
      <c r="B1578">
        <v>46</v>
      </c>
      <c r="C1578" t="s">
        <v>32</v>
      </c>
      <c r="D1578" t="s">
        <v>98</v>
      </c>
      <c r="E1578" t="s">
        <v>48</v>
      </c>
      <c r="F1578" s="1">
        <v>44872</v>
      </c>
      <c r="G1578" t="s">
        <v>3149</v>
      </c>
      <c r="H1578" t="s">
        <v>3150</v>
      </c>
      <c r="I1578" t="s">
        <v>51</v>
      </c>
      <c r="J1578">
        <v>8048</v>
      </c>
      <c r="K1578">
        <v>451</v>
      </c>
      <c r="L1578" t="s">
        <v>29</v>
      </c>
      <c r="M1578" s="1">
        <v>44889</v>
      </c>
      <c r="N1578" t="s">
        <v>67</v>
      </c>
      <c r="O1578" t="s">
        <v>43</v>
      </c>
      <c r="P1578" t="str">
        <f t="shared" si="532"/>
        <v>P1577</v>
      </c>
      <c r="Q1578" t="str">
        <f t="shared" si="528"/>
        <v>Pulmonology</v>
      </c>
      <c r="R1578">
        <f t="shared" si="529"/>
        <v>17</v>
      </c>
      <c r="S1578" t="str">
        <f t="shared" ca="1" si="533"/>
        <v>No</v>
      </c>
      <c r="T1578" t="str">
        <f t="shared" ca="1" si="534"/>
        <v>Severe</v>
      </c>
      <c r="U1578" t="str">
        <f t="shared" ca="1" si="535"/>
        <v>Semi-Private</v>
      </c>
      <c r="V1578" t="str">
        <f t="shared" si="536"/>
        <v>BED1577</v>
      </c>
      <c r="W1578" t="str">
        <f t="shared" ca="1" si="537"/>
        <v>ICU</v>
      </c>
      <c r="X1578" t="str">
        <f t="shared" si="538"/>
        <v>NUR027</v>
      </c>
      <c r="Y1578" t="str">
        <f t="shared" ca="1" si="539"/>
        <v>Evening</v>
      </c>
      <c r="Z1578" t="str">
        <f t="shared" ca="1" si="540"/>
        <v>Ultrasound</v>
      </c>
      <c r="AA1578" t="str">
        <f t="shared" ca="1" si="541"/>
        <v>In Use</v>
      </c>
      <c r="AB1578" t="str">
        <f t="shared" ca="1" si="542"/>
        <v>Paid</v>
      </c>
      <c r="AC1578" t="str">
        <f t="shared" ca="1" si="543"/>
        <v>Debit Card</v>
      </c>
      <c r="AD1578" t="str">
        <f t="shared" ca="1" si="544"/>
        <v>No</v>
      </c>
      <c r="AE1578" t="str">
        <f t="shared" ca="1" si="545"/>
        <v>Yes</v>
      </c>
      <c r="AF1578" t="str">
        <f t="shared" ca="1" si="546"/>
        <v>Under Observation</v>
      </c>
      <c r="AG1578" t="str">
        <f t="shared" ca="1" si="547"/>
        <v>Northeast</v>
      </c>
      <c r="AH1578" t="str">
        <f t="shared" si="530"/>
        <v>November</v>
      </c>
      <c r="AI1578">
        <f t="shared" si="531"/>
        <v>2022</v>
      </c>
      <c r="AJ1578" t="str">
        <f t="shared" ca="1" si="548"/>
        <v>Occupied</v>
      </c>
      <c r="AK1578">
        <f t="shared" ca="1" si="549"/>
        <v>1</v>
      </c>
    </row>
    <row r="1579" spans="1:37" x14ac:dyDescent="0.3">
      <c r="A1579" t="s">
        <v>5973</v>
      </c>
      <c r="B1579">
        <v>46</v>
      </c>
      <c r="C1579" t="s">
        <v>15</v>
      </c>
      <c r="D1579" t="s">
        <v>33</v>
      </c>
      <c r="E1579" t="s">
        <v>64</v>
      </c>
      <c r="F1579" s="1">
        <v>43842</v>
      </c>
      <c r="G1579" t="s">
        <v>3151</v>
      </c>
      <c r="H1579" t="s">
        <v>3152</v>
      </c>
      <c r="I1579" t="s">
        <v>28</v>
      </c>
      <c r="J1579">
        <v>37307</v>
      </c>
      <c r="K1579">
        <v>158</v>
      </c>
      <c r="L1579" t="s">
        <v>42</v>
      </c>
      <c r="M1579" s="1">
        <v>43856</v>
      </c>
      <c r="N1579" t="s">
        <v>47</v>
      </c>
      <c r="O1579" t="s">
        <v>31</v>
      </c>
      <c r="P1579" t="str">
        <f t="shared" si="532"/>
        <v>P1578</v>
      </c>
      <c r="Q1579" t="str">
        <f t="shared" si="528"/>
        <v>Cardiology</v>
      </c>
      <c r="R1579">
        <f t="shared" si="529"/>
        <v>14</v>
      </c>
      <c r="S1579" t="str">
        <f t="shared" ca="1" si="533"/>
        <v>No</v>
      </c>
      <c r="T1579" t="str">
        <f t="shared" ca="1" si="534"/>
        <v>Critical</v>
      </c>
      <c r="U1579" t="str">
        <f t="shared" ca="1" si="535"/>
        <v>General Ward</v>
      </c>
      <c r="V1579" t="str">
        <f t="shared" si="536"/>
        <v>BED1578</v>
      </c>
      <c r="W1579" t="str">
        <f t="shared" ca="1" si="537"/>
        <v>Private</v>
      </c>
      <c r="X1579" t="str">
        <f t="shared" si="538"/>
        <v>NUR028</v>
      </c>
      <c r="Y1579" t="str">
        <f t="shared" ca="1" si="539"/>
        <v>Night</v>
      </c>
      <c r="Z1579" t="str">
        <f t="shared" ca="1" si="540"/>
        <v>CT Scanner</v>
      </c>
      <c r="AA1579" t="str">
        <f t="shared" ca="1" si="541"/>
        <v>Available</v>
      </c>
      <c r="AB1579" t="str">
        <f t="shared" ca="1" si="542"/>
        <v>Pending</v>
      </c>
      <c r="AC1579" t="str">
        <f t="shared" ca="1" si="543"/>
        <v>Insurance</v>
      </c>
      <c r="AD1579" t="str">
        <f t="shared" ca="1" si="544"/>
        <v>No</v>
      </c>
      <c r="AE1579" t="str">
        <f t="shared" ca="1" si="545"/>
        <v>Yes</v>
      </c>
      <c r="AF1579" t="str">
        <f t="shared" ca="1" si="546"/>
        <v>Recovered</v>
      </c>
      <c r="AG1579" t="str">
        <f t="shared" ca="1" si="547"/>
        <v>Northeast</v>
      </c>
      <c r="AH1579" t="str">
        <f t="shared" si="530"/>
        <v>January</v>
      </c>
      <c r="AI1579">
        <f t="shared" si="531"/>
        <v>2020</v>
      </c>
      <c r="AJ1579" t="str">
        <f t="shared" ca="1" si="548"/>
        <v>Occupied</v>
      </c>
      <c r="AK1579">
        <f t="shared" ca="1" si="549"/>
        <v>1</v>
      </c>
    </row>
    <row r="1580" spans="1:37" x14ac:dyDescent="0.3">
      <c r="A1580" t="s">
        <v>5974</v>
      </c>
      <c r="B1580">
        <v>54</v>
      </c>
      <c r="C1580" t="s">
        <v>32</v>
      </c>
      <c r="D1580" t="s">
        <v>83</v>
      </c>
      <c r="E1580" t="s">
        <v>39</v>
      </c>
      <c r="F1580" s="1">
        <v>44985</v>
      </c>
      <c r="G1580" t="s">
        <v>3153</v>
      </c>
      <c r="H1580" t="s">
        <v>3154</v>
      </c>
      <c r="I1580" t="s">
        <v>36</v>
      </c>
      <c r="J1580">
        <v>27661</v>
      </c>
      <c r="K1580">
        <v>451</v>
      </c>
      <c r="L1580" t="s">
        <v>21</v>
      </c>
      <c r="M1580" s="1">
        <v>44996</v>
      </c>
      <c r="N1580" t="s">
        <v>22</v>
      </c>
      <c r="O1580" t="s">
        <v>31</v>
      </c>
      <c r="P1580" t="str">
        <f t="shared" si="532"/>
        <v>P1579</v>
      </c>
      <c r="Q1580" t="str">
        <f t="shared" si="528"/>
        <v>Endocrinology</v>
      </c>
      <c r="R1580">
        <f t="shared" si="529"/>
        <v>11</v>
      </c>
      <c r="S1580" t="str">
        <f t="shared" ca="1" si="533"/>
        <v>No</v>
      </c>
      <c r="T1580" t="str">
        <f t="shared" ca="1" si="534"/>
        <v>Mild</v>
      </c>
      <c r="U1580" t="str">
        <f t="shared" ca="1" si="535"/>
        <v>General Ward</v>
      </c>
      <c r="V1580" t="str">
        <f t="shared" si="536"/>
        <v>BED1579</v>
      </c>
      <c r="W1580" t="str">
        <f t="shared" ca="1" si="537"/>
        <v>ICU</v>
      </c>
      <c r="X1580" t="str">
        <f t="shared" si="538"/>
        <v>NUR029</v>
      </c>
      <c r="Y1580" t="str">
        <f t="shared" ca="1" si="539"/>
        <v>Evening</v>
      </c>
      <c r="Z1580" t="str">
        <f t="shared" ca="1" si="540"/>
        <v>CT Scanner</v>
      </c>
      <c r="AA1580" t="str">
        <f t="shared" ca="1" si="541"/>
        <v>In Use</v>
      </c>
      <c r="AB1580" t="str">
        <f t="shared" ca="1" si="542"/>
        <v>Pending</v>
      </c>
      <c r="AC1580" t="str">
        <f t="shared" ca="1" si="543"/>
        <v>Cash</v>
      </c>
      <c r="AD1580" t="str">
        <f t="shared" ca="1" si="544"/>
        <v>Yes</v>
      </c>
      <c r="AE1580" t="str">
        <f t="shared" ca="1" si="545"/>
        <v>No</v>
      </c>
      <c r="AF1580" t="str">
        <f t="shared" ca="1" si="546"/>
        <v>Transferred</v>
      </c>
      <c r="AG1580" t="str">
        <f t="shared" ca="1" si="547"/>
        <v>Southeast</v>
      </c>
      <c r="AH1580" t="str">
        <f t="shared" si="530"/>
        <v>February</v>
      </c>
      <c r="AI1580">
        <f t="shared" si="531"/>
        <v>2023</v>
      </c>
      <c r="AJ1580" t="str">
        <f t="shared" ca="1" si="548"/>
        <v>Occupied</v>
      </c>
      <c r="AK1580">
        <f t="shared" ca="1" si="549"/>
        <v>2</v>
      </c>
    </row>
    <row r="1581" spans="1:37" x14ac:dyDescent="0.3">
      <c r="A1581" t="s">
        <v>5975</v>
      </c>
      <c r="B1581">
        <v>44</v>
      </c>
      <c r="C1581" t="s">
        <v>32</v>
      </c>
      <c r="D1581" t="s">
        <v>83</v>
      </c>
      <c r="E1581" t="s">
        <v>25</v>
      </c>
      <c r="F1581" s="1">
        <v>44715</v>
      </c>
      <c r="G1581" t="s">
        <v>3155</v>
      </c>
      <c r="H1581" t="s">
        <v>3156</v>
      </c>
      <c r="I1581" t="s">
        <v>28</v>
      </c>
      <c r="J1581">
        <v>30207</v>
      </c>
      <c r="K1581">
        <v>379</v>
      </c>
      <c r="L1581" t="s">
        <v>42</v>
      </c>
      <c r="M1581" s="1">
        <v>44734</v>
      </c>
      <c r="N1581" t="s">
        <v>30</v>
      </c>
      <c r="O1581" t="s">
        <v>31</v>
      </c>
      <c r="P1581" t="str">
        <f t="shared" si="532"/>
        <v>P1580</v>
      </c>
      <c r="Q1581" t="str">
        <f t="shared" si="528"/>
        <v>Nutrition</v>
      </c>
      <c r="R1581">
        <f t="shared" si="529"/>
        <v>19</v>
      </c>
      <c r="S1581" t="str">
        <f t="shared" ca="1" si="533"/>
        <v>No</v>
      </c>
      <c r="T1581" t="str">
        <f t="shared" ca="1" si="534"/>
        <v>Severe</v>
      </c>
      <c r="U1581" t="str">
        <f t="shared" ca="1" si="535"/>
        <v>General Ward</v>
      </c>
      <c r="V1581" t="str">
        <f t="shared" si="536"/>
        <v>BED1580</v>
      </c>
      <c r="W1581" t="str">
        <f t="shared" ca="1" si="537"/>
        <v>ICU</v>
      </c>
      <c r="X1581" t="str">
        <f t="shared" si="538"/>
        <v>NUR030</v>
      </c>
      <c r="Y1581" t="str">
        <f t="shared" ca="1" si="539"/>
        <v>Night</v>
      </c>
      <c r="Z1581" t="str">
        <f t="shared" ca="1" si="540"/>
        <v>MRI Scanner</v>
      </c>
      <c r="AA1581" t="str">
        <f t="shared" ca="1" si="541"/>
        <v>Available</v>
      </c>
      <c r="AB1581" t="str">
        <f t="shared" ca="1" si="542"/>
        <v>Paid</v>
      </c>
      <c r="AC1581" t="str">
        <f t="shared" ca="1" si="543"/>
        <v>Bank Transfer</v>
      </c>
      <c r="AD1581" t="str">
        <f t="shared" ca="1" si="544"/>
        <v>Yes</v>
      </c>
      <c r="AE1581" t="str">
        <f t="shared" ca="1" si="545"/>
        <v>Yes</v>
      </c>
      <c r="AF1581" t="str">
        <f t="shared" ca="1" si="546"/>
        <v>Transferred</v>
      </c>
      <c r="AG1581" t="str">
        <f t="shared" ca="1" si="547"/>
        <v>Southeast</v>
      </c>
      <c r="AH1581" t="str">
        <f t="shared" si="530"/>
        <v>June</v>
      </c>
      <c r="AI1581">
        <f t="shared" si="531"/>
        <v>2022</v>
      </c>
      <c r="AJ1581" t="str">
        <f t="shared" ca="1" si="548"/>
        <v>Occupied</v>
      </c>
      <c r="AK1581">
        <f t="shared" ca="1" si="549"/>
        <v>2</v>
      </c>
    </row>
    <row r="1582" spans="1:37" x14ac:dyDescent="0.3">
      <c r="A1582" t="s">
        <v>5976</v>
      </c>
      <c r="B1582">
        <v>33</v>
      </c>
      <c r="C1582" t="s">
        <v>32</v>
      </c>
      <c r="D1582" t="s">
        <v>38</v>
      </c>
      <c r="E1582" t="s">
        <v>39</v>
      </c>
      <c r="F1582" s="1">
        <v>43790</v>
      </c>
      <c r="G1582" t="s">
        <v>3157</v>
      </c>
      <c r="H1582" t="s">
        <v>3158</v>
      </c>
      <c r="I1582" t="s">
        <v>28</v>
      </c>
      <c r="J1582">
        <v>15833</v>
      </c>
      <c r="K1582">
        <v>476</v>
      </c>
      <c r="L1582" t="s">
        <v>42</v>
      </c>
      <c r="M1582" s="1">
        <v>43808</v>
      </c>
      <c r="N1582" t="s">
        <v>47</v>
      </c>
      <c r="O1582" t="s">
        <v>23</v>
      </c>
      <c r="P1582" t="str">
        <f t="shared" si="532"/>
        <v>P1581</v>
      </c>
      <c r="Q1582" t="str">
        <f t="shared" si="528"/>
        <v>Endocrinology</v>
      </c>
      <c r="R1582">
        <f t="shared" si="529"/>
        <v>18</v>
      </c>
      <c r="S1582" t="str">
        <f t="shared" ca="1" si="533"/>
        <v>No</v>
      </c>
      <c r="T1582" t="str">
        <f t="shared" ca="1" si="534"/>
        <v>Critical</v>
      </c>
      <c r="U1582" t="str">
        <f t="shared" ca="1" si="535"/>
        <v>Private Ward</v>
      </c>
      <c r="V1582" t="str">
        <f t="shared" si="536"/>
        <v>BED1581</v>
      </c>
      <c r="W1582" t="str">
        <f t="shared" ca="1" si="537"/>
        <v>Semi-Private</v>
      </c>
      <c r="X1582" t="str">
        <f t="shared" si="538"/>
        <v>NUR031</v>
      </c>
      <c r="Y1582" t="str">
        <f t="shared" ca="1" si="539"/>
        <v>Evening</v>
      </c>
      <c r="Z1582" t="str">
        <f t="shared" ca="1" si="540"/>
        <v>ECG Machine</v>
      </c>
      <c r="AA1582" t="str">
        <f t="shared" ca="1" si="541"/>
        <v>Maintenance</v>
      </c>
      <c r="AB1582" t="str">
        <f t="shared" ca="1" si="542"/>
        <v>Pending</v>
      </c>
      <c r="AC1582" t="str">
        <f t="shared" ca="1" si="543"/>
        <v>Insurance</v>
      </c>
      <c r="AD1582" t="str">
        <f t="shared" ca="1" si="544"/>
        <v>No</v>
      </c>
      <c r="AE1582" t="str">
        <f t="shared" ca="1" si="545"/>
        <v>No</v>
      </c>
      <c r="AF1582" t="str">
        <f t="shared" ca="1" si="546"/>
        <v>Transferred</v>
      </c>
      <c r="AG1582" t="str">
        <f t="shared" ca="1" si="547"/>
        <v>Southeast</v>
      </c>
      <c r="AH1582" t="str">
        <f t="shared" si="530"/>
        <v>November</v>
      </c>
      <c r="AI1582">
        <f t="shared" si="531"/>
        <v>2019</v>
      </c>
      <c r="AJ1582" t="str">
        <f t="shared" ca="1" si="548"/>
        <v>Vacant</v>
      </c>
      <c r="AK1582">
        <f t="shared" ca="1" si="549"/>
        <v>1</v>
      </c>
    </row>
    <row r="1583" spans="1:37" x14ac:dyDescent="0.3">
      <c r="A1583" t="s">
        <v>5977</v>
      </c>
      <c r="B1583">
        <v>47</v>
      </c>
      <c r="C1583" t="s">
        <v>15</v>
      </c>
      <c r="D1583" t="s">
        <v>38</v>
      </c>
      <c r="E1583" t="s">
        <v>25</v>
      </c>
      <c r="F1583" s="1">
        <v>45400</v>
      </c>
      <c r="G1583" t="s">
        <v>3159</v>
      </c>
      <c r="H1583" t="s">
        <v>3160</v>
      </c>
      <c r="I1583" t="s">
        <v>20</v>
      </c>
      <c r="J1583">
        <v>34153</v>
      </c>
      <c r="K1583">
        <v>403</v>
      </c>
      <c r="L1583" t="s">
        <v>21</v>
      </c>
      <c r="M1583" s="1">
        <v>45406</v>
      </c>
      <c r="N1583" t="s">
        <v>22</v>
      </c>
      <c r="O1583" t="s">
        <v>43</v>
      </c>
      <c r="P1583" t="str">
        <f t="shared" si="532"/>
        <v>P1582</v>
      </c>
      <c r="Q1583" t="str">
        <f t="shared" si="528"/>
        <v>Nutrition</v>
      </c>
      <c r="R1583">
        <f t="shared" si="529"/>
        <v>6</v>
      </c>
      <c r="S1583" t="str">
        <f t="shared" ca="1" si="533"/>
        <v>No</v>
      </c>
      <c r="T1583" t="str">
        <f t="shared" ca="1" si="534"/>
        <v>Critical</v>
      </c>
      <c r="U1583" t="str">
        <f t="shared" ca="1" si="535"/>
        <v>Emergency</v>
      </c>
      <c r="V1583" t="str">
        <f t="shared" si="536"/>
        <v>BED1582</v>
      </c>
      <c r="W1583" t="str">
        <f t="shared" ca="1" si="537"/>
        <v>General</v>
      </c>
      <c r="X1583" t="str">
        <f t="shared" si="538"/>
        <v>NUR032</v>
      </c>
      <c r="Y1583" t="str">
        <f t="shared" ca="1" si="539"/>
        <v>Night</v>
      </c>
      <c r="Z1583" t="str">
        <f t="shared" ca="1" si="540"/>
        <v>CT Scanner</v>
      </c>
      <c r="AA1583" t="str">
        <f t="shared" ca="1" si="541"/>
        <v>Maintenance</v>
      </c>
      <c r="AB1583" t="str">
        <f t="shared" ca="1" si="542"/>
        <v>Pending</v>
      </c>
      <c r="AC1583" t="str">
        <f t="shared" ca="1" si="543"/>
        <v>Cash</v>
      </c>
      <c r="AD1583" t="str">
        <f t="shared" ca="1" si="544"/>
        <v>No</v>
      </c>
      <c r="AE1583" t="str">
        <f t="shared" ca="1" si="545"/>
        <v>No</v>
      </c>
      <c r="AF1583" t="str">
        <f t="shared" ca="1" si="546"/>
        <v>Recovered</v>
      </c>
      <c r="AG1583" t="str">
        <f t="shared" ca="1" si="547"/>
        <v>Southeast</v>
      </c>
      <c r="AH1583" t="str">
        <f t="shared" si="530"/>
        <v>April</v>
      </c>
      <c r="AI1583">
        <f t="shared" si="531"/>
        <v>2024</v>
      </c>
      <c r="AJ1583" t="str">
        <f t="shared" ca="1" si="548"/>
        <v>Occupied</v>
      </c>
      <c r="AK1583">
        <f t="shared" ca="1" si="549"/>
        <v>2</v>
      </c>
    </row>
    <row r="1584" spans="1:37" x14ac:dyDescent="0.3">
      <c r="A1584" t="s">
        <v>5978</v>
      </c>
      <c r="B1584">
        <v>80</v>
      </c>
      <c r="C1584" t="s">
        <v>32</v>
      </c>
      <c r="D1584" t="s">
        <v>16</v>
      </c>
      <c r="E1584" t="s">
        <v>25</v>
      </c>
      <c r="F1584" s="1">
        <v>44222</v>
      </c>
      <c r="G1584" t="s">
        <v>3161</v>
      </c>
      <c r="H1584" t="s">
        <v>3162</v>
      </c>
      <c r="I1584" t="s">
        <v>36</v>
      </c>
      <c r="J1584">
        <v>6649</v>
      </c>
      <c r="K1584">
        <v>469</v>
      </c>
      <c r="L1584" t="s">
        <v>29</v>
      </c>
      <c r="M1584" s="1">
        <v>44247</v>
      </c>
      <c r="N1584" t="s">
        <v>22</v>
      </c>
      <c r="O1584" t="s">
        <v>23</v>
      </c>
      <c r="P1584" t="str">
        <f t="shared" si="532"/>
        <v>P1583</v>
      </c>
      <c r="Q1584" t="str">
        <f t="shared" si="528"/>
        <v>Nutrition</v>
      </c>
      <c r="R1584">
        <f t="shared" si="529"/>
        <v>25</v>
      </c>
      <c r="S1584" t="str">
        <f t="shared" ca="1" si="533"/>
        <v>No</v>
      </c>
      <c r="T1584" t="str">
        <f t="shared" ca="1" si="534"/>
        <v>Critical</v>
      </c>
      <c r="U1584" t="str">
        <f t="shared" ca="1" si="535"/>
        <v>Private Ward</v>
      </c>
      <c r="V1584" t="str">
        <f t="shared" si="536"/>
        <v>BED1583</v>
      </c>
      <c r="W1584" t="str">
        <f t="shared" ca="1" si="537"/>
        <v>General</v>
      </c>
      <c r="X1584" t="str">
        <f t="shared" si="538"/>
        <v>NUR033</v>
      </c>
      <c r="Y1584" t="str">
        <f t="shared" ca="1" si="539"/>
        <v>Evening</v>
      </c>
      <c r="Z1584" t="str">
        <f t="shared" ca="1" si="540"/>
        <v>MRI Scanner</v>
      </c>
      <c r="AA1584" t="str">
        <f t="shared" ca="1" si="541"/>
        <v>In Use</v>
      </c>
      <c r="AB1584" t="str">
        <f t="shared" ca="1" si="542"/>
        <v>Partially Paid</v>
      </c>
      <c r="AC1584" t="str">
        <f t="shared" ca="1" si="543"/>
        <v>Cash</v>
      </c>
      <c r="AD1584" t="str">
        <f t="shared" ca="1" si="544"/>
        <v>No</v>
      </c>
      <c r="AE1584" t="str">
        <f t="shared" ca="1" si="545"/>
        <v>No</v>
      </c>
      <c r="AF1584" t="str">
        <f t="shared" ca="1" si="546"/>
        <v>Transferred</v>
      </c>
      <c r="AG1584" t="str">
        <f t="shared" ca="1" si="547"/>
        <v>Southwest</v>
      </c>
      <c r="AH1584" t="str">
        <f t="shared" si="530"/>
        <v>January</v>
      </c>
      <c r="AI1584">
        <f t="shared" si="531"/>
        <v>2021</v>
      </c>
      <c r="AJ1584" t="str">
        <f t="shared" ca="1" si="548"/>
        <v>Occupied</v>
      </c>
      <c r="AK1584">
        <f t="shared" ca="1" si="549"/>
        <v>4</v>
      </c>
    </row>
    <row r="1585" spans="1:37" x14ac:dyDescent="0.3">
      <c r="A1585" t="s">
        <v>5979</v>
      </c>
      <c r="B1585">
        <v>20</v>
      </c>
      <c r="C1585" t="s">
        <v>15</v>
      </c>
      <c r="D1585" t="s">
        <v>24</v>
      </c>
      <c r="E1585" t="s">
        <v>48</v>
      </c>
      <c r="F1585" s="1">
        <v>43717</v>
      </c>
      <c r="G1585" t="s">
        <v>3163</v>
      </c>
      <c r="H1585" t="s">
        <v>3164</v>
      </c>
      <c r="I1585" t="s">
        <v>20</v>
      </c>
      <c r="J1585">
        <v>44393</v>
      </c>
      <c r="K1585">
        <v>148</v>
      </c>
      <c r="L1585" t="s">
        <v>42</v>
      </c>
      <c r="M1585" s="1">
        <v>43746</v>
      </c>
      <c r="N1585" t="s">
        <v>47</v>
      </c>
      <c r="O1585" t="s">
        <v>31</v>
      </c>
      <c r="P1585" t="str">
        <f t="shared" si="532"/>
        <v>P1584</v>
      </c>
      <c r="Q1585" t="str">
        <f t="shared" si="528"/>
        <v>Pulmonology</v>
      </c>
      <c r="R1585">
        <f t="shared" si="529"/>
        <v>29</v>
      </c>
      <c r="S1585" t="str">
        <f t="shared" ca="1" si="533"/>
        <v>No</v>
      </c>
      <c r="T1585" t="str">
        <f t="shared" ca="1" si="534"/>
        <v>Critical</v>
      </c>
      <c r="U1585" t="str">
        <f t="shared" ca="1" si="535"/>
        <v>Emergency</v>
      </c>
      <c r="V1585" t="str">
        <f t="shared" si="536"/>
        <v>BED1584</v>
      </c>
      <c r="W1585" t="str">
        <f t="shared" ca="1" si="537"/>
        <v>ICU</v>
      </c>
      <c r="X1585" t="str">
        <f t="shared" si="538"/>
        <v>NUR034</v>
      </c>
      <c r="Y1585" t="str">
        <f t="shared" ca="1" si="539"/>
        <v>Night</v>
      </c>
      <c r="Z1585" t="str">
        <f t="shared" ca="1" si="540"/>
        <v>ECG Machine</v>
      </c>
      <c r="AA1585" t="str">
        <f t="shared" ca="1" si="541"/>
        <v>Available</v>
      </c>
      <c r="AB1585" t="str">
        <f t="shared" ca="1" si="542"/>
        <v>Pending</v>
      </c>
      <c r="AC1585" t="str">
        <f t="shared" ca="1" si="543"/>
        <v>Credit Card</v>
      </c>
      <c r="AD1585" t="str">
        <f t="shared" ca="1" si="544"/>
        <v>No</v>
      </c>
      <c r="AE1585" t="str">
        <f t="shared" ca="1" si="545"/>
        <v>Yes</v>
      </c>
      <c r="AF1585" t="str">
        <f t="shared" ca="1" si="546"/>
        <v>Transferred</v>
      </c>
      <c r="AG1585" t="str">
        <f t="shared" ca="1" si="547"/>
        <v>Southeast</v>
      </c>
      <c r="AH1585" t="str">
        <f t="shared" si="530"/>
        <v>September</v>
      </c>
      <c r="AI1585">
        <f t="shared" si="531"/>
        <v>2019</v>
      </c>
      <c r="AJ1585" t="str">
        <f t="shared" ca="1" si="548"/>
        <v>Occupied</v>
      </c>
      <c r="AK1585">
        <f t="shared" ca="1" si="549"/>
        <v>2</v>
      </c>
    </row>
    <row r="1586" spans="1:37" x14ac:dyDescent="0.3">
      <c r="A1586" t="s">
        <v>5980</v>
      </c>
      <c r="B1586">
        <v>72</v>
      </c>
      <c r="C1586" t="s">
        <v>32</v>
      </c>
      <c r="D1586" t="s">
        <v>38</v>
      </c>
      <c r="E1586" t="s">
        <v>17</v>
      </c>
      <c r="F1586" s="1">
        <v>43783</v>
      </c>
      <c r="G1586" t="s">
        <v>3165</v>
      </c>
      <c r="H1586" t="s">
        <v>3166</v>
      </c>
      <c r="I1586" t="s">
        <v>36</v>
      </c>
      <c r="J1586">
        <v>27325</v>
      </c>
      <c r="K1586">
        <v>315</v>
      </c>
      <c r="L1586" t="s">
        <v>29</v>
      </c>
      <c r="M1586" s="1">
        <v>43793</v>
      </c>
      <c r="N1586" t="s">
        <v>67</v>
      </c>
      <c r="O1586" t="s">
        <v>23</v>
      </c>
      <c r="P1586" t="str">
        <f t="shared" si="532"/>
        <v>P1585</v>
      </c>
      <c r="Q1586" t="str">
        <f t="shared" si="528"/>
        <v>Oncology</v>
      </c>
      <c r="R1586">
        <f t="shared" si="529"/>
        <v>10</v>
      </c>
      <c r="S1586" t="str">
        <f t="shared" ca="1" si="533"/>
        <v>No</v>
      </c>
      <c r="T1586" t="str">
        <f t="shared" ca="1" si="534"/>
        <v>Severe</v>
      </c>
      <c r="U1586" t="str">
        <f t="shared" ca="1" si="535"/>
        <v>Emergency</v>
      </c>
      <c r="V1586" t="str">
        <f t="shared" si="536"/>
        <v>BED1585</v>
      </c>
      <c r="W1586" t="str">
        <f t="shared" ca="1" si="537"/>
        <v>Private</v>
      </c>
      <c r="X1586" t="str">
        <f t="shared" si="538"/>
        <v>NUR035</v>
      </c>
      <c r="Y1586" t="str">
        <f t="shared" ca="1" si="539"/>
        <v>Night</v>
      </c>
      <c r="Z1586" t="str">
        <f t="shared" ca="1" si="540"/>
        <v>Ultrasound</v>
      </c>
      <c r="AA1586" t="str">
        <f t="shared" ca="1" si="541"/>
        <v>Maintenance</v>
      </c>
      <c r="AB1586" t="str">
        <f t="shared" ca="1" si="542"/>
        <v>Partially Paid</v>
      </c>
      <c r="AC1586" t="str">
        <f t="shared" ca="1" si="543"/>
        <v>Insurance</v>
      </c>
      <c r="AD1586" t="str">
        <f t="shared" ca="1" si="544"/>
        <v>No</v>
      </c>
      <c r="AE1586" t="str">
        <f t="shared" ca="1" si="545"/>
        <v>No</v>
      </c>
      <c r="AF1586" t="str">
        <f t="shared" ca="1" si="546"/>
        <v>Transferred</v>
      </c>
      <c r="AG1586" t="str">
        <f t="shared" ca="1" si="547"/>
        <v>Northeast</v>
      </c>
      <c r="AH1586" t="str">
        <f t="shared" si="530"/>
        <v>November</v>
      </c>
      <c r="AI1586">
        <f t="shared" si="531"/>
        <v>2019</v>
      </c>
      <c r="AJ1586" t="str">
        <f t="shared" ca="1" si="548"/>
        <v>Occupied</v>
      </c>
      <c r="AK1586">
        <f t="shared" ca="1" si="549"/>
        <v>1</v>
      </c>
    </row>
    <row r="1587" spans="1:37" x14ac:dyDescent="0.3">
      <c r="A1587" t="s">
        <v>5981</v>
      </c>
      <c r="B1587">
        <v>53</v>
      </c>
      <c r="C1587" t="s">
        <v>15</v>
      </c>
      <c r="D1587" t="s">
        <v>44</v>
      </c>
      <c r="E1587" t="s">
        <v>76</v>
      </c>
      <c r="F1587" s="1">
        <v>44897</v>
      </c>
      <c r="G1587" t="s">
        <v>3167</v>
      </c>
      <c r="H1587" t="s">
        <v>3168</v>
      </c>
      <c r="I1587" t="s">
        <v>20</v>
      </c>
      <c r="J1587">
        <v>43923</v>
      </c>
      <c r="K1587">
        <v>321</v>
      </c>
      <c r="L1587" t="s">
        <v>21</v>
      </c>
      <c r="M1587" s="1">
        <v>44906</v>
      </c>
      <c r="N1587" t="s">
        <v>30</v>
      </c>
      <c r="O1587" t="s">
        <v>43</v>
      </c>
      <c r="P1587" t="str">
        <f t="shared" si="532"/>
        <v>P1586</v>
      </c>
      <c r="Q1587" t="str">
        <f t="shared" si="528"/>
        <v>Orthopedics</v>
      </c>
      <c r="R1587">
        <f t="shared" si="529"/>
        <v>9</v>
      </c>
      <c r="S1587" t="str">
        <f t="shared" ca="1" si="533"/>
        <v>No</v>
      </c>
      <c r="T1587" t="str">
        <f t="shared" ca="1" si="534"/>
        <v>Moderate</v>
      </c>
      <c r="U1587" t="str">
        <f t="shared" ca="1" si="535"/>
        <v>Emergency</v>
      </c>
      <c r="V1587" t="str">
        <f t="shared" si="536"/>
        <v>BED1586</v>
      </c>
      <c r="W1587" t="str">
        <f t="shared" ca="1" si="537"/>
        <v>ICU</v>
      </c>
      <c r="X1587" t="str">
        <f t="shared" si="538"/>
        <v>NUR036</v>
      </c>
      <c r="Y1587" t="str">
        <f t="shared" ca="1" si="539"/>
        <v>Morning</v>
      </c>
      <c r="Z1587" t="str">
        <f t="shared" ca="1" si="540"/>
        <v>Ventilator</v>
      </c>
      <c r="AA1587" t="str">
        <f t="shared" ca="1" si="541"/>
        <v>Maintenance</v>
      </c>
      <c r="AB1587" t="str">
        <f t="shared" ca="1" si="542"/>
        <v>Paid</v>
      </c>
      <c r="AC1587" t="str">
        <f t="shared" ca="1" si="543"/>
        <v>Insurance</v>
      </c>
      <c r="AD1587" t="str">
        <f t="shared" ca="1" si="544"/>
        <v>No</v>
      </c>
      <c r="AE1587" t="str">
        <f t="shared" ca="1" si="545"/>
        <v>No</v>
      </c>
      <c r="AF1587" t="str">
        <f t="shared" ca="1" si="546"/>
        <v>Recovered</v>
      </c>
      <c r="AG1587" t="str">
        <f t="shared" ca="1" si="547"/>
        <v>West Coast</v>
      </c>
      <c r="AH1587" t="str">
        <f t="shared" si="530"/>
        <v>December</v>
      </c>
      <c r="AI1587">
        <f t="shared" si="531"/>
        <v>2022</v>
      </c>
      <c r="AJ1587" t="str">
        <f t="shared" ca="1" si="548"/>
        <v>Occupied</v>
      </c>
      <c r="AK1587">
        <f t="shared" ca="1" si="549"/>
        <v>1</v>
      </c>
    </row>
    <row r="1588" spans="1:37" x14ac:dyDescent="0.3">
      <c r="A1588" t="s">
        <v>5982</v>
      </c>
      <c r="B1588">
        <v>43</v>
      </c>
      <c r="C1588" t="s">
        <v>15</v>
      </c>
      <c r="D1588" t="s">
        <v>52</v>
      </c>
      <c r="E1588" t="s">
        <v>39</v>
      </c>
      <c r="F1588" s="1">
        <v>43968</v>
      </c>
      <c r="G1588" t="s">
        <v>3169</v>
      </c>
      <c r="H1588" t="s">
        <v>3170</v>
      </c>
      <c r="I1588" t="s">
        <v>51</v>
      </c>
      <c r="J1588">
        <v>44685</v>
      </c>
      <c r="K1588">
        <v>322</v>
      </c>
      <c r="L1588" t="s">
        <v>29</v>
      </c>
      <c r="M1588" s="1">
        <v>43971</v>
      </c>
      <c r="N1588" t="s">
        <v>37</v>
      </c>
      <c r="O1588" t="s">
        <v>23</v>
      </c>
      <c r="P1588" t="str">
        <f t="shared" si="532"/>
        <v>P1587</v>
      </c>
      <c r="Q1588" t="str">
        <f t="shared" si="528"/>
        <v>Endocrinology</v>
      </c>
      <c r="R1588">
        <f t="shared" si="529"/>
        <v>3</v>
      </c>
      <c r="S1588" t="str">
        <f t="shared" ca="1" si="533"/>
        <v>No</v>
      </c>
      <c r="T1588" t="str">
        <f t="shared" ca="1" si="534"/>
        <v>Severe</v>
      </c>
      <c r="U1588" t="str">
        <f t="shared" ca="1" si="535"/>
        <v>Private Ward</v>
      </c>
      <c r="V1588" t="str">
        <f t="shared" si="536"/>
        <v>BED1587</v>
      </c>
      <c r="W1588" t="str">
        <f t="shared" ca="1" si="537"/>
        <v>Semi-Private</v>
      </c>
      <c r="X1588" t="str">
        <f t="shared" si="538"/>
        <v>NUR037</v>
      </c>
      <c r="Y1588" t="str">
        <f t="shared" ca="1" si="539"/>
        <v>Morning</v>
      </c>
      <c r="Z1588" t="str">
        <f t="shared" ca="1" si="540"/>
        <v>ECG Machine</v>
      </c>
      <c r="AA1588" t="str">
        <f t="shared" ca="1" si="541"/>
        <v>Available</v>
      </c>
      <c r="AB1588" t="str">
        <f t="shared" ca="1" si="542"/>
        <v>Pending</v>
      </c>
      <c r="AC1588" t="str">
        <f t="shared" ca="1" si="543"/>
        <v>Bank Transfer</v>
      </c>
      <c r="AD1588" t="str">
        <f t="shared" ca="1" si="544"/>
        <v>No</v>
      </c>
      <c r="AE1588" t="str">
        <f t="shared" ca="1" si="545"/>
        <v>No</v>
      </c>
      <c r="AF1588" t="str">
        <f t="shared" ca="1" si="546"/>
        <v>Transferred</v>
      </c>
      <c r="AG1588" t="str">
        <f t="shared" ca="1" si="547"/>
        <v>Southwest</v>
      </c>
      <c r="AH1588" t="str">
        <f t="shared" si="530"/>
        <v>May</v>
      </c>
      <c r="AI1588">
        <f t="shared" si="531"/>
        <v>2020</v>
      </c>
      <c r="AJ1588" t="str">
        <f t="shared" ca="1" si="548"/>
        <v>Occupied</v>
      </c>
      <c r="AK1588">
        <f t="shared" ca="1" si="549"/>
        <v>4</v>
      </c>
    </row>
    <row r="1589" spans="1:37" x14ac:dyDescent="0.3">
      <c r="A1589" t="s">
        <v>5983</v>
      </c>
      <c r="B1589">
        <v>50</v>
      </c>
      <c r="C1589" t="s">
        <v>32</v>
      </c>
      <c r="D1589" t="s">
        <v>38</v>
      </c>
      <c r="E1589" t="s">
        <v>64</v>
      </c>
      <c r="F1589" s="1">
        <v>44181</v>
      </c>
      <c r="G1589" t="s">
        <v>3171</v>
      </c>
      <c r="H1589" t="s">
        <v>3172</v>
      </c>
      <c r="I1589" t="s">
        <v>20</v>
      </c>
      <c r="J1589">
        <v>31775</v>
      </c>
      <c r="K1589">
        <v>139</v>
      </c>
      <c r="L1589" t="s">
        <v>21</v>
      </c>
      <c r="M1589" s="1">
        <v>44204</v>
      </c>
      <c r="N1589" t="s">
        <v>30</v>
      </c>
      <c r="O1589" t="s">
        <v>43</v>
      </c>
      <c r="P1589" t="str">
        <f t="shared" si="532"/>
        <v>P1588</v>
      </c>
      <c r="Q1589" t="str">
        <f t="shared" si="528"/>
        <v>Cardiology</v>
      </c>
      <c r="R1589">
        <f t="shared" si="529"/>
        <v>23</v>
      </c>
      <c r="S1589" t="str">
        <f t="shared" ca="1" si="533"/>
        <v>No</v>
      </c>
      <c r="T1589" t="str">
        <f t="shared" ca="1" si="534"/>
        <v>Moderate</v>
      </c>
      <c r="U1589" t="str">
        <f t="shared" ca="1" si="535"/>
        <v>ICU</v>
      </c>
      <c r="V1589" t="str">
        <f t="shared" si="536"/>
        <v>BED1588</v>
      </c>
      <c r="W1589" t="str">
        <f t="shared" ca="1" si="537"/>
        <v>Private</v>
      </c>
      <c r="X1589" t="str">
        <f t="shared" si="538"/>
        <v>NUR038</v>
      </c>
      <c r="Y1589" t="str">
        <f t="shared" ca="1" si="539"/>
        <v>Night</v>
      </c>
      <c r="Z1589" t="str">
        <f t="shared" ca="1" si="540"/>
        <v>ECG Machine</v>
      </c>
      <c r="AA1589" t="str">
        <f t="shared" ca="1" si="541"/>
        <v>Maintenance</v>
      </c>
      <c r="AB1589" t="str">
        <f t="shared" ca="1" si="542"/>
        <v>Paid</v>
      </c>
      <c r="AC1589" t="str">
        <f t="shared" ca="1" si="543"/>
        <v>Insurance</v>
      </c>
      <c r="AD1589" t="str">
        <f t="shared" ca="1" si="544"/>
        <v>No</v>
      </c>
      <c r="AE1589" t="str">
        <f t="shared" ca="1" si="545"/>
        <v>No</v>
      </c>
      <c r="AF1589" t="str">
        <f t="shared" ca="1" si="546"/>
        <v>Recovered</v>
      </c>
      <c r="AG1589" t="str">
        <f t="shared" ca="1" si="547"/>
        <v>Southeast</v>
      </c>
      <c r="AH1589" t="str">
        <f t="shared" si="530"/>
        <v>December</v>
      </c>
      <c r="AI1589">
        <f t="shared" si="531"/>
        <v>2020</v>
      </c>
      <c r="AJ1589" t="str">
        <f t="shared" ca="1" si="548"/>
        <v>Occupied</v>
      </c>
      <c r="AK1589">
        <f t="shared" ca="1" si="549"/>
        <v>2</v>
      </c>
    </row>
    <row r="1590" spans="1:37" x14ac:dyDescent="0.3">
      <c r="A1590" t="s">
        <v>5984</v>
      </c>
      <c r="B1590">
        <v>72</v>
      </c>
      <c r="C1590" t="s">
        <v>32</v>
      </c>
      <c r="D1590" t="s">
        <v>16</v>
      </c>
      <c r="E1590" t="s">
        <v>25</v>
      </c>
      <c r="F1590" s="1">
        <v>44427</v>
      </c>
      <c r="G1590" t="s">
        <v>3173</v>
      </c>
      <c r="H1590" t="s">
        <v>1228</v>
      </c>
      <c r="I1590" t="s">
        <v>28</v>
      </c>
      <c r="J1590">
        <v>48196</v>
      </c>
      <c r="K1590">
        <v>213</v>
      </c>
      <c r="L1590" t="s">
        <v>21</v>
      </c>
      <c r="M1590" s="1">
        <v>44444</v>
      </c>
      <c r="N1590" t="s">
        <v>22</v>
      </c>
      <c r="O1590" t="s">
        <v>31</v>
      </c>
      <c r="P1590" t="str">
        <f t="shared" si="532"/>
        <v>P1589</v>
      </c>
      <c r="Q1590" t="str">
        <f t="shared" si="528"/>
        <v>Nutrition</v>
      </c>
      <c r="R1590">
        <f t="shared" si="529"/>
        <v>17</v>
      </c>
      <c r="S1590" t="str">
        <f t="shared" ca="1" si="533"/>
        <v>No</v>
      </c>
      <c r="T1590" t="str">
        <f t="shared" ca="1" si="534"/>
        <v>Moderate</v>
      </c>
      <c r="U1590" t="str">
        <f t="shared" ca="1" si="535"/>
        <v>ICU</v>
      </c>
      <c r="V1590" t="str">
        <f t="shared" si="536"/>
        <v>BED1589</v>
      </c>
      <c r="W1590" t="str">
        <f t="shared" ca="1" si="537"/>
        <v>ICU</v>
      </c>
      <c r="X1590" t="str">
        <f t="shared" si="538"/>
        <v>NUR039</v>
      </c>
      <c r="Y1590" t="str">
        <f t="shared" ca="1" si="539"/>
        <v>Morning</v>
      </c>
      <c r="Z1590" t="str">
        <f t="shared" ca="1" si="540"/>
        <v>MRI Scanner</v>
      </c>
      <c r="AA1590" t="str">
        <f t="shared" ca="1" si="541"/>
        <v>Available</v>
      </c>
      <c r="AB1590" t="str">
        <f t="shared" ca="1" si="542"/>
        <v>Paid</v>
      </c>
      <c r="AC1590" t="str">
        <f t="shared" ca="1" si="543"/>
        <v>Cash</v>
      </c>
      <c r="AD1590" t="str">
        <f t="shared" ca="1" si="544"/>
        <v>No</v>
      </c>
      <c r="AE1590" t="str">
        <f t="shared" ca="1" si="545"/>
        <v>No</v>
      </c>
      <c r="AF1590" t="str">
        <f t="shared" ca="1" si="546"/>
        <v>Transferred</v>
      </c>
      <c r="AG1590" t="str">
        <f t="shared" ca="1" si="547"/>
        <v>Southeast</v>
      </c>
      <c r="AH1590" t="str">
        <f t="shared" si="530"/>
        <v>August</v>
      </c>
      <c r="AI1590">
        <f t="shared" si="531"/>
        <v>2021</v>
      </c>
      <c r="AJ1590" t="str">
        <f t="shared" ca="1" si="548"/>
        <v>Occupied</v>
      </c>
      <c r="AK1590">
        <f t="shared" ca="1" si="549"/>
        <v>2</v>
      </c>
    </row>
    <row r="1591" spans="1:37" x14ac:dyDescent="0.3">
      <c r="A1591" t="s">
        <v>5985</v>
      </c>
      <c r="B1591">
        <v>73</v>
      </c>
      <c r="C1591" t="s">
        <v>32</v>
      </c>
      <c r="D1591" t="s">
        <v>52</v>
      </c>
      <c r="E1591" t="s">
        <v>39</v>
      </c>
      <c r="F1591" s="1">
        <v>44114</v>
      </c>
      <c r="G1591" t="s">
        <v>3174</v>
      </c>
      <c r="H1591" t="s">
        <v>3175</v>
      </c>
      <c r="I1591" t="s">
        <v>20</v>
      </c>
      <c r="J1591">
        <v>11496</v>
      </c>
      <c r="K1591">
        <v>205</v>
      </c>
      <c r="L1591" t="s">
        <v>42</v>
      </c>
      <c r="M1591" s="1">
        <v>44138</v>
      </c>
      <c r="N1591" t="s">
        <v>30</v>
      </c>
      <c r="O1591" t="s">
        <v>31</v>
      </c>
      <c r="P1591" t="str">
        <f t="shared" si="532"/>
        <v>P1590</v>
      </c>
      <c r="Q1591" t="str">
        <f t="shared" si="528"/>
        <v>Endocrinology</v>
      </c>
      <c r="R1591">
        <f t="shared" si="529"/>
        <v>24</v>
      </c>
      <c r="S1591" t="str">
        <f t="shared" ca="1" si="533"/>
        <v>No</v>
      </c>
      <c r="T1591" t="str">
        <f t="shared" ca="1" si="534"/>
        <v>Moderate</v>
      </c>
      <c r="U1591" t="str">
        <f t="shared" ca="1" si="535"/>
        <v>General Ward</v>
      </c>
      <c r="V1591" t="str">
        <f t="shared" si="536"/>
        <v>BED1590</v>
      </c>
      <c r="W1591" t="str">
        <f t="shared" ca="1" si="537"/>
        <v>Semi-Private</v>
      </c>
      <c r="X1591" t="str">
        <f t="shared" si="538"/>
        <v>NUR040</v>
      </c>
      <c r="Y1591" t="str">
        <f t="shared" ca="1" si="539"/>
        <v>Evening</v>
      </c>
      <c r="Z1591" t="str">
        <f t="shared" ca="1" si="540"/>
        <v>Ultrasound</v>
      </c>
      <c r="AA1591" t="str">
        <f t="shared" ca="1" si="541"/>
        <v>In Use</v>
      </c>
      <c r="AB1591" t="str">
        <f t="shared" ca="1" si="542"/>
        <v>Partially Paid</v>
      </c>
      <c r="AC1591" t="str">
        <f t="shared" ca="1" si="543"/>
        <v>Debit Card</v>
      </c>
      <c r="AD1591" t="str">
        <f t="shared" ca="1" si="544"/>
        <v>No</v>
      </c>
      <c r="AE1591" t="str">
        <f t="shared" ca="1" si="545"/>
        <v>No</v>
      </c>
      <c r="AF1591" t="str">
        <f t="shared" ca="1" si="546"/>
        <v>Recovered</v>
      </c>
      <c r="AG1591" t="str">
        <f t="shared" ca="1" si="547"/>
        <v>West Coast</v>
      </c>
      <c r="AH1591" t="str">
        <f t="shared" si="530"/>
        <v>October</v>
      </c>
      <c r="AI1591">
        <f t="shared" si="531"/>
        <v>2020</v>
      </c>
      <c r="AJ1591" t="str">
        <f t="shared" ca="1" si="548"/>
        <v>Vacant</v>
      </c>
      <c r="AK1591">
        <f t="shared" ca="1" si="549"/>
        <v>2</v>
      </c>
    </row>
    <row r="1592" spans="1:37" x14ac:dyDescent="0.3">
      <c r="A1592" t="s">
        <v>5986</v>
      </c>
      <c r="B1592">
        <v>20</v>
      </c>
      <c r="C1592" t="s">
        <v>15</v>
      </c>
      <c r="D1592" t="s">
        <v>98</v>
      </c>
      <c r="E1592" t="s">
        <v>76</v>
      </c>
      <c r="F1592" s="1">
        <v>44781</v>
      </c>
      <c r="G1592" t="s">
        <v>3176</v>
      </c>
      <c r="H1592" t="s">
        <v>3177</v>
      </c>
      <c r="I1592" t="s">
        <v>57</v>
      </c>
      <c r="J1592">
        <v>23168</v>
      </c>
      <c r="K1592">
        <v>175</v>
      </c>
      <c r="L1592" t="s">
        <v>29</v>
      </c>
      <c r="M1592" s="1">
        <v>44807</v>
      </c>
      <c r="N1592" t="s">
        <v>30</v>
      </c>
      <c r="O1592" t="s">
        <v>23</v>
      </c>
      <c r="P1592" t="str">
        <f t="shared" si="532"/>
        <v>P1591</v>
      </c>
      <c r="Q1592" t="str">
        <f t="shared" si="528"/>
        <v>Orthopedics</v>
      </c>
      <c r="R1592">
        <f t="shared" si="529"/>
        <v>26</v>
      </c>
      <c r="S1592" t="str">
        <f t="shared" ca="1" si="533"/>
        <v>No</v>
      </c>
      <c r="T1592" t="str">
        <f t="shared" ca="1" si="534"/>
        <v>Mild</v>
      </c>
      <c r="U1592" t="str">
        <f t="shared" ca="1" si="535"/>
        <v>ICU</v>
      </c>
      <c r="V1592" t="str">
        <f t="shared" si="536"/>
        <v>BED1591</v>
      </c>
      <c r="W1592" t="str">
        <f t="shared" ca="1" si="537"/>
        <v>Private</v>
      </c>
      <c r="X1592" t="str">
        <f t="shared" si="538"/>
        <v>NUR041</v>
      </c>
      <c r="Y1592" t="str">
        <f t="shared" ca="1" si="539"/>
        <v>Night</v>
      </c>
      <c r="Z1592" t="str">
        <f t="shared" ca="1" si="540"/>
        <v>CT Scanner</v>
      </c>
      <c r="AA1592" t="str">
        <f t="shared" ca="1" si="541"/>
        <v>Maintenance</v>
      </c>
      <c r="AB1592" t="str">
        <f t="shared" ca="1" si="542"/>
        <v>Partially Paid</v>
      </c>
      <c r="AC1592" t="str">
        <f t="shared" ca="1" si="543"/>
        <v>Bank Transfer</v>
      </c>
      <c r="AD1592" t="str">
        <f t="shared" ca="1" si="544"/>
        <v>No</v>
      </c>
      <c r="AE1592" t="str">
        <f t="shared" ca="1" si="545"/>
        <v>Yes</v>
      </c>
      <c r="AF1592" t="str">
        <f t="shared" ca="1" si="546"/>
        <v>Under Observation</v>
      </c>
      <c r="AG1592" t="str">
        <f t="shared" ca="1" si="547"/>
        <v>Northeast</v>
      </c>
      <c r="AH1592" t="str">
        <f t="shared" si="530"/>
        <v>August</v>
      </c>
      <c r="AI1592">
        <f t="shared" si="531"/>
        <v>2022</v>
      </c>
      <c r="AJ1592" t="str">
        <f t="shared" ca="1" si="548"/>
        <v>Occupied</v>
      </c>
      <c r="AK1592">
        <f t="shared" ca="1" si="549"/>
        <v>4</v>
      </c>
    </row>
    <row r="1593" spans="1:37" x14ac:dyDescent="0.3">
      <c r="A1593" t="s">
        <v>5987</v>
      </c>
      <c r="B1593">
        <v>33</v>
      </c>
      <c r="C1593" t="s">
        <v>15</v>
      </c>
      <c r="D1593" t="s">
        <v>33</v>
      </c>
      <c r="E1593" t="s">
        <v>39</v>
      </c>
      <c r="F1593" s="1">
        <v>43677</v>
      </c>
      <c r="G1593" t="s">
        <v>3178</v>
      </c>
      <c r="H1593" t="s">
        <v>3179</v>
      </c>
      <c r="I1593" t="s">
        <v>57</v>
      </c>
      <c r="J1593">
        <v>8640</v>
      </c>
      <c r="K1593">
        <v>123</v>
      </c>
      <c r="L1593" t="s">
        <v>29</v>
      </c>
      <c r="M1593" s="1">
        <v>43689</v>
      </c>
      <c r="N1593" t="s">
        <v>47</v>
      </c>
      <c r="O1593" t="s">
        <v>43</v>
      </c>
      <c r="P1593" t="str">
        <f t="shared" si="532"/>
        <v>P1592</v>
      </c>
      <c r="Q1593" t="str">
        <f t="shared" si="528"/>
        <v>Endocrinology</v>
      </c>
      <c r="R1593">
        <f t="shared" si="529"/>
        <v>12</v>
      </c>
      <c r="S1593" t="str">
        <f t="shared" ca="1" si="533"/>
        <v>No</v>
      </c>
      <c r="T1593" t="str">
        <f t="shared" ca="1" si="534"/>
        <v>Critical</v>
      </c>
      <c r="U1593" t="str">
        <f t="shared" ca="1" si="535"/>
        <v>Emergency</v>
      </c>
      <c r="V1593" t="str">
        <f t="shared" si="536"/>
        <v>BED1592</v>
      </c>
      <c r="W1593" t="str">
        <f t="shared" ca="1" si="537"/>
        <v>ICU</v>
      </c>
      <c r="X1593" t="str">
        <f t="shared" si="538"/>
        <v>NUR042</v>
      </c>
      <c r="Y1593" t="str">
        <f t="shared" ca="1" si="539"/>
        <v>Night</v>
      </c>
      <c r="Z1593" t="str">
        <f t="shared" ca="1" si="540"/>
        <v>Ultrasound</v>
      </c>
      <c r="AA1593" t="str">
        <f t="shared" ca="1" si="541"/>
        <v>Maintenance</v>
      </c>
      <c r="AB1593" t="str">
        <f t="shared" ca="1" si="542"/>
        <v>Partially Paid</v>
      </c>
      <c r="AC1593" t="str">
        <f t="shared" ca="1" si="543"/>
        <v>Insurance</v>
      </c>
      <c r="AD1593" t="str">
        <f t="shared" ca="1" si="544"/>
        <v>Yes</v>
      </c>
      <c r="AE1593" t="str">
        <f t="shared" ca="1" si="545"/>
        <v>No</v>
      </c>
      <c r="AF1593" t="str">
        <f t="shared" ca="1" si="546"/>
        <v>Recovered</v>
      </c>
      <c r="AG1593" t="str">
        <f t="shared" ca="1" si="547"/>
        <v>Southwest</v>
      </c>
      <c r="AH1593" t="str">
        <f t="shared" si="530"/>
        <v>July</v>
      </c>
      <c r="AI1593">
        <f t="shared" si="531"/>
        <v>2019</v>
      </c>
      <c r="AJ1593" t="str">
        <f t="shared" ca="1" si="548"/>
        <v>Occupied</v>
      </c>
      <c r="AK1593">
        <f t="shared" ca="1" si="549"/>
        <v>4</v>
      </c>
    </row>
    <row r="1594" spans="1:37" x14ac:dyDescent="0.3">
      <c r="A1594" t="s">
        <v>5988</v>
      </c>
      <c r="B1594">
        <v>33</v>
      </c>
      <c r="C1594" t="s">
        <v>15</v>
      </c>
      <c r="D1594" t="s">
        <v>83</v>
      </c>
      <c r="E1594" t="s">
        <v>25</v>
      </c>
      <c r="F1594" s="1">
        <v>43978</v>
      </c>
      <c r="G1594" t="s">
        <v>3180</v>
      </c>
      <c r="H1594" t="s">
        <v>3181</v>
      </c>
      <c r="I1594" t="s">
        <v>36</v>
      </c>
      <c r="J1594">
        <v>6432</v>
      </c>
      <c r="K1594">
        <v>427</v>
      </c>
      <c r="L1594" t="s">
        <v>21</v>
      </c>
      <c r="M1594" s="1">
        <v>43989</v>
      </c>
      <c r="N1594" t="s">
        <v>37</v>
      </c>
      <c r="O1594" t="s">
        <v>31</v>
      </c>
      <c r="P1594" t="str">
        <f t="shared" si="532"/>
        <v>P1593</v>
      </c>
      <c r="Q1594" t="str">
        <f t="shared" si="528"/>
        <v>Nutrition</v>
      </c>
      <c r="R1594">
        <f t="shared" si="529"/>
        <v>11</v>
      </c>
      <c r="S1594" t="str">
        <f t="shared" ca="1" si="533"/>
        <v>No</v>
      </c>
      <c r="T1594" t="str">
        <f t="shared" ca="1" si="534"/>
        <v>Severe</v>
      </c>
      <c r="U1594" t="str">
        <f t="shared" ca="1" si="535"/>
        <v>Emergency</v>
      </c>
      <c r="V1594" t="str">
        <f t="shared" si="536"/>
        <v>BED1593</v>
      </c>
      <c r="W1594" t="str">
        <f t="shared" ca="1" si="537"/>
        <v>Semi-Private</v>
      </c>
      <c r="X1594" t="str">
        <f t="shared" si="538"/>
        <v>NUR043</v>
      </c>
      <c r="Y1594" t="str">
        <f t="shared" ca="1" si="539"/>
        <v>Evening</v>
      </c>
      <c r="Z1594" t="str">
        <f t="shared" ca="1" si="540"/>
        <v>X-Ray</v>
      </c>
      <c r="AA1594" t="str">
        <f t="shared" ca="1" si="541"/>
        <v>In Use</v>
      </c>
      <c r="AB1594" t="str">
        <f t="shared" ca="1" si="542"/>
        <v>Partially Paid</v>
      </c>
      <c r="AC1594" t="str">
        <f t="shared" ca="1" si="543"/>
        <v>Bank Transfer</v>
      </c>
      <c r="AD1594" t="str">
        <f t="shared" ca="1" si="544"/>
        <v>No</v>
      </c>
      <c r="AE1594" t="str">
        <f t="shared" ca="1" si="545"/>
        <v>No</v>
      </c>
      <c r="AF1594" t="str">
        <f t="shared" ca="1" si="546"/>
        <v>Under Observation</v>
      </c>
      <c r="AG1594" t="str">
        <f t="shared" ca="1" si="547"/>
        <v>Southwest</v>
      </c>
      <c r="AH1594" t="str">
        <f t="shared" si="530"/>
        <v>May</v>
      </c>
      <c r="AI1594">
        <f t="shared" si="531"/>
        <v>2020</v>
      </c>
      <c r="AJ1594" t="str">
        <f t="shared" ca="1" si="548"/>
        <v>Occupied</v>
      </c>
      <c r="AK1594">
        <f t="shared" ca="1" si="549"/>
        <v>1</v>
      </c>
    </row>
    <row r="1595" spans="1:37" x14ac:dyDescent="0.3">
      <c r="A1595" t="s">
        <v>5989</v>
      </c>
      <c r="B1595">
        <v>82</v>
      </c>
      <c r="C1595" t="s">
        <v>15</v>
      </c>
      <c r="D1595" t="s">
        <v>24</v>
      </c>
      <c r="E1595" t="s">
        <v>64</v>
      </c>
      <c r="F1595" s="1">
        <v>44752</v>
      </c>
      <c r="G1595" t="s">
        <v>3182</v>
      </c>
      <c r="H1595" t="s">
        <v>3183</v>
      </c>
      <c r="I1595" t="s">
        <v>57</v>
      </c>
      <c r="J1595">
        <v>22388</v>
      </c>
      <c r="K1595">
        <v>312</v>
      </c>
      <c r="L1595" t="s">
        <v>29</v>
      </c>
      <c r="M1595" s="1">
        <v>44773</v>
      </c>
      <c r="N1595" t="s">
        <v>47</v>
      </c>
      <c r="O1595" t="s">
        <v>31</v>
      </c>
      <c r="P1595" t="str">
        <f t="shared" si="532"/>
        <v>P1594</v>
      </c>
      <c r="Q1595" t="str">
        <f t="shared" si="528"/>
        <v>Cardiology</v>
      </c>
      <c r="R1595">
        <f t="shared" si="529"/>
        <v>21</v>
      </c>
      <c r="S1595" t="str">
        <f t="shared" ca="1" si="533"/>
        <v>No</v>
      </c>
      <c r="T1595" t="str">
        <f t="shared" ca="1" si="534"/>
        <v>Critical</v>
      </c>
      <c r="U1595" t="str">
        <f t="shared" ca="1" si="535"/>
        <v>ICU</v>
      </c>
      <c r="V1595" t="str">
        <f t="shared" si="536"/>
        <v>BED1594</v>
      </c>
      <c r="W1595" t="str">
        <f t="shared" ca="1" si="537"/>
        <v>Semi-Private</v>
      </c>
      <c r="X1595" t="str">
        <f t="shared" si="538"/>
        <v>NUR044</v>
      </c>
      <c r="Y1595" t="str">
        <f t="shared" ca="1" si="539"/>
        <v>Night</v>
      </c>
      <c r="Z1595" t="str">
        <f t="shared" ca="1" si="540"/>
        <v>CT Scanner</v>
      </c>
      <c r="AA1595" t="str">
        <f t="shared" ca="1" si="541"/>
        <v>Maintenance</v>
      </c>
      <c r="AB1595" t="str">
        <f t="shared" ca="1" si="542"/>
        <v>Partially Paid</v>
      </c>
      <c r="AC1595" t="str">
        <f t="shared" ca="1" si="543"/>
        <v>Credit Card</v>
      </c>
      <c r="AD1595" t="str">
        <f t="shared" ca="1" si="544"/>
        <v>Yes</v>
      </c>
      <c r="AE1595" t="str">
        <f t="shared" ca="1" si="545"/>
        <v>No</v>
      </c>
      <c r="AF1595" t="str">
        <f t="shared" ca="1" si="546"/>
        <v>Under Observation</v>
      </c>
      <c r="AG1595" t="str">
        <f t="shared" ca="1" si="547"/>
        <v>Southwest</v>
      </c>
      <c r="AH1595" t="str">
        <f t="shared" si="530"/>
        <v>July</v>
      </c>
      <c r="AI1595">
        <f t="shared" si="531"/>
        <v>2022</v>
      </c>
      <c r="AJ1595" t="str">
        <f t="shared" ca="1" si="548"/>
        <v>Vacant</v>
      </c>
      <c r="AK1595">
        <f t="shared" ca="1" si="549"/>
        <v>4</v>
      </c>
    </row>
    <row r="1596" spans="1:37" x14ac:dyDescent="0.3">
      <c r="A1596" t="s">
        <v>5990</v>
      </c>
      <c r="B1596">
        <v>60</v>
      </c>
      <c r="C1596" t="s">
        <v>32</v>
      </c>
      <c r="D1596" t="s">
        <v>38</v>
      </c>
      <c r="E1596" t="s">
        <v>25</v>
      </c>
      <c r="F1596" s="1">
        <v>44439</v>
      </c>
      <c r="G1596" t="s">
        <v>3184</v>
      </c>
      <c r="H1596" t="s">
        <v>3185</v>
      </c>
      <c r="I1596" t="s">
        <v>57</v>
      </c>
      <c r="J1596">
        <v>17563</v>
      </c>
      <c r="K1596">
        <v>281</v>
      </c>
      <c r="L1596" t="s">
        <v>21</v>
      </c>
      <c r="M1596" s="1">
        <v>44442</v>
      </c>
      <c r="N1596" t="s">
        <v>47</v>
      </c>
      <c r="O1596" t="s">
        <v>31</v>
      </c>
      <c r="P1596" t="str">
        <f t="shared" si="532"/>
        <v>P1595</v>
      </c>
      <c r="Q1596" t="str">
        <f t="shared" si="528"/>
        <v>Nutrition</v>
      </c>
      <c r="R1596">
        <f t="shared" si="529"/>
        <v>3</v>
      </c>
      <c r="S1596" t="str">
        <f t="shared" ca="1" si="533"/>
        <v>No</v>
      </c>
      <c r="T1596" t="str">
        <f t="shared" ca="1" si="534"/>
        <v>Severe</v>
      </c>
      <c r="U1596" t="str">
        <f t="shared" ca="1" si="535"/>
        <v>Semi-Private</v>
      </c>
      <c r="V1596" t="str">
        <f t="shared" si="536"/>
        <v>BED1595</v>
      </c>
      <c r="W1596" t="str">
        <f t="shared" ca="1" si="537"/>
        <v>Semi-Private</v>
      </c>
      <c r="X1596" t="str">
        <f t="shared" si="538"/>
        <v>NUR045</v>
      </c>
      <c r="Y1596" t="str">
        <f t="shared" ca="1" si="539"/>
        <v>Morning</v>
      </c>
      <c r="Z1596" t="str">
        <f t="shared" ca="1" si="540"/>
        <v>Ultrasound</v>
      </c>
      <c r="AA1596" t="str">
        <f t="shared" ca="1" si="541"/>
        <v>Maintenance</v>
      </c>
      <c r="AB1596" t="str">
        <f t="shared" ca="1" si="542"/>
        <v>Paid</v>
      </c>
      <c r="AC1596" t="str">
        <f t="shared" ca="1" si="543"/>
        <v>Insurance</v>
      </c>
      <c r="AD1596" t="str">
        <f t="shared" ca="1" si="544"/>
        <v>Yes</v>
      </c>
      <c r="AE1596" t="str">
        <f t="shared" ca="1" si="545"/>
        <v>Yes</v>
      </c>
      <c r="AF1596" t="str">
        <f t="shared" ca="1" si="546"/>
        <v>Recovered</v>
      </c>
      <c r="AG1596" t="str">
        <f t="shared" ca="1" si="547"/>
        <v>Northeast</v>
      </c>
      <c r="AH1596" t="str">
        <f t="shared" si="530"/>
        <v>August</v>
      </c>
      <c r="AI1596">
        <f t="shared" si="531"/>
        <v>2021</v>
      </c>
      <c r="AJ1596" t="str">
        <f t="shared" ca="1" si="548"/>
        <v>Occupied</v>
      </c>
      <c r="AK1596">
        <f t="shared" ca="1" si="549"/>
        <v>4</v>
      </c>
    </row>
    <row r="1597" spans="1:37" x14ac:dyDescent="0.3">
      <c r="A1597" t="s">
        <v>5991</v>
      </c>
      <c r="B1597">
        <v>64</v>
      </c>
      <c r="C1597" t="s">
        <v>32</v>
      </c>
      <c r="D1597" t="s">
        <v>24</v>
      </c>
      <c r="E1597" t="s">
        <v>39</v>
      </c>
      <c r="F1597" s="1">
        <v>44800</v>
      </c>
      <c r="G1597" t="s">
        <v>3186</v>
      </c>
      <c r="H1597" t="s">
        <v>3187</v>
      </c>
      <c r="I1597" t="s">
        <v>20</v>
      </c>
      <c r="J1597">
        <v>25370</v>
      </c>
      <c r="K1597">
        <v>101</v>
      </c>
      <c r="L1597" t="s">
        <v>42</v>
      </c>
      <c r="M1597" s="1">
        <v>44808</v>
      </c>
      <c r="N1597" t="s">
        <v>67</v>
      </c>
      <c r="O1597" t="s">
        <v>43</v>
      </c>
      <c r="P1597" t="str">
        <f t="shared" si="532"/>
        <v>P1596</v>
      </c>
      <c r="Q1597" t="str">
        <f t="shared" si="528"/>
        <v>Endocrinology</v>
      </c>
      <c r="R1597">
        <f t="shared" si="529"/>
        <v>8</v>
      </c>
      <c r="S1597" t="str">
        <f t="shared" ca="1" si="533"/>
        <v>No</v>
      </c>
      <c r="T1597" t="str">
        <f t="shared" ca="1" si="534"/>
        <v>Severe</v>
      </c>
      <c r="U1597" t="str">
        <f t="shared" ca="1" si="535"/>
        <v>Semi-Private</v>
      </c>
      <c r="V1597" t="str">
        <f t="shared" si="536"/>
        <v>BED1596</v>
      </c>
      <c r="W1597" t="str">
        <f t="shared" ca="1" si="537"/>
        <v>Semi-Private</v>
      </c>
      <c r="X1597" t="str">
        <f t="shared" si="538"/>
        <v>NUR046</v>
      </c>
      <c r="Y1597" t="str">
        <f t="shared" ca="1" si="539"/>
        <v>Night</v>
      </c>
      <c r="Z1597" t="str">
        <f t="shared" ca="1" si="540"/>
        <v>ECG Machine</v>
      </c>
      <c r="AA1597" t="str">
        <f t="shared" ca="1" si="541"/>
        <v>Available</v>
      </c>
      <c r="AB1597" t="str">
        <f t="shared" ca="1" si="542"/>
        <v>Paid</v>
      </c>
      <c r="AC1597" t="str">
        <f t="shared" ca="1" si="543"/>
        <v>Insurance</v>
      </c>
      <c r="AD1597" t="str">
        <f t="shared" ca="1" si="544"/>
        <v>Yes</v>
      </c>
      <c r="AE1597" t="str">
        <f t="shared" ca="1" si="545"/>
        <v>No</v>
      </c>
      <c r="AF1597" t="str">
        <f t="shared" ca="1" si="546"/>
        <v>Recovered</v>
      </c>
      <c r="AG1597" t="str">
        <f t="shared" ca="1" si="547"/>
        <v>Southwest</v>
      </c>
      <c r="AH1597" t="str">
        <f t="shared" si="530"/>
        <v>August</v>
      </c>
      <c r="AI1597">
        <f t="shared" si="531"/>
        <v>2022</v>
      </c>
      <c r="AJ1597" t="str">
        <f t="shared" ca="1" si="548"/>
        <v>Occupied</v>
      </c>
      <c r="AK1597">
        <f t="shared" ca="1" si="549"/>
        <v>1</v>
      </c>
    </row>
    <row r="1598" spans="1:37" x14ac:dyDescent="0.3">
      <c r="A1598" t="s">
        <v>5992</v>
      </c>
      <c r="B1598">
        <v>20</v>
      </c>
      <c r="C1598" t="s">
        <v>32</v>
      </c>
      <c r="D1598" t="s">
        <v>38</v>
      </c>
      <c r="E1598" t="s">
        <v>25</v>
      </c>
      <c r="F1598" s="1">
        <v>43920</v>
      </c>
      <c r="G1598" t="s">
        <v>3188</v>
      </c>
      <c r="H1598" t="s">
        <v>3189</v>
      </c>
      <c r="I1598" t="s">
        <v>57</v>
      </c>
      <c r="J1598">
        <v>44578</v>
      </c>
      <c r="K1598">
        <v>249</v>
      </c>
      <c r="L1598" t="s">
        <v>21</v>
      </c>
      <c r="M1598" s="1">
        <v>43936</v>
      </c>
      <c r="N1598" t="s">
        <v>37</v>
      </c>
      <c r="O1598" t="s">
        <v>31</v>
      </c>
      <c r="P1598" t="str">
        <f t="shared" si="532"/>
        <v>P1597</v>
      </c>
      <c r="Q1598" t="str">
        <f t="shared" si="528"/>
        <v>Nutrition</v>
      </c>
      <c r="R1598">
        <f t="shared" si="529"/>
        <v>16</v>
      </c>
      <c r="S1598" t="str">
        <f t="shared" ca="1" si="533"/>
        <v>No</v>
      </c>
      <c r="T1598" t="str">
        <f t="shared" ca="1" si="534"/>
        <v>Mild</v>
      </c>
      <c r="U1598" t="str">
        <f t="shared" ca="1" si="535"/>
        <v>Semi-Private</v>
      </c>
      <c r="V1598" t="str">
        <f t="shared" si="536"/>
        <v>BED1597</v>
      </c>
      <c r="W1598" t="str">
        <f t="shared" ca="1" si="537"/>
        <v>ICU</v>
      </c>
      <c r="X1598" t="str">
        <f t="shared" si="538"/>
        <v>NUR047</v>
      </c>
      <c r="Y1598" t="str">
        <f t="shared" ca="1" si="539"/>
        <v>Evening</v>
      </c>
      <c r="Z1598" t="str">
        <f t="shared" ca="1" si="540"/>
        <v>Ventilator</v>
      </c>
      <c r="AA1598" t="str">
        <f t="shared" ca="1" si="541"/>
        <v>Available</v>
      </c>
      <c r="AB1598" t="str">
        <f t="shared" ca="1" si="542"/>
        <v>Partially Paid</v>
      </c>
      <c r="AC1598" t="str">
        <f t="shared" ca="1" si="543"/>
        <v>Debit Card</v>
      </c>
      <c r="AD1598" t="str">
        <f t="shared" ca="1" si="544"/>
        <v>No</v>
      </c>
      <c r="AE1598" t="str">
        <f t="shared" ca="1" si="545"/>
        <v>Yes</v>
      </c>
      <c r="AF1598" t="str">
        <f t="shared" ca="1" si="546"/>
        <v>Under Observation</v>
      </c>
      <c r="AG1598" t="str">
        <f t="shared" ca="1" si="547"/>
        <v>Southeast</v>
      </c>
      <c r="AH1598" t="str">
        <f t="shared" si="530"/>
        <v>March</v>
      </c>
      <c r="AI1598">
        <f t="shared" si="531"/>
        <v>2020</v>
      </c>
      <c r="AJ1598" t="str">
        <f t="shared" ca="1" si="548"/>
        <v>Occupied</v>
      </c>
      <c r="AK1598">
        <f t="shared" ca="1" si="549"/>
        <v>1</v>
      </c>
    </row>
    <row r="1599" spans="1:37" x14ac:dyDescent="0.3">
      <c r="A1599" t="s">
        <v>5993</v>
      </c>
      <c r="B1599">
        <v>47</v>
      </c>
      <c r="C1599" t="s">
        <v>15</v>
      </c>
      <c r="D1599" t="s">
        <v>83</v>
      </c>
      <c r="E1599" t="s">
        <v>48</v>
      </c>
      <c r="F1599" s="1">
        <v>44135</v>
      </c>
      <c r="G1599" t="s">
        <v>3190</v>
      </c>
      <c r="H1599" t="s">
        <v>3191</v>
      </c>
      <c r="I1599" t="s">
        <v>36</v>
      </c>
      <c r="J1599">
        <v>5880</v>
      </c>
      <c r="K1599">
        <v>220</v>
      </c>
      <c r="L1599" t="s">
        <v>29</v>
      </c>
      <c r="M1599" s="1">
        <v>44155</v>
      </c>
      <c r="N1599" t="s">
        <v>37</v>
      </c>
      <c r="O1599" t="s">
        <v>31</v>
      </c>
      <c r="P1599" t="str">
        <f t="shared" si="532"/>
        <v>P1598</v>
      </c>
      <c r="Q1599" t="str">
        <f t="shared" si="528"/>
        <v>Pulmonology</v>
      </c>
      <c r="R1599">
        <f t="shared" si="529"/>
        <v>20</v>
      </c>
      <c r="S1599" t="str">
        <f t="shared" ca="1" si="533"/>
        <v>No</v>
      </c>
      <c r="T1599" t="str">
        <f t="shared" ca="1" si="534"/>
        <v>Moderate</v>
      </c>
      <c r="U1599" t="str">
        <f t="shared" ca="1" si="535"/>
        <v>Semi-Private</v>
      </c>
      <c r="V1599" t="str">
        <f t="shared" si="536"/>
        <v>BED1598</v>
      </c>
      <c r="W1599" t="str">
        <f t="shared" ca="1" si="537"/>
        <v>Private</v>
      </c>
      <c r="X1599" t="str">
        <f t="shared" si="538"/>
        <v>NUR048</v>
      </c>
      <c r="Y1599" t="str">
        <f t="shared" ca="1" si="539"/>
        <v>Evening</v>
      </c>
      <c r="Z1599" t="str">
        <f t="shared" ca="1" si="540"/>
        <v>Ultrasound</v>
      </c>
      <c r="AA1599" t="str">
        <f t="shared" ca="1" si="541"/>
        <v>In Use</v>
      </c>
      <c r="AB1599" t="str">
        <f t="shared" ca="1" si="542"/>
        <v>Paid</v>
      </c>
      <c r="AC1599" t="str">
        <f t="shared" ca="1" si="543"/>
        <v>Bank Transfer</v>
      </c>
      <c r="AD1599" t="str">
        <f t="shared" ca="1" si="544"/>
        <v>Yes</v>
      </c>
      <c r="AE1599" t="str">
        <f t="shared" ca="1" si="545"/>
        <v>Yes</v>
      </c>
      <c r="AF1599" t="str">
        <f t="shared" ca="1" si="546"/>
        <v>Transferred</v>
      </c>
      <c r="AG1599" t="str">
        <f t="shared" ca="1" si="547"/>
        <v>Southwest</v>
      </c>
      <c r="AH1599" t="str">
        <f t="shared" si="530"/>
        <v>October</v>
      </c>
      <c r="AI1599">
        <f t="shared" si="531"/>
        <v>2020</v>
      </c>
      <c r="AJ1599" t="str">
        <f t="shared" ca="1" si="548"/>
        <v>Occupied</v>
      </c>
      <c r="AK1599">
        <f t="shared" ca="1" si="549"/>
        <v>2</v>
      </c>
    </row>
    <row r="1600" spans="1:37" x14ac:dyDescent="0.3">
      <c r="A1600" t="s">
        <v>5994</v>
      </c>
      <c r="B1600">
        <v>75</v>
      </c>
      <c r="C1600" t="s">
        <v>32</v>
      </c>
      <c r="D1600" t="s">
        <v>24</v>
      </c>
      <c r="E1600" t="s">
        <v>39</v>
      </c>
      <c r="F1600" s="1">
        <v>45196</v>
      </c>
      <c r="G1600" t="s">
        <v>3192</v>
      </c>
      <c r="H1600" t="s">
        <v>3193</v>
      </c>
      <c r="I1600" t="s">
        <v>20</v>
      </c>
      <c r="J1600">
        <v>12663</v>
      </c>
      <c r="K1600">
        <v>459</v>
      </c>
      <c r="L1600" t="s">
        <v>29</v>
      </c>
      <c r="M1600" s="1">
        <v>45214</v>
      </c>
      <c r="N1600" t="s">
        <v>47</v>
      </c>
      <c r="O1600" t="s">
        <v>31</v>
      </c>
      <c r="P1600" t="str">
        <f t="shared" si="532"/>
        <v>P1599</v>
      </c>
      <c r="Q1600" t="str">
        <f t="shared" si="528"/>
        <v>Endocrinology</v>
      </c>
      <c r="R1600">
        <f t="shared" si="529"/>
        <v>18</v>
      </c>
      <c r="S1600" t="str">
        <f t="shared" ca="1" si="533"/>
        <v>No</v>
      </c>
      <c r="T1600" t="str">
        <f t="shared" ca="1" si="534"/>
        <v>Severe</v>
      </c>
      <c r="U1600" t="str">
        <f t="shared" ca="1" si="535"/>
        <v>Emergency</v>
      </c>
      <c r="V1600" t="str">
        <f t="shared" si="536"/>
        <v>BED1599</v>
      </c>
      <c r="W1600" t="str">
        <f t="shared" ca="1" si="537"/>
        <v>General</v>
      </c>
      <c r="X1600" t="str">
        <f t="shared" si="538"/>
        <v>NUR049</v>
      </c>
      <c r="Y1600" t="str">
        <f t="shared" ca="1" si="539"/>
        <v>Night</v>
      </c>
      <c r="Z1600" t="str">
        <f t="shared" ca="1" si="540"/>
        <v>MRI Scanner</v>
      </c>
      <c r="AA1600" t="str">
        <f t="shared" ca="1" si="541"/>
        <v>In Use</v>
      </c>
      <c r="AB1600" t="str">
        <f t="shared" ca="1" si="542"/>
        <v>Partially Paid</v>
      </c>
      <c r="AC1600" t="str">
        <f t="shared" ca="1" si="543"/>
        <v>Bank Transfer</v>
      </c>
      <c r="AD1600" t="str">
        <f t="shared" ca="1" si="544"/>
        <v>No</v>
      </c>
      <c r="AE1600" t="str">
        <f t="shared" ca="1" si="545"/>
        <v>No</v>
      </c>
      <c r="AF1600" t="str">
        <f t="shared" ca="1" si="546"/>
        <v>Transferred</v>
      </c>
      <c r="AG1600" t="str">
        <f t="shared" ca="1" si="547"/>
        <v>Midwest</v>
      </c>
      <c r="AH1600" t="str">
        <f t="shared" si="530"/>
        <v>September</v>
      </c>
      <c r="AI1600">
        <f t="shared" si="531"/>
        <v>2023</v>
      </c>
      <c r="AJ1600" t="str">
        <f t="shared" ca="1" si="548"/>
        <v>Occupied</v>
      </c>
      <c r="AK1600">
        <f t="shared" ca="1" si="549"/>
        <v>4</v>
      </c>
    </row>
    <row r="1601" spans="1:37" x14ac:dyDescent="0.3">
      <c r="A1601" t="s">
        <v>5995</v>
      </c>
      <c r="B1601">
        <v>73</v>
      </c>
      <c r="C1601" t="s">
        <v>15</v>
      </c>
      <c r="D1601" t="s">
        <v>83</v>
      </c>
      <c r="E1601" t="s">
        <v>76</v>
      </c>
      <c r="F1601" s="1">
        <v>43947</v>
      </c>
      <c r="G1601" t="s">
        <v>3194</v>
      </c>
      <c r="H1601" t="s">
        <v>3195</v>
      </c>
      <c r="I1601" t="s">
        <v>36</v>
      </c>
      <c r="J1601">
        <v>19126</v>
      </c>
      <c r="K1601">
        <v>386</v>
      </c>
      <c r="L1601" t="s">
        <v>29</v>
      </c>
      <c r="M1601" s="1">
        <v>43948</v>
      </c>
      <c r="N1601" t="s">
        <v>47</v>
      </c>
      <c r="O1601" t="s">
        <v>31</v>
      </c>
      <c r="P1601" t="str">
        <f t="shared" si="532"/>
        <v>P1600</v>
      </c>
      <c r="Q1601" t="str">
        <f t="shared" si="528"/>
        <v>Orthopedics</v>
      </c>
      <c r="R1601">
        <f t="shared" si="529"/>
        <v>1</v>
      </c>
      <c r="S1601" t="str">
        <f t="shared" ca="1" si="533"/>
        <v>No</v>
      </c>
      <c r="T1601" t="str">
        <f t="shared" ca="1" si="534"/>
        <v>Moderate</v>
      </c>
      <c r="U1601" t="str">
        <f t="shared" ca="1" si="535"/>
        <v>Private Ward</v>
      </c>
      <c r="V1601" t="str">
        <f t="shared" si="536"/>
        <v>BED1600</v>
      </c>
      <c r="W1601" t="str">
        <f t="shared" ca="1" si="537"/>
        <v>ICU</v>
      </c>
      <c r="X1601" t="str">
        <f t="shared" si="538"/>
        <v>NUR050</v>
      </c>
      <c r="Y1601" t="str">
        <f t="shared" ca="1" si="539"/>
        <v>Night</v>
      </c>
      <c r="Z1601" t="str">
        <f t="shared" ca="1" si="540"/>
        <v>Ultrasound</v>
      </c>
      <c r="AA1601" t="str">
        <f t="shared" ca="1" si="541"/>
        <v>Maintenance</v>
      </c>
      <c r="AB1601" t="str">
        <f t="shared" ca="1" si="542"/>
        <v>Pending</v>
      </c>
      <c r="AC1601" t="str">
        <f t="shared" ca="1" si="543"/>
        <v>Bank Transfer</v>
      </c>
      <c r="AD1601" t="str">
        <f t="shared" ca="1" si="544"/>
        <v>No</v>
      </c>
      <c r="AE1601" t="str">
        <f t="shared" ca="1" si="545"/>
        <v>No</v>
      </c>
      <c r="AF1601" t="str">
        <f t="shared" ca="1" si="546"/>
        <v>Recovered</v>
      </c>
      <c r="AG1601" t="str">
        <f t="shared" ca="1" si="547"/>
        <v>Southeast</v>
      </c>
      <c r="AH1601" t="str">
        <f t="shared" si="530"/>
        <v>April</v>
      </c>
      <c r="AI1601">
        <f t="shared" si="531"/>
        <v>2020</v>
      </c>
      <c r="AJ1601" t="str">
        <f t="shared" ca="1" si="548"/>
        <v>Vacant</v>
      </c>
      <c r="AK1601">
        <f t="shared" ca="1" si="549"/>
        <v>1</v>
      </c>
    </row>
    <row r="1602" spans="1:37" x14ac:dyDescent="0.3">
      <c r="A1602" t="s">
        <v>5996</v>
      </c>
      <c r="B1602">
        <v>85</v>
      </c>
      <c r="C1602" t="s">
        <v>15</v>
      </c>
      <c r="D1602" t="s">
        <v>24</v>
      </c>
      <c r="E1602" t="s">
        <v>76</v>
      </c>
      <c r="F1602" s="1">
        <v>44417</v>
      </c>
      <c r="G1602" t="s">
        <v>3196</v>
      </c>
      <c r="H1602" t="s">
        <v>3197</v>
      </c>
      <c r="I1602" t="s">
        <v>28</v>
      </c>
      <c r="J1602">
        <v>18190</v>
      </c>
      <c r="K1602">
        <v>312</v>
      </c>
      <c r="L1602" t="s">
        <v>42</v>
      </c>
      <c r="M1602" s="1">
        <v>44447</v>
      </c>
      <c r="N1602" t="s">
        <v>37</v>
      </c>
      <c r="O1602" t="s">
        <v>43</v>
      </c>
      <c r="P1602" t="str">
        <f t="shared" si="532"/>
        <v>P1601</v>
      </c>
      <c r="Q1602" t="str">
        <f t="shared" ref="Q1602:Q1665" si="550">IF(E1602="Cancer","Oncology",IF(E1602="Obesity","Nutrition",IF(E1602="Diabetes","Endocrinology",IF(E1602="Asthma","Pulmonology",IF(E1602="Arthritis","Orthopedics",IF(E1602="Hypertension","Cardiology","General Medicine"))))))</f>
        <v>Orthopedics</v>
      </c>
      <c r="R1602">
        <f t="shared" ref="R1602:R1665" si="551">M1602-F1602</f>
        <v>30</v>
      </c>
      <c r="S1602" t="str">
        <f t="shared" ca="1" si="533"/>
        <v>No</v>
      </c>
      <c r="T1602" t="str">
        <f t="shared" ca="1" si="534"/>
        <v>Moderate</v>
      </c>
      <c r="U1602" t="str">
        <f t="shared" ca="1" si="535"/>
        <v>Emergency</v>
      </c>
      <c r="V1602" t="str">
        <f t="shared" si="536"/>
        <v>BED1601</v>
      </c>
      <c r="W1602" t="str">
        <f t="shared" ca="1" si="537"/>
        <v>Private</v>
      </c>
      <c r="X1602" t="str">
        <f t="shared" si="538"/>
        <v>NUR001</v>
      </c>
      <c r="Y1602" t="str">
        <f t="shared" ca="1" si="539"/>
        <v>Night</v>
      </c>
      <c r="Z1602" t="str">
        <f t="shared" ca="1" si="540"/>
        <v>Ventilator</v>
      </c>
      <c r="AA1602" t="str">
        <f t="shared" ca="1" si="541"/>
        <v>Maintenance</v>
      </c>
      <c r="AB1602" t="str">
        <f t="shared" ca="1" si="542"/>
        <v>Pending</v>
      </c>
      <c r="AC1602" t="str">
        <f t="shared" ca="1" si="543"/>
        <v>Cash</v>
      </c>
      <c r="AD1602" t="str">
        <f t="shared" ca="1" si="544"/>
        <v>No</v>
      </c>
      <c r="AE1602" t="str">
        <f t="shared" ca="1" si="545"/>
        <v>No</v>
      </c>
      <c r="AF1602" t="str">
        <f t="shared" ca="1" si="546"/>
        <v>Recovered</v>
      </c>
      <c r="AG1602" t="str">
        <f t="shared" ca="1" si="547"/>
        <v>West Coast</v>
      </c>
      <c r="AH1602" t="str">
        <f t="shared" ref="AH1602:AH1665" si="552">TEXT(F1602,"MMMM")</f>
        <v>August</v>
      </c>
      <c r="AI1602">
        <f t="shared" ref="AI1602:AI1665" si="553">YEAR(F1602)</f>
        <v>2021</v>
      </c>
      <c r="AJ1602" t="str">
        <f t="shared" ca="1" si="548"/>
        <v>Vacant</v>
      </c>
      <c r="AK1602">
        <f t="shared" ca="1" si="549"/>
        <v>1</v>
      </c>
    </row>
    <row r="1603" spans="1:37" x14ac:dyDescent="0.3">
      <c r="A1603" t="s">
        <v>5997</v>
      </c>
      <c r="B1603">
        <v>67</v>
      </c>
      <c r="C1603" t="s">
        <v>15</v>
      </c>
      <c r="D1603" t="s">
        <v>33</v>
      </c>
      <c r="E1603" t="s">
        <v>76</v>
      </c>
      <c r="F1603" s="1">
        <v>44647</v>
      </c>
      <c r="G1603" t="s">
        <v>3198</v>
      </c>
      <c r="H1603" t="s">
        <v>3199</v>
      </c>
      <c r="I1603" t="s">
        <v>28</v>
      </c>
      <c r="J1603">
        <v>22214</v>
      </c>
      <c r="K1603">
        <v>342</v>
      </c>
      <c r="L1603" t="s">
        <v>21</v>
      </c>
      <c r="M1603" s="1">
        <v>44650</v>
      </c>
      <c r="N1603" t="s">
        <v>22</v>
      </c>
      <c r="O1603" t="s">
        <v>23</v>
      </c>
      <c r="P1603" t="str">
        <f t="shared" ref="P1603:P1666" si="554">"P"&amp;TEXT(ROW()-1,"0000")</f>
        <v>P1602</v>
      </c>
      <c r="Q1603" t="str">
        <f t="shared" si="550"/>
        <v>Orthopedics</v>
      </c>
      <c r="R1603">
        <f t="shared" si="551"/>
        <v>3</v>
      </c>
      <c r="S1603" t="str">
        <f t="shared" ref="S1603:S1666" ca="1" si="555">IF(RAND()&lt;0.1,"Yes","No")</f>
        <v>No</v>
      </c>
      <c r="T1603" t="str">
        <f t="shared" ref="T1603:T1666" ca="1" si="556">CHOOSE(RANDBETWEEN(1,4),"Mild","Moderate","Severe","Critical")</f>
        <v>Severe</v>
      </c>
      <c r="U1603" t="str">
        <f t="shared" ref="U1603:U1666" ca="1" si="557">CHOOSE(RANDBETWEEN(1,5),"General Ward","ICU","Emergency","Private Ward","Semi-Private")</f>
        <v>General Ward</v>
      </c>
      <c r="V1603" t="str">
        <f t="shared" ref="V1603:V1666" si="558">"BED"&amp;TEXT(ROW()-1,"0000")</f>
        <v>BED1602</v>
      </c>
      <c r="W1603" t="str">
        <f t="shared" ref="W1603:W1666" ca="1" si="559">CHOOSE(RANDBETWEEN(1,4),"General","Private","Semi-Private","ICU")</f>
        <v>Semi-Private</v>
      </c>
      <c r="X1603" t="str">
        <f t="shared" ref="X1603:X1666" si="560">"NUR"&amp;TEXT(MOD(ROW()-2,50)+1,"000")</f>
        <v>NUR002</v>
      </c>
      <c r="Y1603" t="str">
        <f t="shared" ref="Y1603:Y1666" ca="1" si="561">CHOOSE(RANDBETWEEN(1,3),"Morning","Evening","Night")</f>
        <v>Evening</v>
      </c>
      <c r="Z1603" t="str">
        <f t="shared" ref="Z1603:Z1666" ca="1" si="562">CHOOSE(RANDBETWEEN(1,6),"MRI Scanner","CT Scanner","Ventilator","X-Ray","ECG Machine","Ultrasound")</f>
        <v>Ventilator</v>
      </c>
      <c r="AA1603" t="str">
        <f t="shared" ref="AA1603:AA1666" ca="1" si="563">CHOOSE(RANDBETWEEN(1,3),"Available","In Use","Maintenance")</f>
        <v>Available</v>
      </c>
      <c r="AB1603" t="str">
        <f t="shared" ref="AB1603:AB1666" ca="1" si="564">CHOOSE(RANDBETWEEN(1,3),"Paid","Pending","Partially Paid")</f>
        <v>Partially Paid</v>
      </c>
      <c r="AC1603" t="str">
        <f t="shared" ref="AC1603:AC1666" ca="1" si="565">CHOOSE(RANDBETWEEN(1,5),"Cash","Credit Card","Debit Card","Insurance","Bank Transfer")</f>
        <v>Cash</v>
      </c>
      <c r="AD1603" t="str">
        <f t="shared" ref="AD1603:AD1666" ca="1" si="566">IF(RAND()&lt;0.2,"Yes","No")</f>
        <v>No</v>
      </c>
      <c r="AE1603" t="str">
        <f t="shared" ref="AE1603:AE1666" ca="1" si="567">IF(RAND()&lt;0.15,"Yes","No")</f>
        <v>No</v>
      </c>
      <c r="AF1603" t="str">
        <f t="shared" ref="AF1603:AF1666" ca="1" si="568">CHOOSE(RANDBETWEEN(1,3),"Recovered","Transferred","Under Observation")</f>
        <v>Recovered</v>
      </c>
      <c r="AG1603" t="str">
        <f t="shared" ref="AG1603:AG1666" ca="1" si="569">CHOOSE(RANDBETWEEN(1,5),"Northeast","Southeast","Midwest","Southwest","West Coast")</f>
        <v>Northeast</v>
      </c>
      <c r="AH1603" t="str">
        <f t="shared" si="552"/>
        <v>March</v>
      </c>
      <c r="AI1603">
        <f t="shared" si="553"/>
        <v>2022</v>
      </c>
      <c r="AJ1603" t="str">
        <f t="shared" ref="AJ1603:AJ1666" ca="1" si="570">IF(RANDBETWEEN(1,100)&lt;=80,"Occupied","Vacant")</f>
        <v>Occupied</v>
      </c>
      <c r="AK1603">
        <f t="shared" ref="AK1603:AK1666" ca="1" si="571">CHOOSE(RANDBETWEEN(1,3),1,2,4)</f>
        <v>4</v>
      </c>
    </row>
    <row r="1604" spans="1:37" x14ac:dyDescent="0.3">
      <c r="A1604" t="s">
        <v>5998</v>
      </c>
      <c r="B1604">
        <v>28</v>
      </c>
      <c r="C1604" t="s">
        <v>32</v>
      </c>
      <c r="D1604" t="s">
        <v>52</v>
      </c>
      <c r="E1604" t="s">
        <v>39</v>
      </c>
      <c r="F1604" s="1">
        <v>45349</v>
      </c>
      <c r="G1604" t="s">
        <v>3200</v>
      </c>
      <c r="H1604" t="s">
        <v>3201</v>
      </c>
      <c r="I1604" t="s">
        <v>51</v>
      </c>
      <c r="J1604">
        <v>32713</v>
      </c>
      <c r="K1604">
        <v>296</v>
      </c>
      <c r="L1604" t="s">
        <v>29</v>
      </c>
      <c r="M1604" s="1">
        <v>45355</v>
      </c>
      <c r="N1604" t="s">
        <v>30</v>
      </c>
      <c r="O1604" t="s">
        <v>43</v>
      </c>
      <c r="P1604" t="str">
        <f t="shared" si="554"/>
        <v>P1603</v>
      </c>
      <c r="Q1604" t="str">
        <f t="shared" si="550"/>
        <v>Endocrinology</v>
      </c>
      <c r="R1604">
        <f t="shared" si="551"/>
        <v>6</v>
      </c>
      <c r="S1604" t="str">
        <f t="shared" ca="1" si="555"/>
        <v>No</v>
      </c>
      <c r="T1604" t="str">
        <f t="shared" ca="1" si="556"/>
        <v>Critical</v>
      </c>
      <c r="U1604" t="str">
        <f t="shared" ca="1" si="557"/>
        <v>Semi-Private</v>
      </c>
      <c r="V1604" t="str">
        <f t="shared" si="558"/>
        <v>BED1603</v>
      </c>
      <c r="W1604" t="str">
        <f t="shared" ca="1" si="559"/>
        <v>General</v>
      </c>
      <c r="X1604" t="str">
        <f t="shared" si="560"/>
        <v>NUR003</v>
      </c>
      <c r="Y1604" t="str">
        <f t="shared" ca="1" si="561"/>
        <v>Evening</v>
      </c>
      <c r="Z1604" t="str">
        <f t="shared" ca="1" si="562"/>
        <v>X-Ray</v>
      </c>
      <c r="AA1604" t="str">
        <f t="shared" ca="1" si="563"/>
        <v>In Use</v>
      </c>
      <c r="AB1604" t="str">
        <f t="shared" ca="1" si="564"/>
        <v>Pending</v>
      </c>
      <c r="AC1604" t="str">
        <f t="shared" ca="1" si="565"/>
        <v>Credit Card</v>
      </c>
      <c r="AD1604" t="str">
        <f t="shared" ca="1" si="566"/>
        <v>No</v>
      </c>
      <c r="AE1604" t="str">
        <f t="shared" ca="1" si="567"/>
        <v>No</v>
      </c>
      <c r="AF1604" t="str">
        <f t="shared" ca="1" si="568"/>
        <v>Recovered</v>
      </c>
      <c r="AG1604" t="str">
        <f t="shared" ca="1" si="569"/>
        <v>Southwest</v>
      </c>
      <c r="AH1604" t="str">
        <f t="shared" si="552"/>
        <v>February</v>
      </c>
      <c r="AI1604">
        <f t="shared" si="553"/>
        <v>2024</v>
      </c>
      <c r="AJ1604" t="str">
        <f t="shared" ca="1" si="570"/>
        <v>Vacant</v>
      </c>
      <c r="AK1604">
        <f t="shared" ca="1" si="571"/>
        <v>4</v>
      </c>
    </row>
    <row r="1605" spans="1:37" x14ac:dyDescent="0.3">
      <c r="A1605" t="s">
        <v>5999</v>
      </c>
      <c r="B1605">
        <v>32</v>
      </c>
      <c r="C1605" t="s">
        <v>32</v>
      </c>
      <c r="D1605" t="s">
        <v>16</v>
      </c>
      <c r="E1605" t="s">
        <v>64</v>
      </c>
      <c r="F1605" s="1">
        <v>45007</v>
      </c>
      <c r="G1605" t="s">
        <v>3202</v>
      </c>
      <c r="H1605" t="s">
        <v>3203</v>
      </c>
      <c r="I1605" t="s">
        <v>57</v>
      </c>
      <c r="J1605">
        <v>12962</v>
      </c>
      <c r="K1605">
        <v>434</v>
      </c>
      <c r="L1605" t="s">
        <v>21</v>
      </c>
      <c r="M1605" s="1">
        <v>45019</v>
      </c>
      <c r="N1605" t="s">
        <v>22</v>
      </c>
      <c r="O1605" t="s">
        <v>31</v>
      </c>
      <c r="P1605" t="str">
        <f t="shared" si="554"/>
        <v>P1604</v>
      </c>
      <c r="Q1605" t="str">
        <f t="shared" si="550"/>
        <v>Cardiology</v>
      </c>
      <c r="R1605">
        <f t="shared" si="551"/>
        <v>12</v>
      </c>
      <c r="S1605" t="str">
        <f t="shared" ca="1" si="555"/>
        <v>No</v>
      </c>
      <c r="T1605" t="str">
        <f t="shared" ca="1" si="556"/>
        <v>Severe</v>
      </c>
      <c r="U1605" t="str">
        <f t="shared" ca="1" si="557"/>
        <v>General Ward</v>
      </c>
      <c r="V1605" t="str">
        <f t="shared" si="558"/>
        <v>BED1604</v>
      </c>
      <c r="W1605" t="str">
        <f t="shared" ca="1" si="559"/>
        <v>ICU</v>
      </c>
      <c r="X1605" t="str">
        <f t="shared" si="560"/>
        <v>NUR004</v>
      </c>
      <c r="Y1605" t="str">
        <f t="shared" ca="1" si="561"/>
        <v>Morning</v>
      </c>
      <c r="Z1605" t="str">
        <f t="shared" ca="1" si="562"/>
        <v>CT Scanner</v>
      </c>
      <c r="AA1605" t="str">
        <f t="shared" ca="1" si="563"/>
        <v>In Use</v>
      </c>
      <c r="AB1605" t="str">
        <f t="shared" ca="1" si="564"/>
        <v>Partially Paid</v>
      </c>
      <c r="AC1605" t="str">
        <f t="shared" ca="1" si="565"/>
        <v>Cash</v>
      </c>
      <c r="AD1605" t="str">
        <f t="shared" ca="1" si="566"/>
        <v>No</v>
      </c>
      <c r="AE1605" t="str">
        <f t="shared" ca="1" si="567"/>
        <v>No</v>
      </c>
      <c r="AF1605" t="str">
        <f t="shared" ca="1" si="568"/>
        <v>Recovered</v>
      </c>
      <c r="AG1605" t="str">
        <f t="shared" ca="1" si="569"/>
        <v>Southeast</v>
      </c>
      <c r="AH1605" t="str">
        <f t="shared" si="552"/>
        <v>March</v>
      </c>
      <c r="AI1605">
        <f t="shared" si="553"/>
        <v>2023</v>
      </c>
      <c r="AJ1605" t="str">
        <f t="shared" ca="1" si="570"/>
        <v>Vacant</v>
      </c>
      <c r="AK1605">
        <f t="shared" ca="1" si="571"/>
        <v>1</v>
      </c>
    </row>
    <row r="1606" spans="1:37" x14ac:dyDescent="0.3">
      <c r="A1606" t="s">
        <v>6000</v>
      </c>
      <c r="B1606">
        <v>76</v>
      </c>
      <c r="C1606" t="s">
        <v>32</v>
      </c>
      <c r="D1606" t="s">
        <v>83</v>
      </c>
      <c r="E1606" t="s">
        <v>25</v>
      </c>
      <c r="F1606" s="1">
        <v>45227</v>
      </c>
      <c r="G1606" t="s">
        <v>3204</v>
      </c>
      <c r="H1606" t="s">
        <v>3205</v>
      </c>
      <c r="I1606" t="s">
        <v>28</v>
      </c>
      <c r="J1606">
        <v>41423</v>
      </c>
      <c r="K1606">
        <v>292</v>
      </c>
      <c r="L1606" t="s">
        <v>42</v>
      </c>
      <c r="M1606" s="1">
        <v>45251</v>
      </c>
      <c r="N1606" t="s">
        <v>22</v>
      </c>
      <c r="O1606" t="s">
        <v>23</v>
      </c>
      <c r="P1606" t="str">
        <f t="shared" si="554"/>
        <v>P1605</v>
      </c>
      <c r="Q1606" t="str">
        <f t="shared" si="550"/>
        <v>Nutrition</v>
      </c>
      <c r="R1606">
        <f t="shared" si="551"/>
        <v>24</v>
      </c>
      <c r="S1606" t="str">
        <f t="shared" ca="1" si="555"/>
        <v>Yes</v>
      </c>
      <c r="T1606" t="str">
        <f t="shared" ca="1" si="556"/>
        <v>Severe</v>
      </c>
      <c r="U1606" t="str">
        <f t="shared" ca="1" si="557"/>
        <v>Private Ward</v>
      </c>
      <c r="V1606" t="str">
        <f t="shared" si="558"/>
        <v>BED1605</v>
      </c>
      <c r="W1606" t="str">
        <f t="shared" ca="1" si="559"/>
        <v>ICU</v>
      </c>
      <c r="X1606" t="str">
        <f t="shared" si="560"/>
        <v>NUR005</v>
      </c>
      <c r="Y1606" t="str">
        <f t="shared" ca="1" si="561"/>
        <v>Night</v>
      </c>
      <c r="Z1606" t="str">
        <f t="shared" ca="1" si="562"/>
        <v>MRI Scanner</v>
      </c>
      <c r="AA1606" t="str">
        <f t="shared" ca="1" si="563"/>
        <v>Maintenance</v>
      </c>
      <c r="AB1606" t="str">
        <f t="shared" ca="1" si="564"/>
        <v>Pending</v>
      </c>
      <c r="AC1606" t="str">
        <f t="shared" ca="1" si="565"/>
        <v>Credit Card</v>
      </c>
      <c r="AD1606" t="str">
        <f t="shared" ca="1" si="566"/>
        <v>No</v>
      </c>
      <c r="AE1606" t="str">
        <f t="shared" ca="1" si="567"/>
        <v>No</v>
      </c>
      <c r="AF1606" t="str">
        <f t="shared" ca="1" si="568"/>
        <v>Recovered</v>
      </c>
      <c r="AG1606" t="str">
        <f t="shared" ca="1" si="569"/>
        <v>Northeast</v>
      </c>
      <c r="AH1606" t="str">
        <f t="shared" si="552"/>
        <v>October</v>
      </c>
      <c r="AI1606">
        <f t="shared" si="553"/>
        <v>2023</v>
      </c>
      <c r="AJ1606" t="str">
        <f t="shared" ca="1" si="570"/>
        <v>Occupied</v>
      </c>
      <c r="AK1606">
        <f t="shared" ca="1" si="571"/>
        <v>2</v>
      </c>
    </row>
    <row r="1607" spans="1:37" x14ac:dyDescent="0.3">
      <c r="A1607" t="s">
        <v>6001</v>
      </c>
      <c r="B1607">
        <v>19</v>
      </c>
      <c r="C1607" t="s">
        <v>15</v>
      </c>
      <c r="D1607" t="s">
        <v>83</v>
      </c>
      <c r="E1607" t="s">
        <v>48</v>
      </c>
      <c r="F1607" s="1">
        <v>45388</v>
      </c>
      <c r="G1607" t="s">
        <v>3206</v>
      </c>
      <c r="H1607" t="s">
        <v>3207</v>
      </c>
      <c r="I1607" t="s">
        <v>36</v>
      </c>
      <c r="J1607">
        <v>26239</v>
      </c>
      <c r="K1607">
        <v>224</v>
      </c>
      <c r="L1607" t="s">
        <v>21</v>
      </c>
      <c r="M1607" s="1">
        <v>45402</v>
      </c>
      <c r="N1607" t="s">
        <v>30</v>
      </c>
      <c r="O1607" t="s">
        <v>43</v>
      </c>
      <c r="P1607" t="str">
        <f t="shared" si="554"/>
        <v>P1606</v>
      </c>
      <c r="Q1607" t="str">
        <f t="shared" si="550"/>
        <v>Pulmonology</v>
      </c>
      <c r="R1607">
        <f t="shared" si="551"/>
        <v>14</v>
      </c>
      <c r="S1607" t="str">
        <f t="shared" ca="1" si="555"/>
        <v>No</v>
      </c>
      <c r="T1607" t="str">
        <f t="shared" ca="1" si="556"/>
        <v>Mild</v>
      </c>
      <c r="U1607" t="str">
        <f t="shared" ca="1" si="557"/>
        <v>Semi-Private</v>
      </c>
      <c r="V1607" t="str">
        <f t="shared" si="558"/>
        <v>BED1606</v>
      </c>
      <c r="W1607" t="str">
        <f t="shared" ca="1" si="559"/>
        <v>General</v>
      </c>
      <c r="X1607" t="str">
        <f t="shared" si="560"/>
        <v>NUR006</v>
      </c>
      <c r="Y1607" t="str">
        <f t="shared" ca="1" si="561"/>
        <v>Night</v>
      </c>
      <c r="Z1607" t="str">
        <f t="shared" ca="1" si="562"/>
        <v>Ultrasound</v>
      </c>
      <c r="AA1607" t="str">
        <f t="shared" ca="1" si="563"/>
        <v>Maintenance</v>
      </c>
      <c r="AB1607" t="str">
        <f t="shared" ca="1" si="564"/>
        <v>Partially Paid</v>
      </c>
      <c r="AC1607" t="str">
        <f t="shared" ca="1" si="565"/>
        <v>Credit Card</v>
      </c>
      <c r="AD1607" t="str">
        <f t="shared" ca="1" si="566"/>
        <v>No</v>
      </c>
      <c r="AE1607" t="str">
        <f t="shared" ca="1" si="567"/>
        <v>No</v>
      </c>
      <c r="AF1607" t="str">
        <f t="shared" ca="1" si="568"/>
        <v>Under Observation</v>
      </c>
      <c r="AG1607" t="str">
        <f t="shared" ca="1" si="569"/>
        <v>Southeast</v>
      </c>
      <c r="AH1607" t="str">
        <f t="shared" si="552"/>
        <v>April</v>
      </c>
      <c r="AI1607">
        <f t="shared" si="553"/>
        <v>2024</v>
      </c>
      <c r="AJ1607" t="str">
        <f t="shared" ca="1" si="570"/>
        <v>Occupied</v>
      </c>
      <c r="AK1607">
        <f t="shared" ca="1" si="571"/>
        <v>1</v>
      </c>
    </row>
    <row r="1608" spans="1:37" x14ac:dyDescent="0.3">
      <c r="A1608" t="s">
        <v>6002</v>
      </c>
      <c r="B1608">
        <v>19</v>
      </c>
      <c r="C1608" t="s">
        <v>32</v>
      </c>
      <c r="D1608" t="s">
        <v>83</v>
      </c>
      <c r="E1608" t="s">
        <v>25</v>
      </c>
      <c r="F1608" s="1">
        <v>43888</v>
      </c>
      <c r="G1608" t="s">
        <v>3208</v>
      </c>
      <c r="H1608" t="s">
        <v>3209</v>
      </c>
      <c r="I1608" t="s">
        <v>20</v>
      </c>
      <c r="J1608">
        <v>22144</v>
      </c>
      <c r="K1608">
        <v>347</v>
      </c>
      <c r="L1608" t="s">
        <v>21</v>
      </c>
      <c r="M1608" s="1">
        <v>43895</v>
      </c>
      <c r="N1608" t="s">
        <v>37</v>
      </c>
      <c r="O1608" t="s">
        <v>31</v>
      </c>
      <c r="P1608" t="str">
        <f t="shared" si="554"/>
        <v>P1607</v>
      </c>
      <c r="Q1608" t="str">
        <f t="shared" si="550"/>
        <v>Nutrition</v>
      </c>
      <c r="R1608">
        <f t="shared" si="551"/>
        <v>7</v>
      </c>
      <c r="S1608" t="str">
        <f t="shared" ca="1" si="555"/>
        <v>Yes</v>
      </c>
      <c r="T1608" t="str">
        <f t="shared" ca="1" si="556"/>
        <v>Severe</v>
      </c>
      <c r="U1608" t="str">
        <f t="shared" ca="1" si="557"/>
        <v>Semi-Private</v>
      </c>
      <c r="V1608" t="str">
        <f t="shared" si="558"/>
        <v>BED1607</v>
      </c>
      <c r="W1608" t="str">
        <f t="shared" ca="1" si="559"/>
        <v>Semi-Private</v>
      </c>
      <c r="X1608" t="str">
        <f t="shared" si="560"/>
        <v>NUR007</v>
      </c>
      <c r="Y1608" t="str">
        <f t="shared" ca="1" si="561"/>
        <v>Evening</v>
      </c>
      <c r="Z1608" t="str">
        <f t="shared" ca="1" si="562"/>
        <v>Ultrasound</v>
      </c>
      <c r="AA1608" t="str">
        <f t="shared" ca="1" si="563"/>
        <v>Maintenance</v>
      </c>
      <c r="AB1608" t="str">
        <f t="shared" ca="1" si="564"/>
        <v>Pending</v>
      </c>
      <c r="AC1608" t="str">
        <f t="shared" ca="1" si="565"/>
        <v>Cash</v>
      </c>
      <c r="AD1608" t="str">
        <f t="shared" ca="1" si="566"/>
        <v>No</v>
      </c>
      <c r="AE1608" t="str">
        <f t="shared" ca="1" si="567"/>
        <v>Yes</v>
      </c>
      <c r="AF1608" t="str">
        <f t="shared" ca="1" si="568"/>
        <v>Recovered</v>
      </c>
      <c r="AG1608" t="str">
        <f t="shared" ca="1" si="569"/>
        <v>Northeast</v>
      </c>
      <c r="AH1608" t="str">
        <f t="shared" si="552"/>
        <v>February</v>
      </c>
      <c r="AI1608">
        <f t="shared" si="553"/>
        <v>2020</v>
      </c>
      <c r="AJ1608" t="str">
        <f t="shared" ca="1" si="570"/>
        <v>Occupied</v>
      </c>
      <c r="AK1608">
        <f t="shared" ca="1" si="571"/>
        <v>2</v>
      </c>
    </row>
    <row r="1609" spans="1:37" x14ac:dyDescent="0.3">
      <c r="A1609" t="s">
        <v>5985</v>
      </c>
      <c r="B1609">
        <v>78</v>
      </c>
      <c r="C1609" t="s">
        <v>15</v>
      </c>
      <c r="D1609" t="s">
        <v>44</v>
      </c>
      <c r="E1609" t="s">
        <v>64</v>
      </c>
      <c r="F1609" s="1">
        <v>44403</v>
      </c>
      <c r="G1609" t="s">
        <v>3210</v>
      </c>
      <c r="H1609" t="s">
        <v>3211</v>
      </c>
      <c r="I1609" t="s">
        <v>28</v>
      </c>
      <c r="J1609">
        <v>44063</v>
      </c>
      <c r="K1609">
        <v>289</v>
      </c>
      <c r="L1609" t="s">
        <v>42</v>
      </c>
      <c r="M1609" s="1">
        <v>44415</v>
      </c>
      <c r="N1609" t="s">
        <v>37</v>
      </c>
      <c r="O1609" t="s">
        <v>23</v>
      </c>
      <c r="P1609" t="str">
        <f t="shared" si="554"/>
        <v>P1608</v>
      </c>
      <c r="Q1609" t="str">
        <f t="shared" si="550"/>
        <v>Cardiology</v>
      </c>
      <c r="R1609">
        <f t="shared" si="551"/>
        <v>12</v>
      </c>
      <c r="S1609" t="str">
        <f t="shared" ca="1" si="555"/>
        <v>No</v>
      </c>
      <c r="T1609" t="str">
        <f t="shared" ca="1" si="556"/>
        <v>Mild</v>
      </c>
      <c r="U1609" t="str">
        <f t="shared" ca="1" si="557"/>
        <v>Private Ward</v>
      </c>
      <c r="V1609" t="str">
        <f t="shared" si="558"/>
        <v>BED1608</v>
      </c>
      <c r="W1609" t="str">
        <f t="shared" ca="1" si="559"/>
        <v>Private</v>
      </c>
      <c r="X1609" t="str">
        <f t="shared" si="560"/>
        <v>NUR008</v>
      </c>
      <c r="Y1609" t="str">
        <f t="shared" ca="1" si="561"/>
        <v>Evening</v>
      </c>
      <c r="Z1609" t="str">
        <f t="shared" ca="1" si="562"/>
        <v>MRI Scanner</v>
      </c>
      <c r="AA1609" t="str">
        <f t="shared" ca="1" si="563"/>
        <v>In Use</v>
      </c>
      <c r="AB1609" t="str">
        <f t="shared" ca="1" si="564"/>
        <v>Pending</v>
      </c>
      <c r="AC1609" t="str">
        <f t="shared" ca="1" si="565"/>
        <v>Cash</v>
      </c>
      <c r="AD1609" t="str">
        <f t="shared" ca="1" si="566"/>
        <v>No</v>
      </c>
      <c r="AE1609" t="str">
        <f t="shared" ca="1" si="567"/>
        <v>No</v>
      </c>
      <c r="AF1609" t="str">
        <f t="shared" ca="1" si="568"/>
        <v>Under Observation</v>
      </c>
      <c r="AG1609" t="str">
        <f t="shared" ca="1" si="569"/>
        <v>Northeast</v>
      </c>
      <c r="AH1609" t="str">
        <f t="shared" si="552"/>
        <v>July</v>
      </c>
      <c r="AI1609">
        <f t="shared" si="553"/>
        <v>2021</v>
      </c>
      <c r="AJ1609" t="str">
        <f t="shared" ca="1" si="570"/>
        <v>Occupied</v>
      </c>
      <c r="AK1609">
        <f t="shared" ca="1" si="571"/>
        <v>2</v>
      </c>
    </row>
    <row r="1610" spans="1:37" x14ac:dyDescent="0.3">
      <c r="A1610" t="s">
        <v>6003</v>
      </c>
      <c r="B1610">
        <v>61</v>
      </c>
      <c r="C1610" t="s">
        <v>32</v>
      </c>
      <c r="D1610" t="s">
        <v>83</v>
      </c>
      <c r="E1610" t="s">
        <v>39</v>
      </c>
      <c r="F1610" s="1">
        <v>44251</v>
      </c>
      <c r="G1610" t="s">
        <v>3212</v>
      </c>
      <c r="H1610" t="s">
        <v>3213</v>
      </c>
      <c r="I1610" t="s">
        <v>28</v>
      </c>
      <c r="J1610">
        <v>35045</v>
      </c>
      <c r="K1610">
        <v>483</v>
      </c>
      <c r="L1610" t="s">
        <v>21</v>
      </c>
      <c r="M1610" s="1">
        <v>44279</v>
      </c>
      <c r="N1610" t="s">
        <v>67</v>
      </c>
      <c r="O1610" t="s">
        <v>31</v>
      </c>
      <c r="P1610" t="str">
        <f t="shared" si="554"/>
        <v>P1609</v>
      </c>
      <c r="Q1610" t="str">
        <f t="shared" si="550"/>
        <v>Endocrinology</v>
      </c>
      <c r="R1610">
        <f t="shared" si="551"/>
        <v>28</v>
      </c>
      <c r="S1610" t="str">
        <f t="shared" ca="1" si="555"/>
        <v>No</v>
      </c>
      <c r="T1610" t="str">
        <f t="shared" ca="1" si="556"/>
        <v>Moderate</v>
      </c>
      <c r="U1610" t="str">
        <f t="shared" ca="1" si="557"/>
        <v>ICU</v>
      </c>
      <c r="V1610" t="str">
        <f t="shared" si="558"/>
        <v>BED1609</v>
      </c>
      <c r="W1610" t="str">
        <f t="shared" ca="1" si="559"/>
        <v>General</v>
      </c>
      <c r="X1610" t="str">
        <f t="shared" si="560"/>
        <v>NUR009</v>
      </c>
      <c r="Y1610" t="str">
        <f t="shared" ca="1" si="561"/>
        <v>Evening</v>
      </c>
      <c r="Z1610" t="str">
        <f t="shared" ca="1" si="562"/>
        <v>Ultrasound</v>
      </c>
      <c r="AA1610" t="str">
        <f t="shared" ca="1" si="563"/>
        <v>Maintenance</v>
      </c>
      <c r="AB1610" t="str">
        <f t="shared" ca="1" si="564"/>
        <v>Pending</v>
      </c>
      <c r="AC1610" t="str">
        <f t="shared" ca="1" si="565"/>
        <v>Debit Card</v>
      </c>
      <c r="AD1610" t="str">
        <f t="shared" ca="1" si="566"/>
        <v>No</v>
      </c>
      <c r="AE1610" t="str">
        <f t="shared" ca="1" si="567"/>
        <v>No</v>
      </c>
      <c r="AF1610" t="str">
        <f t="shared" ca="1" si="568"/>
        <v>Recovered</v>
      </c>
      <c r="AG1610" t="str">
        <f t="shared" ca="1" si="569"/>
        <v>Midwest</v>
      </c>
      <c r="AH1610" t="str">
        <f t="shared" si="552"/>
        <v>February</v>
      </c>
      <c r="AI1610">
        <f t="shared" si="553"/>
        <v>2021</v>
      </c>
      <c r="AJ1610" t="str">
        <f t="shared" ca="1" si="570"/>
        <v>Vacant</v>
      </c>
      <c r="AK1610">
        <f t="shared" ca="1" si="571"/>
        <v>1</v>
      </c>
    </row>
    <row r="1611" spans="1:37" x14ac:dyDescent="0.3">
      <c r="A1611" t="s">
        <v>6004</v>
      </c>
      <c r="B1611">
        <v>55</v>
      </c>
      <c r="C1611" t="s">
        <v>32</v>
      </c>
      <c r="D1611" t="s">
        <v>16</v>
      </c>
      <c r="E1611" t="s">
        <v>17</v>
      </c>
      <c r="F1611" s="1">
        <v>44240</v>
      </c>
      <c r="G1611" t="s">
        <v>3214</v>
      </c>
      <c r="H1611" t="s">
        <v>3215</v>
      </c>
      <c r="I1611" t="s">
        <v>28</v>
      </c>
      <c r="J1611">
        <v>25625</v>
      </c>
      <c r="K1611">
        <v>189</v>
      </c>
      <c r="L1611" t="s">
        <v>42</v>
      </c>
      <c r="M1611" s="1">
        <v>44244</v>
      </c>
      <c r="N1611" t="s">
        <v>30</v>
      </c>
      <c r="O1611" t="s">
        <v>31</v>
      </c>
      <c r="P1611" t="str">
        <f t="shared" si="554"/>
        <v>P1610</v>
      </c>
      <c r="Q1611" t="str">
        <f t="shared" si="550"/>
        <v>Oncology</v>
      </c>
      <c r="R1611">
        <f t="shared" si="551"/>
        <v>4</v>
      </c>
      <c r="S1611" t="str">
        <f t="shared" ca="1" si="555"/>
        <v>No</v>
      </c>
      <c r="T1611" t="str">
        <f t="shared" ca="1" si="556"/>
        <v>Moderate</v>
      </c>
      <c r="U1611" t="str">
        <f t="shared" ca="1" si="557"/>
        <v>ICU</v>
      </c>
      <c r="V1611" t="str">
        <f t="shared" si="558"/>
        <v>BED1610</v>
      </c>
      <c r="W1611" t="str">
        <f t="shared" ca="1" si="559"/>
        <v>Semi-Private</v>
      </c>
      <c r="X1611" t="str">
        <f t="shared" si="560"/>
        <v>NUR010</v>
      </c>
      <c r="Y1611" t="str">
        <f t="shared" ca="1" si="561"/>
        <v>Morning</v>
      </c>
      <c r="Z1611" t="str">
        <f t="shared" ca="1" si="562"/>
        <v>X-Ray</v>
      </c>
      <c r="AA1611" t="str">
        <f t="shared" ca="1" si="563"/>
        <v>In Use</v>
      </c>
      <c r="AB1611" t="str">
        <f t="shared" ca="1" si="564"/>
        <v>Paid</v>
      </c>
      <c r="AC1611" t="str">
        <f t="shared" ca="1" si="565"/>
        <v>Cash</v>
      </c>
      <c r="AD1611" t="str">
        <f t="shared" ca="1" si="566"/>
        <v>No</v>
      </c>
      <c r="AE1611" t="str">
        <f t="shared" ca="1" si="567"/>
        <v>Yes</v>
      </c>
      <c r="AF1611" t="str">
        <f t="shared" ca="1" si="568"/>
        <v>Under Observation</v>
      </c>
      <c r="AG1611" t="str">
        <f t="shared" ca="1" si="569"/>
        <v>Midwest</v>
      </c>
      <c r="AH1611" t="str">
        <f t="shared" si="552"/>
        <v>February</v>
      </c>
      <c r="AI1611">
        <f t="shared" si="553"/>
        <v>2021</v>
      </c>
      <c r="AJ1611" t="str">
        <f t="shared" ca="1" si="570"/>
        <v>Occupied</v>
      </c>
      <c r="AK1611">
        <f t="shared" ca="1" si="571"/>
        <v>2</v>
      </c>
    </row>
    <row r="1612" spans="1:37" x14ac:dyDescent="0.3">
      <c r="A1612" t="s">
        <v>6005</v>
      </c>
      <c r="B1612">
        <v>50</v>
      </c>
      <c r="C1612" t="s">
        <v>15</v>
      </c>
      <c r="D1612" t="s">
        <v>24</v>
      </c>
      <c r="E1612" t="s">
        <v>64</v>
      </c>
      <c r="F1612" s="1">
        <v>44119</v>
      </c>
      <c r="G1612" t="s">
        <v>3216</v>
      </c>
      <c r="H1612" t="s">
        <v>3217</v>
      </c>
      <c r="I1612" t="s">
        <v>51</v>
      </c>
      <c r="J1612">
        <v>47837</v>
      </c>
      <c r="K1612">
        <v>402</v>
      </c>
      <c r="L1612" t="s">
        <v>21</v>
      </c>
      <c r="M1612" s="1">
        <v>44120</v>
      </c>
      <c r="N1612" t="s">
        <v>47</v>
      </c>
      <c r="O1612" t="s">
        <v>43</v>
      </c>
      <c r="P1612" t="str">
        <f t="shared" si="554"/>
        <v>P1611</v>
      </c>
      <c r="Q1612" t="str">
        <f t="shared" si="550"/>
        <v>Cardiology</v>
      </c>
      <c r="R1612">
        <f t="shared" si="551"/>
        <v>1</v>
      </c>
      <c r="S1612" t="str">
        <f t="shared" ca="1" si="555"/>
        <v>No</v>
      </c>
      <c r="T1612" t="str">
        <f t="shared" ca="1" si="556"/>
        <v>Mild</v>
      </c>
      <c r="U1612" t="str">
        <f t="shared" ca="1" si="557"/>
        <v>General Ward</v>
      </c>
      <c r="V1612" t="str">
        <f t="shared" si="558"/>
        <v>BED1611</v>
      </c>
      <c r="W1612" t="str">
        <f t="shared" ca="1" si="559"/>
        <v>ICU</v>
      </c>
      <c r="X1612" t="str">
        <f t="shared" si="560"/>
        <v>NUR011</v>
      </c>
      <c r="Y1612" t="str">
        <f t="shared" ca="1" si="561"/>
        <v>Evening</v>
      </c>
      <c r="Z1612" t="str">
        <f t="shared" ca="1" si="562"/>
        <v>CT Scanner</v>
      </c>
      <c r="AA1612" t="str">
        <f t="shared" ca="1" si="563"/>
        <v>Available</v>
      </c>
      <c r="AB1612" t="str">
        <f t="shared" ca="1" si="564"/>
        <v>Paid</v>
      </c>
      <c r="AC1612" t="str">
        <f t="shared" ca="1" si="565"/>
        <v>Debit Card</v>
      </c>
      <c r="AD1612" t="str">
        <f t="shared" ca="1" si="566"/>
        <v>No</v>
      </c>
      <c r="AE1612" t="str">
        <f t="shared" ca="1" si="567"/>
        <v>No</v>
      </c>
      <c r="AF1612" t="str">
        <f t="shared" ca="1" si="568"/>
        <v>Under Observation</v>
      </c>
      <c r="AG1612" t="str">
        <f t="shared" ca="1" si="569"/>
        <v>Southwest</v>
      </c>
      <c r="AH1612" t="str">
        <f t="shared" si="552"/>
        <v>October</v>
      </c>
      <c r="AI1612">
        <f t="shared" si="553"/>
        <v>2020</v>
      </c>
      <c r="AJ1612" t="str">
        <f t="shared" ca="1" si="570"/>
        <v>Occupied</v>
      </c>
      <c r="AK1612">
        <f t="shared" ca="1" si="571"/>
        <v>2</v>
      </c>
    </row>
    <row r="1613" spans="1:37" x14ac:dyDescent="0.3">
      <c r="A1613" t="s">
        <v>6006</v>
      </c>
      <c r="B1613">
        <v>65</v>
      </c>
      <c r="C1613" t="s">
        <v>32</v>
      </c>
      <c r="D1613" t="s">
        <v>98</v>
      </c>
      <c r="E1613" t="s">
        <v>64</v>
      </c>
      <c r="F1613" s="1">
        <v>44640</v>
      </c>
      <c r="G1613" t="s">
        <v>3218</v>
      </c>
      <c r="H1613" t="s">
        <v>3219</v>
      </c>
      <c r="I1613" t="s">
        <v>36</v>
      </c>
      <c r="J1613">
        <v>1592</v>
      </c>
      <c r="K1613">
        <v>352</v>
      </c>
      <c r="L1613" t="s">
        <v>29</v>
      </c>
      <c r="M1613" s="1">
        <v>44657</v>
      </c>
      <c r="N1613" t="s">
        <v>22</v>
      </c>
      <c r="O1613" t="s">
        <v>23</v>
      </c>
      <c r="P1613" t="str">
        <f t="shared" si="554"/>
        <v>P1612</v>
      </c>
      <c r="Q1613" t="str">
        <f t="shared" si="550"/>
        <v>Cardiology</v>
      </c>
      <c r="R1613">
        <f t="shared" si="551"/>
        <v>17</v>
      </c>
      <c r="S1613" t="str">
        <f t="shared" ca="1" si="555"/>
        <v>No</v>
      </c>
      <c r="T1613" t="str">
        <f t="shared" ca="1" si="556"/>
        <v>Critical</v>
      </c>
      <c r="U1613" t="str">
        <f t="shared" ca="1" si="557"/>
        <v>General Ward</v>
      </c>
      <c r="V1613" t="str">
        <f t="shared" si="558"/>
        <v>BED1612</v>
      </c>
      <c r="W1613" t="str">
        <f t="shared" ca="1" si="559"/>
        <v>Semi-Private</v>
      </c>
      <c r="X1613" t="str">
        <f t="shared" si="560"/>
        <v>NUR012</v>
      </c>
      <c r="Y1613" t="str">
        <f t="shared" ca="1" si="561"/>
        <v>Night</v>
      </c>
      <c r="Z1613" t="str">
        <f t="shared" ca="1" si="562"/>
        <v>Ventilator</v>
      </c>
      <c r="AA1613" t="str">
        <f t="shared" ca="1" si="563"/>
        <v>Maintenance</v>
      </c>
      <c r="AB1613" t="str">
        <f t="shared" ca="1" si="564"/>
        <v>Paid</v>
      </c>
      <c r="AC1613" t="str">
        <f t="shared" ca="1" si="565"/>
        <v>Cash</v>
      </c>
      <c r="AD1613" t="str">
        <f t="shared" ca="1" si="566"/>
        <v>No</v>
      </c>
      <c r="AE1613" t="str">
        <f t="shared" ca="1" si="567"/>
        <v>No</v>
      </c>
      <c r="AF1613" t="str">
        <f t="shared" ca="1" si="568"/>
        <v>Transferred</v>
      </c>
      <c r="AG1613" t="str">
        <f t="shared" ca="1" si="569"/>
        <v>Southwest</v>
      </c>
      <c r="AH1613" t="str">
        <f t="shared" si="552"/>
        <v>March</v>
      </c>
      <c r="AI1613">
        <f t="shared" si="553"/>
        <v>2022</v>
      </c>
      <c r="AJ1613" t="str">
        <f t="shared" ca="1" si="570"/>
        <v>Occupied</v>
      </c>
      <c r="AK1613">
        <f t="shared" ca="1" si="571"/>
        <v>4</v>
      </c>
    </row>
    <row r="1614" spans="1:37" x14ac:dyDescent="0.3">
      <c r="A1614" t="s">
        <v>6007</v>
      </c>
      <c r="B1614">
        <v>42</v>
      </c>
      <c r="C1614" t="s">
        <v>15</v>
      </c>
      <c r="D1614" t="s">
        <v>44</v>
      </c>
      <c r="E1614" t="s">
        <v>39</v>
      </c>
      <c r="F1614" s="1">
        <v>45298</v>
      </c>
      <c r="G1614" t="s">
        <v>3220</v>
      </c>
      <c r="H1614" t="s">
        <v>3221</v>
      </c>
      <c r="I1614" t="s">
        <v>57</v>
      </c>
      <c r="J1614">
        <v>23891</v>
      </c>
      <c r="K1614">
        <v>493</v>
      </c>
      <c r="L1614" t="s">
        <v>29</v>
      </c>
      <c r="M1614" s="1">
        <v>45316</v>
      </c>
      <c r="N1614" t="s">
        <v>30</v>
      </c>
      <c r="O1614" t="s">
        <v>31</v>
      </c>
      <c r="P1614" t="str">
        <f t="shared" si="554"/>
        <v>P1613</v>
      </c>
      <c r="Q1614" t="str">
        <f t="shared" si="550"/>
        <v>Endocrinology</v>
      </c>
      <c r="R1614">
        <f t="shared" si="551"/>
        <v>18</v>
      </c>
      <c r="S1614" t="str">
        <f t="shared" ca="1" si="555"/>
        <v>No</v>
      </c>
      <c r="T1614" t="str">
        <f t="shared" ca="1" si="556"/>
        <v>Moderate</v>
      </c>
      <c r="U1614" t="str">
        <f t="shared" ca="1" si="557"/>
        <v>Semi-Private</v>
      </c>
      <c r="V1614" t="str">
        <f t="shared" si="558"/>
        <v>BED1613</v>
      </c>
      <c r="W1614" t="str">
        <f t="shared" ca="1" si="559"/>
        <v>Private</v>
      </c>
      <c r="X1614" t="str">
        <f t="shared" si="560"/>
        <v>NUR013</v>
      </c>
      <c r="Y1614" t="str">
        <f t="shared" ca="1" si="561"/>
        <v>Night</v>
      </c>
      <c r="Z1614" t="str">
        <f t="shared" ca="1" si="562"/>
        <v>X-Ray</v>
      </c>
      <c r="AA1614" t="str">
        <f t="shared" ca="1" si="563"/>
        <v>Available</v>
      </c>
      <c r="AB1614" t="str">
        <f t="shared" ca="1" si="564"/>
        <v>Pending</v>
      </c>
      <c r="AC1614" t="str">
        <f t="shared" ca="1" si="565"/>
        <v>Credit Card</v>
      </c>
      <c r="AD1614" t="str">
        <f t="shared" ca="1" si="566"/>
        <v>Yes</v>
      </c>
      <c r="AE1614" t="str">
        <f t="shared" ca="1" si="567"/>
        <v>No</v>
      </c>
      <c r="AF1614" t="str">
        <f t="shared" ca="1" si="568"/>
        <v>Transferred</v>
      </c>
      <c r="AG1614" t="str">
        <f t="shared" ca="1" si="569"/>
        <v>West Coast</v>
      </c>
      <c r="AH1614" t="str">
        <f t="shared" si="552"/>
        <v>January</v>
      </c>
      <c r="AI1614">
        <f t="shared" si="553"/>
        <v>2024</v>
      </c>
      <c r="AJ1614" t="str">
        <f t="shared" ca="1" si="570"/>
        <v>Occupied</v>
      </c>
      <c r="AK1614">
        <f t="shared" ca="1" si="571"/>
        <v>4</v>
      </c>
    </row>
    <row r="1615" spans="1:37" x14ac:dyDescent="0.3">
      <c r="A1615" t="s">
        <v>6008</v>
      </c>
      <c r="B1615">
        <v>49</v>
      </c>
      <c r="C1615" t="s">
        <v>32</v>
      </c>
      <c r="D1615" t="s">
        <v>24</v>
      </c>
      <c r="E1615" t="s">
        <v>25</v>
      </c>
      <c r="F1615" s="1">
        <v>44983</v>
      </c>
      <c r="G1615" t="s">
        <v>3222</v>
      </c>
      <c r="H1615" t="s">
        <v>3223</v>
      </c>
      <c r="I1615" t="s">
        <v>20</v>
      </c>
      <c r="J1615">
        <v>25984</v>
      </c>
      <c r="K1615">
        <v>162</v>
      </c>
      <c r="L1615" t="s">
        <v>29</v>
      </c>
      <c r="M1615" s="1">
        <v>44999</v>
      </c>
      <c r="N1615" t="s">
        <v>37</v>
      </c>
      <c r="O1615" t="s">
        <v>43</v>
      </c>
      <c r="P1615" t="str">
        <f t="shared" si="554"/>
        <v>P1614</v>
      </c>
      <c r="Q1615" t="str">
        <f t="shared" si="550"/>
        <v>Nutrition</v>
      </c>
      <c r="R1615">
        <f t="shared" si="551"/>
        <v>16</v>
      </c>
      <c r="S1615" t="str">
        <f t="shared" ca="1" si="555"/>
        <v>No</v>
      </c>
      <c r="T1615" t="str">
        <f t="shared" ca="1" si="556"/>
        <v>Severe</v>
      </c>
      <c r="U1615" t="str">
        <f t="shared" ca="1" si="557"/>
        <v>Semi-Private</v>
      </c>
      <c r="V1615" t="str">
        <f t="shared" si="558"/>
        <v>BED1614</v>
      </c>
      <c r="W1615" t="str">
        <f t="shared" ca="1" si="559"/>
        <v>Semi-Private</v>
      </c>
      <c r="X1615" t="str">
        <f t="shared" si="560"/>
        <v>NUR014</v>
      </c>
      <c r="Y1615" t="str">
        <f t="shared" ca="1" si="561"/>
        <v>Evening</v>
      </c>
      <c r="Z1615" t="str">
        <f t="shared" ca="1" si="562"/>
        <v>X-Ray</v>
      </c>
      <c r="AA1615" t="str">
        <f t="shared" ca="1" si="563"/>
        <v>In Use</v>
      </c>
      <c r="AB1615" t="str">
        <f t="shared" ca="1" si="564"/>
        <v>Pending</v>
      </c>
      <c r="AC1615" t="str">
        <f t="shared" ca="1" si="565"/>
        <v>Bank Transfer</v>
      </c>
      <c r="AD1615" t="str">
        <f t="shared" ca="1" si="566"/>
        <v>No</v>
      </c>
      <c r="AE1615" t="str">
        <f t="shared" ca="1" si="567"/>
        <v>No</v>
      </c>
      <c r="AF1615" t="str">
        <f t="shared" ca="1" si="568"/>
        <v>Transferred</v>
      </c>
      <c r="AG1615" t="str">
        <f t="shared" ca="1" si="569"/>
        <v>Southwest</v>
      </c>
      <c r="AH1615" t="str">
        <f t="shared" si="552"/>
        <v>February</v>
      </c>
      <c r="AI1615">
        <f t="shared" si="553"/>
        <v>2023</v>
      </c>
      <c r="AJ1615" t="str">
        <f t="shared" ca="1" si="570"/>
        <v>Occupied</v>
      </c>
      <c r="AK1615">
        <f t="shared" ca="1" si="571"/>
        <v>2</v>
      </c>
    </row>
    <row r="1616" spans="1:37" x14ac:dyDescent="0.3">
      <c r="A1616" t="s">
        <v>6009</v>
      </c>
      <c r="B1616">
        <v>18</v>
      </c>
      <c r="C1616" t="s">
        <v>15</v>
      </c>
      <c r="D1616" t="s">
        <v>44</v>
      </c>
      <c r="E1616" t="s">
        <v>17</v>
      </c>
      <c r="F1616" s="1">
        <v>43984</v>
      </c>
      <c r="G1616" t="s">
        <v>3224</v>
      </c>
      <c r="H1616" t="s">
        <v>3225</v>
      </c>
      <c r="I1616" t="s">
        <v>51</v>
      </c>
      <c r="J1616">
        <v>19267</v>
      </c>
      <c r="K1616">
        <v>408</v>
      </c>
      <c r="L1616" t="s">
        <v>42</v>
      </c>
      <c r="M1616" s="1">
        <v>44014</v>
      </c>
      <c r="N1616" t="s">
        <v>30</v>
      </c>
      <c r="O1616" t="s">
        <v>43</v>
      </c>
      <c r="P1616" t="str">
        <f t="shared" si="554"/>
        <v>P1615</v>
      </c>
      <c r="Q1616" t="str">
        <f t="shared" si="550"/>
        <v>Oncology</v>
      </c>
      <c r="R1616">
        <f t="shared" si="551"/>
        <v>30</v>
      </c>
      <c r="S1616" t="str">
        <f t="shared" ca="1" si="555"/>
        <v>No</v>
      </c>
      <c r="T1616" t="str">
        <f t="shared" ca="1" si="556"/>
        <v>Severe</v>
      </c>
      <c r="U1616" t="str">
        <f t="shared" ca="1" si="557"/>
        <v>Private Ward</v>
      </c>
      <c r="V1616" t="str">
        <f t="shared" si="558"/>
        <v>BED1615</v>
      </c>
      <c r="W1616" t="str">
        <f t="shared" ca="1" si="559"/>
        <v>General</v>
      </c>
      <c r="X1616" t="str">
        <f t="shared" si="560"/>
        <v>NUR015</v>
      </c>
      <c r="Y1616" t="str">
        <f t="shared" ca="1" si="561"/>
        <v>Night</v>
      </c>
      <c r="Z1616" t="str">
        <f t="shared" ca="1" si="562"/>
        <v>Ventilator</v>
      </c>
      <c r="AA1616" t="str">
        <f t="shared" ca="1" si="563"/>
        <v>In Use</v>
      </c>
      <c r="AB1616" t="str">
        <f t="shared" ca="1" si="564"/>
        <v>Pending</v>
      </c>
      <c r="AC1616" t="str">
        <f t="shared" ca="1" si="565"/>
        <v>Bank Transfer</v>
      </c>
      <c r="AD1616" t="str">
        <f t="shared" ca="1" si="566"/>
        <v>No</v>
      </c>
      <c r="AE1616" t="str">
        <f t="shared" ca="1" si="567"/>
        <v>No</v>
      </c>
      <c r="AF1616" t="str">
        <f t="shared" ca="1" si="568"/>
        <v>Under Observation</v>
      </c>
      <c r="AG1616" t="str">
        <f t="shared" ca="1" si="569"/>
        <v>Northeast</v>
      </c>
      <c r="AH1616" t="str">
        <f t="shared" si="552"/>
        <v>June</v>
      </c>
      <c r="AI1616">
        <f t="shared" si="553"/>
        <v>2020</v>
      </c>
      <c r="AJ1616" t="str">
        <f t="shared" ca="1" si="570"/>
        <v>Occupied</v>
      </c>
      <c r="AK1616">
        <f t="shared" ca="1" si="571"/>
        <v>1</v>
      </c>
    </row>
    <row r="1617" spans="1:37" x14ac:dyDescent="0.3">
      <c r="A1617" t="s">
        <v>6010</v>
      </c>
      <c r="B1617">
        <v>69</v>
      </c>
      <c r="C1617" t="s">
        <v>32</v>
      </c>
      <c r="D1617" t="s">
        <v>16</v>
      </c>
      <c r="E1617" t="s">
        <v>25</v>
      </c>
      <c r="F1617" s="1">
        <v>44169</v>
      </c>
      <c r="G1617" t="s">
        <v>3226</v>
      </c>
      <c r="H1617" t="s">
        <v>3227</v>
      </c>
      <c r="I1617" t="s">
        <v>20</v>
      </c>
      <c r="J1617">
        <v>44860</v>
      </c>
      <c r="K1617">
        <v>493</v>
      </c>
      <c r="L1617" t="s">
        <v>42</v>
      </c>
      <c r="M1617" s="1">
        <v>44188</v>
      </c>
      <c r="N1617" t="s">
        <v>22</v>
      </c>
      <c r="O1617" t="s">
        <v>31</v>
      </c>
      <c r="P1617" t="str">
        <f t="shared" si="554"/>
        <v>P1616</v>
      </c>
      <c r="Q1617" t="str">
        <f t="shared" si="550"/>
        <v>Nutrition</v>
      </c>
      <c r="R1617">
        <f t="shared" si="551"/>
        <v>19</v>
      </c>
      <c r="S1617" t="str">
        <f t="shared" ca="1" si="555"/>
        <v>No</v>
      </c>
      <c r="T1617" t="str">
        <f t="shared" ca="1" si="556"/>
        <v>Mild</v>
      </c>
      <c r="U1617" t="str">
        <f t="shared" ca="1" si="557"/>
        <v>ICU</v>
      </c>
      <c r="V1617" t="str">
        <f t="shared" si="558"/>
        <v>BED1616</v>
      </c>
      <c r="W1617" t="str">
        <f t="shared" ca="1" si="559"/>
        <v>Semi-Private</v>
      </c>
      <c r="X1617" t="str">
        <f t="shared" si="560"/>
        <v>NUR016</v>
      </c>
      <c r="Y1617" t="str">
        <f t="shared" ca="1" si="561"/>
        <v>Night</v>
      </c>
      <c r="Z1617" t="str">
        <f t="shared" ca="1" si="562"/>
        <v>Ultrasound</v>
      </c>
      <c r="AA1617" t="str">
        <f t="shared" ca="1" si="563"/>
        <v>In Use</v>
      </c>
      <c r="AB1617" t="str">
        <f t="shared" ca="1" si="564"/>
        <v>Pending</v>
      </c>
      <c r="AC1617" t="str">
        <f t="shared" ca="1" si="565"/>
        <v>Debit Card</v>
      </c>
      <c r="AD1617" t="str">
        <f t="shared" ca="1" si="566"/>
        <v>No</v>
      </c>
      <c r="AE1617" t="str">
        <f t="shared" ca="1" si="567"/>
        <v>No</v>
      </c>
      <c r="AF1617" t="str">
        <f t="shared" ca="1" si="568"/>
        <v>Under Observation</v>
      </c>
      <c r="AG1617" t="str">
        <f t="shared" ca="1" si="569"/>
        <v>Northeast</v>
      </c>
      <c r="AH1617" t="str">
        <f t="shared" si="552"/>
        <v>December</v>
      </c>
      <c r="AI1617">
        <f t="shared" si="553"/>
        <v>2020</v>
      </c>
      <c r="AJ1617" t="str">
        <f t="shared" ca="1" si="570"/>
        <v>Occupied</v>
      </c>
      <c r="AK1617">
        <f t="shared" ca="1" si="571"/>
        <v>1</v>
      </c>
    </row>
    <row r="1618" spans="1:37" x14ac:dyDescent="0.3">
      <c r="A1618" t="s">
        <v>6011</v>
      </c>
      <c r="B1618">
        <v>71</v>
      </c>
      <c r="C1618" t="s">
        <v>15</v>
      </c>
      <c r="D1618" t="s">
        <v>38</v>
      </c>
      <c r="E1618" t="s">
        <v>39</v>
      </c>
      <c r="F1618" s="1">
        <v>45355</v>
      </c>
      <c r="G1618" t="s">
        <v>3228</v>
      </c>
      <c r="H1618" t="s">
        <v>3229</v>
      </c>
      <c r="I1618" t="s">
        <v>20</v>
      </c>
      <c r="J1618">
        <v>42757</v>
      </c>
      <c r="K1618">
        <v>299</v>
      </c>
      <c r="L1618" t="s">
        <v>21</v>
      </c>
      <c r="M1618" s="1">
        <v>45363</v>
      </c>
      <c r="N1618" t="s">
        <v>47</v>
      </c>
      <c r="O1618" t="s">
        <v>31</v>
      </c>
      <c r="P1618" t="str">
        <f t="shared" si="554"/>
        <v>P1617</v>
      </c>
      <c r="Q1618" t="str">
        <f t="shared" si="550"/>
        <v>Endocrinology</v>
      </c>
      <c r="R1618">
        <f t="shared" si="551"/>
        <v>8</v>
      </c>
      <c r="S1618" t="str">
        <f t="shared" ca="1" si="555"/>
        <v>No</v>
      </c>
      <c r="T1618" t="str">
        <f t="shared" ca="1" si="556"/>
        <v>Critical</v>
      </c>
      <c r="U1618" t="str">
        <f t="shared" ca="1" si="557"/>
        <v>Private Ward</v>
      </c>
      <c r="V1618" t="str">
        <f t="shared" si="558"/>
        <v>BED1617</v>
      </c>
      <c r="W1618" t="str">
        <f t="shared" ca="1" si="559"/>
        <v>ICU</v>
      </c>
      <c r="X1618" t="str">
        <f t="shared" si="560"/>
        <v>NUR017</v>
      </c>
      <c r="Y1618" t="str">
        <f t="shared" ca="1" si="561"/>
        <v>Morning</v>
      </c>
      <c r="Z1618" t="str">
        <f t="shared" ca="1" si="562"/>
        <v>X-Ray</v>
      </c>
      <c r="AA1618" t="str">
        <f t="shared" ca="1" si="563"/>
        <v>Available</v>
      </c>
      <c r="AB1618" t="str">
        <f t="shared" ca="1" si="564"/>
        <v>Partially Paid</v>
      </c>
      <c r="AC1618" t="str">
        <f t="shared" ca="1" si="565"/>
        <v>Insurance</v>
      </c>
      <c r="AD1618" t="str">
        <f t="shared" ca="1" si="566"/>
        <v>No</v>
      </c>
      <c r="AE1618" t="str">
        <f t="shared" ca="1" si="567"/>
        <v>No</v>
      </c>
      <c r="AF1618" t="str">
        <f t="shared" ca="1" si="568"/>
        <v>Recovered</v>
      </c>
      <c r="AG1618" t="str">
        <f t="shared" ca="1" si="569"/>
        <v>Southeast</v>
      </c>
      <c r="AH1618" t="str">
        <f t="shared" si="552"/>
        <v>March</v>
      </c>
      <c r="AI1618">
        <f t="shared" si="553"/>
        <v>2024</v>
      </c>
      <c r="AJ1618" t="str">
        <f t="shared" ca="1" si="570"/>
        <v>Occupied</v>
      </c>
      <c r="AK1618">
        <f t="shared" ca="1" si="571"/>
        <v>1</v>
      </c>
    </row>
    <row r="1619" spans="1:37" x14ac:dyDescent="0.3">
      <c r="A1619" t="s">
        <v>6012</v>
      </c>
      <c r="B1619">
        <v>43</v>
      </c>
      <c r="C1619" t="s">
        <v>32</v>
      </c>
      <c r="D1619" t="s">
        <v>52</v>
      </c>
      <c r="E1619" t="s">
        <v>48</v>
      </c>
      <c r="F1619" s="1">
        <v>45173</v>
      </c>
      <c r="G1619" t="s">
        <v>3230</v>
      </c>
      <c r="H1619" t="s">
        <v>3231</v>
      </c>
      <c r="I1619" t="s">
        <v>36</v>
      </c>
      <c r="J1619">
        <v>8063</v>
      </c>
      <c r="K1619">
        <v>201</v>
      </c>
      <c r="L1619" t="s">
        <v>29</v>
      </c>
      <c r="M1619" s="1">
        <v>45188</v>
      </c>
      <c r="N1619" t="s">
        <v>22</v>
      </c>
      <c r="O1619" t="s">
        <v>23</v>
      </c>
      <c r="P1619" t="str">
        <f t="shared" si="554"/>
        <v>P1618</v>
      </c>
      <c r="Q1619" t="str">
        <f t="shared" si="550"/>
        <v>Pulmonology</v>
      </c>
      <c r="R1619">
        <f t="shared" si="551"/>
        <v>15</v>
      </c>
      <c r="S1619" t="str">
        <f t="shared" ca="1" si="555"/>
        <v>No</v>
      </c>
      <c r="T1619" t="str">
        <f t="shared" ca="1" si="556"/>
        <v>Mild</v>
      </c>
      <c r="U1619" t="str">
        <f t="shared" ca="1" si="557"/>
        <v>Private Ward</v>
      </c>
      <c r="V1619" t="str">
        <f t="shared" si="558"/>
        <v>BED1618</v>
      </c>
      <c r="W1619" t="str">
        <f t="shared" ca="1" si="559"/>
        <v>General</v>
      </c>
      <c r="X1619" t="str">
        <f t="shared" si="560"/>
        <v>NUR018</v>
      </c>
      <c r="Y1619" t="str">
        <f t="shared" ca="1" si="561"/>
        <v>Morning</v>
      </c>
      <c r="Z1619" t="str">
        <f t="shared" ca="1" si="562"/>
        <v>X-Ray</v>
      </c>
      <c r="AA1619" t="str">
        <f t="shared" ca="1" si="563"/>
        <v>Maintenance</v>
      </c>
      <c r="AB1619" t="str">
        <f t="shared" ca="1" si="564"/>
        <v>Paid</v>
      </c>
      <c r="AC1619" t="str">
        <f t="shared" ca="1" si="565"/>
        <v>Cash</v>
      </c>
      <c r="AD1619" t="str">
        <f t="shared" ca="1" si="566"/>
        <v>No</v>
      </c>
      <c r="AE1619" t="str">
        <f t="shared" ca="1" si="567"/>
        <v>No</v>
      </c>
      <c r="AF1619" t="str">
        <f t="shared" ca="1" si="568"/>
        <v>Transferred</v>
      </c>
      <c r="AG1619" t="str">
        <f t="shared" ca="1" si="569"/>
        <v>Midwest</v>
      </c>
      <c r="AH1619" t="str">
        <f t="shared" si="552"/>
        <v>September</v>
      </c>
      <c r="AI1619">
        <f t="shared" si="553"/>
        <v>2023</v>
      </c>
      <c r="AJ1619" t="str">
        <f t="shared" ca="1" si="570"/>
        <v>Occupied</v>
      </c>
      <c r="AK1619">
        <f t="shared" ca="1" si="571"/>
        <v>1</v>
      </c>
    </row>
    <row r="1620" spans="1:37" x14ac:dyDescent="0.3">
      <c r="A1620" t="s">
        <v>6013</v>
      </c>
      <c r="B1620">
        <v>30</v>
      </c>
      <c r="C1620" t="s">
        <v>32</v>
      </c>
      <c r="D1620" t="s">
        <v>98</v>
      </c>
      <c r="E1620" t="s">
        <v>64</v>
      </c>
      <c r="F1620" s="1">
        <v>44941</v>
      </c>
      <c r="G1620" t="s">
        <v>3232</v>
      </c>
      <c r="H1620" t="s">
        <v>3233</v>
      </c>
      <c r="I1620" t="s">
        <v>28</v>
      </c>
      <c r="J1620">
        <v>40623</v>
      </c>
      <c r="K1620">
        <v>163</v>
      </c>
      <c r="L1620" t="s">
        <v>29</v>
      </c>
      <c r="M1620" s="1">
        <v>44956</v>
      </c>
      <c r="N1620" t="s">
        <v>67</v>
      </c>
      <c r="O1620" t="s">
        <v>43</v>
      </c>
      <c r="P1620" t="str">
        <f t="shared" si="554"/>
        <v>P1619</v>
      </c>
      <c r="Q1620" t="str">
        <f t="shared" si="550"/>
        <v>Cardiology</v>
      </c>
      <c r="R1620">
        <f t="shared" si="551"/>
        <v>15</v>
      </c>
      <c r="S1620" t="str">
        <f t="shared" ca="1" si="555"/>
        <v>No</v>
      </c>
      <c r="T1620" t="str">
        <f t="shared" ca="1" si="556"/>
        <v>Moderate</v>
      </c>
      <c r="U1620" t="str">
        <f t="shared" ca="1" si="557"/>
        <v>Private Ward</v>
      </c>
      <c r="V1620" t="str">
        <f t="shared" si="558"/>
        <v>BED1619</v>
      </c>
      <c r="W1620" t="str">
        <f t="shared" ca="1" si="559"/>
        <v>Private</v>
      </c>
      <c r="X1620" t="str">
        <f t="shared" si="560"/>
        <v>NUR019</v>
      </c>
      <c r="Y1620" t="str">
        <f t="shared" ca="1" si="561"/>
        <v>Morning</v>
      </c>
      <c r="Z1620" t="str">
        <f t="shared" ca="1" si="562"/>
        <v>ECG Machine</v>
      </c>
      <c r="AA1620" t="str">
        <f t="shared" ca="1" si="563"/>
        <v>Available</v>
      </c>
      <c r="AB1620" t="str">
        <f t="shared" ca="1" si="564"/>
        <v>Paid</v>
      </c>
      <c r="AC1620" t="str">
        <f t="shared" ca="1" si="565"/>
        <v>Insurance</v>
      </c>
      <c r="AD1620" t="str">
        <f t="shared" ca="1" si="566"/>
        <v>No</v>
      </c>
      <c r="AE1620" t="str">
        <f t="shared" ca="1" si="567"/>
        <v>No</v>
      </c>
      <c r="AF1620" t="str">
        <f t="shared" ca="1" si="568"/>
        <v>Transferred</v>
      </c>
      <c r="AG1620" t="str">
        <f t="shared" ca="1" si="569"/>
        <v>Southeast</v>
      </c>
      <c r="AH1620" t="str">
        <f t="shared" si="552"/>
        <v>January</v>
      </c>
      <c r="AI1620">
        <f t="shared" si="553"/>
        <v>2023</v>
      </c>
      <c r="AJ1620" t="str">
        <f t="shared" ca="1" si="570"/>
        <v>Occupied</v>
      </c>
      <c r="AK1620">
        <f t="shared" ca="1" si="571"/>
        <v>1</v>
      </c>
    </row>
    <row r="1621" spans="1:37" x14ac:dyDescent="0.3">
      <c r="A1621" t="s">
        <v>6014</v>
      </c>
      <c r="B1621">
        <v>73</v>
      </c>
      <c r="C1621" t="s">
        <v>32</v>
      </c>
      <c r="D1621" t="s">
        <v>52</v>
      </c>
      <c r="E1621" t="s">
        <v>64</v>
      </c>
      <c r="F1621" s="1">
        <v>44843</v>
      </c>
      <c r="G1621" t="s">
        <v>3234</v>
      </c>
      <c r="H1621" t="s">
        <v>3235</v>
      </c>
      <c r="I1621" t="s">
        <v>28</v>
      </c>
      <c r="J1621">
        <v>23805</v>
      </c>
      <c r="K1621">
        <v>116</v>
      </c>
      <c r="L1621" t="s">
        <v>42</v>
      </c>
      <c r="M1621" s="1">
        <v>44854</v>
      </c>
      <c r="N1621" t="s">
        <v>30</v>
      </c>
      <c r="O1621" t="s">
        <v>23</v>
      </c>
      <c r="P1621" t="str">
        <f t="shared" si="554"/>
        <v>P1620</v>
      </c>
      <c r="Q1621" t="str">
        <f t="shared" si="550"/>
        <v>Cardiology</v>
      </c>
      <c r="R1621">
        <f t="shared" si="551"/>
        <v>11</v>
      </c>
      <c r="S1621" t="str">
        <f t="shared" ca="1" si="555"/>
        <v>No</v>
      </c>
      <c r="T1621" t="str">
        <f t="shared" ca="1" si="556"/>
        <v>Severe</v>
      </c>
      <c r="U1621" t="str">
        <f t="shared" ca="1" si="557"/>
        <v>Emergency</v>
      </c>
      <c r="V1621" t="str">
        <f t="shared" si="558"/>
        <v>BED1620</v>
      </c>
      <c r="W1621" t="str">
        <f t="shared" ca="1" si="559"/>
        <v>General</v>
      </c>
      <c r="X1621" t="str">
        <f t="shared" si="560"/>
        <v>NUR020</v>
      </c>
      <c r="Y1621" t="str">
        <f t="shared" ca="1" si="561"/>
        <v>Night</v>
      </c>
      <c r="Z1621" t="str">
        <f t="shared" ca="1" si="562"/>
        <v>Ultrasound</v>
      </c>
      <c r="AA1621" t="str">
        <f t="shared" ca="1" si="563"/>
        <v>Available</v>
      </c>
      <c r="AB1621" t="str">
        <f t="shared" ca="1" si="564"/>
        <v>Paid</v>
      </c>
      <c r="AC1621" t="str">
        <f t="shared" ca="1" si="565"/>
        <v>Credit Card</v>
      </c>
      <c r="AD1621" t="str">
        <f t="shared" ca="1" si="566"/>
        <v>No</v>
      </c>
      <c r="AE1621" t="str">
        <f t="shared" ca="1" si="567"/>
        <v>No</v>
      </c>
      <c r="AF1621" t="str">
        <f t="shared" ca="1" si="568"/>
        <v>Transferred</v>
      </c>
      <c r="AG1621" t="str">
        <f t="shared" ca="1" si="569"/>
        <v>Northeast</v>
      </c>
      <c r="AH1621" t="str">
        <f t="shared" si="552"/>
        <v>October</v>
      </c>
      <c r="AI1621">
        <f t="shared" si="553"/>
        <v>2022</v>
      </c>
      <c r="AJ1621" t="str">
        <f t="shared" ca="1" si="570"/>
        <v>Occupied</v>
      </c>
      <c r="AK1621">
        <f t="shared" ca="1" si="571"/>
        <v>1</v>
      </c>
    </row>
    <row r="1622" spans="1:37" x14ac:dyDescent="0.3">
      <c r="A1622" t="s">
        <v>6015</v>
      </c>
      <c r="B1622">
        <v>41</v>
      </c>
      <c r="C1622" t="s">
        <v>15</v>
      </c>
      <c r="D1622" t="s">
        <v>83</v>
      </c>
      <c r="E1622" t="s">
        <v>76</v>
      </c>
      <c r="F1622" s="1">
        <v>44096</v>
      </c>
      <c r="G1622" t="s">
        <v>3236</v>
      </c>
      <c r="H1622" t="s">
        <v>3237</v>
      </c>
      <c r="I1622" t="s">
        <v>28</v>
      </c>
      <c r="J1622">
        <v>44802</v>
      </c>
      <c r="K1622">
        <v>477</v>
      </c>
      <c r="L1622" t="s">
        <v>21</v>
      </c>
      <c r="M1622" s="1">
        <v>44100</v>
      </c>
      <c r="N1622" t="s">
        <v>67</v>
      </c>
      <c r="O1622" t="s">
        <v>31</v>
      </c>
      <c r="P1622" t="str">
        <f t="shared" si="554"/>
        <v>P1621</v>
      </c>
      <c r="Q1622" t="str">
        <f t="shared" si="550"/>
        <v>Orthopedics</v>
      </c>
      <c r="R1622">
        <f t="shared" si="551"/>
        <v>4</v>
      </c>
      <c r="S1622" t="str">
        <f t="shared" ca="1" si="555"/>
        <v>No</v>
      </c>
      <c r="T1622" t="str">
        <f t="shared" ca="1" si="556"/>
        <v>Critical</v>
      </c>
      <c r="U1622" t="str">
        <f t="shared" ca="1" si="557"/>
        <v>ICU</v>
      </c>
      <c r="V1622" t="str">
        <f t="shared" si="558"/>
        <v>BED1621</v>
      </c>
      <c r="W1622" t="str">
        <f t="shared" ca="1" si="559"/>
        <v>General</v>
      </c>
      <c r="X1622" t="str">
        <f t="shared" si="560"/>
        <v>NUR021</v>
      </c>
      <c r="Y1622" t="str">
        <f t="shared" ca="1" si="561"/>
        <v>Night</v>
      </c>
      <c r="Z1622" t="str">
        <f t="shared" ca="1" si="562"/>
        <v>ECG Machine</v>
      </c>
      <c r="AA1622" t="str">
        <f t="shared" ca="1" si="563"/>
        <v>In Use</v>
      </c>
      <c r="AB1622" t="str">
        <f t="shared" ca="1" si="564"/>
        <v>Paid</v>
      </c>
      <c r="AC1622" t="str">
        <f t="shared" ca="1" si="565"/>
        <v>Debit Card</v>
      </c>
      <c r="AD1622" t="str">
        <f t="shared" ca="1" si="566"/>
        <v>No</v>
      </c>
      <c r="AE1622" t="str">
        <f t="shared" ca="1" si="567"/>
        <v>No</v>
      </c>
      <c r="AF1622" t="str">
        <f t="shared" ca="1" si="568"/>
        <v>Transferred</v>
      </c>
      <c r="AG1622" t="str">
        <f t="shared" ca="1" si="569"/>
        <v>Northeast</v>
      </c>
      <c r="AH1622" t="str">
        <f t="shared" si="552"/>
        <v>September</v>
      </c>
      <c r="AI1622">
        <f t="shared" si="553"/>
        <v>2020</v>
      </c>
      <c r="AJ1622" t="str">
        <f t="shared" ca="1" si="570"/>
        <v>Occupied</v>
      </c>
      <c r="AK1622">
        <f t="shared" ca="1" si="571"/>
        <v>2</v>
      </c>
    </row>
    <row r="1623" spans="1:37" x14ac:dyDescent="0.3">
      <c r="A1623" t="s">
        <v>6016</v>
      </c>
      <c r="B1623">
        <v>26</v>
      </c>
      <c r="C1623" t="s">
        <v>15</v>
      </c>
      <c r="D1623" t="s">
        <v>52</v>
      </c>
      <c r="E1623" t="s">
        <v>76</v>
      </c>
      <c r="F1623" s="1">
        <v>44915</v>
      </c>
      <c r="G1623" t="s">
        <v>3238</v>
      </c>
      <c r="H1623" t="s">
        <v>3239</v>
      </c>
      <c r="I1623" t="s">
        <v>20</v>
      </c>
      <c r="J1623">
        <v>7606</v>
      </c>
      <c r="K1623">
        <v>457</v>
      </c>
      <c r="L1623" t="s">
        <v>42</v>
      </c>
      <c r="M1623" s="1">
        <v>44932</v>
      </c>
      <c r="N1623" t="s">
        <v>22</v>
      </c>
      <c r="O1623" t="s">
        <v>23</v>
      </c>
      <c r="P1623" t="str">
        <f t="shared" si="554"/>
        <v>P1622</v>
      </c>
      <c r="Q1623" t="str">
        <f t="shared" si="550"/>
        <v>Orthopedics</v>
      </c>
      <c r="R1623">
        <f t="shared" si="551"/>
        <v>17</v>
      </c>
      <c r="S1623" t="str">
        <f t="shared" ca="1" si="555"/>
        <v>No</v>
      </c>
      <c r="T1623" t="str">
        <f t="shared" ca="1" si="556"/>
        <v>Moderate</v>
      </c>
      <c r="U1623" t="str">
        <f t="shared" ca="1" si="557"/>
        <v>ICU</v>
      </c>
      <c r="V1623" t="str">
        <f t="shared" si="558"/>
        <v>BED1622</v>
      </c>
      <c r="W1623" t="str">
        <f t="shared" ca="1" si="559"/>
        <v>Semi-Private</v>
      </c>
      <c r="X1623" t="str">
        <f t="shared" si="560"/>
        <v>NUR022</v>
      </c>
      <c r="Y1623" t="str">
        <f t="shared" ca="1" si="561"/>
        <v>Morning</v>
      </c>
      <c r="Z1623" t="str">
        <f t="shared" ca="1" si="562"/>
        <v>MRI Scanner</v>
      </c>
      <c r="AA1623" t="str">
        <f t="shared" ca="1" si="563"/>
        <v>In Use</v>
      </c>
      <c r="AB1623" t="str">
        <f t="shared" ca="1" si="564"/>
        <v>Paid</v>
      </c>
      <c r="AC1623" t="str">
        <f t="shared" ca="1" si="565"/>
        <v>Debit Card</v>
      </c>
      <c r="AD1623" t="str">
        <f t="shared" ca="1" si="566"/>
        <v>Yes</v>
      </c>
      <c r="AE1623" t="str">
        <f t="shared" ca="1" si="567"/>
        <v>No</v>
      </c>
      <c r="AF1623" t="str">
        <f t="shared" ca="1" si="568"/>
        <v>Transferred</v>
      </c>
      <c r="AG1623" t="str">
        <f t="shared" ca="1" si="569"/>
        <v>Southeast</v>
      </c>
      <c r="AH1623" t="str">
        <f t="shared" si="552"/>
        <v>December</v>
      </c>
      <c r="AI1623">
        <f t="shared" si="553"/>
        <v>2022</v>
      </c>
      <c r="AJ1623" t="str">
        <f t="shared" ca="1" si="570"/>
        <v>Occupied</v>
      </c>
      <c r="AK1623">
        <f t="shared" ca="1" si="571"/>
        <v>4</v>
      </c>
    </row>
    <row r="1624" spans="1:37" x14ac:dyDescent="0.3">
      <c r="A1624" t="s">
        <v>6017</v>
      </c>
      <c r="B1624">
        <v>80</v>
      </c>
      <c r="C1624" t="s">
        <v>32</v>
      </c>
      <c r="D1624" t="s">
        <v>52</v>
      </c>
      <c r="E1624" t="s">
        <v>39</v>
      </c>
      <c r="F1624" s="1">
        <v>44131</v>
      </c>
      <c r="G1624" t="s">
        <v>3240</v>
      </c>
      <c r="H1624" t="s">
        <v>3241</v>
      </c>
      <c r="I1624" t="s">
        <v>51</v>
      </c>
      <c r="J1624">
        <v>37206</v>
      </c>
      <c r="K1624">
        <v>134</v>
      </c>
      <c r="L1624" t="s">
        <v>21</v>
      </c>
      <c r="M1624" s="1">
        <v>44153</v>
      </c>
      <c r="N1624" t="s">
        <v>47</v>
      </c>
      <c r="O1624" t="s">
        <v>23</v>
      </c>
      <c r="P1624" t="str">
        <f t="shared" si="554"/>
        <v>P1623</v>
      </c>
      <c r="Q1624" t="str">
        <f t="shared" si="550"/>
        <v>Endocrinology</v>
      </c>
      <c r="R1624">
        <f t="shared" si="551"/>
        <v>22</v>
      </c>
      <c r="S1624" t="str">
        <f t="shared" ca="1" si="555"/>
        <v>No</v>
      </c>
      <c r="T1624" t="str">
        <f t="shared" ca="1" si="556"/>
        <v>Moderate</v>
      </c>
      <c r="U1624" t="str">
        <f t="shared" ca="1" si="557"/>
        <v>Private Ward</v>
      </c>
      <c r="V1624" t="str">
        <f t="shared" si="558"/>
        <v>BED1623</v>
      </c>
      <c r="W1624" t="str">
        <f t="shared" ca="1" si="559"/>
        <v>Private</v>
      </c>
      <c r="X1624" t="str">
        <f t="shared" si="560"/>
        <v>NUR023</v>
      </c>
      <c r="Y1624" t="str">
        <f t="shared" ca="1" si="561"/>
        <v>Night</v>
      </c>
      <c r="Z1624" t="str">
        <f t="shared" ca="1" si="562"/>
        <v>X-Ray</v>
      </c>
      <c r="AA1624" t="str">
        <f t="shared" ca="1" si="563"/>
        <v>In Use</v>
      </c>
      <c r="AB1624" t="str">
        <f t="shared" ca="1" si="564"/>
        <v>Pending</v>
      </c>
      <c r="AC1624" t="str">
        <f t="shared" ca="1" si="565"/>
        <v>Credit Card</v>
      </c>
      <c r="AD1624" t="str">
        <f t="shared" ca="1" si="566"/>
        <v>No</v>
      </c>
      <c r="AE1624" t="str">
        <f t="shared" ca="1" si="567"/>
        <v>Yes</v>
      </c>
      <c r="AF1624" t="str">
        <f t="shared" ca="1" si="568"/>
        <v>Under Observation</v>
      </c>
      <c r="AG1624" t="str">
        <f t="shared" ca="1" si="569"/>
        <v>Northeast</v>
      </c>
      <c r="AH1624" t="str">
        <f t="shared" si="552"/>
        <v>October</v>
      </c>
      <c r="AI1624">
        <f t="shared" si="553"/>
        <v>2020</v>
      </c>
      <c r="AJ1624" t="str">
        <f t="shared" ca="1" si="570"/>
        <v>Occupied</v>
      </c>
      <c r="AK1624">
        <f t="shared" ca="1" si="571"/>
        <v>4</v>
      </c>
    </row>
    <row r="1625" spans="1:37" x14ac:dyDescent="0.3">
      <c r="A1625" t="s">
        <v>6018</v>
      </c>
      <c r="B1625">
        <v>58</v>
      </c>
      <c r="C1625" t="s">
        <v>15</v>
      </c>
      <c r="D1625" t="s">
        <v>83</v>
      </c>
      <c r="E1625" t="s">
        <v>64</v>
      </c>
      <c r="F1625" s="1">
        <v>44481</v>
      </c>
      <c r="G1625" t="s">
        <v>3242</v>
      </c>
      <c r="H1625" t="s">
        <v>3243</v>
      </c>
      <c r="I1625" t="s">
        <v>51</v>
      </c>
      <c r="J1625">
        <v>3794</v>
      </c>
      <c r="K1625">
        <v>464</v>
      </c>
      <c r="L1625" t="s">
        <v>42</v>
      </c>
      <c r="M1625" s="1">
        <v>44485</v>
      </c>
      <c r="N1625" t="s">
        <v>30</v>
      </c>
      <c r="O1625" t="s">
        <v>43</v>
      </c>
      <c r="P1625" t="str">
        <f t="shared" si="554"/>
        <v>P1624</v>
      </c>
      <c r="Q1625" t="str">
        <f t="shared" si="550"/>
        <v>Cardiology</v>
      </c>
      <c r="R1625">
        <f t="shared" si="551"/>
        <v>4</v>
      </c>
      <c r="S1625" t="str">
        <f t="shared" ca="1" si="555"/>
        <v>No</v>
      </c>
      <c r="T1625" t="str">
        <f t="shared" ca="1" si="556"/>
        <v>Moderate</v>
      </c>
      <c r="U1625" t="str">
        <f t="shared" ca="1" si="557"/>
        <v>ICU</v>
      </c>
      <c r="V1625" t="str">
        <f t="shared" si="558"/>
        <v>BED1624</v>
      </c>
      <c r="W1625" t="str">
        <f t="shared" ca="1" si="559"/>
        <v>ICU</v>
      </c>
      <c r="X1625" t="str">
        <f t="shared" si="560"/>
        <v>NUR024</v>
      </c>
      <c r="Y1625" t="str">
        <f t="shared" ca="1" si="561"/>
        <v>Night</v>
      </c>
      <c r="Z1625" t="str">
        <f t="shared" ca="1" si="562"/>
        <v>X-Ray</v>
      </c>
      <c r="AA1625" t="str">
        <f t="shared" ca="1" si="563"/>
        <v>Available</v>
      </c>
      <c r="AB1625" t="str">
        <f t="shared" ca="1" si="564"/>
        <v>Pending</v>
      </c>
      <c r="AC1625" t="str">
        <f t="shared" ca="1" si="565"/>
        <v>Credit Card</v>
      </c>
      <c r="AD1625" t="str">
        <f t="shared" ca="1" si="566"/>
        <v>No</v>
      </c>
      <c r="AE1625" t="str">
        <f t="shared" ca="1" si="567"/>
        <v>No</v>
      </c>
      <c r="AF1625" t="str">
        <f t="shared" ca="1" si="568"/>
        <v>Transferred</v>
      </c>
      <c r="AG1625" t="str">
        <f t="shared" ca="1" si="569"/>
        <v>Northeast</v>
      </c>
      <c r="AH1625" t="str">
        <f t="shared" si="552"/>
        <v>October</v>
      </c>
      <c r="AI1625">
        <f t="shared" si="553"/>
        <v>2021</v>
      </c>
      <c r="AJ1625" t="str">
        <f t="shared" ca="1" si="570"/>
        <v>Occupied</v>
      </c>
      <c r="AK1625">
        <f t="shared" ca="1" si="571"/>
        <v>4</v>
      </c>
    </row>
    <row r="1626" spans="1:37" x14ac:dyDescent="0.3">
      <c r="A1626" t="s">
        <v>5324</v>
      </c>
      <c r="B1626">
        <v>38</v>
      </c>
      <c r="C1626" t="s">
        <v>15</v>
      </c>
      <c r="D1626" t="s">
        <v>44</v>
      </c>
      <c r="E1626" t="s">
        <v>76</v>
      </c>
      <c r="F1626" s="1">
        <v>45127</v>
      </c>
      <c r="G1626" t="s">
        <v>3244</v>
      </c>
      <c r="H1626" t="s">
        <v>3245</v>
      </c>
      <c r="I1626" t="s">
        <v>57</v>
      </c>
      <c r="J1626">
        <v>9709</v>
      </c>
      <c r="K1626">
        <v>203</v>
      </c>
      <c r="L1626" t="s">
        <v>21</v>
      </c>
      <c r="M1626" s="1">
        <v>45148</v>
      </c>
      <c r="N1626" t="s">
        <v>47</v>
      </c>
      <c r="O1626" t="s">
        <v>43</v>
      </c>
      <c r="P1626" t="str">
        <f t="shared" si="554"/>
        <v>P1625</v>
      </c>
      <c r="Q1626" t="str">
        <f t="shared" si="550"/>
        <v>Orthopedics</v>
      </c>
      <c r="R1626">
        <f t="shared" si="551"/>
        <v>21</v>
      </c>
      <c r="S1626" t="str">
        <f t="shared" ca="1" si="555"/>
        <v>No</v>
      </c>
      <c r="T1626" t="str">
        <f t="shared" ca="1" si="556"/>
        <v>Mild</v>
      </c>
      <c r="U1626" t="str">
        <f t="shared" ca="1" si="557"/>
        <v>General Ward</v>
      </c>
      <c r="V1626" t="str">
        <f t="shared" si="558"/>
        <v>BED1625</v>
      </c>
      <c r="W1626" t="str">
        <f t="shared" ca="1" si="559"/>
        <v>Private</v>
      </c>
      <c r="X1626" t="str">
        <f t="shared" si="560"/>
        <v>NUR025</v>
      </c>
      <c r="Y1626" t="str">
        <f t="shared" ca="1" si="561"/>
        <v>Evening</v>
      </c>
      <c r="Z1626" t="str">
        <f t="shared" ca="1" si="562"/>
        <v>MRI Scanner</v>
      </c>
      <c r="AA1626" t="str">
        <f t="shared" ca="1" si="563"/>
        <v>Available</v>
      </c>
      <c r="AB1626" t="str">
        <f t="shared" ca="1" si="564"/>
        <v>Pending</v>
      </c>
      <c r="AC1626" t="str">
        <f t="shared" ca="1" si="565"/>
        <v>Bank Transfer</v>
      </c>
      <c r="AD1626" t="str">
        <f t="shared" ca="1" si="566"/>
        <v>Yes</v>
      </c>
      <c r="AE1626" t="str">
        <f t="shared" ca="1" si="567"/>
        <v>No</v>
      </c>
      <c r="AF1626" t="str">
        <f t="shared" ca="1" si="568"/>
        <v>Transferred</v>
      </c>
      <c r="AG1626" t="str">
        <f t="shared" ca="1" si="569"/>
        <v>Southeast</v>
      </c>
      <c r="AH1626" t="str">
        <f t="shared" si="552"/>
        <v>July</v>
      </c>
      <c r="AI1626">
        <f t="shared" si="553"/>
        <v>2023</v>
      </c>
      <c r="AJ1626" t="str">
        <f t="shared" ca="1" si="570"/>
        <v>Occupied</v>
      </c>
      <c r="AK1626">
        <f t="shared" ca="1" si="571"/>
        <v>4</v>
      </c>
    </row>
    <row r="1627" spans="1:37" x14ac:dyDescent="0.3">
      <c r="A1627" t="s">
        <v>6019</v>
      </c>
      <c r="B1627">
        <v>55</v>
      </c>
      <c r="C1627" t="s">
        <v>15</v>
      </c>
      <c r="D1627" t="s">
        <v>44</v>
      </c>
      <c r="E1627" t="s">
        <v>48</v>
      </c>
      <c r="F1627" s="1">
        <v>45027</v>
      </c>
      <c r="G1627" t="s">
        <v>3246</v>
      </c>
      <c r="H1627" t="s">
        <v>3247</v>
      </c>
      <c r="I1627" t="s">
        <v>28</v>
      </c>
      <c r="J1627">
        <v>42868</v>
      </c>
      <c r="K1627">
        <v>485</v>
      </c>
      <c r="L1627" t="s">
        <v>21</v>
      </c>
      <c r="M1627" s="1">
        <v>45033</v>
      </c>
      <c r="N1627" t="s">
        <v>67</v>
      </c>
      <c r="O1627" t="s">
        <v>43</v>
      </c>
      <c r="P1627" t="str">
        <f t="shared" si="554"/>
        <v>P1626</v>
      </c>
      <c r="Q1627" t="str">
        <f t="shared" si="550"/>
        <v>Pulmonology</v>
      </c>
      <c r="R1627">
        <f t="shared" si="551"/>
        <v>6</v>
      </c>
      <c r="S1627" t="str">
        <f t="shared" ca="1" si="555"/>
        <v>No</v>
      </c>
      <c r="T1627" t="str">
        <f t="shared" ca="1" si="556"/>
        <v>Severe</v>
      </c>
      <c r="U1627" t="str">
        <f t="shared" ca="1" si="557"/>
        <v>Semi-Private</v>
      </c>
      <c r="V1627" t="str">
        <f t="shared" si="558"/>
        <v>BED1626</v>
      </c>
      <c r="W1627" t="str">
        <f t="shared" ca="1" si="559"/>
        <v>ICU</v>
      </c>
      <c r="X1627" t="str">
        <f t="shared" si="560"/>
        <v>NUR026</v>
      </c>
      <c r="Y1627" t="str">
        <f t="shared" ca="1" si="561"/>
        <v>Night</v>
      </c>
      <c r="Z1627" t="str">
        <f t="shared" ca="1" si="562"/>
        <v>MRI Scanner</v>
      </c>
      <c r="AA1627" t="str">
        <f t="shared" ca="1" si="563"/>
        <v>Available</v>
      </c>
      <c r="AB1627" t="str">
        <f t="shared" ca="1" si="564"/>
        <v>Pending</v>
      </c>
      <c r="AC1627" t="str">
        <f t="shared" ca="1" si="565"/>
        <v>Credit Card</v>
      </c>
      <c r="AD1627" t="str">
        <f t="shared" ca="1" si="566"/>
        <v>Yes</v>
      </c>
      <c r="AE1627" t="str">
        <f t="shared" ca="1" si="567"/>
        <v>No</v>
      </c>
      <c r="AF1627" t="str">
        <f t="shared" ca="1" si="568"/>
        <v>Recovered</v>
      </c>
      <c r="AG1627" t="str">
        <f t="shared" ca="1" si="569"/>
        <v>Southwest</v>
      </c>
      <c r="AH1627" t="str">
        <f t="shared" si="552"/>
        <v>April</v>
      </c>
      <c r="AI1627">
        <f t="shared" si="553"/>
        <v>2023</v>
      </c>
      <c r="AJ1627" t="str">
        <f t="shared" ca="1" si="570"/>
        <v>Occupied</v>
      </c>
      <c r="AK1627">
        <f t="shared" ca="1" si="571"/>
        <v>1</v>
      </c>
    </row>
    <row r="1628" spans="1:37" x14ac:dyDescent="0.3">
      <c r="A1628" t="s">
        <v>6020</v>
      </c>
      <c r="B1628">
        <v>38</v>
      </c>
      <c r="C1628" t="s">
        <v>15</v>
      </c>
      <c r="D1628" t="s">
        <v>44</v>
      </c>
      <c r="E1628" t="s">
        <v>25</v>
      </c>
      <c r="F1628" s="1">
        <v>44324</v>
      </c>
      <c r="G1628" t="s">
        <v>3248</v>
      </c>
      <c r="H1628" t="s">
        <v>3249</v>
      </c>
      <c r="I1628" t="s">
        <v>28</v>
      </c>
      <c r="J1628">
        <v>10514</v>
      </c>
      <c r="K1628">
        <v>337</v>
      </c>
      <c r="L1628" t="s">
        <v>21</v>
      </c>
      <c r="M1628" s="1">
        <v>44350</v>
      </c>
      <c r="N1628" t="s">
        <v>30</v>
      </c>
      <c r="O1628" t="s">
        <v>31</v>
      </c>
      <c r="P1628" t="str">
        <f t="shared" si="554"/>
        <v>P1627</v>
      </c>
      <c r="Q1628" t="str">
        <f t="shared" si="550"/>
        <v>Nutrition</v>
      </c>
      <c r="R1628">
        <f t="shared" si="551"/>
        <v>26</v>
      </c>
      <c r="S1628" t="str">
        <f t="shared" ca="1" si="555"/>
        <v>No</v>
      </c>
      <c r="T1628" t="str">
        <f t="shared" ca="1" si="556"/>
        <v>Critical</v>
      </c>
      <c r="U1628" t="str">
        <f t="shared" ca="1" si="557"/>
        <v>General Ward</v>
      </c>
      <c r="V1628" t="str">
        <f t="shared" si="558"/>
        <v>BED1627</v>
      </c>
      <c r="W1628" t="str">
        <f t="shared" ca="1" si="559"/>
        <v>ICU</v>
      </c>
      <c r="X1628" t="str">
        <f t="shared" si="560"/>
        <v>NUR027</v>
      </c>
      <c r="Y1628" t="str">
        <f t="shared" ca="1" si="561"/>
        <v>Morning</v>
      </c>
      <c r="Z1628" t="str">
        <f t="shared" ca="1" si="562"/>
        <v>Ultrasound</v>
      </c>
      <c r="AA1628" t="str">
        <f t="shared" ca="1" si="563"/>
        <v>Available</v>
      </c>
      <c r="AB1628" t="str">
        <f t="shared" ca="1" si="564"/>
        <v>Pending</v>
      </c>
      <c r="AC1628" t="str">
        <f t="shared" ca="1" si="565"/>
        <v>Bank Transfer</v>
      </c>
      <c r="AD1628" t="str">
        <f t="shared" ca="1" si="566"/>
        <v>No</v>
      </c>
      <c r="AE1628" t="str">
        <f t="shared" ca="1" si="567"/>
        <v>No</v>
      </c>
      <c r="AF1628" t="str">
        <f t="shared" ca="1" si="568"/>
        <v>Recovered</v>
      </c>
      <c r="AG1628" t="str">
        <f t="shared" ca="1" si="569"/>
        <v>Southwest</v>
      </c>
      <c r="AH1628" t="str">
        <f t="shared" si="552"/>
        <v>May</v>
      </c>
      <c r="AI1628">
        <f t="shared" si="553"/>
        <v>2021</v>
      </c>
      <c r="AJ1628" t="str">
        <f t="shared" ca="1" si="570"/>
        <v>Occupied</v>
      </c>
      <c r="AK1628">
        <f t="shared" ca="1" si="571"/>
        <v>4</v>
      </c>
    </row>
    <row r="1629" spans="1:37" x14ac:dyDescent="0.3">
      <c r="A1629" t="s">
        <v>6021</v>
      </c>
      <c r="B1629">
        <v>54</v>
      </c>
      <c r="C1629" t="s">
        <v>15</v>
      </c>
      <c r="D1629" t="s">
        <v>16</v>
      </c>
      <c r="E1629" t="s">
        <v>25</v>
      </c>
      <c r="F1629" s="1">
        <v>43815</v>
      </c>
      <c r="G1629" t="s">
        <v>3250</v>
      </c>
      <c r="H1629" t="s">
        <v>3251</v>
      </c>
      <c r="I1629" t="s">
        <v>57</v>
      </c>
      <c r="J1629">
        <v>7250</v>
      </c>
      <c r="K1629">
        <v>476</v>
      </c>
      <c r="L1629" t="s">
        <v>21</v>
      </c>
      <c r="M1629" s="1">
        <v>43843</v>
      </c>
      <c r="N1629" t="s">
        <v>22</v>
      </c>
      <c r="O1629" t="s">
        <v>43</v>
      </c>
      <c r="P1629" t="str">
        <f t="shared" si="554"/>
        <v>P1628</v>
      </c>
      <c r="Q1629" t="str">
        <f t="shared" si="550"/>
        <v>Nutrition</v>
      </c>
      <c r="R1629">
        <f t="shared" si="551"/>
        <v>28</v>
      </c>
      <c r="S1629" t="str">
        <f t="shared" ca="1" si="555"/>
        <v>No</v>
      </c>
      <c r="T1629" t="str">
        <f t="shared" ca="1" si="556"/>
        <v>Critical</v>
      </c>
      <c r="U1629" t="str">
        <f t="shared" ca="1" si="557"/>
        <v>Private Ward</v>
      </c>
      <c r="V1629" t="str">
        <f t="shared" si="558"/>
        <v>BED1628</v>
      </c>
      <c r="W1629" t="str">
        <f t="shared" ca="1" si="559"/>
        <v>General</v>
      </c>
      <c r="X1629" t="str">
        <f t="shared" si="560"/>
        <v>NUR028</v>
      </c>
      <c r="Y1629" t="str">
        <f t="shared" ca="1" si="561"/>
        <v>Night</v>
      </c>
      <c r="Z1629" t="str">
        <f t="shared" ca="1" si="562"/>
        <v>CT Scanner</v>
      </c>
      <c r="AA1629" t="str">
        <f t="shared" ca="1" si="563"/>
        <v>Maintenance</v>
      </c>
      <c r="AB1629" t="str">
        <f t="shared" ca="1" si="564"/>
        <v>Partially Paid</v>
      </c>
      <c r="AC1629" t="str">
        <f t="shared" ca="1" si="565"/>
        <v>Insurance</v>
      </c>
      <c r="AD1629" t="str">
        <f t="shared" ca="1" si="566"/>
        <v>No</v>
      </c>
      <c r="AE1629" t="str">
        <f t="shared" ca="1" si="567"/>
        <v>No</v>
      </c>
      <c r="AF1629" t="str">
        <f t="shared" ca="1" si="568"/>
        <v>Under Observation</v>
      </c>
      <c r="AG1629" t="str">
        <f t="shared" ca="1" si="569"/>
        <v>Southeast</v>
      </c>
      <c r="AH1629" t="str">
        <f t="shared" si="552"/>
        <v>December</v>
      </c>
      <c r="AI1629">
        <f t="shared" si="553"/>
        <v>2019</v>
      </c>
      <c r="AJ1629" t="str">
        <f t="shared" ca="1" si="570"/>
        <v>Vacant</v>
      </c>
      <c r="AK1629">
        <f t="shared" ca="1" si="571"/>
        <v>4</v>
      </c>
    </row>
    <row r="1630" spans="1:37" x14ac:dyDescent="0.3">
      <c r="A1630" t="s">
        <v>6022</v>
      </c>
      <c r="B1630">
        <v>53</v>
      </c>
      <c r="C1630" t="s">
        <v>32</v>
      </c>
      <c r="D1630" t="s">
        <v>52</v>
      </c>
      <c r="E1630" t="s">
        <v>39</v>
      </c>
      <c r="F1630" s="1">
        <v>45287</v>
      </c>
      <c r="G1630" t="s">
        <v>3252</v>
      </c>
      <c r="H1630" t="s">
        <v>3253</v>
      </c>
      <c r="I1630" t="s">
        <v>57</v>
      </c>
      <c r="J1630">
        <v>2690</v>
      </c>
      <c r="K1630">
        <v>175</v>
      </c>
      <c r="L1630" t="s">
        <v>29</v>
      </c>
      <c r="M1630" s="1">
        <v>45288</v>
      </c>
      <c r="N1630" t="s">
        <v>47</v>
      </c>
      <c r="O1630" t="s">
        <v>43</v>
      </c>
      <c r="P1630" t="str">
        <f t="shared" si="554"/>
        <v>P1629</v>
      </c>
      <c r="Q1630" t="str">
        <f t="shared" si="550"/>
        <v>Endocrinology</v>
      </c>
      <c r="R1630">
        <f t="shared" si="551"/>
        <v>1</v>
      </c>
      <c r="S1630" t="str">
        <f t="shared" ca="1" si="555"/>
        <v>No</v>
      </c>
      <c r="T1630" t="str">
        <f t="shared" ca="1" si="556"/>
        <v>Critical</v>
      </c>
      <c r="U1630" t="str">
        <f t="shared" ca="1" si="557"/>
        <v>Emergency</v>
      </c>
      <c r="V1630" t="str">
        <f t="shared" si="558"/>
        <v>BED1629</v>
      </c>
      <c r="W1630" t="str">
        <f t="shared" ca="1" si="559"/>
        <v>Semi-Private</v>
      </c>
      <c r="X1630" t="str">
        <f t="shared" si="560"/>
        <v>NUR029</v>
      </c>
      <c r="Y1630" t="str">
        <f t="shared" ca="1" si="561"/>
        <v>Evening</v>
      </c>
      <c r="Z1630" t="str">
        <f t="shared" ca="1" si="562"/>
        <v>Ventilator</v>
      </c>
      <c r="AA1630" t="str">
        <f t="shared" ca="1" si="563"/>
        <v>Available</v>
      </c>
      <c r="AB1630" t="str">
        <f t="shared" ca="1" si="564"/>
        <v>Pending</v>
      </c>
      <c r="AC1630" t="str">
        <f t="shared" ca="1" si="565"/>
        <v>Credit Card</v>
      </c>
      <c r="AD1630" t="str">
        <f t="shared" ca="1" si="566"/>
        <v>No</v>
      </c>
      <c r="AE1630" t="str">
        <f t="shared" ca="1" si="567"/>
        <v>No</v>
      </c>
      <c r="AF1630" t="str">
        <f t="shared" ca="1" si="568"/>
        <v>Under Observation</v>
      </c>
      <c r="AG1630" t="str">
        <f t="shared" ca="1" si="569"/>
        <v>West Coast</v>
      </c>
      <c r="AH1630" t="str">
        <f t="shared" si="552"/>
        <v>December</v>
      </c>
      <c r="AI1630">
        <f t="shared" si="553"/>
        <v>2023</v>
      </c>
      <c r="AJ1630" t="str">
        <f t="shared" ca="1" si="570"/>
        <v>Vacant</v>
      </c>
      <c r="AK1630">
        <f t="shared" ca="1" si="571"/>
        <v>2</v>
      </c>
    </row>
    <row r="1631" spans="1:37" x14ac:dyDescent="0.3">
      <c r="A1631" t="s">
        <v>6023</v>
      </c>
      <c r="B1631">
        <v>46</v>
      </c>
      <c r="C1631" t="s">
        <v>15</v>
      </c>
      <c r="D1631" t="s">
        <v>24</v>
      </c>
      <c r="E1631" t="s">
        <v>25</v>
      </c>
      <c r="F1631" s="1">
        <v>44601</v>
      </c>
      <c r="G1631" t="s">
        <v>3254</v>
      </c>
      <c r="H1631" t="s">
        <v>3255</v>
      </c>
      <c r="I1631" t="s">
        <v>28</v>
      </c>
      <c r="J1631">
        <v>21623</v>
      </c>
      <c r="K1631">
        <v>312</v>
      </c>
      <c r="L1631" t="s">
        <v>21</v>
      </c>
      <c r="M1631" s="1">
        <v>44607</v>
      </c>
      <c r="N1631" t="s">
        <v>67</v>
      </c>
      <c r="O1631" t="s">
        <v>31</v>
      </c>
      <c r="P1631" t="str">
        <f t="shared" si="554"/>
        <v>P1630</v>
      </c>
      <c r="Q1631" t="str">
        <f t="shared" si="550"/>
        <v>Nutrition</v>
      </c>
      <c r="R1631">
        <f t="shared" si="551"/>
        <v>6</v>
      </c>
      <c r="S1631" t="str">
        <f t="shared" ca="1" si="555"/>
        <v>No</v>
      </c>
      <c r="T1631" t="str">
        <f t="shared" ca="1" si="556"/>
        <v>Moderate</v>
      </c>
      <c r="U1631" t="str">
        <f t="shared" ca="1" si="557"/>
        <v>Emergency</v>
      </c>
      <c r="V1631" t="str">
        <f t="shared" si="558"/>
        <v>BED1630</v>
      </c>
      <c r="W1631" t="str">
        <f t="shared" ca="1" si="559"/>
        <v>General</v>
      </c>
      <c r="X1631" t="str">
        <f t="shared" si="560"/>
        <v>NUR030</v>
      </c>
      <c r="Y1631" t="str">
        <f t="shared" ca="1" si="561"/>
        <v>Evening</v>
      </c>
      <c r="Z1631" t="str">
        <f t="shared" ca="1" si="562"/>
        <v>X-Ray</v>
      </c>
      <c r="AA1631" t="str">
        <f t="shared" ca="1" si="563"/>
        <v>Maintenance</v>
      </c>
      <c r="AB1631" t="str">
        <f t="shared" ca="1" si="564"/>
        <v>Pending</v>
      </c>
      <c r="AC1631" t="str">
        <f t="shared" ca="1" si="565"/>
        <v>Insurance</v>
      </c>
      <c r="AD1631" t="str">
        <f t="shared" ca="1" si="566"/>
        <v>No</v>
      </c>
      <c r="AE1631" t="str">
        <f t="shared" ca="1" si="567"/>
        <v>No</v>
      </c>
      <c r="AF1631" t="str">
        <f t="shared" ca="1" si="568"/>
        <v>Recovered</v>
      </c>
      <c r="AG1631" t="str">
        <f t="shared" ca="1" si="569"/>
        <v>Midwest</v>
      </c>
      <c r="AH1631" t="str">
        <f t="shared" si="552"/>
        <v>February</v>
      </c>
      <c r="AI1631">
        <f t="shared" si="553"/>
        <v>2022</v>
      </c>
      <c r="AJ1631" t="str">
        <f t="shared" ca="1" si="570"/>
        <v>Occupied</v>
      </c>
      <c r="AK1631">
        <f t="shared" ca="1" si="571"/>
        <v>1</v>
      </c>
    </row>
    <row r="1632" spans="1:37" x14ac:dyDescent="0.3">
      <c r="A1632" t="s">
        <v>6024</v>
      </c>
      <c r="B1632">
        <v>66</v>
      </c>
      <c r="C1632" t="s">
        <v>32</v>
      </c>
      <c r="D1632" t="s">
        <v>52</v>
      </c>
      <c r="E1632" t="s">
        <v>64</v>
      </c>
      <c r="F1632" s="1">
        <v>44620</v>
      </c>
      <c r="G1632" t="s">
        <v>3256</v>
      </c>
      <c r="H1632" t="s">
        <v>3257</v>
      </c>
      <c r="I1632" t="s">
        <v>28</v>
      </c>
      <c r="J1632">
        <v>40672</v>
      </c>
      <c r="K1632">
        <v>123</v>
      </c>
      <c r="L1632" t="s">
        <v>21</v>
      </c>
      <c r="M1632" s="1">
        <v>44636</v>
      </c>
      <c r="N1632" t="s">
        <v>37</v>
      </c>
      <c r="O1632" t="s">
        <v>23</v>
      </c>
      <c r="P1632" t="str">
        <f t="shared" si="554"/>
        <v>P1631</v>
      </c>
      <c r="Q1632" t="str">
        <f t="shared" si="550"/>
        <v>Cardiology</v>
      </c>
      <c r="R1632">
        <f t="shared" si="551"/>
        <v>16</v>
      </c>
      <c r="S1632" t="str">
        <f t="shared" ca="1" si="555"/>
        <v>No</v>
      </c>
      <c r="T1632" t="str">
        <f t="shared" ca="1" si="556"/>
        <v>Moderate</v>
      </c>
      <c r="U1632" t="str">
        <f t="shared" ca="1" si="557"/>
        <v>Semi-Private</v>
      </c>
      <c r="V1632" t="str">
        <f t="shared" si="558"/>
        <v>BED1631</v>
      </c>
      <c r="W1632" t="str">
        <f t="shared" ca="1" si="559"/>
        <v>Private</v>
      </c>
      <c r="X1632" t="str">
        <f t="shared" si="560"/>
        <v>NUR031</v>
      </c>
      <c r="Y1632" t="str">
        <f t="shared" ca="1" si="561"/>
        <v>Evening</v>
      </c>
      <c r="Z1632" t="str">
        <f t="shared" ca="1" si="562"/>
        <v>ECG Machine</v>
      </c>
      <c r="AA1632" t="str">
        <f t="shared" ca="1" si="563"/>
        <v>Available</v>
      </c>
      <c r="AB1632" t="str">
        <f t="shared" ca="1" si="564"/>
        <v>Partially Paid</v>
      </c>
      <c r="AC1632" t="str">
        <f t="shared" ca="1" si="565"/>
        <v>Bank Transfer</v>
      </c>
      <c r="AD1632" t="str">
        <f t="shared" ca="1" si="566"/>
        <v>Yes</v>
      </c>
      <c r="AE1632" t="str">
        <f t="shared" ca="1" si="567"/>
        <v>No</v>
      </c>
      <c r="AF1632" t="str">
        <f t="shared" ca="1" si="568"/>
        <v>Under Observation</v>
      </c>
      <c r="AG1632" t="str">
        <f t="shared" ca="1" si="569"/>
        <v>West Coast</v>
      </c>
      <c r="AH1632" t="str">
        <f t="shared" si="552"/>
        <v>February</v>
      </c>
      <c r="AI1632">
        <f t="shared" si="553"/>
        <v>2022</v>
      </c>
      <c r="AJ1632" t="str">
        <f t="shared" ca="1" si="570"/>
        <v>Occupied</v>
      </c>
      <c r="AK1632">
        <f t="shared" ca="1" si="571"/>
        <v>2</v>
      </c>
    </row>
    <row r="1633" spans="1:37" x14ac:dyDescent="0.3">
      <c r="A1633" t="s">
        <v>6025</v>
      </c>
      <c r="B1633">
        <v>24</v>
      </c>
      <c r="C1633" t="s">
        <v>32</v>
      </c>
      <c r="D1633" t="s">
        <v>38</v>
      </c>
      <c r="E1633" t="s">
        <v>17</v>
      </c>
      <c r="F1633" s="1">
        <v>44672</v>
      </c>
      <c r="G1633" t="s">
        <v>3258</v>
      </c>
      <c r="H1633" t="s">
        <v>3259</v>
      </c>
      <c r="I1633" t="s">
        <v>51</v>
      </c>
      <c r="J1633">
        <v>9161</v>
      </c>
      <c r="K1633">
        <v>277</v>
      </c>
      <c r="L1633" t="s">
        <v>42</v>
      </c>
      <c r="M1633" s="1">
        <v>44673</v>
      </c>
      <c r="N1633" t="s">
        <v>47</v>
      </c>
      <c r="O1633" t="s">
        <v>43</v>
      </c>
      <c r="P1633" t="str">
        <f t="shared" si="554"/>
        <v>P1632</v>
      </c>
      <c r="Q1633" t="str">
        <f t="shared" si="550"/>
        <v>Oncology</v>
      </c>
      <c r="R1633">
        <f t="shared" si="551"/>
        <v>1</v>
      </c>
      <c r="S1633" t="str">
        <f t="shared" ca="1" si="555"/>
        <v>No</v>
      </c>
      <c r="T1633" t="str">
        <f t="shared" ca="1" si="556"/>
        <v>Mild</v>
      </c>
      <c r="U1633" t="str">
        <f t="shared" ca="1" si="557"/>
        <v>Emergency</v>
      </c>
      <c r="V1633" t="str">
        <f t="shared" si="558"/>
        <v>BED1632</v>
      </c>
      <c r="W1633" t="str">
        <f t="shared" ca="1" si="559"/>
        <v>Private</v>
      </c>
      <c r="X1633" t="str">
        <f t="shared" si="560"/>
        <v>NUR032</v>
      </c>
      <c r="Y1633" t="str">
        <f t="shared" ca="1" si="561"/>
        <v>Morning</v>
      </c>
      <c r="Z1633" t="str">
        <f t="shared" ca="1" si="562"/>
        <v>ECG Machine</v>
      </c>
      <c r="AA1633" t="str">
        <f t="shared" ca="1" si="563"/>
        <v>Maintenance</v>
      </c>
      <c r="AB1633" t="str">
        <f t="shared" ca="1" si="564"/>
        <v>Pending</v>
      </c>
      <c r="AC1633" t="str">
        <f t="shared" ca="1" si="565"/>
        <v>Credit Card</v>
      </c>
      <c r="AD1633" t="str">
        <f t="shared" ca="1" si="566"/>
        <v>No</v>
      </c>
      <c r="AE1633" t="str">
        <f t="shared" ca="1" si="567"/>
        <v>No</v>
      </c>
      <c r="AF1633" t="str">
        <f t="shared" ca="1" si="568"/>
        <v>Transferred</v>
      </c>
      <c r="AG1633" t="str">
        <f t="shared" ca="1" si="569"/>
        <v>Midwest</v>
      </c>
      <c r="AH1633" t="str">
        <f t="shared" si="552"/>
        <v>April</v>
      </c>
      <c r="AI1633">
        <f t="shared" si="553"/>
        <v>2022</v>
      </c>
      <c r="AJ1633" t="str">
        <f t="shared" ca="1" si="570"/>
        <v>Occupied</v>
      </c>
      <c r="AK1633">
        <f t="shared" ca="1" si="571"/>
        <v>4</v>
      </c>
    </row>
    <row r="1634" spans="1:37" x14ac:dyDescent="0.3">
      <c r="A1634" t="s">
        <v>6026</v>
      </c>
      <c r="B1634">
        <v>43</v>
      </c>
      <c r="C1634" t="s">
        <v>15</v>
      </c>
      <c r="D1634" t="s">
        <v>38</v>
      </c>
      <c r="E1634" t="s">
        <v>39</v>
      </c>
      <c r="F1634" s="1">
        <v>44236</v>
      </c>
      <c r="G1634" t="s">
        <v>3260</v>
      </c>
      <c r="H1634" t="s">
        <v>3261</v>
      </c>
      <c r="I1634" t="s">
        <v>28</v>
      </c>
      <c r="J1634">
        <v>46664</v>
      </c>
      <c r="K1634">
        <v>388</v>
      </c>
      <c r="L1634" t="s">
        <v>21</v>
      </c>
      <c r="M1634" s="1">
        <v>44254</v>
      </c>
      <c r="N1634" t="s">
        <v>47</v>
      </c>
      <c r="O1634" t="s">
        <v>23</v>
      </c>
      <c r="P1634" t="str">
        <f t="shared" si="554"/>
        <v>P1633</v>
      </c>
      <c r="Q1634" t="str">
        <f t="shared" si="550"/>
        <v>Endocrinology</v>
      </c>
      <c r="R1634">
        <f t="shared" si="551"/>
        <v>18</v>
      </c>
      <c r="S1634" t="str">
        <f t="shared" ca="1" si="555"/>
        <v>No</v>
      </c>
      <c r="T1634" t="str">
        <f t="shared" ca="1" si="556"/>
        <v>Moderate</v>
      </c>
      <c r="U1634" t="str">
        <f t="shared" ca="1" si="557"/>
        <v>General Ward</v>
      </c>
      <c r="V1634" t="str">
        <f t="shared" si="558"/>
        <v>BED1633</v>
      </c>
      <c r="W1634" t="str">
        <f t="shared" ca="1" si="559"/>
        <v>ICU</v>
      </c>
      <c r="X1634" t="str">
        <f t="shared" si="560"/>
        <v>NUR033</v>
      </c>
      <c r="Y1634" t="str">
        <f t="shared" ca="1" si="561"/>
        <v>Night</v>
      </c>
      <c r="Z1634" t="str">
        <f t="shared" ca="1" si="562"/>
        <v>MRI Scanner</v>
      </c>
      <c r="AA1634" t="str">
        <f t="shared" ca="1" si="563"/>
        <v>Available</v>
      </c>
      <c r="AB1634" t="str">
        <f t="shared" ca="1" si="564"/>
        <v>Paid</v>
      </c>
      <c r="AC1634" t="str">
        <f t="shared" ca="1" si="565"/>
        <v>Bank Transfer</v>
      </c>
      <c r="AD1634" t="str">
        <f t="shared" ca="1" si="566"/>
        <v>No</v>
      </c>
      <c r="AE1634" t="str">
        <f t="shared" ca="1" si="567"/>
        <v>Yes</v>
      </c>
      <c r="AF1634" t="str">
        <f t="shared" ca="1" si="568"/>
        <v>Under Observation</v>
      </c>
      <c r="AG1634" t="str">
        <f t="shared" ca="1" si="569"/>
        <v>West Coast</v>
      </c>
      <c r="AH1634" t="str">
        <f t="shared" si="552"/>
        <v>February</v>
      </c>
      <c r="AI1634">
        <f t="shared" si="553"/>
        <v>2021</v>
      </c>
      <c r="AJ1634" t="str">
        <f t="shared" ca="1" si="570"/>
        <v>Vacant</v>
      </c>
      <c r="AK1634">
        <f t="shared" ca="1" si="571"/>
        <v>2</v>
      </c>
    </row>
    <row r="1635" spans="1:37" x14ac:dyDescent="0.3">
      <c r="A1635" t="s">
        <v>6027</v>
      </c>
      <c r="B1635">
        <v>77</v>
      </c>
      <c r="C1635" t="s">
        <v>32</v>
      </c>
      <c r="D1635" t="s">
        <v>98</v>
      </c>
      <c r="E1635" t="s">
        <v>64</v>
      </c>
      <c r="F1635" s="1">
        <v>44949</v>
      </c>
      <c r="G1635" t="s">
        <v>3262</v>
      </c>
      <c r="H1635" t="s">
        <v>3263</v>
      </c>
      <c r="I1635" t="s">
        <v>36</v>
      </c>
      <c r="J1635">
        <v>18359</v>
      </c>
      <c r="K1635">
        <v>478</v>
      </c>
      <c r="L1635" t="s">
        <v>42</v>
      </c>
      <c r="M1635" s="1">
        <v>44956</v>
      </c>
      <c r="N1635" t="s">
        <v>47</v>
      </c>
      <c r="O1635" t="s">
        <v>43</v>
      </c>
      <c r="P1635" t="str">
        <f t="shared" si="554"/>
        <v>P1634</v>
      </c>
      <c r="Q1635" t="str">
        <f t="shared" si="550"/>
        <v>Cardiology</v>
      </c>
      <c r="R1635">
        <f t="shared" si="551"/>
        <v>7</v>
      </c>
      <c r="S1635" t="str">
        <f t="shared" ca="1" si="555"/>
        <v>No</v>
      </c>
      <c r="T1635" t="str">
        <f t="shared" ca="1" si="556"/>
        <v>Critical</v>
      </c>
      <c r="U1635" t="str">
        <f t="shared" ca="1" si="557"/>
        <v>ICU</v>
      </c>
      <c r="V1635" t="str">
        <f t="shared" si="558"/>
        <v>BED1634</v>
      </c>
      <c r="W1635" t="str">
        <f t="shared" ca="1" si="559"/>
        <v>Private</v>
      </c>
      <c r="X1635" t="str">
        <f t="shared" si="560"/>
        <v>NUR034</v>
      </c>
      <c r="Y1635" t="str">
        <f t="shared" ca="1" si="561"/>
        <v>Night</v>
      </c>
      <c r="Z1635" t="str">
        <f t="shared" ca="1" si="562"/>
        <v>Ultrasound</v>
      </c>
      <c r="AA1635" t="str">
        <f t="shared" ca="1" si="563"/>
        <v>Available</v>
      </c>
      <c r="AB1635" t="str">
        <f t="shared" ca="1" si="564"/>
        <v>Pending</v>
      </c>
      <c r="AC1635" t="str">
        <f t="shared" ca="1" si="565"/>
        <v>Debit Card</v>
      </c>
      <c r="AD1635" t="str">
        <f t="shared" ca="1" si="566"/>
        <v>No</v>
      </c>
      <c r="AE1635" t="str">
        <f t="shared" ca="1" si="567"/>
        <v>Yes</v>
      </c>
      <c r="AF1635" t="str">
        <f t="shared" ca="1" si="568"/>
        <v>Transferred</v>
      </c>
      <c r="AG1635" t="str">
        <f t="shared" ca="1" si="569"/>
        <v>Northeast</v>
      </c>
      <c r="AH1635" t="str">
        <f t="shared" si="552"/>
        <v>January</v>
      </c>
      <c r="AI1635">
        <f t="shared" si="553"/>
        <v>2023</v>
      </c>
      <c r="AJ1635" t="str">
        <f t="shared" ca="1" si="570"/>
        <v>Occupied</v>
      </c>
      <c r="AK1635">
        <f t="shared" ca="1" si="571"/>
        <v>4</v>
      </c>
    </row>
    <row r="1636" spans="1:37" x14ac:dyDescent="0.3">
      <c r="A1636" t="s">
        <v>6028</v>
      </c>
      <c r="B1636">
        <v>68</v>
      </c>
      <c r="C1636" t="s">
        <v>15</v>
      </c>
      <c r="D1636" t="s">
        <v>98</v>
      </c>
      <c r="E1636" t="s">
        <v>17</v>
      </c>
      <c r="F1636" s="1">
        <v>43777</v>
      </c>
      <c r="G1636" t="s">
        <v>3264</v>
      </c>
      <c r="H1636" t="s">
        <v>3265</v>
      </c>
      <c r="I1636" t="s">
        <v>28</v>
      </c>
      <c r="J1636">
        <v>43296</v>
      </c>
      <c r="K1636">
        <v>207</v>
      </c>
      <c r="L1636" t="s">
        <v>21</v>
      </c>
      <c r="M1636" s="1">
        <v>43798</v>
      </c>
      <c r="N1636" t="s">
        <v>30</v>
      </c>
      <c r="O1636" t="s">
        <v>23</v>
      </c>
      <c r="P1636" t="str">
        <f t="shared" si="554"/>
        <v>P1635</v>
      </c>
      <c r="Q1636" t="str">
        <f t="shared" si="550"/>
        <v>Oncology</v>
      </c>
      <c r="R1636">
        <f t="shared" si="551"/>
        <v>21</v>
      </c>
      <c r="S1636" t="str">
        <f t="shared" ca="1" si="555"/>
        <v>No</v>
      </c>
      <c r="T1636" t="str">
        <f t="shared" ca="1" si="556"/>
        <v>Mild</v>
      </c>
      <c r="U1636" t="str">
        <f t="shared" ca="1" si="557"/>
        <v>Private Ward</v>
      </c>
      <c r="V1636" t="str">
        <f t="shared" si="558"/>
        <v>BED1635</v>
      </c>
      <c r="W1636" t="str">
        <f t="shared" ca="1" si="559"/>
        <v>Semi-Private</v>
      </c>
      <c r="X1636" t="str">
        <f t="shared" si="560"/>
        <v>NUR035</v>
      </c>
      <c r="Y1636" t="str">
        <f t="shared" ca="1" si="561"/>
        <v>Evening</v>
      </c>
      <c r="Z1636" t="str">
        <f t="shared" ca="1" si="562"/>
        <v>CT Scanner</v>
      </c>
      <c r="AA1636" t="str">
        <f t="shared" ca="1" si="563"/>
        <v>Maintenance</v>
      </c>
      <c r="AB1636" t="str">
        <f t="shared" ca="1" si="564"/>
        <v>Paid</v>
      </c>
      <c r="AC1636" t="str">
        <f t="shared" ca="1" si="565"/>
        <v>Insurance</v>
      </c>
      <c r="AD1636" t="str">
        <f t="shared" ca="1" si="566"/>
        <v>No</v>
      </c>
      <c r="AE1636" t="str">
        <f t="shared" ca="1" si="567"/>
        <v>No</v>
      </c>
      <c r="AF1636" t="str">
        <f t="shared" ca="1" si="568"/>
        <v>Recovered</v>
      </c>
      <c r="AG1636" t="str">
        <f t="shared" ca="1" si="569"/>
        <v>Southwest</v>
      </c>
      <c r="AH1636" t="str">
        <f t="shared" si="552"/>
        <v>November</v>
      </c>
      <c r="AI1636">
        <f t="shared" si="553"/>
        <v>2019</v>
      </c>
      <c r="AJ1636" t="str">
        <f t="shared" ca="1" si="570"/>
        <v>Occupied</v>
      </c>
      <c r="AK1636">
        <f t="shared" ca="1" si="571"/>
        <v>1</v>
      </c>
    </row>
    <row r="1637" spans="1:37" x14ac:dyDescent="0.3">
      <c r="A1637" t="s">
        <v>6029</v>
      </c>
      <c r="B1637">
        <v>73</v>
      </c>
      <c r="C1637" t="s">
        <v>15</v>
      </c>
      <c r="D1637" t="s">
        <v>52</v>
      </c>
      <c r="E1637" t="s">
        <v>76</v>
      </c>
      <c r="F1637" s="1">
        <v>44377</v>
      </c>
      <c r="G1637" t="s">
        <v>3266</v>
      </c>
      <c r="H1637" t="s">
        <v>3267</v>
      </c>
      <c r="I1637" t="s">
        <v>51</v>
      </c>
      <c r="J1637">
        <v>45968</v>
      </c>
      <c r="K1637">
        <v>277</v>
      </c>
      <c r="L1637" t="s">
        <v>42</v>
      </c>
      <c r="M1637" s="1">
        <v>44386</v>
      </c>
      <c r="N1637" t="s">
        <v>67</v>
      </c>
      <c r="O1637" t="s">
        <v>43</v>
      </c>
      <c r="P1637" t="str">
        <f t="shared" si="554"/>
        <v>P1636</v>
      </c>
      <c r="Q1637" t="str">
        <f t="shared" si="550"/>
        <v>Orthopedics</v>
      </c>
      <c r="R1637">
        <f t="shared" si="551"/>
        <v>9</v>
      </c>
      <c r="S1637" t="str">
        <f t="shared" ca="1" si="555"/>
        <v>No</v>
      </c>
      <c r="T1637" t="str">
        <f t="shared" ca="1" si="556"/>
        <v>Moderate</v>
      </c>
      <c r="U1637" t="str">
        <f t="shared" ca="1" si="557"/>
        <v>ICU</v>
      </c>
      <c r="V1637" t="str">
        <f t="shared" si="558"/>
        <v>BED1636</v>
      </c>
      <c r="W1637" t="str">
        <f t="shared" ca="1" si="559"/>
        <v>Semi-Private</v>
      </c>
      <c r="X1637" t="str">
        <f t="shared" si="560"/>
        <v>NUR036</v>
      </c>
      <c r="Y1637" t="str">
        <f t="shared" ca="1" si="561"/>
        <v>Night</v>
      </c>
      <c r="Z1637" t="str">
        <f t="shared" ca="1" si="562"/>
        <v>MRI Scanner</v>
      </c>
      <c r="AA1637" t="str">
        <f t="shared" ca="1" si="563"/>
        <v>Maintenance</v>
      </c>
      <c r="AB1637" t="str">
        <f t="shared" ca="1" si="564"/>
        <v>Partially Paid</v>
      </c>
      <c r="AC1637" t="str">
        <f t="shared" ca="1" si="565"/>
        <v>Credit Card</v>
      </c>
      <c r="AD1637" t="str">
        <f t="shared" ca="1" si="566"/>
        <v>Yes</v>
      </c>
      <c r="AE1637" t="str">
        <f t="shared" ca="1" si="567"/>
        <v>No</v>
      </c>
      <c r="AF1637" t="str">
        <f t="shared" ca="1" si="568"/>
        <v>Recovered</v>
      </c>
      <c r="AG1637" t="str">
        <f t="shared" ca="1" si="569"/>
        <v>Northeast</v>
      </c>
      <c r="AH1637" t="str">
        <f t="shared" si="552"/>
        <v>June</v>
      </c>
      <c r="AI1637">
        <f t="shared" si="553"/>
        <v>2021</v>
      </c>
      <c r="AJ1637" t="str">
        <f t="shared" ca="1" si="570"/>
        <v>Occupied</v>
      </c>
      <c r="AK1637">
        <f t="shared" ca="1" si="571"/>
        <v>2</v>
      </c>
    </row>
    <row r="1638" spans="1:37" x14ac:dyDescent="0.3">
      <c r="A1638" t="s">
        <v>6030</v>
      </c>
      <c r="B1638">
        <v>55</v>
      </c>
      <c r="C1638" t="s">
        <v>15</v>
      </c>
      <c r="D1638" t="s">
        <v>33</v>
      </c>
      <c r="E1638" t="s">
        <v>39</v>
      </c>
      <c r="F1638" s="1">
        <v>43672</v>
      </c>
      <c r="G1638" t="s">
        <v>3268</v>
      </c>
      <c r="H1638" t="s">
        <v>3269</v>
      </c>
      <c r="I1638" t="s">
        <v>36</v>
      </c>
      <c r="J1638">
        <v>15690</v>
      </c>
      <c r="K1638">
        <v>490</v>
      </c>
      <c r="L1638" t="s">
        <v>21</v>
      </c>
      <c r="M1638" s="1">
        <v>43673</v>
      </c>
      <c r="N1638" t="s">
        <v>37</v>
      </c>
      <c r="O1638" t="s">
        <v>43</v>
      </c>
      <c r="P1638" t="str">
        <f t="shared" si="554"/>
        <v>P1637</v>
      </c>
      <c r="Q1638" t="str">
        <f t="shared" si="550"/>
        <v>Endocrinology</v>
      </c>
      <c r="R1638">
        <f t="shared" si="551"/>
        <v>1</v>
      </c>
      <c r="S1638" t="str">
        <f t="shared" ca="1" si="555"/>
        <v>No</v>
      </c>
      <c r="T1638" t="str">
        <f t="shared" ca="1" si="556"/>
        <v>Mild</v>
      </c>
      <c r="U1638" t="str">
        <f t="shared" ca="1" si="557"/>
        <v>Private Ward</v>
      </c>
      <c r="V1638" t="str">
        <f t="shared" si="558"/>
        <v>BED1637</v>
      </c>
      <c r="W1638" t="str">
        <f t="shared" ca="1" si="559"/>
        <v>Semi-Private</v>
      </c>
      <c r="X1638" t="str">
        <f t="shared" si="560"/>
        <v>NUR037</v>
      </c>
      <c r="Y1638" t="str">
        <f t="shared" ca="1" si="561"/>
        <v>Evening</v>
      </c>
      <c r="Z1638" t="str">
        <f t="shared" ca="1" si="562"/>
        <v>Ventilator</v>
      </c>
      <c r="AA1638" t="str">
        <f t="shared" ca="1" si="563"/>
        <v>Maintenance</v>
      </c>
      <c r="AB1638" t="str">
        <f t="shared" ca="1" si="564"/>
        <v>Pending</v>
      </c>
      <c r="AC1638" t="str">
        <f t="shared" ca="1" si="565"/>
        <v>Cash</v>
      </c>
      <c r="AD1638" t="str">
        <f t="shared" ca="1" si="566"/>
        <v>Yes</v>
      </c>
      <c r="AE1638" t="str">
        <f t="shared" ca="1" si="567"/>
        <v>No</v>
      </c>
      <c r="AF1638" t="str">
        <f t="shared" ca="1" si="568"/>
        <v>Transferred</v>
      </c>
      <c r="AG1638" t="str">
        <f t="shared" ca="1" si="569"/>
        <v>Northeast</v>
      </c>
      <c r="AH1638" t="str">
        <f t="shared" si="552"/>
        <v>July</v>
      </c>
      <c r="AI1638">
        <f t="shared" si="553"/>
        <v>2019</v>
      </c>
      <c r="AJ1638" t="str">
        <f t="shared" ca="1" si="570"/>
        <v>Vacant</v>
      </c>
      <c r="AK1638">
        <f t="shared" ca="1" si="571"/>
        <v>2</v>
      </c>
    </row>
    <row r="1639" spans="1:37" x14ac:dyDescent="0.3">
      <c r="A1639" t="s">
        <v>6031</v>
      </c>
      <c r="B1639">
        <v>42</v>
      </c>
      <c r="C1639" t="s">
        <v>15</v>
      </c>
      <c r="D1639" t="s">
        <v>52</v>
      </c>
      <c r="E1639" t="s">
        <v>25</v>
      </c>
      <c r="F1639" s="1">
        <v>44558</v>
      </c>
      <c r="G1639" t="s">
        <v>3270</v>
      </c>
      <c r="H1639" t="s">
        <v>3271</v>
      </c>
      <c r="I1639" t="s">
        <v>20</v>
      </c>
      <c r="J1639">
        <v>31943</v>
      </c>
      <c r="K1639">
        <v>331</v>
      </c>
      <c r="L1639" t="s">
        <v>42</v>
      </c>
      <c r="M1639" s="1">
        <v>44587</v>
      </c>
      <c r="N1639" t="s">
        <v>37</v>
      </c>
      <c r="O1639" t="s">
        <v>31</v>
      </c>
      <c r="P1639" t="str">
        <f t="shared" si="554"/>
        <v>P1638</v>
      </c>
      <c r="Q1639" t="str">
        <f t="shared" si="550"/>
        <v>Nutrition</v>
      </c>
      <c r="R1639">
        <f t="shared" si="551"/>
        <v>29</v>
      </c>
      <c r="S1639" t="str">
        <f t="shared" ca="1" si="555"/>
        <v>No</v>
      </c>
      <c r="T1639" t="str">
        <f t="shared" ca="1" si="556"/>
        <v>Critical</v>
      </c>
      <c r="U1639" t="str">
        <f t="shared" ca="1" si="557"/>
        <v>General Ward</v>
      </c>
      <c r="V1639" t="str">
        <f t="shared" si="558"/>
        <v>BED1638</v>
      </c>
      <c r="W1639" t="str">
        <f t="shared" ca="1" si="559"/>
        <v>ICU</v>
      </c>
      <c r="X1639" t="str">
        <f t="shared" si="560"/>
        <v>NUR038</v>
      </c>
      <c r="Y1639" t="str">
        <f t="shared" ca="1" si="561"/>
        <v>Morning</v>
      </c>
      <c r="Z1639" t="str">
        <f t="shared" ca="1" si="562"/>
        <v>ECG Machine</v>
      </c>
      <c r="AA1639" t="str">
        <f t="shared" ca="1" si="563"/>
        <v>In Use</v>
      </c>
      <c r="AB1639" t="str">
        <f t="shared" ca="1" si="564"/>
        <v>Pending</v>
      </c>
      <c r="AC1639" t="str">
        <f t="shared" ca="1" si="565"/>
        <v>Insurance</v>
      </c>
      <c r="AD1639" t="str">
        <f t="shared" ca="1" si="566"/>
        <v>Yes</v>
      </c>
      <c r="AE1639" t="str">
        <f t="shared" ca="1" si="567"/>
        <v>No</v>
      </c>
      <c r="AF1639" t="str">
        <f t="shared" ca="1" si="568"/>
        <v>Recovered</v>
      </c>
      <c r="AG1639" t="str">
        <f t="shared" ca="1" si="569"/>
        <v>Southwest</v>
      </c>
      <c r="AH1639" t="str">
        <f t="shared" si="552"/>
        <v>December</v>
      </c>
      <c r="AI1639">
        <f t="shared" si="553"/>
        <v>2021</v>
      </c>
      <c r="AJ1639" t="str">
        <f t="shared" ca="1" si="570"/>
        <v>Vacant</v>
      </c>
      <c r="AK1639">
        <f t="shared" ca="1" si="571"/>
        <v>2</v>
      </c>
    </row>
    <row r="1640" spans="1:37" x14ac:dyDescent="0.3">
      <c r="A1640" t="s">
        <v>6032</v>
      </c>
      <c r="B1640">
        <v>56</v>
      </c>
      <c r="C1640" t="s">
        <v>15</v>
      </c>
      <c r="D1640" t="s">
        <v>52</v>
      </c>
      <c r="E1640" t="s">
        <v>39</v>
      </c>
      <c r="F1640" s="1">
        <v>45281</v>
      </c>
      <c r="G1640" t="s">
        <v>3272</v>
      </c>
      <c r="H1640" t="s">
        <v>3273</v>
      </c>
      <c r="I1640" t="s">
        <v>28</v>
      </c>
      <c r="J1640">
        <v>8950</v>
      </c>
      <c r="K1640">
        <v>170</v>
      </c>
      <c r="L1640" t="s">
        <v>29</v>
      </c>
      <c r="M1640" s="1">
        <v>45288</v>
      </c>
      <c r="N1640" t="s">
        <v>37</v>
      </c>
      <c r="O1640" t="s">
        <v>31</v>
      </c>
      <c r="P1640" t="str">
        <f t="shared" si="554"/>
        <v>P1639</v>
      </c>
      <c r="Q1640" t="str">
        <f t="shared" si="550"/>
        <v>Endocrinology</v>
      </c>
      <c r="R1640">
        <f t="shared" si="551"/>
        <v>7</v>
      </c>
      <c r="S1640" t="str">
        <f t="shared" ca="1" si="555"/>
        <v>No</v>
      </c>
      <c r="T1640" t="str">
        <f t="shared" ca="1" si="556"/>
        <v>Severe</v>
      </c>
      <c r="U1640" t="str">
        <f t="shared" ca="1" si="557"/>
        <v>Semi-Private</v>
      </c>
      <c r="V1640" t="str">
        <f t="shared" si="558"/>
        <v>BED1639</v>
      </c>
      <c r="W1640" t="str">
        <f t="shared" ca="1" si="559"/>
        <v>General</v>
      </c>
      <c r="X1640" t="str">
        <f t="shared" si="560"/>
        <v>NUR039</v>
      </c>
      <c r="Y1640" t="str">
        <f t="shared" ca="1" si="561"/>
        <v>Evening</v>
      </c>
      <c r="Z1640" t="str">
        <f t="shared" ca="1" si="562"/>
        <v>MRI Scanner</v>
      </c>
      <c r="AA1640" t="str">
        <f t="shared" ca="1" si="563"/>
        <v>Maintenance</v>
      </c>
      <c r="AB1640" t="str">
        <f t="shared" ca="1" si="564"/>
        <v>Pending</v>
      </c>
      <c r="AC1640" t="str">
        <f t="shared" ca="1" si="565"/>
        <v>Bank Transfer</v>
      </c>
      <c r="AD1640" t="str">
        <f t="shared" ca="1" si="566"/>
        <v>No</v>
      </c>
      <c r="AE1640" t="str">
        <f t="shared" ca="1" si="567"/>
        <v>No</v>
      </c>
      <c r="AF1640" t="str">
        <f t="shared" ca="1" si="568"/>
        <v>Transferred</v>
      </c>
      <c r="AG1640" t="str">
        <f t="shared" ca="1" si="569"/>
        <v>Southwest</v>
      </c>
      <c r="AH1640" t="str">
        <f t="shared" si="552"/>
        <v>December</v>
      </c>
      <c r="AI1640">
        <f t="shared" si="553"/>
        <v>2023</v>
      </c>
      <c r="AJ1640" t="str">
        <f t="shared" ca="1" si="570"/>
        <v>Occupied</v>
      </c>
      <c r="AK1640">
        <f t="shared" ca="1" si="571"/>
        <v>1</v>
      </c>
    </row>
    <row r="1641" spans="1:37" x14ac:dyDescent="0.3">
      <c r="A1641" t="s">
        <v>6033</v>
      </c>
      <c r="B1641">
        <v>67</v>
      </c>
      <c r="C1641" t="s">
        <v>15</v>
      </c>
      <c r="D1641" t="s">
        <v>24</v>
      </c>
      <c r="E1641" t="s">
        <v>64</v>
      </c>
      <c r="F1641" s="1">
        <v>44188</v>
      </c>
      <c r="G1641" t="s">
        <v>3274</v>
      </c>
      <c r="H1641" t="s">
        <v>3275</v>
      </c>
      <c r="I1641" t="s">
        <v>20</v>
      </c>
      <c r="J1641">
        <v>36816</v>
      </c>
      <c r="K1641">
        <v>116</v>
      </c>
      <c r="L1641" t="s">
        <v>42</v>
      </c>
      <c r="M1641" s="1">
        <v>44201</v>
      </c>
      <c r="N1641" t="s">
        <v>67</v>
      </c>
      <c r="O1641" t="s">
        <v>43</v>
      </c>
      <c r="P1641" t="str">
        <f t="shared" si="554"/>
        <v>P1640</v>
      </c>
      <c r="Q1641" t="str">
        <f t="shared" si="550"/>
        <v>Cardiology</v>
      </c>
      <c r="R1641">
        <f t="shared" si="551"/>
        <v>13</v>
      </c>
      <c r="S1641" t="str">
        <f t="shared" ca="1" si="555"/>
        <v>Yes</v>
      </c>
      <c r="T1641" t="str">
        <f t="shared" ca="1" si="556"/>
        <v>Severe</v>
      </c>
      <c r="U1641" t="str">
        <f t="shared" ca="1" si="557"/>
        <v>General Ward</v>
      </c>
      <c r="V1641" t="str">
        <f t="shared" si="558"/>
        <v>BED1640</v>
      </c>
      <c r="W1641" t="str">
        <f t="shared" ca="1" si="559"/>
        <v>ICU</v>
      </c>
      <c r="X1641" t="str">
        <f t="shared" si="560"/>
        <v>NUR040</v>
      </c>
      <c r="Y1641" t="str">
        <f t="shared" ca="1" si="561"/>
        <v>Night</v>
      </c>
      <c r="Z1641" t="str">
        <f t="shared" ca="1" si="562"/>
        <v>X-Ray</v>
      </c>
      <c r="AA1641" t="str">
        <f t="shared" ca="1" si="563"/>
        <v>Available</v>
      </c>
      <c r="AB1641" t="str">
        <f t="shared" ca="1" si="564"/>
        <v>Paid</v>
      </c>
      <c r="AC1641" t="str">
        <f t="shared" ca="1" si="565"/>
        <v>Debit Card</v>
      </c>
      <c r="AD1641" t="str">
        <f t="shared" ca="1" si="566"/>
        <v>No</v>
      </c>
      <c r="AE1641" t="str">
        <f t="shared" ca="1" si="567"/>
        <v>No</v>
      </c>
      <c r="AF1641" t="str">
        <f t="shared" ca="1" si="568"/>
        <v>Under Observation</v>
      </c>
      <c r="AG1641" t="str">
        <f t="shared" ca="1" si="569"/>
        <v>Northeast</v>
      </c>
      <c r="AH1641" t="str">
        <f t="shared" si="552"/>
        <v>December</v>
      </c>
      <c r="AI1641">
        <f t="shared" si="553"/>
        <v>2020</v>
      </c>
      <c r="AJ1641" t="str">
        <f t="shared" ca="1" si="570"/>
        <v>Occupied</v>
      </c>
      <c r="AK1641">
        <f t="shared" ca="1" si="571"/>
        <v>1</v>
      </c>
    </row>
    <row r="1642" spans="1:37" x14ac:dyDescent="0.3">
      <c r="A1642" t="s">
        <v>6034</v>
      </c>
      <c r="B1642">
        <v>57</v>
      </c>
      <c r="C1642" t="s">
        <v>15</v>
      </c>
      <c r="D1642" t="s">
        <v>44</v>
      </c>
      <c r="E1642" t="s">
        <v>25</v>
      </c>
      <c r="F1642" s="1">
        <v>44223</v>
      </c>
      <c r="G1642" t="s">
        <v>3276</v>
      </c>
      <c r="H1642" t="s">
        <v>3277</v>
      </c>
      <c r="I1642" t="s">
        <v>36</v>
      </c>
      <c r="J1642">
        <v>43148</v>
      </c>
      <c r="K1642">
        <v>317</v>
      </c>
      <c r="L1642" t="s">
        <v>29</v>
      </c>
      <c r="M1642" s="1">
        <v>44247</v>
      </c>
      <c r="N1642" t="s">
        <v>47</v>
      </c>
      <c r="O1642" t="s">
        <v>31</v>
      </c>
      <c r="P1642" t="str">
        <f t="shared" si="554"/>
        <v>P1641</v>
      </c>
      <c r="Q1642" t="str">
        <f t="shared" si="550"/>
        <v>Nutrition</v>
      </c>
      <c r="R1642">
        <f t="shared" si="551"/>
        <v>24</v>
      </c>
      <c r="S1642" t="str">
        <f t="shared" ca="1" si="555"/>
        <v>No</v>
      </c>
      <c r="T1642" t="str">
        <f t="shared" ca="1" si="556"/>
        <v>Severe</v>
      </c>
      <c r="U1642" t="str">
        <f t="shared" ca="1" si="557"/>
        <v>Semi-Private</v>
      </c>
      <c r="V1642" t="str">
        <f t="shared" si="558"/>
        <v>BED1641</v>
      </c>
      <c r="W1642" t="str">
        <f t="shared" ca="1" si="559"/>
        <v>ICU</v>
      </c>
      <c r="X1642" t="str">
        <f t="shared" si="560"/>
        <v>NUR041</v>
      </c>
      <c r="Y1642" t="str">
        <f t="shared" ca="1" si="561"/>
        <v>Evening</v>
      </c>
      <c r="Z1642" t="str">
        <f t="shared" ca="1" si="562"/>
        <v>X-Ray</v>
      </c>
      <c r="AA1642" t="str">
        <f t="shared" ca="1" si="563"/>
        <v>Available</v>
      </c>
      <c r="AB1642" t="str">
        <f t="shared" ca="1" si="564"/>
        <v>Partially Paid</v>
      </c>
      <c r="AC1642" t="str">
        <f t="shared" ca="1" si="565"/>
        <v>Bank Transfer</v>
      </c>
      <c r="AD1642" t="str">
        <f t="shared" ca="1" si="566"/>
        <v>No</v>
      </c>
      <c r="AE1642" t="str">
        <f t="shared" ca="1" si="567"/>
        <v>No</v>
      </c>
      <c r="AF1642" t="str">
        <f t="shared" ca="1" si="568"/>
        <v>Recovered</v>
      </c>
      <c r="AG1642" t="str">
        <f t="shared" ca="1" si="569"/>
        <v>Southwest</v>
      </c>
      <c r="AH1642" t="str">
        <f t="shared" si="552"/>
        <v>January</v>
      </c>
      <c r="AI1642">
        <f t="shared" si="553"/>
        <v>2021</v>
      </c>
      <c r="AJ1642" t="str">
        <f t="shared" ca="1" si="570"/>
        <v>Vacant</v>
      </c>
      <c r="AK1642">
        <f t="shared" ca="1" si="571"/>
        <v>4</v>
      </c>
    </row>
    <row r="1643" spans="1:37" x14ac:dyDescent="0.3">
      <c r="A1643" t="s">
        <v>6035</v>
      </c>
      <c r="B1643">
        <v>85</v>
      </c>
      <c r="C1643" t="s">
        <v>32</v>
      </c>
      <c r="D1643" t="s">
        <v>24</v>
      </c>
      <c r="E1643" t="s">
        <v>25</v>
      </c>
      <c r="F1643" s="1">
        <v>43687</v>
      </c>
      <c r="G1643" t="s">
        <v>3278</v>
      </c>
      <c r="H1643" t="s">
        <v>3279</v>
      </c>
      <c r="I1643" t="s">
        <v>51</v>
      </c>
      <c r="J1643">
        <v>8778</v>
      </c>
      <c r="K1643">
        <v>259</v>
      </c>
      <c r="L1643" t="s">
        <v>21</v>
      </c>
      <c r="M1643" s="1">
        <v>43698</v>
      </c>
      <c r="N1643" t="s">
        <v>47</v>
      </c>
      <c r="O1643" t="s">
        <v>23</v>
      </c>
      <c r="P1643" t="str">
        <f t="shared" si="554"/>
        <v>P1642</v>
      </c>
      <c r="Q1643" t="str">
        <f t="shared" si="550"/>
        <v>Nutrition</v>
      </c>
      <c r="R1643">
        <f t="shared" si="551"/>
        <v>11</v>
      </c>
      <c r="S1643" t="str">
        <f t="shared" ca="1" si="555"/>
        <v>Yes</v>
      </c>
      <c r="T1643" t="str">
        <f t="shared" ca="1" si="556"/>
        <v>Critical</v>
      </c>
      <c r="U1643" t="str">
        <f t="shared" ca="1" si="557"/>
        <v>Private Ward</v>
      </c>
      <c r="V1643" t="str">
        <f t="shared" si="558"/>
        <v>BED1642</v>
      </c>
      <c r="W1643" t="str">
        <f t="shared" ca="1" si="559"/>
        <v>General</v>
      </c>
      <c r="X1643" t="str">
        <f t="shared" si="560"/>
        <v>NUR042</v>
      </c>
      <c r="Y1643" t="str">
        <f t="shared" ca="1" si="561"/>
        <v>Evening</v>
      </c>
      <c r="Z1643" t="str">
        <f t="shared" ca="1" si="562"/>
        <v>X-Ray</v>
      </c>
      <c r="AA1643" t="str">
        <f t="shared" ca="1" si="563"/>
        <v>Maintenance</v>
      </c>
      <c r="AB1643" t="str">
        <f t="shared" ca="1" si="564"/>
        <v>Pending</v>
      </c>
      <c r="AC1643" t="str">
        <f t="shared" ca="1" si="565"/>
        <v>Cash</v>
      </c>
      <c r="AD1643" t="str">
        <f t="shared" ca="1" si="566"/>
        <v>No</v>
      </c>
      <c r="AE1643" t="str">
        <f t="shared" ca="1" si="567"/>
        <v>Yes</v>
      </c>
      <c r="AF1643" t="str">
        <f t="shared" ca="1" si="568"/>
        <v>Under Observation</v>
      </c>
      <c r="AG1643" t="str">
        <f t="shared" ca="1" si="569"/>
        <v>Northeast</v>
      </c>
      <c r="AH1643" t="str">
        <f t="shared" si="552"/>
        <v>August</v>
      </c>
      <c r="AI1643">
        <f t="shared" si="553"/>
        <v>2019</v>
      </c>
      <c r="AJ1643" t="str">
        <f t="shared" ca="1" si="570"/>
        <v>Occupied</v>
      </c>
      <c r="AK1643">
        <f t="shared" ca="1" si="571"/>
        <v>2</v>
      </c>
    </row>
    <row r="1644" spans="1:37" x14ac:dyDescent="0.3">
      <c r="A1644" t="s">
        <v>6036</v>
      </c>
      <c r="B1644">
        <v>54</v>
      </c>
      <c r="C1644" t="s">
        <v>32</v>
      </c>
      <c r="D1644" t="s">
        <v>38</v>
      </c>
      <c r="E1644" t="s">
        <v>76</v>
      </c>
      <c r="F1644" s="1">
        <v>44314</v>
      </c>
      <c r="G1644" t="s">
        <v>3280</v>
      </c>
      <c r="H1644" t="s">
        <v>3281</v>
      </c>
      <c r="I1644" t="s">
        <v>57</v>
      </c>
      <c r="J1644">
        <v>8153</v>
      </c>
      <c r="K1644">
        <v>464</v>
      </c>
      <c r="L1644" t="s">
        <v>42</v>
      </c>
      <c r="M1644" s="1">
        <v>44324</v>
      </c>
      <c r="N1644" t="s">
        <v>22</v>
      </c>
      <c r="O1644" t="s">
        <v>23</v>
      </c>
      <c r="P1644" t="str">
        <f t="shared" si="554"/>
        <v>P1643</v>
      </c>
      <c r="Q1644" t="str">
        <f t="shared" si="550"/>
        <v>Orthopedics</v>
      </c>
      <c r="R1644">
        <f t="shared" si="551"/>
        <v>10</v>
      </c>
      <c r="S1644" t="str">
        <f t="shared" ca="1" si="555"/>
        <v>Yes</v>
      </c>
      <c r="T1644" t="str">
        <f t="shared" ca="1" si="556"/>
        <v>Severe</v>
      </c>
      <c r="U1644" t="str">
        <f t="shared" ca="1" si="557"/>
        <v>Emergency</v>
      </c>
      <c r="V1644" t="str">
        <f t="shared" si="558"/>
        <v>BED1643</v>
      </c>
      <c r="W1644" t="str">
        <f t="shared" ca="1" si="559"/>
        <v>ICU</v>
      </c>
      <c r="X1644" t="str">
        <f t="shared" si="560"/>
        <v>NUR043</v>
      </c>
      <c r="Y1644" t="str">
        <f t="shared" ca="1" si="561"/>
        <v>Night</v>
      </c>
      <c r="Z1644" t="str">
        <f t="shared" ca="1" si="562"/>
        <v>MRI Scanner</v>
      </c>
      <c r="AA1644" t="str">
        <f t="shared" ca="1" si="563"/>
        <v>Available</v>
      </c>
      <c r="AB1644" t="str">
        <f t="shared" ca="1" si="564"/>
        <v>Partially Paid</v>
      </c>
      <c r="AC1644" t="str">
        <f t="shared" ca="1" si="565"/>
        <v>Insurance</v>
      </c>
      <c r="AD1644" t="str">
        <f t="shared" ca="1" si="566"/>
        <v>No</v>
      </c>
      <c r="AE1644" t="str">
        <f t="shared" ca="1" si="567"/>
        <v>No</v>
      </c>
      <c r="AF1644" t="str">
        <f t="shared" ca="1" si="568"/>
        <v>Transferred</v>
      </c>
      <c r="AG1644" t="str">
        <f t="shared" ca="1" si="569"/>
        <v>Northeast</v>
      </c>
      <c r="AH1644" t="str">
        <f t="shared" si="552"/>
        <v>April</v>
      </c>
      <c r="AI1644">
        <f t="shared" si="553"/>
        <v>2021</v>
      </c>
      <c r="AJ1644" t="str">
        <f t="shared" ca="1" si="570"/>
        <v>Occupied</v>
      </c>
      <c r="AK1644">
        <f t="shared" ca="1" si="571"/>
        <v>2</v>
      </c>
    </row>
    <row r="1645" spans="1:37" x14ac:dyDescent="0.3">
      <c r="A1645" t="s">
        <v>6037</v>
      </c>
      <c r="B1645">
        <v>24</v>
      </c>
      <c r="C1645" t="s">
        <v>15</v>
      </c>
      <c r="D1645" t="s">
        <v>38</v>
      </c>
      <c r="E1645" t="s">
        <v>76</v>
      </c>
      <c r="F1645" s="1">
        <v>45356</v>
      </c>
      <c r="G1645" t="s">
        <v>3282</v>
      </c>
      <c r="H1645" t="s">
        <v>3283</v>
      </c>
      <c r="I1645" t="s">
        <v>51</v>
      </c>
      <c r="J1645">
        <v>35659</v>
      </c>
      <c r="K1645">
        <v>463</v>
      </c>
      <c r="L1645" t="s">
        <v>29</v>
      </c>
      <c r="M1645" s="1">
        <v>45367</v>
      </c>
      <c r="N1645" t="s">
        <v>22</v>
      </c>
      <c r="O1645" t="s">
        <v>43</v>
      </c>
      <c r="P1645" t="str">
        <f t="shared" si="554"/>
        <v>P1644</v>
      </c>
      <c r="Q1645" t="str">
        <f t="shared" si="550"/>
        <v>Orthopedics</v>
      </c>
      <c r="R1645">
        <f t="shared" si="551"/>
        <v>11</v>
      </c>
      <c r="S1645" t="str">
        <f t="shared" ca="1" si="555"/>
        <v>No</v>
      </c>
      <c r="T1645" t="str">
        <f t="shared" ca="1" si="556"/>
        <v>Mild</v>
      </c>
      <c r="U1645" t="str">
        <f t="shared" ca="1" si="557"/>
        <v>Semi-Private</v>
      </c>
      <c r="V1645" t="str">
        <f t="shared" si="558"/>
        <v>BED1644</v>
      </c>
      <c r="W1645" t="str">
        <f t="shared" ca="1" si="559"/>
        <v>Semi-Private</v>
      </c>
      <c r="X1645" t="str">
        <f t="shared" si="560"/>
        <v>NUR044</v>
      </c>
      <c r="Y1645" t="str">
        <f t="shared" ca="1" si="561"/>
        <v>Morning</v>
      </c>
      <c r="Z1645" t="str">
        <f t="shared" ca="1" si="562"/>
        <v>MRI Scanner</v>
      </c>
      <c r="AA1645" t="str">
        <f t="shared" ca="1" si="563"/>
        <v>Maintenance</v>
      </c>
      <c r="AB1645" t="str">
        <f t="shared" ca="1" si="564"/>
        <v>Paid</v>
      </c>
      <c r="AC1645" t="str">
        <f t="shared" ca="1" si="565"/>
        <v>Bank Transfer</v>
      </c>
      <c r="AD1645" t="str">
        <f t="shared" ca="1" si="566"/>
        <v>No</v>
      </c>
      <c r="AE1645" t="str">
        <f t="shared" ca="1" si="567"/>
        <v>No</v>
      </c>
      <c r="AF1645" t="str">
        <f t="shared" ca="1" si="568"/>
        <v>Transferred</v>
      </c>
      <c r="AG1645" t="str">
        <f t="shared" ca="1" si="569"/>
        <v>Southwest</v>
      </c>
      <c r="AH1645" t="str">
        <f t="shared" si="552"/>
        <v>March</v>
      </c>
      <c r="AI1645">
        <f t="shared" si="553"/>
        <v>2024</v>
      </c>
      <c r="AJ1645" t="str">
        <f t="shared" ca="1" si="570"/>
        <v>Occupied</v>
      </c>
      <c r="AK1645">
        <f t="shared" ca="1" si="571"/>
        <v>2</v>
      </c>
    </row>
    <row r="1646" spans="1:37" x14ac:dyDescent="0.3">
      <c r="A1646" t="s">
        <v>6038</v>
      </c>
      <c r="B1646">
        <v>80</v>
      </c>
      <c r="C1646" t="s">
        <v>32</v>
      </c>
      <c r="D1646" t="s">
        <v>98</v>
      </c>
      <c r="E1646" t="s">
        <v>17</v>
      </c>
      <c r="F1646" s="1">
        <v>44743</v>
      </c>
      <c r="G1646" t="s">
        <v>3284</v>
      </c>
      <c r="H1646" t="s">
        <v>3285</v>
      </c>
      <c r="I1646" t="s">
        <v>28</v>
      </c>
      <c r="J1646">
        <v>9659</v>
      </c>
      <c r="K1646">
        <v>200</v>
      </c>
      <c r="L1646" t="s">
        <v>29</v>
      </c>
      <c r="M1646" s="1">
        <v>44762</v>
      </c>
      <c r="N1646" t="s">
        <v>67</v>
      </c>
      <c r="O1646" t="s">
        <v>43</v>
      </c>
      <c r="P1646" t="str">
        <f t="shared" si="554"/>
        <v>P1645</v>
      </c>
      <c r="Q1646" t="str">
        <f t="shared" si="550"/>
        <v>Oncology</v>
      </c>
      <c r="R1646">
        <f t="shared" si="551"/>
        <v>19</v>
      </c>
      <c r="S1646" t="str">
        <f t="shared" ca="1" si="555"/>
        <v>No</v>
      </c>
      <c r="T1646" t="str">
        <f t="shared" ca="1" si="556"/>
        <v>Moderate</v>
      </c>
      <c r="U1646" t="str">
        <f t="shared" ca="1" si="557"/>
        <v>Private Ward</v>
      </c>
      <c r="V1646" t="str">
        <f t="shared" si="558"/>
        <v>BED1645</v>
      </c>
      <c r="W1646" t="str">
        <f t="shared" ca="1" si="559"/>
        <v>General</v>
      </c>
      <c r="X1646" t="str">
        <f t="shared" si="560"/>
        <v>NUR045</v>
      </c>
      <c r="Y1646" t="str">
        <f t="shared" ca="1" si="561"/>
        <v>Morning</v>
      </c>
      <c r="Z1646" t="str">
        <f t="shared" ca="1" si="562"/>
        <v>CT Scanner</v>
      </c>
      <c r="AA1646" t="str">
        <f t="shared" ca="1" si="563"/>
        <v>Maintenance</v>
      </c>
      <c r="AB1646" t="str">
        <f t="shared" ca="1" si="564"/>
        <v>Paid</v>
      </c>
      <c r="AC1646" t="str">
        <f t="shared" ca="1" si="565"/>
        <v>Bank Transfer</v>
      </c>
      <c r="AD1646" t="str">
        <f t="shared" ca="1" si="566"/>
        <v>No</v>
      </c>
      <c r="AE1646" t="str">
        <f t="shared" ca="1" si="567"/>
        <v>No</v>
      </c>
      <c r="AF1646" t="str">
        <f t="shared" ca="1" si="568"/>
        <v>Transferred</v>
      </c>
      <c r="AG1646" t="str">
        <f t="shared" ca="1" si="569"/>
        <v>Northeast</v>
      </c>
      <c r="AH1646" t="str">
        <f t="shared" si="552"/>
        <v>July</v>
      </c>
      <c r="AI1646">
        <f t="shared" si="553"/>
        <v>2022</v>
      </c>
      <c r="AJ1646" t="str">
        <f t="shared" ca="1" si="570"/>
        <v>Occupied</v>
      </c>
      <c r="AK1646">
        <f t="shared" ca="1" si="571"/>
        <v>1</v>
      </c>
    </row>
    <row r="1647" spans="1:37" x14ac:dyDescent="0.3">
      <c r="A1647" t="s">
        <v>2022</v>
      </c>
      <c r="B1647">
        <v>27</v>
      </c>
      <c r="C1647" t="s">
        <v>32</v>
      </c>
      <c r="D1647" t="s">
        <v>98</v>
      </c>
      <c r="E1647" t="s">
        <v>48</v>
      </c>
      <c r="F1647" s="1">
        <v>45339</v>
      </c>
      <c r="G1647" t="s">
        <v>3286</v>
      </c>
      <c r="H1647" t="s">
        <v>3287</v>
      </c>
      <c r="I1647" t="s">
        <v>20</v>
      </c>
      <c r="J1647">
        <v>34770</v>
      </c>
      <c r="K1647">
        <v>272</v>
      </c>
      <c r="L1647" t="s">
        <v>29</v>
      </c>
      <c r="M1647" s="1">
        <v>45357</v>
      </c>
      <c r="N1647" t="s">
        <v>37</v>
      </c>
      <c r="O1647" t="s">
        <v>23</v>
      </c>
      <c r="P1647" t="str">
        <f t="shared" si="554"/>
        <v>P1646</v>
      </c>
      <c r="Q1647" t="str">
        <f t="shared" si="550"/>
        <v>Pulmonology</v>
      </c>
      <c r="R1647">
        <f t="shared" si="551"/>
        <v>18</v>
      </c>
      <c r="S1647" t="str">
        <f t="shared" ca="1" si="555"/>
        <v>No</v>
      </c>
      <c r="T1647" t="str">
        <f t="shared" ca="1" si="556"/>
        <v>Moderate</v>
      </c>
      <c r="U1647" t="str">
        <f t="shared" ca="1" si="557"/>
        <v>General Ward</v>
      </c>
      <c r="V1647" t="str">
        <f t="shared" si="558"/>
        <v>BED1646</v>
      </c>
      <c r="W1647" t="str">
        <f t="shared" ca="1" si="559"/>
        <v>General</v>
      </c>
      <c r="X1647" t="str">
        <f t="shared" si="560"/>
        <v>NUR046</v>
      </c>
      <c r="Y1647" t="str">
        <f t="shared" ca="1" si="561"/>
        <v>Night</v>
      </c>
      <c r="Z1647" t="str">
        <f t="shared" ca="1" si="562"/>
        <v>Ventilator</v>
      </c>
      <c r="AA1647" t="str">
        <f t="shared" ca="1" si="563"/>
        <v>Available</v>
      </c>
      <c r="AB1647" t="str">
        <f t="shared" ca="1" si="564"/>
        <v>Pending</v>
      </c>
      <c r="AC1647" t="str">
        <f t="shared" ca="1" si="565"/>
        <v>Bank Transfer</v>
      </c>
      <c r="AD1647" t="str">
        <f t="shared" ca="1" si="566"/>
        <v>Yes</v>
      </c>
      <c r="AE1647" t="str">
        <f t="shared" ca="1" si="567"/>
        <v>No</v>
      </c>
      <c r="AF1647" t="str">
        <f t="shared" ca="1" si="568"/>
        <v>Recovered</v>
      </c>
      <c r="AG1647" t="str">
        <f t="shared" ca="1" si="569"/>
        <v>Northeast</v>
      </c>
      <c r="AH1647" t="str">
        <f t="shared" si="552"/>
        <v>February</v>
      </c>
      <c r="AI1647">
        <f t="shared" si="553"/>
        <v>2024</v>
      </c>
      <c r="AJ1647" t="str">
        <f t="shared" ca="1" si="570"/>
        <v>Occupied</v>
      </c>
      <c r="AK1647">
        <f t="shared" ca="1" si="571"/>
        <v>2</v>
      </c>
    </row>
    <row r="1648" spans="1:37" x14ac:dyDescent="0.3">
      <c r="A1648" t="s">
        <v>6039</v>
      </c>
      <c r="B1648">
        <v>73</v>
      </c>
      <c r="C1648" t="s">
        <v>32</v>
      </c>
      <c r="D1648" t="s">
        <v>52</v>
      </c>
      <c r="E1648" t="s">
        <v>25</v>
      </c>
      <c r="F1648" s="1">
        <v>45275</v>
      </c>
      <c r="G1648" t="s">
        <v>3288</v>
      </c>
      <c r="H1648" t="s">
        <v>3289</v>
      </c>
      <c r="I1648" t="s">
        <v>36</v>
      </c>
      <c r="J1648">
        <v>37788</v>
      </c>
      <c r="K1648">
        <v>168</v>
      </c>
      <c r="L1648" t="s">
        <v>29</v>
      </c>
      <c r="M1648" s="1">
        <v>45302</v>
      </c>
      <c r="N1648" t="s">
        <v>47</v>
      </c>
      <c r="O1648" t="s">
        <v>43</v>
      </c>
      <c r="P1648" t="str">
        <f t="shared" si="554"/>
        <v>P1647</v>
      </c>
      <c r="Q1648" t="str">
        <f t="shared" si="550"/>
        <v>Nutrition</v>
      </c>
      <c r="R1648">
        <f t="shared" si="551"/>
        <v>27</v>
      </c>
      <c r="S1648" t="str">
        <f t="shared" ca="1" si="555"/>
        <v>No</v>
      </c>
      <c r="T1648" t="str">
        <f t="shared" ca="1" si="556"/>
        <v>Severe</v>
      </c>
      <c r="U1648" t="str">
        <f t="shared" ca="1" si="557"/>
        <v>General Ward</v>
      </c>
      <c r="V1648" t="str">
        <f t="shared" si="558"/>
        <v>BED1647</v>
      </c>
      <c r="W1648" t="str">
        <f t="shared" ca="1" si="559"/>
        <v>Semi-Private</v>
      </c>
      <c r="X1648" t="str">
        <f t="shared" si="560"/>
        <v>NUR047</v>
      </c>
      <c r="Y1648" t="str">
        <f t="shared" ca="1" si="561"/>
        <v>Evening</v>
      </c>
      <c r="Z1648" t="str">
        <f t="shared" ca="1" si="562"/>
        <v>ECG Machine</v>
      </c>
      <c r="AA1648" t="str">
        <f t="shared" ca="1" si="563"/>
        <v>In Use</v>
      </c>
      <c r="AB1648" t="str">
        <f t="shared" ca="1" si="564"/>
        <v>Paid</v>
      </c>
      <c r="AC1648" t="str">
        <f t="shared" ca="1" si="565"/>
        <v>Insurance</v>
      </c>
      <c r="AD1648" t="str">
        <f t="shared" ca="1" si="566"/>
        <v>No</v>
      </c>
      <c r="AE1648" t="str">
        <f t="shared" ca="1" si="567"/>
        <v>No</v>
      </c>
      <c r="AF1648" t="str">
        <f t="shared" ca="1" si="568"/>
        <v>Recovered</v>
      </c>
      <c r="AG1648" t="str">
        <f t="shared" ca="1" si="569"/>
        <v>Southwest</v>
      </c>
      <c r="AH1648" t="str">
        <f t="shared" si="552"/>
        <v>December</v>
      </c>
      <c r="AI1648">
        <f t="shared" si="553"/>
        <v>2023</v>
      </c>
      <c r="AJ1648" t="str">
        <f t="shared" ca="1" si="570"/>
        <v>Occupied</v>
      </c>
      <c r="AK1648">
        <f t="shared" ca="1" si="571"/>
        <v>1</v>
      </c>
    </row>
    <row r="1649" spans="1:37" x14ac:dyDescent="0.3">
      <c r="A1649" t="s">
        <v>6040</v>
      </c>
      <c r="B1649">
        <v>78</v>
      </c>
      <c r="C1649" t="s">
        <v>32</v>
      </c>
      <c r="D1649" t="s">
        <v>24</v>
      </c>
      <c r="E1649" t="s">
        <v>25</v>
      </c>
      <c r="F1649" s="1">
        <v>45060</v>
      </c>
      <c r="G1649" t="s">
        <v>3290</v>
      </c>
      <c r="H1649" t="s">
        <v>3291</v>
      </c>
      <c r="I1649" t="s">
        <v>20</v>
      </c>
      <c r="J1649">
        <v>48273</v>
      </c>
      <c r="K1649">
        <v>279</v>
      </c>
      <c r="L1649" t="s">
        <v>21</v>
      </c>
      <c r="M1649" s="1">
        <v>45085</v>
      </c>
      <c r="N1649" t="s">
        <v>67</v>
      </c>
      <c r="O1649" t="s">
        <v>43</v>
      </c>
      <c r="P1649" t="str">
        <f t="shared" si="554"/>
        <v>P1648</v>
      </c>
      <c r="Q1649" t="str">
        <f t="shared" si="550"/>
        <v>Nutrition</v>
      </c>
      <c r="R1649">
        <f t="shared" si="551"/>
        <v>25</v>
      </c>
      <c r="S1649" t="str">
        <f t="shared" ca="1" si="555"/>
        <v>No</v>
      </c>
      <c r="T1649" t="str">
        <f t="shared" ca="1" si="556"/>
        <v>Moderate</v>
      </c>
      <c r="U1649" t="str">
        <f t="shared" ca="1" si="557"/>
        <v>Emergency</v>
      </c>
      <c r="V1649" t="str">
        <f t="shared" si="558"/>
        <v>BED1648</v>
      </c>
      <c r="W1649" t="str">
        <f t="shared" ca="1" si="559"/>
        <v>ICU</v>
      </c>
      <c r="X1649" t="str">
        <f t="shared" si="560"/>
        <v>NUR048</v>
      </c>
      <c r="Y1649" t="str">
        <f t="shared" ca="1" si="561"/>
        <v>Evening</v>
      </c>
      <c r="Z1649" t="str">
        <f t="shared" ca="1" si="562"/>
        <v>CT Scanner</v>
      </c>
      <c r="AA1649" t="str">
        <f t="shared" ca="1" si="563"/>
        <v>Available</v>
      </c>
      <c r="AB1649" t="str">
        <f t="shared" ca="1" si="564"/>
        <v>Partially Paid</v>
      </c>
      <c r="AC1649" t="str">
        <f t="shared" ca="1" si="565"/>
        <v>Debit Card</v>
      </c>
      <c r="AD1649" t="str">
        <f t="shared" ca="1" si="566"/>
        <v>No</v>
      </c>
      <c r="AE1649" t="str">
        <f t="shared" ca="1" si="567"/>
        <v>No</v>
      </c>
      <c r="AF1649" t="str">
        <f t="shared" ca="1" si="568"/>
        <v>Transferred</v>
      </c>
      <c r="AG1649" t="str">
        <f t="shared" ca="1" si="569"/>
        <v>Southwest</v>
      </c>
      <c r="AH1649" t="str">
        <f t="shared" si="552"/>
        <v>May</v>
      </c>
      <c r="AI1649">
        <f t="shared" si="553"/>
        <v>2023</v>
      </c>
      <c r="AJ1649" t="str">
        <f t="shared" ca="1" si="570"/>
        <v>Occupied</v>
      </c>
      <c r="AK1649">
        <f t="shared" ca="1" si="571"/>
        <v>4</v>
      </c>
    </row>
    <row r="1650" spans="1:37" x14ac:dyDescent="0.3">
      <c r="A1650" t="s">
        <v>6041</v>
      </c>
      <c r="B1650">
        <v>84</v>
      </c>
      <c r="C1650" t="s">
        <v>15</v>
      </c>
      <c r="D1650" t="s">
        <v>83</v>
      </c>
      <c r="E1650" t="s">
        <v>76</v>
      </c>
      <c r="F1650" s="1">
        <v>44959</v>
      </c>
      <c r="G1650" t="s">
        <v>3292</v>
      </c>
      <c r="H1650" t="s">
        <v>3293</v>
      </c>
      <c r="I1650" t="s">
        <v>20</v>
      </c>
      <c r="J1650">
        <v>15850</v>
      </c>
      <c r="K1650">
        <v>341</v>
      </c>
      <c r="L1650" t="s">
        <v>29</v>
      </c>
      <c r="M1650" s="1">
        <v>44962</v>
      </c>
      <c r="N1650" t="s">
        <v>67</v>
      </c>
      <c r="O1650" t="s">
        <v>43</v>
      </c>
      <c r="P1650" t="str">
        <f t="shared" si="554"/>
        <v>P1649</v>
      </c>
      <c r="Q1650" t="str">
        <f t="shared" si="550"/>
        <v>Orthopedics</v>
      </c>
      <c r="R1650">
        <f t="shared" si="551"/>
        <v>3</v>
      </c>
      <c r="S1650" t="str">
        <f t="shared" ca="1" si="555"/>
        <v>No</v>
      </c>
      <c r="T1650" t="str">
        <f t="shared" ca="1" si="556"/>
        <v>Mild</v>
      </c>
      <c r="U1650" t="str">
        <f t="shared" ca="1" si="557"/>
        <v>General Ward</v>
      </c>
      <c r="V1650" t="str">
        <f t="shared" si="558"/>
        <v>BED1649</v>
      </c>
      <c r="W1650" t="str">
        <f t="shared" ca="1" si="559"/>
        <v>General</v>
      </c>
      <c r="X1650" t="str">
        <f t="shared" si="560"/>
        <v>NUR049</v>
      </c>
      <c r="Y1650" t="str">
        <f t="shared" ca="1" si="561"/>
        <v>Night</v>
      </c>
      <c r="Z1650" t="str">
        <f t="shared" ca="1" si="562"/>
        <v>X-Ray</v>
      </c>
      <c r="AA1650" t="str">
        <f t="shared" ca="1" si="563"/>
        <v>Available</v>
      </c>
      <c r="AB1650" t="str">
        <f t="shared" ca="1" si="564"/>
        <v>Paid</v>
      </c>
      <c r="AC1650" t="str">
        <f t="shared" ca="1" si="565"/>
        <v>Insurance</v>
      </c>
      <c r="AD1650" t="str">
        <f t="shared" ca="1" si="566"/>
        <v>No</v>
      </c>
      <c r="AE1650" t="str">
        <f t="shared" ca="1" si="567"/>
        <v>No</v>
      </c>
      <c r="AF1650" t="str">
        <f t="shared" ca="1" si="568"/>
        <v>Under Observation</v>
      </c>
      <c r="AG1650" t="str">
        <f t="shared" ca="1" si="569"/>
        <v>Midwest</v>
      </c>
      <c r="AH1650" t="str">
        <f t="shared" si="552"/>
        <v>February</v>
      </c>
      <c r="AI1650">
        <f t="shared" si="553"/>
        <v>2023</v>
      </c>
      <c r="AJ1650" t="str">
        <f t="shared" ca="1" si="570"/>
        <v>Occupied</v>
      </c>
      <c r="AK1650">
        <f t="shared" ca="1" si="571"/>
        <v>2</v>
      </c>
    </row>
    <row r="1651" spans="1:37" x14ac:dyDescent="0.3">
      <c r="A1651" t="s">
        <v>6042</v>
      </c>
      <c r="B1651">
        <v>58</v>
      </c>
      <c r="C1651" t="s">
        <v>15</v>
      </c>
      <c r="D1651" t="s">
        <v>98</v>
      </c>
      <c r="E1651" t="s">
        <v>39</v>
      </c>
      <c r="F1651" s="1">
        <v>44366</v>
      </c>
      <c r="G1651" t="s">
        <v>3294</v>
      </c>
      <c r="H1651" t="s">
        <v>3295</v>
      </c>
      <c r="I1651" t="s">
        <v>51</v>
      </c>
      <c r="J1651">
        <v>28492</v>
      </c>
      <c r="K1651">
        <v>428</v>
      </c>
      <c r="L1651" t="s">
        <v>29</v>
      </c>
      <c r="M1651" s="1">
        <v>44381</v>
      </c>
      <c r="N1651" t="s">
        <v>30</v>
      </c>
      <c r="O1651" t="s">
        <v>23</v>
      </c>
      <c r="P1651" t="str">
        <f t="shared" si="554"/>
        <v>P1650</v>
      </c>
      <c r="Q1651" t="str">
        <f t="shared" si="550"/>
        <v>Endocrinology</v>
      </c>
      <c r="R1651">
        <f t="shared" si="551"/>
        <v>15</v>
      </c>
      <c r="S1651" t="str">
        <f t="shared" ca="1" si="555"/>
        <v>No</v>
      </c>
      <c r="T1651" t="str">
        <f t="shared" ca="1" si="556"/>
        <v>Moderate</v>
      </c>
      <c r="U1651" t="str">
        <f t="shared" ca="1" si="557"/>
        <v>General Ward</v>
      </c>
      <c r="V1651" t="str">
        <f t="shared" si="558"/>
        <v>BED1650</v>
      </c>
      <c r="W1651" t="str">
        <f t="shared" ca="1" si="559"/>
        <v>General</v>
      </c>
      <c r="X1651" t="str">
        <f t="shared" si="560"/>
        <v>NUR050</v>
      </c>
      <c r="Y1651" t="str">
        <f t="shared" ca="1" si="561"/>
        <v>Morning</v>
      </c>
      <c r="Z1651" t="str">
        <f t="shared" ca="1" si="562"/>
        <v>X-Ray</v>
      </c>
      <c r="AA1651" t="str">
        <f t="shared" ca="1" si="563"/>
        <v>Available</v>
      </c>
      <c r="AB1651" t="str">
        <f t="shared" ca="1" si="564"/>
        <v>Partially Paid</v>
      </c>
      <c r="AC1651" t="str">
        <f t="shared" ca="1" si="565"/>
        <v>Cash</v>
      </c>
      <c r="AD1651" t="str">
        <f t="shared" ca="1" si="566"/>
        <v>No</v>
      </c>
      <c r="AE1651" t="str">
        <f t="shared" ca="1" si="567"/>
        <v>No</v>
      </c>
      <c r="AF1651" t="str">
        <f t="shared" ca="1" si="568"/>
        <v>Recovered</v>
      </c>
      <c r="AG1651" t="str">
        <f t="shared" ca="1" si="569"/>
        <v>Southwest</v>
      </c>
      <c r="AH1651" t="str">
        <f t="shared" si="552"/>
        <v>June</v>
      </c>
      <c r="AI1651">
        <f t="shared" si="553"/>
        <v>2021</v>
      </c>
      <c r="AJ1651" t="str">
        <f t="shared" ca="1" si="570"/>
        <v>Occupied</v>
      </c>
      <c r="AK1651">
        <f t="shared" ca="1" si="571"/>
        <v>1</v>
      </c>
    </row>
    <row r="1652" spans="1:37" x14ac:dyDescent="0.3">
      <c r="A1652" t="s">
        <v>6043</v>
      </c>
      <c r="B1652">
        <v>61</v>
      </c>
      <c r="C1652" t="s">
        <v>32</v>
      </c>
      <c r="D1652" t="s">
        <v>16</v>
      </c>
      <c r="E1652" t="s">
        <v>76</v>
      </c>
      <c r="F1652" s="1">
        <v>44862</v>
      </c>
      <c r="G1652" t="s">
        <v>3296</v>
      </c>
      <c r="H1652" t="s">
        <v>3297</v>
      </c>
      <c r="I1652" t="s">
        <v>20</v>
      </c>
      <c r="J1652">
        <v>23798</v>
      </c>
      <c r="K1652">
        <v>457</v>
      </c>
      <c r="L1652" t="s">
        <v>42</v>
      </c>
      <c r="M1652" s="1">
        <v>44871</v>
      </c>
      <c r="N1652" t="s">
        <v>47</v>
      </c>
      <c r="O1652" t="s">
        <v>43</v>
      </c>
      <c r="P1652" t="str">
        <f t="shared" si="554"/>
        <v>P1651</v>
      </c>
      <c r="Q1652" t="str">
        <f t="shared" si="550"/>
        <v>Orthopedics</v>
      </c>
      <c r="R1652">
        <f t="shared" si="551"/>
        <v>9</v>
      </c>
      <c r="S1652" t="str">
        <f t="shared" ca="1" si="555"/>
        <v>No</v>
      </c>
      <c r="T1652" t="str">
        <f t="shared" ca="1" si="556"/>
        <v>Mild</v>
      </c>
      <c r="U1652" t="str">
        <f t="shared" ca="1" si="557"/>
        <v>General Ward</v>
      </c>
      <c r="V1652" t="str">
        <f t="shared" si="558"/>
        <v>BED1651</v>
      </c>
      <c r="W1652" t="str">
        <f t="shared" ca="1" si="559"/>
        <v>General</v>
      </c>
      <c r="X1652" t="str">
        <f t="shared" si="560"/>
        <v>NUR001</v>
      </c>
      <c r="Y1652" t="str">
        <f t="shared" ca="1" si="561"/>
        <v>Night</v>
      </c>
      <c r="Z1652" t="str">
        <f t="shared" ca="1" si="562"/>
        <v>CT Scanner</v>
      </c>
      <c r="AA1652" t="str">
        <f t="shared" ca="1" si="563"/>
        <v>In Use</v>
      </c>
      <c r="AB1652" t="str">
        <f t="shared" ca="1" si="564"/>
        <v>Pending</v>
      </c>
      <c r="AC1652" t="str">
        <f t="shared" ca="1" si="565"/>
        <v>Debit Card</v>
      </c>
      <c r="AD1652" t="str">
        <f t="shared" ca="1" si="566"/>
        <v>No</v>
      </c>
      <c r="AE1652" t="str">
        <f t="shared" ca="1" si="567"/>
        <v>No</v>
      </c>
      <c r="AF1652" t="str">
        <f t="shared" ca="1" si="568"/>
        <v>Transferred</v>
      </c>
      <c r="AG1652" t="str">
        <f t="shared" ca="1" si="569"/>
        <v>Northeast</v>
      </c>
      <c r="AH1652" t="str">
        <f t="shared" si="552"/>
        <v>October</v>
      </c>
      <c r="AI1652">
        <f t="shared" si="553"/>
        <v>2022</v>
      </c>
      <c r="AJ1652" t="str">
        <f t="shared" ca="1" si="570"/>
        <v>Occupied</v>
      </c>
      <c r="AK1652">
        <f t="shared" ca="1" si="571"/>
        <v>1</v>
      </c>
    </row>
    <row r="1653" spans="1:37" x14ac:dyDescent="0.3">
      <c r="A1653" t="s">
        <v>6044</v>
      </c>
      <c r="B1653">
        <v>56</v>
      </c>
      <c r="C1653" t="s">
        <v>32</v>
      </c>
      <c r="D1653" t="s">
        <v>83</v>
      </c>
      <c r="E1653" t="s">
        <v>17</v>
      </c>
      <c r="F1653" s="1">
        <v>45124</v>
      </c>
      <c r="G1653" t="s">
        <v>3298</v>
      </c>
      <c r="H1653" t="s">
        <v>3299</v>
      </c>
      <c r="I1653" t="s">
        <v>28</v>
      </c>
      <c r="J1653">
        <v>16791</v>
      </c>
      <c r="K1653">
        <v>480</v>
      </c>
      <c r="L1653" t="s">
        <v>42</v>
      </c>
      <c r="M1653" s="1">
        <v>45147</v>
      </c>
      <c r="N1653" t="s">
        <v>30</v>
      </c>
      <c r="O1653" t="s">
        <v>43</v>
      </c>
      <c r="P1653" t="str">
        <f t="shared" si="554"/>
        <v>P1652</v>
      </c>
      <c r="Q1653" t="str">
        <f t="shared" si="550"/>
        <v>Oncology</v>
      </c>
      <c r="R1653">
        <f t="shared" si="551"/>
        <v>23</v>
      </c>
      <c r="S1653" t="str">
        <f t="shared" ca="1" si="555"/>
        <v>No</v>
      </c>
      <c r="T1653" t="str">
        <f t="shared" ca="1" si="556"/>
        <v>Severe</v>
      </c>
      <c r="U1653" t="str">
        <f t="shared" ca="1" si="557"/>
        <v>ICU</v>
      </c>
      <c r="V1653" t="str">
        <f t="shared" si="558"/>
        <v>BED1652</v>
      </c>
      <c r="W1653" t="str">
        <f t="shared" ca="1" si="559"/>
        <v>Private</v>
      </c>
      <c r="X1653" t="str">
        <f t="shared" si="560"/>
        <v>NUR002</v>
      </c>
      <c r="Y1653" t="str">
        <f t="shared" ca="1" si="561"/>
        <v>Morning</v>
      </c>
      <c r="Z1653" t="str">
        <f t="shared" ca="1" si="562"/>
        <v>X-Ray</v>
      </c>
      <c r="AA1653" t="str">
        <f t="shared" ca="1" si="563"/>
        <v>Maintenance</v>
      </c>
      <c r="AB1653" t="str">
        <f t="shared" ca="1" si="564"/>
        <v>Paid</v>
      </c>
      <c r="AC1653" t="str">
        <f t="shared" ca="1" si="565"/>
        <v>Cash</v>
      </c>
      <c r="AD1653" t="str">
        <f t="shared" ca="1" si="566"/>
        <v>No</v>
      </c>
      <c r="AE1653" t="str">
        <f t="shared" ca="1" si="567"/>
        <v>No</v>
      </c>
      <c r="AF1653" t="str">
        <f t="shared" ca="1" si="568"/>
        <v>Recovered</v>
      </c>
      <c r="AG1653" t="str">
        <f t="shared" ca="1" si="569"/>
        <v>Northeast</v>
      </c>
      <c r="AH1653" t="str">
        <f t="shared" si="552"/>
        <v>July</v>
      </c>
      <c r="AI1653">
        <f t="shared" si="553"/>
        <v>2023</v>
      </c>
      <c r="AJ1653" t="str">
        <f t="shared" ca="1" si="570"/>
        <v>Occupied</v>
      </c>
      <c r="AK1653">
        <f t="shared" ca="1" si="571"/>
        <v>4</v>
      </c>
    </row>
    <row r="1654" spans="1:37" x14ac:dyDescent="0.3">
      <c r="A1654" t="s">
        <v>6045</v>
      </c>
      <c r="B1654">
        <v>78</v>
      </c>
      <c r="C1654" t="s">
        <v>15</v>
      </c>
      <c r="D1654" t="s">
        <v>38</v>
      </c>
      <c r="E1654" t="s">
        <v>64</v>
      </c>
      <c r="F1654" s="1">
        <v>44121</v>
      </c>
      <c r="G1654" t="s">
        <v>3300</v>
      </c>
      <c r="H1654" t="s">
        <v>3301</v>
      </c>
      <c r="I1654" t="s">
        <v>51</v>
      </c>
      <c r="J1654">
        <v>27668</v>
      </c>
      <c r="K1654">
        <v>284</v>
      </c>
      <c r="L1654" t="s">
        <v>21</v>
      </c>
      <c r="M1654" s="1">
        <v>44133</v>
      </c>
      <c r="N1654" t="s">
        <v>47</v>
      </c>
      <c r="O1654" t="s">
        <v>31</v>
      </c>
      <c r="P1654" t="str">
        <f t="shared" si="554"/>
        <v>P1653</v>
      </c>
      <c r="Q1654" t="str">
        <f t="shared" si="550"/>
        <v>Cardiology</v>
      </c>
      <c r="R1654">
        <f t="shared" si="551"/>
        <v>12</v>
      </c>
      <c r="S1654" t="str">
        <f t="shared" ca="1" si="555"/>
        <v>Yes</v>
      </c>
      <c r="T1654" t="str">
        <f t="shared" ca="1" si="556"/>
        <v>Mild</v>
      </c>
      <c r="U1654" t="str">
        <f t="shared" ca="1" si="557"/>
        <v>General Ward</v>
      </c>
      <c r="V1654" t="str">
        <f t="shared" si="558"/>
        <v>BED1653</v>
      </c>
      <c r="W1654" t="str">
        <f t="shared" ca="1" si="559"/>
        <v>ICU</v>
      </c>
      <c r="X1654" t="str">
        <f t="shared" si="560"/>
        <v>NUR003</v>
      </c>
      <c r="Y1654" t="str">
        <f t="shared" ca="1" si="561"/>
        <v>Evening</v>
      </c>
      <c r="Z1654" t="str">
        <f t="shared" ca="1" si="562"/>
        <v>CT Scanner</v>
      </c>
      <c r="AA1654" t="str">
        <f t="shared" ca="1" si="563"/>
        <v>In Use</v>
      </c>
      <c r="AB1654" t="str">
        <f t="shared" ca="1" si="564"/>
        <v>Pending</v>
      </c>
      <c r="AC1654" t="str">
        <f t="shared" ca="1" si="565"/>
        <v>Cash</v>
      </c>
      <c r="AD1654" t="str">
        <f t="shared" ca="1" si="566"/>
        <v>Yes</v>
      </c>
      <c r="AE1654" t="str">
        <f t="shared" ca="1" si="567"/>
        <v>No</v>
      </c>
      <c r="AF1654" t="str">
        <f t="shared" ca="1" si="568"/>
        <v>Transferred</v>
      </c>
      <c r="AG1654" t="str">
        <f t="shared" ca="1" si="569"/>
        <v>Southwest</v>
      </c>
      <c r="AH1654" t="str">
        <f t="shared" si="552"/>
        <v>October</v>
      </c>
      <c r="AI1654">
        <f t="shared" si="553"/>
        <v>2020</v>
      </c>
      <c r="AJ1654" t="str">
        <f t="shared" ca="1" si="570"/>
        <v>Vacant</v>
      </c>
      <c r="AK1654">
        <f t="shared" ca="1" si="571"/>
        <v>4</v>
      </c>
    </row>
    <row r="1655" spans="1:37" x14ac:dyDescent="0.3">
      <c r="A1655" t="s">
        <v>6046</v>
      </c>
      <c r="B1655">
        <v>36</v>
      </c>
      <c r="C1655" t="s">
        <v>15</v>
      </c>
      <c r="D1655" t="s">
        <v>98</v>
      </c>
      <c r="E1655" t="s">
        <v>17</v>
      </c>
      <c r="F1655" s="1">
        <v>45249</v>
      </c>
      <c r="G1655" t="s">
        <v>3302</v>
      </c>
      <c r="H1655" t="s">
        <v>3303</v>
      </c>
      <c r="I1655" t="s">
        <v>36</v>
      </c>
      <c r="J1655">
        <v>13478</v>
      </c>
      <c r="K1655">
        <v>166</v>
      </c>
      <c r="L1655" t="s">
        <v>21</v>
      </c>
      <c r="M1655" s="1">
        <v>45264</v>
      </c>
      <c r="N1655" t="s">
        <v>67</v>
      </c>
      <c r="O1655" t="s">
        <v>43</v>
      </c>
      <c r="P1655" t="str">
        <f t="shared" si="554"/>
        <v>P1654</v>
      </c>
      <c r="Q1655" t="str">
        <f t="shared" si="550"/>
        <v>Oncology</v>
      </c>
      <c r="R1655">
        <f t="shared" si="551"/>
        <v>15</v>
      </c>
      <c r="S1655" t="str">
        <f t="shared" ca="1" si="555"/>
        <v>No</v>
      </c>
      <c r="T1655" t="str">
        <f t="shared" ca="1" si="556"/>
        <v>Mild</v>
      </c>
      <c r="U1655" t="str">
        <f t="shared" ca="1" si="557"/>
        <v>General Ward</v>
      </c>
      <c r="V1655" t="str">
        <f t="shared" si="558"/>
        <v>BED1654</v>
      </c>
      <c r="W1655" t="str">
        <f t="shared" ca="1" si="559"/>
        <v>Semi-Private</v>
      </c>
      <c r="X1655" t="str">
        <f t="shared" si="560"/>
        <v>NUR004</v>
      </c>
      <c r="Y1655" t="str">
        <f t="shared" ca="1" si="561"/>
        <v>Evening</v>
      </c>
      <c r="Z1655" t="str">
        <f t="shared" ca="1" si="562"/>
        <v>Ultrasound</v>
      </c>
      <c r="AA1655" t="str">
        <f t="shared" ca="1" si="563"/>
        <v>Available</v>
      </c>
      <c r="AB1655" t="str">
        <f t="shared" ca="1" si="564"/>
        <v>Pending</v>
      </c>
      <c r="AC1655" t="str">
        <f t="shared" ca="1" si="565"/>
        <v>Credit Card</v>
      </c>
      <c r="AD1655" t="str">
        <f t="shared" ca="1" si="566"/>
        <v>No</v>
      </c>
      <c r="AE1655" t="str">
        <f t="shared" ca="1" si="567"/>
        <v>No</v>
      </c>
      <c r="AF1655" t="str">
        <f t="shared" ca="1" si="568"/>
        <v>Under Observation</v>
      </c>
      <c r="AG1655" t="str">
        <f t="shared" ca="1" si="569"/>
        <v>Northeast</v>
      </c>
      <c r="AH1655" t="str">
        <f t="shared" si="552"/>
        <v>November</v>
      </c>
      <c r="AI1655">
        <f t="shared" si="553"/>
        <v>2023</v>
      </c>
      <c r="AJ1655" t="str">
        <f t="shared" ca="1" si="570"/>
        <v>Occupied</v>
      </c>
      <c r="AK1655">
        <f t="shared" ca="1" si="571"/>
        <v>4</v>
      </c>
    </row>
    <row r="1656" spans="1:37" x14ac:dyDescent="0.3">
      <c r="A1656" t="s">
        <v>6047</v>
      </c>
      <c r="B1656">
        <v>36</v>
      </c>
      <c r="C1656" t="s">
        <v>32</v>
      </c>
      <c r="D1656" t="s">
        <v>52</v>
      </c>
      <c r="E1656" t="s">
        <v>76</v>
      </c>
      <c r="F1656" s="1">
        <v>44067</v>
      </c>
      <c r="G1656" t="s">
        <v>3304</v>
      </c>
      <c r="H1656" t="s">
        <v>3305</v>
      </c>
      <c r="I1656" t="s">
        <v>28</v>
      </c>
      <c r="J1656">
        <v>42863</v>
      </c>
      <c r="K1656">
        <v>338</v>
      </c>
      <c r="L1656" t="s">
        <v>42</v>
      </c>
      <c r="M1656" s="1">
        <v>44069</v>
      </c>
      <c r="N1656" t="s">
        <v>22</v>
      </c>
      <c r="O1656" t="s">
        <v>43</v>
      </c>
      <c r="P1656" t="str">
        <f t="shared" si="554"/>
        <v>P1655</v>
      </c>
      <c r="Q1656" t="str">
        <f t="shared" si="550"/>
        <v>Orthopedics</v>
      </c>
      <c r="R1656">
        <f t="shared" si="551"/>
        <v>2</v>
      </c>
      <c r="S1656" t="str">
        <f t="shared" ca="1" si="555"/>
        <v>No</v>
      </c>
      <c r="T1656" t="str">
        <f t="shared" ca="1" si="556"/>
        <v>Moderate</v>
      </c>
      <c r="U1656" t="str">
        <f t="shared" ca="1" si="557"/>
        <v>Private Ward</v>
      </c>
      <c r="V1656" t="str">
        <f t="shared" si="558"/>
        <v>BED1655</v>
      </c>
      <c r="W1656" t="str">
        <f t="shared" ca="1" si="559"/>
        <v>Private</v>
      </c>
      <c r="X1656" t="str">
        <f t="shared" si="560"/>
        <v>NUR005</v>
      </c>
      <c r="Y1656" t="str">
        <f t="shared" ca="1" si="561"/>
        <v>Evening</v>
      </c>
      <c r="Z1656" t="str">
        <f t="shared" ca="1" si="562"/>
        <v>Ultrasound</v>
      </c>
      <c r="AA1656" t="str">
        <f t="shared" ca="1" si="563"/>
        <v>In Use</v>
      </c>
      <c r="AB1656" t="str">
        <f t="shared" ca="1" si="564"/>
        <v>Pending</v>
      </c>
      <c r="AC1656" t="str">
        <f t="shared" ca="1" si="565"/>
        <v>Insurance</v>
      </c>
      <c r="AD1656" t="str">
        <f t="shared" ca="1" si="566"/>
        <v>No</v>
      </c>
      <c r="AE1656" t="str">
        <f t="shared" ca="1" si="567"/>
        <v>No</v>
      </c>
      <c r="AF1656" t="str">
        <f t="shared" ca="1" si="568"/>
        <v>Under Observation</v>
      </c>
      <c r="AG1656" t="str">
        <f t="shared" ca="1" si="569"/>
        <v>West Coast</v>
      </c>
      <c r="AH1656" t="str">
        <f t="shared" si="552"/>
        <v>August</v>
      </c>
      <c r="AI1656">
        <f t="shared" si="553"/>
        <v>2020</v>
      </c>
      <c r="AJ1656" t="str">
        <f t="shared" ca="1" si="570"/>
        <v>Vacant</v>
      </c>
      <c r="AK1656">
        <f t="shared" ca="1" si="571"/>
        <v>4</v>
      </c>
    </row>
    <row r="1657" spans="1:37" x14ac:dyDescent="0.3">
      <c r="A1657" t="s">
        <v>6048</v>
      </c>
      <c r="B1657">
        <v>79</v>
      </c>
      <c r="C1657" t="s">
        <v>32</v>
      </c>
      <c r="D1657" t="s">
        <v>16</v>
      </c>
      <c r="E1657" t="s">
        <v>25</v>
      </c>
      <c r="F1657" s="1">
        <v>45360</v>
      </c>
      <c r="G1657" t="s">
        <v>3306</v>
      </c>
      <c r="H1657" t="s">
        <v>3307</v>
      </c>
      <c r="I1657" t="s">
        <v>28</v>
      </c>
      <c r="J1657">
        <v>18231</v>
      </c>
      <c r="K1657">
        <v>130</v>
      </c>
      <c r="L1657" t="s">
        <v>29</v>
      </c>
      <c r="M1657" s="1">
        <v>45366</v>
      </c>
      <c r="N1657" t="s">
        <v>22</v>
      </c>
      <c r="O1657" t="s">
        <v>23</v>
      </c>
      <c r="P1657" t="str">
        <f t="shared" si="554"/>
        <v>P1656</v>
      </c>
      <c r="Q1657" t="str">
        <f t="shared" si="550"/>
        <v>Nutrition</v>
      </c>
      <c r="R1657">
        <f t="shared" si="551"/>
        <v>6</v>
      </c>
      <c r="S1657" t="str">
        <f t="shared" ca="1" si="555"/>
        <v>No</v>
      </c>
      <c r="T1657" t="str">
        <f t="shared" ca="1" si="556"/>
        <v>Critical</v>
      </c>
      <c r="U1657" t="str">
        <f t="shared" ca="1" si="557"/>
        <v>Private Ward</v>
      </c>
      <c r="V1657" t="str">
        <f t="shared" si="558"/>
        <v>BED1656</v>
      </c>
      <c r="W1657" t="str">
        <f t="shared" ca="1" si="559"/>
        <v>Semi-Private</v>
      </c>
      <c r="X1657" t="str">
        <f t="shared" si="560"/>
        <v>NUR006</v>
      </c>
      <c r="Y1657" t="str">
        <f t="shared" ca="1" si="561"/>
        <v>Night</v>
      </c>
      <c r="Z1657" t="str">
        <f t="shared" ca="1" si="562"/>
        <v>Ventilator</v>
      </c>
      <c r="AA1657" t="str">
        <f t="shared" ca="1" si="563"/>
        <v>Maintenance</v>
      </c>
      <c r="AB1657" t="str">
        <f t="shared" ca="1" si="564"/>
        <v>Partially Paid</v>
      </c>
      <c r="AC1657" t="str">
        <f t="shared" ca="1" si="565"/>
        <v>Bank Transfer</v>
      </c>
      <c r="AD1657" t="str">
        <f t="shared" ca="1" si="566"/>
        <v>No</v>
      </c>
      <c r="AE1657" t="str">
        <f t="shared" ca="1" si="567"/>
        <v>No</v>
      </c>
      <c r="AF1657" t="str">
        <f t="shared" ca="1" si="568"/>
        <v>Recovered</v>
      </c>
      <c r="AG1657" t="str">
        <f t="shared" ca="1" si="569"/>
        <v>Southeast</v>
      </c>
      <c r="AH1657" t="str">
        <f t="shared" si="552"/>
        <v>March</v>
      </c>
      <c r="AI1657">
        <f t="shared" si="553"/>
        <v>2024</v>
      </c>
      <c r="AJ1657" t="str">
        <f t="shared" ca="1" si="570"/>
        <v>Occupied</v>
      </c>
      <c r="AK1657">
        <f t="shared" ca="1" si="571"/>
        <v>2</v>
      </c>
    </row>
    <row r="1658" spans="1:37" x14ac:dyDescent="0.3">
      <c r="A1658" t="s">
        <v>6049</v>
      </c>
      <c r="B1658">
        <v>82</v>
      </c>
      <c r="C1658" t="s">
        <v>15</v>
      </c>
      <c r="D1658" t="s">
        <v>83</v>
      </c>
      <c r="E1658" t="s">
        <v>17</v>
      </c>
      <c r="F1658" s="1">
        <v>43980</v>
      </c>
      <c r="G1658" t="s">
        <v>3308</v>
      </c>
      <c r="H1658" t="s">
        <v>3309</v>
      </c>
      <c r="I1658" t="s">
        <v>36</v>
      </c>
      <c r="J1658">
        <v>12593</v>
      </c>
      <c r="K1658">
        <v>204</v>
      </c>
      <c r="L1658" t="s">
        <v>29</v>
      </c>
      <c r="M1658" s="1">
        <v>43992</v>
      </c>
      <c r="N1658" t="s">
        <v>67</v>
      </c>
      <c r="O1658" t="s">
        <v>43</v>
      </c>
      <c r="P1658" t="str">
        <f t="shared" si="554"/>
        <v>P1657</v>
      </c>
      <c r="Q1658" t="str">
        <f t="shared" si="550"/>
        <v>Oncology</v>
      </c>
      <c r="R1658">
        <f t="shared" si="551"/>
        <v>12</v>
      </c>
      <c r="S1658" t="str">
        <f t="shared" ca="1" si="555"/>
        <v>No</v>
      </c>
      <c r="T1658" t="str">
        <f t="shared" ca="1" si="556"/>
        <v>Critical</v>
      </c>
      <c r="U1658" t="str">
        <f t="shared" ca="1" si="557"/>
        <v>Emergency</v>
      </c>
      <c r="V1658" t="str">
        <f t="shared" si="558"/>
        <v>BED1657</v>
      </c>
      <c r="W1658" t="str">
        <f t="shared" ca="1" si="559"/>
        <v>Semi-Private</v>
      </c>
      <c r="X1658" t="str">
        <f t="shared" si="560"/>
        <v>NUR007</v>
      </c>
      <c r="Y1658" t="str">
        <f t="shared" ca="1" si="561"/>
        <v>Morning</v>
      </c>
      <c r="Z1658" t="str">
        <f t="shared" ca="1" si="562"/>
        <v>CT Scanner</v>
      </c>
      <c r="AA1658" t="str">
        <f t="shared" ca="1" si="563"/>
        <v>In Use</v>
      </c>
      <c r="AB1658" t="str">
        <f t="shared" ca="1" si="564"/>
        <v>Pending</v>
      </c>
      <c r="AC1658" t="str">
        <f t="shared" ca="1" si="565"/>
        <v>Insurance</v>
      </c>
      <c r="AD1658" t="str">
        <f t="shared" ca="1" si="566"/>
        <v>No</v>
      </c>
      <c r="AE1658" t="str">
        <f t="shared" ca="1" si="567"/>
        <v>No</v>
      </c>
      <c r="AF1658" t="str">
        <f t="shared" ca="1" si="568"/>
        <v>Under Observation</v>
      </c>
      <c r="AG1658" t="str">
        <f t="shared" ca="1" si="569"/>
        <v>Northeast</v>
      </c>
      <c r="AH1658" t="str">
        <f t="shared" si="552"/>
        <v>May</v>
      </c>
      <c r="AI1658">
        <f t="shared" si="553"/>
        <v>2020</v>
      </c>
      <c r="AJ1658" t="str">
        <f t="shared" ca="1" si="570"/>
        <v>Occupied</v>
      </c>
      <c r="AK1658">
        <f t="shared" ca="1" si="571"/>
        <v>1</v>
      </c>
    </row>
    <row r="1659" spans="1:37" x14ac:dyDescent="0.3">
      <c r="A1659" t="s">
        <v>6050</v>
      </c>
      <c r="B1659">
        <v>71</v>
      </c>
      <c r="C1659" t="s">
        <v>32</v>
      </c>
      <c r="D1659" t="s">
        <v>24</v>
      </c>
      <c r="E1659" t="s">
        <v>39</v>
      </c>
      <c r="F1659" s="1">
        <v>43797</v>
      </c>
      <c r="G1659" t="s">
        <v>3310</v>
      </c>
      <c r="H1659" t="s">
        <v>3311</v>
      </c>
      <c r="I1659" t="s">
        <v>28</v>
      </c>
      <c r="J1659">
        <v>20610</v>
      </c>
      <c r="K1659">
        <v>145</v>
      </c>
      <c r="L1659" t="s">
        <v>29</v>
      </c>
      <c r="M1659" s="1">
        <v>43806</v>
      </c>
      <c r="N1659" t="s">
        <v>37</v>
      </c>
      <c r="O1659" t="s">
        <v>31</v>
      </c>
      <c r="P1659" t="str">
        <f t="shared" si="554"/>
        <v>P1658</v>
      </c>
      <c r="Q1659" t="str">
        <f t="shared" si="550"/>
        <v>Endocrinology</v>
      </c>
      <c r="R1659">
        <f t="shared" si="551"/>
        <v>9</v>
      </c>
      <c r="S1659" t="str">
        <f t="shared" ca="1" si="555"/>
        <v>No</v>
      </c>
      <c r="T1659" t="str">
        <f t="shared" ca="1" si="556"/>
        <v>Critical</v>
      </c>
      <c r="U1659" t="str">
        <f t="shared" ca="1" si="557"/>
        <v>Semi-Private</v>
      </c>
      <c r="V1659" t="str">
        <f t="shared" si="558"/>
        <v>BED1658</v>
      </c>
      <c r="W1659" t="str">
        <f t="shared" ca="1" si="559"/>
        <v>General</v>
      </c>
      <c r="X1659" t="str">
        <f t="shared" si="560"/>
        <v>NUR008</v>
      </c>
      <c r="Y1659" t="str">
        <f t="shared" ca="1" si="561"/>
        <v>Evening</v>
      </c>
      <c r="Z1659" t="str">
        <f t="shared" ca="1" si="562"/>
        <v>Ventilator</v>
      </c>
      <c r="AA1659" t="str">
        <f t="shared" ca="1" si="563"/>
        <v>In Use</v>
      </c>
      <c r="AB1659" t="str">
        <f t="shared" ca="1" si="564"/>
        <v>Partially Paid</v>
      </c>
      <c r="AC1659" t="str">
        <f t="shared" ca="1" si="565"/>
        <v>Debit Card</v>
      </c>
      <c r="AD1659" t="str">
        <f t="shared" ca="1" si="566"/>
        <v>No</v>
      </c>
      <c r="AE1659" t="str">
        <f t="shared" ca="1" si="567"/>
        <v>No</v>
      </c>
      <c r="AF1659" t="str">
        <f t="shared" ca="1" si="568"/>
        <v>Transferred</v>
      </c>
      <c r="AG1659" t="str">
        <f t="shared" ca="1" si="569"/>
        <v>West Coast</v>
      </c>
      <c r="AH1659" t="str">
        <f t="shared" si="552"/>
        <v>November</v>
      </c>
      <c r="AI1659">
        <f t="shared" si="553"/>
        <v>2019</v>
      </c>
      <c r="AJ1659" t="str">
        <f t="shared" ca="1" si="570"/>
        <v>Occupied</v>
      </c>
      <c r="AK1659">
        <f t="shared" ca="1" si="571"/>
        <v>4</v>
      </c>
    </row>
    <row r="1660" spans="1:37" x14ac:dyDescent="0.3">
      <c r="A1660" t="s">
        <v>6051</v>
      </c>
      <c r="B1660">
        <v>32</v>
      </c>
      <c r="C1660" t="s">
        <v>15</v>
      </c>
      <c r="D1660" t="s">
        <v>52</v>
      </c>
      <c r="E1660" t="s">
        <v>17</v>
      </c>
      <c r="F1660" s="1">
        <v>44743</v>
      </c>
      <c r="G1660" t="s">
        <v>3312</v>
      </c>
      <c r="H1660" t="s">
        <v>1228</v>
      </c>
      <c r="I1660" t="s">
        <v>36</v>
      </c>
      <c r="J1660">
        <v>28814</v>
      </c>
      <c r="K1660">
        <v>189</v>
      </c>
      <c r="L1660" t="s">
        <v>42</v>
      </c>
      <c r="M1660" s="1">
        <v>44760</v>
      </c>
      <c r="N1660" t="s">
        <v>67</v>
      </c>
      <c r="O1660" t="s">
        <v>31</v>
      </c>
      <c r="P1660" t="str">
        <f t="shared" si="554"/>
        <v>P1659</v>
      </c>
      <c r="Q1660" t="str">
        <f t="shared" si="550"/>
        <v>Oncology</v>
      </c>
      <c r="R1660">
        <f t="shared" si="551"/>
        <v>17</v>
      </c>
      <c r="S1660" t="str">
        <f t="shared" ca="1" si="555"/>
        <v>No</v>
      </c>
      <c r="T1660" t="str">
        <f t="shared" ca="1" si="556"/>
        <v>Critical</v>
      </c>
      <c r="U1660" t="str">
        <f t="shared" ca="1" si="557"/>
        <v>General Ward</v>
      </c>
      <c r="V1660" t="str">
        <f t="shared" si="558"/>
        <v>BED1659</v>
      </c>
      <c r="W1660" t="str">
        <f t="shared" ca="1" si="559"/>
        <v>General</v>
      </c>
      <c r="X1660" t="str">
        <f t="shared" si="560"/>
        <v>NUR009</v>
      </c>
      <c r="Y1660" t="str">
        <f t="shared" ca="1" si="561"/>
        <v>Morning</v>
      </c>
      <c r="Z1660" t="str">
        <f t="shared" ca="1" si="562"/>
        <v>MRI Scanner</v>
      </c>
      <c r="AA1660" t="str">
        <f t="shared" ca="1" si="563"/>
        <v>In Use</v>
      </c>
      <c r="AB1660" t="str">
        <f t="shared" ca="1" si="564"/>
        <v>Partially Paid</v>
      </c>
      <c r="AC1660" t="str">
        <f t="shared" ca="1" si="565"/>
        <v>Debit Card</v>
      </c>
      <c r="AD1660" t="str">
        <f t="shared" ca="1" si="566"/>
        <v>No</v>
      </c>
      <c r="AE1660" t="str">
        <f t="shared" ca="1" si="567"/>
        <v>No</v>
      </c>
      <c r="AF1660" t="str">
        <f t="shared" ca="1" si="568"/>
        <v>Transferred</v>
      </c>
      <c r="AG1660" t="str">
        <f t="shared" ca="1" si="569"/>
        <v>Southeast</v>
      </c>
      <c r="AH1660" t="str">
        <f t="shared" si="552"/>
        <v>July</v>
      </c>
      <c r="AI1660">
        <f t="shared" si="553"/>
        <v>2022</v>
      </c>
      <c r="AJ1660" t="str">
        <f t="shared" ca="1" si="570"/>
        <v>Occupied</v>
      </c>
      <c r="AK1660">
        <f t="shared" ca="1" si="571"/>
        <v>2</v>
      </c>
    </row>
    <row r="1661" spans="1:37" x14ac:dyDescent="0.3">
      <c r="A1661" t="s">
        <v>6052</v>
      </c>
      <c r="B1661">
        <v>80</v>
      </c>
      <c r="C1661" t="s">
        <v>32</v>
      </c>
      <c r="D1661" t="s">
        <v>24</v>
      </c>
      <c r="E1661" t="s">
        <v>25</v>
      </c>
      <c r="F1661" s="1">
        <v>45321</v>
      </c>
      <c r="G1661" t="s">
        <v>3313</v>
      </c>
      <c r="H1661" t="s">
        <v>3314</v>
      </c>
      <c r="I1661" t="s">
        <v>36</v>
      </c>
      <c r="J1661">
        <v>8602</v>
      </c>
      <c r="K1661">
        <v>131</v>
      </c>
      <c r="L1661" t="s">
        <v>29</v>
      </c>
      <c r="M1661" s="1">
        <v>45341</v>
      </c>
      <c r="N1661" t="s">
        <v>37</v>
      </c>
      <c r="O1661" t="s">
        <v>23</v>
      </c>
      <c r="P1661" t="str">
        <f t="shared" si="554"/>
        <v>P1660</v>
      </c>
      <c r="Q1661" t="str">
        <f t="shared" si="550"/>
        <v>Nutrition</v>
      </c>
      <c r="R1661">
        <f t="shared" si="551"/>
        <v>20</v>
      </c>
      <c r="S1661" t="str">
        <f t="shared" ca="1" si="555"/>
        <v>No</v>
      </c>
      <c r="T1661" t="str">
        <f t="shared" ca="1" si="556"/>
        <v>Moderate</v>
      </c>
      <c r="U1661" t="str">
        <f t="shared" ca="1" si="557"/>
        <v>General Ward</v>
      </c>
      <c r="V1661" t="str">
        <f t="shared" si="558"/>
        <v>BED1660</v>
      </c>
      <c r="W1661" t="str">
        <f t="shared" ca="1" si="559"/>
        <v>Semi-Private</v>
      </c>
      <c r="X1661" t="str">
        <f t="shared" si="560"/>
        <v>NUR010</v>
      </c>
      <c r="Y1661" t="str">
        <f t="shared" ca="1" si="561"/>
        <v>Morning</v>
      </c>
      <c r="Z1661" t="str">
        <f t="shared" ca="1" si="562"/>
        <v>X-Ray</v>
      </c>
      <c r="AA1661" t="str">
        <f t="shared" ca="1" si="563"/>
        <v>In Use</v>
      </c>
      <c r="AB1661" t="str">
        <f t="shared" ca="1" si="564"/>
        <v>Partially Paid</v>
      </c>
      <c r="AC1661" t="str">
        <f t="shared" ca="1" si="565"/>
        <v>Insurance</v>
      </c>
      <c r="AD1661" t="str">
        <f t="shared" ca="1" si="566"/>
        <v>No</v>
      </c>
      <c r="AE1661" t="str">
        <f t="shared" ca="1" si="567"/>
        <v>No</v>
      </c>
      <c r="AF1661" t="str">
        <f t="shared" ca="1" si="568"/>
        <v>Transferred</v>
      </c>
      <c r="AG1661" t="str">
        <f t="shared" ca="1" si="569"/>
        <v>West Coast</v>
      </c>
      <c r="AH1661" t="str">
        <f t="shared" si="552"/>
        <v>January</v>
      </c>
      <c r="AI1661">
        <f t="shared" si="553"/>
        <v>2024</v>
      </c>
      <c r="AJ1661" t="str">
        <f t="shared" ca="1" si="570"/>
        <v>Vacant</v>
      </c>
      <c r="AK1661">
        <f t="shared" ca="1" si="571"/>
        <v>2</v>
      </c>
    </row>
    <row r="1662" spans="1:37" x14ac:dyDescent="0.3">
      <c r="A1662" t="s">
        <v>5639</v>
      </c>
      <c r="B1662">
        <v>57</v>
      </c>
      <c r="C1662" t="s">
        <v>15</v>
      </c>
      <c r="D1662" t="s">
        <v>38</v>
      </c>
      <c r="E1662" t="s">
        <v>76</v>
      </c>
      <c r="F1662" s="1">
        <v>44820</v>
      </c>
      <c r="G1662" t="s">
        <v>3315</v>
      </c>
      <c r="H1662" t="s">
        <v>3316</v>
      </c>
      <c r="I1662" t="s">
        <v>20</v>
      </c>
      <c r="J1662">
        <v>42031</v>
      </c>
      <c r="K1662">
        <v>375</v>
      </c>
      <c r="L1662" t="s">
        <v>21</v>
      </c>
      <c r="M1662" s="1">
        <v>44836</v>
      </c>
      <c r="N1662" t="s">
        <v>30</v>
      </c>
      <c r="O1662" t="s">
        <v>23</v>
      </c>
      <c r="P1662" t="str">
        <f t="shared" si="554"/>
        <v>P1661</v>
      </c>
      <c r="Q1662" t="str">
        <f t="shared" si="550"/>
        <v>Orthopedics</v>
      </c>
      <c r="R1662">
        <f t="shared" si="551"/>
        <v>16</v>
      </c>
      <c r="S1662" t="str">
        <f t="shared" ca="1" si="555"/>
        <v>No</v>
      </c>
      <c r="T1662" t="str">
        <f t="shared" ca="1" si="556"/>
        <v>Severe</v>
      </c>
      <c r="U1662" t="str">
        <f t="shared" ca="1" si="557"/>
        <v>ICU</v>
      </c>
      <c r="V1662" t="str">
        <f t="shared" si="558"/>
        <v>BED1661</v>
      </c>
      <c r="W1662" t="str">
        <f t="shared" ca="1" si="559"/>
        <v>Private</v>
      </c>
      <c r="X1662" t="str">
        <f t="shared" si="560"/>
        <v>NUR011</v>
      </c>
      <c r="Y1662" t="str">
        <f t="shared" ca="1" si="561"/>
        <v>Morning</v>
      </c>
      <c r="Z1662" t="str">
        <f t="shared" ca="1" si="562"/>
        <v>Ultrasound</v>
      </c>
      <c r="AA1662" t="str">
        <f t="shared" ca="1" si="563"/>
        <v>Available</v>
      </c>
      <c r="AB1662" t="str">
        <f t="shared" ca="1" si="564"/>
        <v>Partially Paid</v>
      </c>
      <c r="AC1662" t="str">
        <f t="shared" ca="1" si="565"/>
        <v>Bank Transfer</v>
      </c>
      <c r="AD1662" t="str">
        <f t="shared" ca="1" si="566"/>
        <v>Yes</v>
      </c>
      <c r="AE1662" t="str">
        <f t="shared" ca="1" si="567"/>
        <v>No</v>
      </c>
      <c r="AF1662" t="str">
        <f t="shared" ca="1" si="568"/>
        <v>Transferred</v>
      </c>
      <c r="AG1662" t="str">
        <f t="shared" ca="1" si="569"/>
        <v>Southwest</v>
      </c>
      <c r="AH1662" t="str">
        <f t="shared" si="552"/>
        <v>September</v>
      </c>
      <c r="AI1662">
        <f t="shared" si="553"/>
        <v>2022</v>
      </c>
      <c r="AJ1662" t="str">
        <f t="shared" ca="1" si="570"/>
        <v>Occupied</v>
      </c>
      <c r="AK1662">
        <f t="shared" ca="1" si="571"/>
        <v>2</v>
      </c>
    </row>
    <row r="1663" spans="1:37" x14ac:dyDescent="0.3">
      <c r="A1663" t="s">
        <v>6053</v>
      </c>
      <c r="B1663">
        <v>80</v>
      </c>
      <c r="C1663" t="s">
        <v>15</v>
      </c>
      <c r="D1663" t="s">
        <v>24</v>
      </c>
      <c r="E1663" t="s">
        <v>48</v>
      </c>
      <c r="F1663" s="1">
        <v>45323</v>
      </c>
      <c r="G1663" t="s">
        <v>3317</v>
      </c>
      <c r="H1663" t="s">
        <v>3318</v>
      </c>
      <c r="I1663" t="s">
        <v>36</v>
      </c>
      <c r="J1663">
        <v>41051</v>
      </c>
      <c r="K1663">
        <v>294</v>
      </c>
      <c r="L1663" t="s">
        <v>29</v>
      </c>
      <c r="M1663" s="1">
        <v>45335</v>
      </c>
      <c r="N1663" t="s">
        <v>30</v>
      </c>
      <c r="O1663" t="s">
        <v>43</v>
      </c>
      <c r="P1663" t="str">
        <f t="shared" si="554"/>
        <v>P1662</v>
      </c>
      <c r="Q1663" t="str">
        <f t="shared" si="550"/>
        <v>Pulmonology</v>
      </c>
      <c r="R1663">
        <f t="shared" si="551"/>
        <v>12</v>
      </c>
      <c r="S1663" t="str">
        <f t="shared" ca="1" si="555"/>
        <v>No</v>
      </c>
      <c r="T1663" t="str">
        <f t="shared" ca="1" si="556"/>
        <v>Critical</v>
      </c>
      <c r="U1663" t="str">
        <f t="shared" ca="1" si="557"/>
        <v>Emergency</v>
      </c>
      <c r="V1663" t="str">
        <f t="shared" si="558"/>
        <v>BED1662</v>
      </c>
      <c r="W1663" t="str">
        <f t="shared" ca="1" si="559"/>
        <v>General</v>
      </c>
      <c r="X1663" t="str">
        <f t="shared" si="560"/>
        <v>NUR012</v>
      </c>
      <c r="Y1663" t="str">
        <f t="shared" ca="1" si="561"/>
        <v>Night</v>
      </c>
      <c r="Z1663" t="str">
        <f t="shared" ca="1" si="562"/>
        <v>Ventilator</v>
      </c>
      <c r="AA1663" t="str">
        <f t="shared" ca="1" si="563"/>
        <v>In Use</v>
      </c>
      <c r="AB1663" t="str">
        <f t="shared" ca="1" si="564"/>
        <v>Pending</v>
      </c>
      <c r="AC1663" t="str">
        <f t="shared" ca="1" si="565"/>
        <v>Bank Transfer</v>
      </c>
      <c r="AD1663" t="str">
        <f t="shared" ca="1" si="566"/>
        <v>No</v>
      </c>
      <c r="AE1663" t="str">
        <f t="shared" ca="1" si="567"/>
        <v>Yes</v>
      </c>
      <c r="AF1663" t="str">
        <f t="shared" ca="1" si="568"/>
        <v>Recovered</v>
      </c>
      <c r="AG1663" t="str">
        <f t="shared" ca="1" si="569"/>
        <v>Northeast</v>
      </c>
      <c r="AH1663" t="str">
        <f t="shared" si="552"/>
        <v>February</v>
      </c>
      <c r="AI1663">
        <f t="shared" si="553"/>
        <v>2024</v>
      </c>
      <c r="AJ1663" t="str">
        <f t="shared" ca="1" si="570"/>
        <v>Occupied</v>
      </c>
      <c r="AK1663">
        <f t="shared" ca="1" si="571"/>
        <v>4</v>
      </c>
    </row>
    <row r="1664" spans="1:37" x14ac:dyDescent="0.3">
      <c r="A1664" t="s">
        <v>6054</v>
      </c>
      <c r="B1664">
        <v>62</v>
      </c>
      <c r="C1664" t="s">
        <v>15</v>
      </c>
      <c r="D1664" t="s">
        <v>44</v>
      </c>
      <c r="E1664" t="s">
        <v>48</v>
      </c>
      <c r="F1664" s="1">
        <v>44216</v>
      </c>
      <c r="G1664" t="s">
        <v>3319</v>
      </c>
      <c r="H1664" t="s">
        <v>3320</v>
      </c>
      <c r="I1664" t="s">
        <v>57</v>
      </c>
      <c r="J1664">
        <v>15675</v>
      </c>
      <c r="K1664">
        <v>107</v>
      </c>
      <c r="L1664" t="s">
        <v>21</v>
      </c>
      <c r="M1664" s="1">
        <v>44232</v>
      </c>
      <c r="N1664" t="s">
        <v>47</v>
      </c>
      <c r="O1664" t="s">
        <v>23</v>
      </c>
      <c r="P1664" t="str">
        <f t="shared" si="554"/>
        <v>P1663</v>
      </c>
      <c r="Q1664" t="str">
        <f t="shared" si="550"/>
        <v>Pulmonology</v>
      </c>
      <c r="R1664">
        <f t="shared" si="551"/>
        <v>16</v>
      </c>
      <c r="S1664" t="str">
        <f t="shared" ca="1" si="555"/>
        <v>No</v>
      </c>
      <c r="T1664" t="str">
        <f t="shared" ca="1" si="556"/>
        <v>Moderate</v>
      </c>
      <c r="U1664" t="str">
        <f t="shared" ca="1" si="557"/>
        <v>Semi-Private</v>
      </c>
      <c r="V1664" t="str">
        <f t="shared" si="558"/>
        <v>BED1663</v>
      </c>
      <c r="W1664" t="str">
        <f t="shared" ca="1" si="559"/>
        <v>Private</v>
      </c>
      <c r="X1664" t="str">
        <f t="shared" si="560"/>
        <v>NUR013</v>
      </c>
      <c r="Y1664" t="str">
        <f t="shared" ca="1" si="561"/>
        <v>Night</v>
      </c>
      <c r="Z1664" t="str">
        <f t="shared" ca="1" si="562"/>
        <v>X-Ray</v>
      </c>
      <c r="AA1664" t="str">
        <f t="shared" ca="1" si="563"/>
        <v>Available</v>
      </c>
      <c r="AB1664" t="str">
        <f t="shared" ca="1" si="564"/>
        <v>Pending</v>
      </c>
      <c r="AC1664" t="str">
        <f t="shared" ca="1" si="565"/>
        <v>Bank Transfer</v>
      </c>
      <c r="AD1664" t="str">
        <f t="shared" ca="1" si="566"/>
        <v>No</v>
      </c>
      <c r="AE1664" t="str">
        <f t="shared" ca="1" si="567"/>
        <v>No</v>
      </c>
      <c r="AF1664" t="str">
        <f t="shared" ca="1" si="568"/>
        <v>Under Observation</v>
      </c>
      <c r="AG1664" t="str">
        <f t="shared" ca="1" si="569"/>
        <v>West Coast</v>
      </c>
      <c r="AH1664" t="str">
        <f t="shared" si="552"/>
        <v>January</v>
      </c>
      <c r="AI1664">
        <f t="shared" si="553"/>
        <v>2021</v>
      </c>
      <c r="AJ1664" t="str">
        <f t="shared" ca="1" si="570"/>
        <v>Occupied</v>
      </c>
      <c r="AK1664">
        <f t="shared" ca="1" si="571"/>
        <v>1</v>
      </c>
    </row>
    <row r="1665" spans="1:37" x14ac:dyDescent="0.3">
      <c r="A1665" t="s">
        <v>2231</v>
      </c>
      <c r="B1665">
        <v>63</v>
      </c>
      <c r="C1665" t="s">
        <v>32</v>
      </c>
      <c r="D1665" t="s">
        <v>98</v>
      </c>
      <c r="E1665" t="s">
        <v>48</v>
      </c>
      <c r="F1665" s="1">
        <v>44800</v>
      </c>
      <c r="G1665" t="s">
        <v>3321</v>
      </c>
      <c r="H1665" t="s">
        <v>3322</v>
      </c>
      <c r="I1665" t="s">
        <v>57</v>
      </c>
      <c r="J1665">
        <v>5656</v>
      </c>
      <c r="K1665">
        <v>352</v>
      </c>
      <c r="L1665" t="s">
        <v>21</v>
      </c>
      <c r="M1665" s="1">
        <v>44809</v>
      </c>
      <c r="N1665" t="s">
        <v>30</v>
      </c>
      <c r="O1665" t="s">
        <v>43</v>
      </c>
      <c r="P1665" t="str">
        <f t="shared" si="554"/>
        <v>P1664</v>
      </c>
      <c r="Q1665" t="str">
        <f t="shared" si="550"/>
        <v>Pulmonology</v>
      </c>
      <c r="R1665">
        <f t="shared" si="551"/>
        <v>9</v>
      </c>
      <c r="S1665" t="str">
        <f t="shared" ca="1" si="555"/>
        <v>Yes</v>
      </c>
      <c r="T1665" t="str">
        <f t="shared" ca="1" si="556"/>
        <v>Moderate</v>
      </c>
      <c r="U1665" t="str">
        <f t="shared" ca="1" si="557"/>
        <v>Emergency</v>
      </c>
      <c r="V1665" t="str">
        <f t="shared" si="558"/>
        <v>BED1664</v>
      </c>
      <c r="W1665" t="str">
        <f t="shared" ca="1" si="559"/>
        <v>General</v>
      </c>
      <c r="X1665" t="str">
        <f t="shared" si="560"/>
        <v>NUR014</v>
      </c>
      <c r="Y1665" t="str">
        <f t="shared" ca="1" si="561"/>
        <v>Morning</v>
      </c>
      <c r="Z1665" t="str">
        <f t="shared" ca="1" si="562"/>
        <v>CT Scanner</v>
      </c>
      <c r="AA1665" t="str">
        <f t="shared" ca="1" si="563"/>
        <v>Available</v>
      </c>
      <c r="AB1665" t="str">
        <f t="shared" ca="1" si="564"/>
        <v>Paid</v>
      </c>
      <c r="AC1665" t="str">
        <f t="shared" ca="1" si="565"/>
        <v>Bank Transfer</v>
      </c>
      <c r="AD1665" t="str">
        <f t="shared" ca="1" si="566"/>
        <v>No</v>
      </c>
      <c r="AE1665" t="str">
        <f t="shared" ca="1" si="567"/>
        <v>No</v>
      </c>
      <c r="AF1665" t="str">
        <f t="shared" ca="1" si="568"/>
        <v>Transferred</v>
      </c>
      <c r="AG1665" t="str">
        <f t="shared" ca="1" si="569"/>
        <v>Southwest</v>
      </c>
      <c r="AH1665" t="str">
        <f t="shared" si="552"/>
        <v>August</v>
      </c>
      <c r="AI1665">
        <f t="shared" si="553"/>
        <v>2022</v>
      </c>
      <c r="AJ1665" t="str">
        <f t="shared" ca="1" si="570"/>
        <v>Occupied</v>
      </c>
      <c r="AK1665">
        <f t="shared" ca="1" si="571"/>
        <v>4</v>
      </c>
    </row>
    <row r="1666" spans="1:37" x14ac:dyDescent="0.3">
      <c r="A1666" t="s">
        <v>6055</v>
      </c>
      <c r="B1666">
        <v>21</v>
      </c>
      <c r="C1666" t="s">
        <v>15</v>
      </c>
      <c r="D1666" t="s">
        <v>44</v>
      </c>
      <c r="E1666" t="s">
        <v>17</v>
      </c>
      <c r="F1666" s="1">
        <v>44928</v>
      </c>
      <c r="G1666" t="s">
        <v>3323</v>
      </c>
      <c r="H1666" t="s">
        <v>3324</v>
      </c>
      <c r="I1666" t="s">
        <v>51</v>
      </c>
      <c r="J1666">
        <v>41129</v>
      </c>
      <c r="K1666">
        <v>499</v>
      </c>
      <c r="L1666" t="s">
        <v>29</v>
      </c>
      <c r="M1666" s="1">
        <v>44936</v>
      </c>
      <c r="N1666" t="s">
        <v>67</v>
      </c>
      <c r="O1666" t="s">
        <v>31</v>
      </c>
      <c r="P1666" t="str">
        <f t="shared" si="554"/>
        <v>P1665</v>
      </c>
      <c r="Q1666" t="str">
        <f t="shared" ref="Q1666:Q1729" si="572">IF(E1666="Cancer","Oncology",IF(E1666="Obesity","Nutrition",IF(E1666="Diabetes","Endocrinology",IF(E1666="Asthma","Pulmonology",IF(E1666="Arthritis","Orthopedics",IF(E1666="Hypertension","Cardiology","General Medicine"))))))</f>
        <v>Oncology</v>
      </c>
      <c r="R1666">
        <f t="shared" ref="R1666:R1729" si="573">M1666-F1666</f>
        <v>8</v>
      </c>
      <c r="S1666" t="str">
        <f t="shared" ca="1" si="555"/>
        <v>No</v>
      </c>
      <c r="T1666" t="str">
        <f t="shared" ca="1" si="556"/>
        <v>Severe</v>
      </c>
      <c r="U1666" t="str">
        <f t="shared" ca="1" si="557"/>
        <v>Emergency</v>
      </c>
      <c r="V1666" t="str">
        <f t="shared" si="558"/>
        <v>BED1665</v>
      </c>
      <c r="W1666" t="str">
        <f t="shared" ca="1" si="559"/>
        <v>Semi-Private</v>
      </c>
      <c r="X1666" t="str">
        <f t="shared" si="560"/>
        <v>NUR015</v>
      </c>
      <c r="Y1666" t="str">
        <f t="shared" ca="1" si="561"/>
        <v>Evening</v>
      </c>
      <c r="Z1666" t="str">
        <f t="shared" ca="1" si="562"/>
        <v>MRI Scanner</v>
      </c>
      <c r="AA1666" t="str">
        <f t="shared" ca="1" si="563"/>
        <v>In Use</v>
      </c>
      <c r="AB1666" t="str">
        <f t="shared" ca="1" si="564"/>
        <v>Pending</v>
      </c>
      <c r="AC1666" t="str">
        <f t="shared" ca="1" si="565"/>
        <v>Insurance</v>
      </c>
      <c r="AD1666" t="str">
        <f t="shared" ca="1" si="566"/>
        <v>No</v>
      </c>
      <c r="AE1666" t="str">
        <f t="shared" ca="1" si="567"/>
        <v>No</v>
      </c>
      <c r="AF1666" t="str">
        <f t="shared" ca="1" si="568"/>
        <v>Under Observation</v>
      </c>
      <c r="AG1666" t="str">
        <f t="shared" ca="1" si="569"/>
        <v>West Coast</v>
      </c>
      <c r="AH1666" t="str">
        <f t="shared" ref="AH1666:AH1729" si="574">TEXT(F1666,"MMMM")</f>
        <v>January</v>
      </c>
      <c r="AI1666">
        <f t="shared" ref="AI1666:AI1729" si="575">YEAR(F1666)</f>
        <v>2023</v>
      </c>
      <c r="AJ1666" t="str">
        <f t="shared" ca="1" si="570"/>
        <v>Vacant</v>
      </c>
      <c r="AK1666">
        <f t="shared" ca="1" si="571"/>
        <v>1</v>
      </c>
    </row>
    <row r="1667" spans="1:37" x14ac:dyDescent="0.3">
      <c r="A1667" t="s">
        <v>6056</v>
      </c>
      <c r="B1667">
        <v>58</v>
      </c>
      <c r="C1667" t="s">
        <v>32</v>
      </c>
      <c r="D1667" t="s">
        <v>83</v>
      </c>
      <c r="E1667" t="s">
        <v>39</v>
      </c>
      <c r="F1667" s="1">
        <v>44805</v>
      </c>
      <c r="G1667" t="s">
        <v>3325</v>
      </c>
      <c r="H1667" t="s">
        <v>3326</v>
      </c>
      <c r="I1667" t="s">
        <v>28</v>
      </c>
      <c r="J1667">
        <v>23674</v>
      </c>
      <c r="K1667">
        <v>414</v>
      </c>
      <c r="L1667" t="s">
        <v>42</v>
      </c>
      <c r="M1667" s="1">
        <v>44825</v>
      </c>
      <c r="N1667" t="s">
        <v>22</v>
      </c>
      <c r="O1667" t="s">
        <v>23</v>
      </c>
      <c r="P1667" t="str">
        <f t="shared" ref="P1667:P1730" si="576">"P"&amp;TEXT(ROW()-1,"0000")</f>
        <v>P1666</v>
      </c>
      <c r="Q1667" t="str">
        <f t="shared" si="572"/>
        <v>Endocrinology</v>
      </c>
      <c r="R1667">
        <f t="shared" si="573"/>
        <v>20</v>
      </c>
      <c r="S1667" t="str">
        <f t="shared" ref="S1667:S1730" ca="1" si="577">IF(RAND()&lt;0.1,"Yes","No")</f>
        <v>No</v>
      </c>
      <c r="T1667" t="str">
        <f t="shared" ref="T1667:T1730" ca="1" si="578">CHOOSE(RANDBETWEEN(1,4),"Mild","Moderate","Severe","Critical")</f>
        <v>Critical</v>
      </c>
      <c r="U1667" t="str">
        <f t="shared" ref="U1667:U1730" ca="1" si="579">CHOOSE(RANDBETWEEN(1,5),"General Ward","ICU","Emergency","Private Ward","Semi-Private")</f>
        <v>ICU</v>
      </c>
      <c r="V1667" t="str">
        <f t="shared" ref="V1667:V1730" si="580">"BED"&amp;TEXT(ROW()-1,"0000")</f>
        <v>BED1666</v>
      </c>
      <c r="W1667" t="str">
        <f t="shared" ref="W1667:W1730" ca="1" si="581">CHOOSE(RANDBETWEEN(1,4),"General","Private","Semi-Private","ICU")</f>
        <v>General</v>
      </c>
      <c r="X1667" t="str">
        <f t="shared" ref="X1667:X1730" si="582">"NUR"&amp;TEXT(MOD(ROW()-2,50)+1,"000")</f>
        <v>NUR016</v>
      </c>
      <c r="Y1667" t="str">
        <f t="shared" ref="Y1667:Y1730" ca="1" si="583">CHOOSE(RANDBETWEEN(1,3),"Morning","Evening","Night")</f>
        <v>Evening</v>
      </c>
      <c r="Z1667" t="str">
        <f t="shared" ref="Z1667:Z1730" ca="1" si="584">CHOOSE(RANDBETWEEN(1,6),"MRI Scanner","CT Scanner","Ventilator","X-Ray","ECG Machine","Ultrasound")</f>
        <v>Ultrasound</v>
      </c>
      <c r="AA1667" t="str">
        <f t="shared" ref="AA1667:AA1730" ca="1" si="585">CHOOSE(RANDBETWEEN(1,3),"Available","In Use","Maintenance")</f>
        <v>Available</v>
      </c>
      <c r="AB1667" t="str">
        <f t="shared" ref="AB1667:AB1730" ca="1" si="586">CHOOSE(RANDBETWEEN(1,3),"Paid","Pending","Partially Paid")</f>
        <v>Pending</v>
      </c>
      <c r="AC1667" t="str">
        <f t="shared" ref="AC1667:AC1730" ca="1" si="587">CHOOSE(RANDBETWEEN(1,5),"Cash","Credit Card","Debit Card","Insurance","Bank Transfer")</f>
        <v>Credit Card</v>
      </c>
      <c r="AD1667" t="str">
        <f t="shared" ref="AD1667:AD1730" ca="1" si="588">IF(RAND()&lt;0.2,"Yes","No")</f>
        <v>No</v>
      </c>
      <c r="AE1667" t="str">
        <f t="shared" ref="AE1667:AE1730" ca="1" si="589">IF(RAND()&lt;0.15,"Yes","No")</f>
        <v>No</v>
      </c>
      <c r="AF1667" t="str">
        <f t="shared" ref="AF1667:AF1730" ca="1" si="590">CHOOSE(RANDBETWEEN(1,3),"Recovered","Transferred","Under Observation")</f>
        <v>Transferred</v>
      </c>
      <c r="AG1667" t="str">
        <f t="shared" ref="AG1667:AG1730" ca="1" si="591">CHOOSE(RANDBETWEEN(1,5),"Northeast","Southeast","Midwest","Southwest","West Coast")</f>
        <v>Southeast</v>
      </c>
      <c r="AH1667" t="str">
        <f t="shared" si="574"/>
        <v>September</v>
      </c>
      <c r="AI1667">
        <f t="shared" si="575"/>
        <v>2022</v>
      </c>
      <c r="AJ1667" t="str">
        <f t="shared" ref="AJ1667:AJ1730" ca="1" si="592">IF(RANDBETWEEN(1,100)&lt;=80,"Occupied","Vacant")</f>
        <v>Occupied</v>
      </c>
      <c r="AK1667">
        <f t="shared" ref="AK1667:AK1730" ca="1" si="593">CHOOSE(RANDBETWEEN(1,3),1,2,4)</f>
        <v>2</v>
      </c>
    </row>
    <row r="1668" spans="1:37" x14ac:dyDescent="0.3">
      <c r="A1668" t="s">
        <v>4647</v>
      </c>
      <c r="B1668">
        <v>19</v>
      </c>
      <c r="C1668" t="s">
        <v>15</v>
      </c>
      <c r="D1668" t="s">
        <v>16</v>
      </c>
      <c r="E1668" t="s">
        <v>76</v>
      </c>
      <c r="F1668" s="1">
        <v>44646</v>
      </c>
      <c r="G1668" t="s">
        <v>3327</v>
      </c>
      <c r="H1668" t="s">
        <v>3328</v>
      </c>
      <c r="I1668" t="s">
        <v>51</v>
      </c>
      <c r="J1668">
        <v>5844</v>
      </c>
      <c r="K1668">
        <v>146</v>
      </c>
      <c r="L1668" t="s">
        <v>21</v>
      </c>
      <c r="M1668" s="1">
        <v>44672</v>
      </c>
      <c r="N1668" t="s">
        <v>22</v>
      </c>
      <c r="O1668" t="s">
        <v>31</v>
      </c>
      <c r="P1668" t="str">
        <f t="shared" si="576"/>
        <v>P1667</v>
      </c>
      <c r="Q1668" t="str">
        <f t="shared" si="572"/>
        <v>Orthopedics</v>
      </c>
      <c r="R1668">
        <f t="shared" si="573"/>
        <v>26</v>
      </c>
      <c r="S1668" t="str">
        <f t="shared" ca="1" si="577"/>
        <v>Yes</v>
      </c>
      <c r="T1668" t="str">
        <f t="shared" ca="1" si="578"/>
        <v>Critical</v>
      </c>
      <c r="U1668" t="str">
        <f t="shared" ca="1" si="579"/>
        <v>Private Ward</v>
      </c>
      <c r="V1668" t="str">
        <f t="shared" si="580"/>
        <v>BED1667</v>
      </c>
      <c r="W1668" t="str">
        <f t="shared" ca="1" si="581"/>
        <v>ICU</v>
      </c>
      <c r="X1668" t="str">
        <f t="shared" si="582"/>
        <v>NUR017</v>
      </c>
      <c r="Y1668" t="str">
        <f t="shared" ca="1" si="583"/>
        <v>Morning</v>
      </c>
      <c r="Z1668" t="str">
        <f t="shared" ca="1" si="584"/>
        <v>MRI Scanner</v>
      </c>
      <c r="AA1668" t="str">
        <f t="shared" ca="1" si="585"/>
        <v>Available</v>
      </c>
      <c r="AB1668" t="str">
        <f t="shared" ca="1" si="586"/>
        <v>Pending</v>
      </c>
      <c r="AC1668" t="str">
        <f t="shared" ca="1" si="587"/>
        <v>Credit Card</v>
      </c>
      <c r="AD1668" t="str">
        <f t="shared" ca="1" si="588"/>
        <v>No</v>
      </c>
      <c r="AE1668" t="str">
        <f t="shared" ca="1" si="589"/>
        <v>No</v>
      </c>
      <c r="AF1668" t="str">
        <f t="shared" ca="1" si="590"/>
        <v>Transferred</v>
      </c>
      <c r="AG1668" t="str">
        <f t="shared" ca="1" si="591"/>
        <v>Northeast</v>
      </c>
      <c r="AH1668" t="str">
        <f t="shared" si="574"/>
        <v>March</v>
      </c>
      <c r="AI1668">
        <f t="shared" si="575"/>
        <v>2022</v>
      </c>
      <c r="AJ1668" t="str">
        <f t="shared" ca="1" si="592"/>
        <v>Occupied</v>
      </c>
      <c r="AK1668">
        <f t="shared" ca="1" si="593"/>
        <v>4</v>
      </c>
    </row>
    <row r="1669" spans="1:37" x14ac:dyDescent="0.3">
      <c r="A1669" t="s">
        <v>6057</v>
      </c>
      <c r="B1669">
        <v>21</v>
      </c>
      <c r="C1669" t="s">
        <v>15</v>
      </c>
      <c r="D1669" t="s">
        <v>83</v>
      </c>
      <c r="E1669" t="s">
        <v>64</v>
      </c>
      <c r="F1669" s="1">
        <v>43846</v>
      </c>
      <c r="G1669" t="s">
        <v>3329</v>
      </c>
      <c r="H1669" t="s">
        <v>3330</v>
      </c>
      <c r="I1669" t="s">
        <v>51</v>
      </c>
      <c r="J1669">
        <v>38825</v>
      </c>
      <c r="K1669">
        <v>135</v>
      </c>
      <c r="L1669" t="s">
        <v>29</v>
      </c>
      <c r="M1669" s="1">
        <v>43854</v>
      </c>
      <c r="N1669" t="s">
        <v>47</v>
      </c>
      <c r="O1669" t="s">
        <v>23</v>
      </c>
      <c r="P1669" t="str">
        <f t="shared" si="576"/>
        <v>P1668</v>
      </c>
      <c r="Q1669" t="str">
        <f t="shared" si="572"/>
        <v>Cardiology</v>
      </c>
      <c r="R1669">
        <f t="shared" si="573"/>
        <v>8</v>
      </c>
      <c r="S1669" t="str">
        <f t="shared" ca="1" si="577"/>
        <v>Yes</v>
      </c>
      <c r="T1669" t="str">
        <f t="shared" ca="1" si="578"/>
        <v>Severe</v>
      </c>
      <c r="U1669" t="str">
        <f t="shared" ca="1" si="579"/>
        <v>Private Ward</v>
      </c>
      <c r="V1669" t="str">
        <f t="shared" si="580"/>
        <v>BED1668</v>
      </c>
      <c r="W1669" t="str">
        <f t="shared" ca="1" si="581"/>
        <v>ICU</v>
      </c>
      <c r="X1669" t="str">
        <f t="shared" si="582"/>
        <v>NUR018</v>
      </c>
      <c r="Y1669" t="str">
        <f t="shared" ca="1" si="583"/>
        <v>Morning</v>
      </c>
      <c r="Z1669" t="str">
        <f t="shared" ca="1" si="584"/>
        <v>MRI Scanner</v>
      </c>
      <c r="AA1669" t="str">
        <f t="shared" ca="1" si="585"/>
        <v>Available</v>
      </c>
      <c r="AB1669" t="str">
        <f t="shared" ca="1" si="586"/>
        <v>Pending</v>
      </c>
      <c r="AC1669" t="str">
        <f t="shared" ca="1" si="587"/>
        <v>Cash</v>
      </c>
      <c r="AD1669" t="str">
        <f t="shared" ca="1" si="588"/>
        <v>No</v>
      </c>
      <c r="AE1669" t="str">
        <f t="shared" ca="1" si="589"/>
        <v>No</v>
      </c>
      <c r="AF1669" t="str">
        <f t="shared" ca="1" si="590"/>
        <v>Recovered</v>
      </c>
      <c r="AG1669" t="str">
        <f t="shared" ca="1" si="591"/>
        <v>Southeast</v>
      </c>
      <c r="AH1669" t="str">
        <f t="shared" si="574"/>
        <v>January</v>
      </c>
      <c r="AI1669">
        <f t="shared" si="575"/>
        <v>2020</v>
      </c>
      <c r="AJ1669" t="str">
        <f t="shared" ca="1" si="592"/>
        <v>Vacant</v>
      </c>
      <c r="AK1669">
        <f t="shared" ca="1" si="593"/>
        <v>1</v>
      </c>
    </row>
    <row r="1670" spans="1:37" x14ac:dyDescent="0.3">
      <c r="A1670" t="s">
        <v>6058</v>
      </c>
      <c r="B1670">
        <v>25</v>
      </c>
      <c r="C1670" t="s">
        <v>32</v>
      </c>
      <c r="D1670" t="s">
        <v>33</v>
      </c>
      <c r="E1670" t="s">
        <v>25</v>
      </c>
      <c r="F1670" s="1">
        <v>45321</v>
      </c>
      <c r="G1670" t="s">
        <v>3331</v>
      </c>
      <c r="H1670" t="s">
        <v>3332</v>
      </c>
      <c r="I1670" t="s">
        <v>57</v>
      </c>
      <c r="J1670">
        <v>31762</v>
      </c>
      <c r="K1670">
        <v>486</v>
      </c>
      <c r="L1670" t="s">
        <v>29</v>
      </c>
      <c r="M1670" s="1">
        <v>45336</v>
      </c>
      <c r="N1670" t="s">
        <v>67</v>
      </c>
      <c r="O1670" t="s">
        <v>31</v>
      </c>
      <c r="P1670" t="str">
        <f t="shared" si="576"/>
        <v>P1669</v>
      </c>
      <c r="Q1670" t="str">
        <f t="shared" si="572"/>
        <v>Nutrition</v>
      </c>
      <c r="R1670">
        <f t="shared" si="573"/>
        <v>15</v>
      </c>
      <c r="S1670" t="str">
        <f t="shared" ca="1" si="577"/>
        <v>No</v>
      </c>
      <c r="T1670" t="str">
        <f t="shared" ca="1" si="578"/>
        <v>Severe</v>
      </c>
      <c r="U1670" t="str">
        <f t="shared" ca="1" si="579"/>
        <v>Semi-Private</v>
      </c>
      <c r="V1670" t="str">
        <f t="shared" si="580"/>
        <v>BED1669</v>
      </c>
      <c r="W1670" t="str">
        <f t="shared" ca="1" si="581"/>
        <v>Semi-Private</v>
      </c>
      <c r="X1670" t="str">
        <f t="shared" si="582"/>
        <v>NUR019</v>
      </c>
      <c r="Y1670" t="str">
        <f t="shared" ca="1" si="583"/>
        <v>Morning</v>
      </c>
      <c r="Z1670" t="str">
        <f t="shared" ca="1" si="584"/>
        <v>Ultrasound</v>
      </c>
      <c r="AA1670" t="str">
        <f t="shared" ca="1" si="585"/>
        <v>Available</v>
      </c>
      <c r="AB1670" t="str">
        <f t="shared" ca="1" si="586"/>
        <v>Pending</v>
      </c>
      <c r="AC1670" t="str">
        <f t="shared" ca="1" si="587"/>
        <v>Insurance</v>
      </c>
      <c r="AD1670" t="str">
        <f t="shared" ca="1" si="588"/>
        <v>No</v>
      </c>
      <c r="AE1670" t="str">
        <f t="shared" ca="1" si="589"/>
        <v>No</v>
      </c>
      <c r="AF1670" t="str">
        <f t="shared" ca="1" si="590"/>
        <v>Recovered</v>
      </c>
      <c r="AG1670" t="str">
        <f t="shared" ca="1" si="591"/>
        <v>Midwest</v>
      </c>
      <c r="AH1670" t="str">
        <f t="shared" si="574"/>
        <v>January</v>
      </c>
      <c r="AI1670">
        <f t="shared" si="575"/>
        <v>2024</v>
      </c>
      <c r="AJ1670" t="str">
        <f t="shared" ca="1" si="592"/>
        <v>Occupied</v>
      </c>
      <c r="AK1670">
        <f t="shared" ca="1" si="593"/>
        <v>4</v>
      </c>
    </row>
    <row r="1671" spans="1:37" x14ac:dyDescent="0.3">
      <c r="A1671" t="s">
        <v>6059</v>
      </c>
      <c r="B1671">
        <v>46</v>
      </c>
      <c r="C1671" t="s">
        <v>15</v>
      </c>
      <c r="D1671" t="s">
        <v>52</v>
      </c>
      <c r="E1671" t="s">
        <v>64</v>
      </c>
      <c r="F1671" s="1">
        <v>44524</v>
      </c>
      <c r="G1671" t="s">
        <v>3333</v>
      </c>
      <c r="H1671" t="s">
        <v>3334</v>
      </c>
      <c r="I1671" t="s">
        <v>51</v>
      </c>
      <c r="J1671">
        <v>24875</v>
      </c>
      <c r="K1671">
        <v>395</v>
      </c>
      <c r="L1671" t="s">
        <v>21</v>
      </c>
      <c r="M1671" s="1">
        <v>44536</v>
      </c>
      <c r="N1671" t="s">
        <v>30</v>
      </c>
      <c r="O1671" t="s">
        <v>23</v>
      </c>
      <c r="P1671" t="str">
        <f t="shared" si="576"/>
        <v>P1670</v>
      </c>
      <c r="Q1671" t="str">
        <f t="shared" si="572"/>
        <v>Cardiology</v>
      </c>
      <c r="R1671">
        <f t="shared" si="573"/>
        <v>12</v>
      </c>
      <c r="S1671" t="str">
        <f t="shared" ca="1" si="577"/>
        <v>No</v>
      </c>
      <c r="T1671" t="str">
        <f t="shared" ca="1" si="578"/>
        <v>Critical</v>
      </c>
      <c r="U1671" t="str">
        <f t="shared" ca="1" si="579"/>
        <v>ICU</v>
      </c>
      <c r="V1671" t="str">
        <f t="shared" si="580"/>
        <v>BED1670</v>
      </c>
      <c r="W1671" t="str">
        <f t="shared" ca="1" si="581"/>
        <v>ICU</v>
      </c>
      <c r="X1671" t="str">
        <f t="shared" si="582"/>
        <v>NUR020</v>
      </c>
      <c r="Y1671" t="str">
        <f t="shared" ca="1" si="583"/>
        <v>Morning</v>
      </c>
      <c r="Z1671" t="str">
        <f t="shared" ca="1" si="584"/>
        <v>Ultrasound</v>
      </c>
      <c r="AA1671" t="str">
        <f t="shared" ca="1" si="585"/>
        <v>In Use</v>
      </c>
      <c r="AB1671" t="str">
        <f t="shared" ca="1" si="586"/>
        <v>Pending</v>
      </c>
      <c r="AC1671" t="str">
        <f t="shared" ca="1" si="587"/>
        <v>Insurance</v>
      </c>
      <c r="AD1671" t="str">
        <f t="shared" ca="1" si="588"/>
        <v>No</v>
      </c>
      <c r="AE1671" t="str">
        <f t="shared" ca="1" si="589"/>
        <v>No</v>
      </c>
      <c r="AF1671" t="str">
        <f t="shared" ca="1" si="590"/>
        <v>Under Observation</v>
      </c>
      <c r="AG1671" t="str">
        <f t="shared" ca="1" si="591"/>
        <v>Northeast</v>
      </c>
      <c r="AH1671" t="str">
        <f t="shared" si="574"/>
        <v>November</v>
      </c>
      <c r="AI1671">
        <f t="shared" si="575"/>
        <v>2021</v>
      </c>
      <c r="AJ1671" t="str">
        <f t="shared" ca="1" si="592"/>
        <v>Occupied</v>
      </c>
      <c r="AK1671">
        <f t="shared" ca="1" si="593"/>
        <v>1</v>
      </c>
    </row>
    <row r="1672" spans="1:37" x14ac:dyDescent="0.3">
      <c r="A1672" t="s">
        <v>6060</v>
      </c>
      <c r="B1672">
        <v>60</v>
      </c>
      <c r="C1672" t="s">
        <v>32</v>
      </c>
      <c r="D1672" t="s">
        <v>33</v>
      </c>
      <c r="E1672" t="s">
        <v>17</v>
      </c>
      <c r="F1672" s="1">
        <v>44479</v>
      </c>
      <c r="G1672" t="s">
        <v>3335</v>
      </c>
      <c r="H1672" t="s">
        <v>3336</v>
      </c>
      <c r="I1672" t="s">
        <v>28</v>
      </c>
      <c r="J1672">
        <v>49702</v>
      </c>
      <c r="K1672">
        <v>358</v>
      </c>
      <c r="L1672" t="s">
        <v>42</v>
      </c>
      <c r="M1672" s="1">
        <v>44481</v>
      </c>
      <c r="N1672" t="s">
        <v>30</v>
      </c>
      <c r="O1672" t="s">
        <v>23</v>
      </c>
      <c r="P1672" t="str">
        <f t="shared" si="576"/>
        <v>P1671</v>
      </c>
      <c r="Q1672" t="str">
        <f t="shared" si="572"/>
        <v>Oncology</v>
      </c>
      <c r="R1672">
        <f t="shared" si="573"/>
        <v>2</v>
      </c>
      <c r="S1672" t="str">
        <f t="shared" ca="1" si="577"/>
        <v>No</v>
      </c>
      <c r="T1672" t="str">
        <f t="shared" ca="1" si="578"/>
        <v>Critical</v>
      </c>
      <c r="U1672" t="str">
        <f t="shared" ca="1" si="579"/>
        <v>General Ward</v>
      </c>
      <c r="V1672" t="str">
        <f t="shared" si="580"/>
        <v>BED1671</v>
      </c>
      <c r="W1672" t="str">
        <f t="shared" ca="1" si="581"/>
        <v>General</v>
      </c>
      <c r="X1672" t="str">
        <f t="shared" si="582"/>
        <v>NUR021</v>
      </c>
      <c r="Y1672" t="str">
        <f t="shared" ca="1" si="583"/>
        <v>Evening</v>
      </c>
      <c r="Z1672" t="str">
        <f t="shared" ca="1" si="584"/>
        <v>X-Ray</v>
      </c>
      <c r="AA1672" t="str">
        <f t="shared" ca="1" si="585"/>
        <v>In Use</v>
      </c>
      <c r="AB1672" t="str">
        <f t="shared" ca="1" si="586"/>
        <v>Paid</v>
      </c>
      <c r="AC1672" t="str">
        <f t="shared" ca="1" si="587"/>
        <v>Insurance</v>
      </c>
      <c r="AD1672" t="str">
        <f t="shared" ca="1" si="588"/>
        <v>No</v>
      </c>
      <c r="AE1672" t="str">
        <f t="shared" ca="1" si="589"/>
        <v>No</v>
      </c>
      <c r="AF1672" t="str">
        <f t="shared" ca="1" si="590"/>
        <v>Transferred</v>
      </c>
      <c r="AG1672" t="str">
        <f t="shared" ca="1" si="591"/>
        <v>Midwest</v>
      </c>
      <c r="AH1672" t="str">
        <f t="shared" si="574"/>
        <v>October</v>
      </c>
      <c r="AI1672">
        <f t="shared" si="575"/>
        <v>2021</v>
      </c>
      <c r="AJ1672" t="str">
        <f t="shared" ca="1" si="592"/>
        <v>Occupied</v>
      </c>
      <c r="AK1672">
        <f t="shared" ca="1" si="593"/>
        <v>2</v>
      </c>
    </row>
    <row r="1673" spans="1:37" x14ac:dyDescent="0.3">
      <c r="A1673" t="s">
        <v>6061</v>
      </c>
      <c r="B1673">
        <v>50</v>
      </c>
      <c r="C1673" t="s">
        <v>15</v>
      </c>
      <c r="D1673" t="s">
        <v>52</v>
      </c>
      <c r="E1673" t="s">
        <v>48</v>
      </c>
      <c r="F1673" s="1">
        <v>44329</v>
      </c>
      <c r="G1673" t="s">
        <v>2966</v>
      </c>
      <c r="H1673" t="s">
        <v>3337</v>
      </c>
      <c r="I1673" t="s">
        <v>20</v>
      </c>
      <c r="J1673">
        <v>19554</v>
      </c>
      <c r="K1673">
        <v>204</v>
      </c>
      <c r="L1673" t="s">
        <v>29</v>
      </c>
      <c r="M1673" s="1">
        <v>44359</v>
      </c>
      <c r="N1673" t="s">
        <v>30</v>
      </c>
      <c r="O1673" t="s">
        <v>23</v>
      </c>
      <c r="P1673" t="str">
        <f t="shared" si="576"/>
        <v>P1672</v>
      </c>
      <c r="Q1673" t="str">
        <f t="shared" si="572"/>
        <v>Pulmonology</v>
      </c>
      <c r="R1673">
        <f t="shared" si="573"/>
        <v>30</v>
      </c>
      <c r="S1673" t="str">
        <f t="shared" ca="1" si="577"/>
        <v>No</v>
      </c>
      <c r="T1673" t="str">
        <f t="shared" ca="1" si="578"/>
        <v>Moderate</v>
      </c>
      <c r="U1673" t="str">
        <f t="shared" ca="1" si="579"/>
        <v>General Ward</v>
      </c>
      <c r="V1673" t="str">
        <f t="shared" si="580"/>
        <v>BED1672</v>
      </c>
      <c r="W1673" t="str">
        <f t="shared" ca="1" si="581"/>
        <v>General</v>
      </c>
      <c r="X1673" t="str">
        <f t="shared" si="582"/>
        <v>NUR022</v>
      </c>
      <c r="Y1673" t="str">
        <f t="shared" ca="1" si="583"/>
        <v>Night</v>
      </c>
      <c r="Z1673" t="str">
        <f t="shared" ca="1" si="584"/>
        <v>MRI Scanner</v>
      </c>
      <c r="AA1673" t="str">
        <f t="shared" ca="1" si="585"/>
        <v>Available</v>
      </c>
      <c r="AB1673" t="str">
        <f t="shared" ca="1" si="586"/>
        <v>Partially Paid</v>
      </c>
      <c r="AC1673" t="str">
        <f t="shared" ca="1" si="587"/>
        <v>Insurance</v>
      </c>
      <c r="AD1673" t="str">
        <f t="shared" ca="1" si="588"/>
        <v>Yes</v>
      </c>
      <c r="AE1673" t="str">
        <f t="shared" ca="1" si="589"/>
        <v>No</v>
      </c>
      <c r="AF1673" t="str">
        <f t="shared" ca="1" si="590"/>
        <v>Transferred</v>
      </c>
      <c r="AG1673" t="str">
        <f t="shared" ca="1" si="591"/>
        <v>Southwest</v>
      </c>
      <c r="AH1673" t="str">
        <f t="shared" si="574"/>
        <v>May</v>
      </c>
      <c r="AI1673">
        <f t="shared" si="575"/>
        <v>2021</v>
      </c>
      <c r="AJ1673" t="str">
        <f t="shared" ca="1" si="592"/>
        <v>Occupied</v>
      </c>
      <c r="AK1673">
        <f t="shared" ca="1" si="593"/>
        <v>1</v>
      </c>
    </row>
    <row r="1674" spans="1:37" x14ac:dyDescent="0.3">
      <c r="A1674" t="s">
        <v>6062</v>
      </c>
      <c r="B1674">
        <v>47</v>
      </c>
      <c r="C1674" t="s">
        <v>15</v>
      </c>
      <c r="D1674" t="s">
        <v>98</v>
      </c>
      <c r="E1674" t="s">
        <v>25</v>
      </c>
      <c r="F1674" s="1">
        <v>44508</v>
      </c>
      <c r="G1674" t="s">
        <v>3338</v>
      </c>
      <c r="H1674" t="s">
        <v>3339</v>
      </c>
      <c r="I1674" t="s">
        <v>28</v>
      </c>
      <c r="J1674">
        <v>4537</v>
      </c>
      <c r="K1674">
        <v>225</v>
      </c>
      <c r="L1674" t="s">
        <v>21</v>
      </c>
      <c r="M1674" s="1">
        <v>44523</v>
      </c>
      <c r="N1674" t="s">
        <v>30</v>
      </c>
      <c r="O1674" t="s">
        <v>31</v>
      </c>
      <c r="P1674" t="str">
        <f t="shared" si="576"/>
        <v>P1673</v>
      </c>
      <c r="Q1674" t="str">
        <f t="shared" si="572"/>
        <v>Nutrition</v>
      </c>
      <c r="R1674">
        <f t="shared" si="573"/>
        <v>15</v>
      </c>
      <c r="S1674" t="str">
        <f t="shared" ca="1" si="577"/>
        <v>No</v>
      </c>
      <c r="T1674" t="str">
        <f t="shared" ca="1" si="578"/>
        <v>Critical</v>
      </c>
      <c r="U1674" t="str">
        <f t="shared" ca="1" si="579"/>
        <v>Emergency</v>
      </c>
      <c r="V1674" t="str">
        <f t="shared" si="580"/>
        <v>BED1673</v>
      </c>
      <c r="W1674" t="str">
        <f t="shared" ca="1" si="581"/>
        <v>ICU</v>
      </c>
      <c r="X1674" t="str">
        <f t="shared" si="582"/>
        <v>NUR023</v>
      </c>
      <c r="Y1674" t="str">
        <f t="shared" ca="1" si="583"/>
        <v>Night</v>
      </c>
      <c r="Z1674" t="str">
        <f t="shared" ca="1" si="584"/>
        <v>Ultrasound</v>
      </c>
      <c r="AA1674" t="str">
        <f t="shared" ca="1" si="585"/>
        <v>Available</v>
      </c>
      <c r="AB1674" t="str">
        <f t="shared" ca="1" si="586"/>
        <v>Pending</v>
      </c>
      <c r="AC1674" t="str">
        <f t="shared" ca="1" si="587"/>
        <v>Debit Card</v>
      </c>
      <c r="AD1674" t="str">
        <f t="shared" ca="1" si="588"/>
        <v>No</v>
      </c>
      <c r="AE1674" t="str">
        <f t="shared" ca="1" si="589"/>
        <v>No</v>
      </c>
      <c r="AF1674" t="str">
        <f t="shared" ca="1" si="590"/>
        <v>Transferred</v>
      </c>
      <c r="AG1674" t="str">
        <f t="shared" ca="1" si="591"/>
        <v>Midwest</v>
      </c>
      <c r="AH1674" t="str">
        <f t="shared" si="574"/>
        <v>November</v>
      </c>
      <c r="AI1674">
        <f t="shared" si="575"/>
        <v>2021</v>
      </c>
      <c r="AJ1674" t="str">
        <f t="shared" ca="1" si="592"/>
        <v>Occupied</v>
      </c>
      <c r="AK1674">
        <f t="shared" ca="1" si="593"/>
        <v>4</v>
      </c>
    </row>
    <row r="1675" spans="1:37" x14ac:dyDescent="0.3">
      <c r="A1675" t="s">
        <v>6063</v>
      </c>
      <c r="B1675">
        <v>70</v>
      </c>
      <c r="C1675" t="s">
        <v>15</v>
      </c>
      <c r="D1675" t="s">
        <v>16</v>
      </c>
      <c r="E1675" t="s">
        <v>76</v>
      </c>
      <c r="F1675" s="1">
        <v>44439</v>
      </c>
      <c r="G1675" t="s">
        <v>3340</v>
      </c>
      <c r="H1675" t="s">
        <v>3341</v>
      </c>
      <c r="I1675" t="s">
        <v>51</v>
      </c>
      <c r="J1675">
        <v>12186</v>
      </c>
      <c r="K1675">
        <v>426</v>
      </c>
      <c r="L1675" t="s">
        <v>29</v>
      </c>
      <c r="M1675" s="1">
        <v>44455</v>
      </c>
      <c r="N1675" t="s">
        <v>47</v>
      </c>
      <c r="O1675" t="s">
        <v>43</v>
      </c>
      <c r="P1675" t="str">
        <f t="shared" si="576"/>
        <v>P1674</v>
      </c>
      <c r="Q1675" t="str">
        <f t="shared" si="572"/>
        <v>Orthopedics</v>
      </c>
      <c r="R1675">
        <f t="shared" si="573"/>
        <v>16</v>
      </c>
      <c r="S1675" t="str">
        <f t="shared" ca="1" si="577"/>
        <v>No</v>
      </c>
      <c r="T1675" t="str">
        <f t="shared" ca="1" si="578"/>
        <v>Severe</v>
      </c>
      <c r="U1675" t="str">
        <f t="shared" ca="1" si="579"/>
        <v>Emergency</v>
      </c>
      <c r="V1675" t="str">
        <f t="shared" si="580"/>
        <v>BED1674</v>
      </c>
      <c r="W1675" t="str">
        <f t="shared" ca="1" si="581"/>
        <v>Private</v>
      </c>
      <c r="X1675" t="str">
        <f t="shared" si="582"/>
        <v>NUR024</v>
      </c>
      <c r="Y1675" t="str">
        <f t="shared" ca="1" si="583"/>
        <v>Morning</v>
      </c>
      <c r="Z1675" t="str">
        <f t="shared" ca="1" si="584"/>
        <v>Ventilator</v>
      </c>
      <c r="AA1675" t="str">
        <f t="shared" ca="1" si="585"/>
        <v>In Use</v>
      </c>
      <c r="AB1675" t="str">
        <f t="shared" ca="1" si="586"/>
        <v>Pending</v>
      </c>
      <c r="AC1675" t="str">
        <f t="shared" ca="1" si="587"/>
        <v>Credit Card</v>
      </c>
      <c r="AD1675" t="str">
        <f t="shared" ca="1" si="588"/>
        <v>No</v>
      </c>
      <c r="AE1675" t="str">
        <f t="shared" ca="1" si="589"/>
        <v>No</v>
      </c>
      <c r="AF1675" t="str">
        <f t="shared" ca="1" si="590"/>
        <v>Recovered</v>
      </c>
      <c r="AG1675" t="str">
        <f t="shared" ca="1" si="591"/>
        <v>Midwest</v>
      </c>
      <c r="AH1675" t="str">
        <f t="shared" si="574"/>
        <v>August</v>
      </c>
      <c r="AI1675">
        <f t="shared" si="575"/>
        <v>2021</v>
      </c>
      <c r="AJ1675" t="str">
        <f t="shared" ca="1" si="592"/>
        <v>Occupied</v>
      </c>
      <c r="AK1675">
        <f t="shared" ca="1" si="593"/>
        <v>1</v>
      </c>
    </row>
    <row r="1676" spans="1:37" x14ac:dyDescent="0.3">
      <c r="A1676" t="s">
        <v>6064</v>
      </c>
      <c r="B1676">
        <v>76</v>
      </c>
      <c r="C1676" t="s">
        <v>15</v>
      </c>
      <c r="D1676" t="s">
        <v>16</v>
      </c>
      <c r="E1676" t="s">
        <v>39</v>
      </c>
      <c r="F1676" s="1">
        <v>44905</v>
      </c>
      <c r="G1676" t="s">
        <v>3342</v>
      </c>
      <c r="H1676" t="s">
        <v>3343</v>
      </c>
      <c r="I1676" t="s">
        <v>28</v>
      </c>
      <c r="J1676">
        <v>2794</v>
      </c>
      <c r="K1676">
        <v>202</v>
      </c>
      <c r="L1676" t="s">
        <v>42</v>
      </c>
      <c r="M1676" s="1">
        <v>44920</v>
      </c>
      <c r="N1676" t="s">
        <v>67</v>
      </c>
      <c r="O1676" t="s">
        <v>23</v>
      </c>
      <c r="P1676" t="str">
        <f t="shared" si="576"/>
        <v>P1675</v>
      </c>
      <c r="Q1676" t="str">
        <f t="shared" si="572"/>
        <v>Endocrinology</v>
      </c>
      <c r="R1676">
        <f t="shared" si="573"/>
        <v>15</v>
      </c>
      <c r="S1676" t="str">
        <f t="shared" ca="1" si="577"/>
        <v>No</v>
      </c>
      <c r="T1676" t="str">
        <f t="shared" ca="1" si="578"/>
        <v>Severe</v>
      </c>
      <c r="U1676" t="str">
        <f t="shared" ca="1" si="579"/>
        <v>Emergency</v>
      </c>
      <c r="V1676" t="str">
        <f t="shared" si="580"/>
        <v>BED1675</v>
      </c>
      <c r="W1676" t="str">
        <f t="shared" ca="1" si="581"/>
        <v>Semi-Private</v>
      </c>
      <c r="X1676" t="str">
        <f t="shared" si="582"/>
        <v>NUR025</v>
      </c>
      <c r="Y1676" t="str">
        <f t="shared" ca="1" si="583"/>
        <v>Evening</v>
      </c>
      <c r="Z1676" t="str">
        <f t="shared" ca="1" si="584"/>
        <v>Ventilator</v>
      </c>
      <c r="AA1676" t="str">
        <f t="shared" ca="1" si="585"/>
        <v>Available</v>
      </c>
      <c r="AB1676" t="str">
        <f t="shared" ca="1" si="586"/>
        <v>Pending</v>
      </c>
      <c r="AC1676" t="str">
        <f t="shared" ca="1" si="587"/>
        <v>Insurance</v>
      </c>
      <c r="AD1676" t="str">
        <f t="shared" ca="1" si="588"/>
        <v>Yes</v>
      </c>
      <c r="AE1676" t="str">
        <f t="shared" ca="1" si="589"/>
        <v>No</v>
      </c>
      <c r="AF1676" t="str">
        <f t="shared" ca="1" si="590"/>
        <v>Recovered</v>
      </c>
      <c r="AG1676" t="str">
        <f t="shared" ca="1" si="591"/>
        <v>Midwest</v>
      </c>
      <c r="AH1676" t="str">
        <f t="shared" si="574"/>
        <v>December</v>
      </c>
      <c r="AI1676">
        <f t="shared" si="575"/>
        <v>2022</v>
      </c>
      <c r="AJ1676" t="str">
        <f t="shared" ca="1" si="592"/>
        <v>Vacant</v>
      </c>
      <c r="AK1676">
        <f t="shared" ca="1" si="593"/>
        <v>1</v>
      </c>
    </row>
    <row r="1677" spans="1:37" x14ac:dyDescent="0.3">
      <c r="A1677" t="s">
        <v>6065</v>
      </c>
      <c r="B1677">
        <v>65</v>
      </c>
      <c r="C1677" t="s">
        <v>32</v>
      </c>
      <c r="D1677" t="s">
        <v>33</v>
      </c>
      <c r="E1677" t="s">
        <v>48</v>
      </c>
      <c r="F1677" s="1">
        <v>44621</v>
      </c>
      <c r="G1677" t="s">
        <v>3344</v>
      </c>
      <c r="H1677" t="s">
        <v>3345</v>
      </c>
      <c r="I1677" t="s">
        <v>51</v>
      </c>
      <c r="J1677">
        <v>4897</v>
      </c>
      <c r="K1677">
        <v>384</v>
      </c>
      <c r="L1677" t="s">
        <v>21</v>
      </c>
      <c r="M1677" s="1">
        <v>44650</v>
      </c>
      <c r="N1677" t="s">
        <v>47</v>
      </c>
      <c r="O1677" t="s">
        <v>31</v>
      </c>
      <c r="P1677" t="str">
        <f t="shared" si="576"/>
        <v>P1676</v>
      </c>
      <c r="Q1677" t="str">
        <f t="shared" si="572"/>
        <v>Pulmonology</v>
      </c>
      <c r="R1677">
        <f t="shared" si="573"/>
        <v>29</v>
      </c>
      <c r="S1677" t="str">
        <f t="shared" ca="1" si="577"/>
        <v>No</v>
      </c>
      <c r="T1677" t="str">
        <f t="shared" ca="1" si="578"/>
        <v>Moderate</v>
      </c>
      <c r="U1677" t="str">
        <f t="shared" ca="1" si="579"/>
        <v>Emergency</v>
      </c>
      <c r="V1677" t="str">
        <f t="shared" si="580"/>
        <v>BED1676</v>
      </c>
      <c r="W1677" t="str">
        <f t="shared" ca="1" si="581"/>
        <v>ICU</v>
      </c>
      <c r="X1677" t="str">
        <f t="shared" si="582"/>
        <v>NUR026</v>
      </c>
      <c r="Y1677" t="str">
        <f t="shared" ca="1" si="583"/>
        <v>Morning</v>
      </c>
      <c r="Z1677" t="str">
        <f t="shared" ca="1" si="584"/>
        <v>Ventilator</v>
      </c>
      <c r="AA1677" t="str">
        <f t="shared" ca="1" si="585"/>
        <v>Maintenance</v>
      </c>
      <c r="AB1677" t="str">
        <f t="shared" ca="1" si="586"/>
        <v>Pending</v>
      </c>
      <c r="AC1677" t="str">
        <f t="shared" ca="1" si="587"/>
        <v>Credit Card</v>
      </c>
      <c r="AD1677" t="str">
        <f t="shared" ca="1" si="588"/>
        <v>No</v>
      </c>
      <c r="AE1677" t="str">
        <f t="shared" ca="1" si="589"/>
        <v>No</v>
      </c>
      <c r="AF1677" t="str">
        <f t="shared" ca="1" si="590"/>
        <v>Transferred</v>
      </c>
      <c r="AG1677" t="str">
        <f t="shared" ca="1" si="591"/>
        <v>Southwest</v>
      </c>
      <c r="AH1677" t="str">
        <f t="shared" si="574"/>
        <v>March</v>
      </c>
      <c r="AI1677">
        <f t="shared" si="575"/>
        <v>2022</v>
      </c>
      <c r="AJ1677" t="str">
        <f t="shared" ca="1" si="592"/>
        <v>Occupied</v>
      </c>
      <c r="AK1677">
        <f t="shared" ca="1" si="593"/>
        <v>2</v>
      </c>
    </row>
    <row r="1678" spans="1:37" x14ac:dyDescent="0.3">
      <c r="A1678" t="s">
        <v>6066</v>
      </c>
      <c r="B1678">
        <v>22</v>
      </c>
      <c r="C1678" t="s">
        <v>15</v>
      </c>
      <c r="D1678" t="s">
        <v>52</v>
      </c>
      <c r="E1678" t="s">
        <v>64</v>
      </c>
      <c r="F1678" s="1">
        <v>45162</v>
      </c>
      <c r="G1678" t="s">
        <v>3346</v>
      </c>
      <c r="H1678" t="s">
        <v>3347</v>
      </c>
      <c r="I1678" t="s">
        <v>51</v>
      </c>
      <c r="J1678">
        <v>42160</v>
      </c>
      <c r="K1678">
        <v>435</v>
      </c>
      <c r="L1678" t="s">
        <v>29</v>
      </c>
      <c r="M1678" s="1">
        <v>45182</v>
      </c>
      <c r="N1678" t="s">
        <v>47</v>
      </c>
      <c r="O1678" t="s">
        <v>23</v>
      </c>
      <c r="P1678" t="str">
        <f t="shared" si="576"/>
        <v>P1677</v>
      </c>
      <c r="Q1678" t="str">
        <f t="shared" si="572"/>
        <v>Cardiology</v>
      </c>
      <c r="R1678">
        <f t="shared" si="573"/>
        <v>20</v>
      </c>
      <c r="S1678" t="str">
        <f t="shared" ca="1" si="577"/>
        <v>No</v>
      </c>
      <c r="T1678" t="str">
        <f t="shared" ca="1" si="578"/>
        <v>Critical</v>
      </c>
      <c r="U1678" t="str">
        <f t="shared" ca="1" si="579"/>
        <v>Semi-Private</v>
      </c>
      <c r="V1678" t="str">
        <f t="shared" si="580"/>
        <v>BED1677</v>
      </c>
      <c r="W1678" t="str">
        <f t="shared" ca="1" si="581"/>
        <v>General</v>
      </c>
      <c r="X1678" t="str">
        <f t="shared" si="582"/>
        <v>NUR027</v>
      </c>
      <c r="Y1678" t="str">
        <f t="shared" ca="1" si="583"/>
        <v>Morning</v>
      </c>
      <c r="Z1678" t="str">
        <f t="shared" ca="1" si="584"/>
        <v>CT Scanner</v>
      </c>
      <c r="AA1678" t="str">
        <f t="shared" ca="1" si="585"/>
        <v>Maintenance</v>
      </c>
      <c r="AB1678" t="str">
        <f t="shared" ca="1" si="586"/>
        <v>Pending</v>
      </c>
      <c r="AC1678" t="str">
        <f t="shared" ca="1" si="587"/>
        <v>Debit Card</v>
      </c>
      <c r="AD1678" t="str">
        <f t="shared" ca="1" si="588"/>
        <v>No</v>
      </c>
      <c r="AE1678" t="str">
        <f t="shared" ca="1" si="589"/>
        <v>No</v>
      </c>
      <c r="AF1678" t="str">
        <f t="shared" ca="1" si="590"/>
        <v>Under Observation</v>
      </c>
      <c r="AG1678" t="str">
        <f t="shared" ca="1" si="591"/>
        <v>Midwest</v>
      </c>
      <c r="AH1678" t="str">
        <f t="shared" si="574"/>
        <v>August</v>
      </c>
      <c r="AI1678">
        <f t="shared" si="575"/>
        <v>2023</v>
      </c>
      <c r="AJ1678" t="str">
        <f t="shared" ca="1" si="592"/>
        <v>Occupied</v>
      </c>
      <c r="AK1678">
        <f t="shared" ca="1" si="593"/>
        <v>4</v>
      </c>
    </row>
    <row r="1679" spans="1:37" x14ac:dyDescent="0.3">
      <c r="A1679" t="s">
        <v>6067</v>
      </c>
      <c r="B1679">
        <v>71</v>
      </c>
      <c r="C1679" t="s">
        <v>15</v>
      </c>
      <c r="D1679" t="s">
        <v>52</v>
      </c>
      <c r="E1679" t="s">
        <v>64</v>
      </c>
      <c r="F1679" s="1">
        <v>44090</v>
      </c>
      <c r="G1679" t="s">
        <v>3348</v>
      </c>
      <c r="H1679" t="s">
        <v>3349</v>
      </c>
      <c r="I1679" t="s">
        <v>36</v>
      </c>
      <c r="J1679">
        <v>3471</v>
      </c>
      <c r="K1679">
        <v>442</v>
      </c>
      <c r="L1679" t="s">
        <v>29</v>
      </c>
      <c r="M1679" s="1">
        <v>44107</v>
      </c>
      <c r="N1679" t="s">
        <v>67</v>
      </c>
      <c r="O1679" t="s">
        <v>43</v>
      </c>
      <c r="P1679" t="str">
        <f t="shared" si="576"/>
        <v>P1678</v>
      </c>
      <c r="Q1679" t="str">
        <f t="shared" si="572"/>
        <v>Cardiology</v>
      </c>
      <c r="R1679">
        <f t="shared" si="573"/>
        <v>17</v>
      </c>
      <c r="S1679" t="str">
        <f t="shared" ca="1" si="577"/>
        <v>No</v>
      </c>
      <c r="T1679" t="str">
        <f t="shared" ca="1" si="578"/>
        <v>Mild</v>
      </c>
      <c r="U1679" t="str">
        <f t="shared" ca="1" si="579"/>
        <v>General Ward</v>
      </c>
      <c r="V1679" t="str">
        <f t="shared" si="580"/>
        <v>BED1678</v>
      </c>
      <c r="W1679" t="str">
        <f t="shared" ca="1" si="581"/>
        <v>ICU</v>
      </c>
      <c r="X1679" t="str">
        <f t="shared" si="582"/>
        <v>NUR028</v>
      </c>
      <c r="Y1679" t="str">
        <f t="shared" ca="1" si="583"/>
        <v>Evening</v>
      </c>
      <c r="Z1679" t="str">
        <f t="shared" ca="1" si="584"/>
        <v>MRI Scanner</v>
      </c>
      <c r="AA1679" t="str">
        <f t="shared" ca="1" si="585"/>
        <v>Maintenance</v>
      </c>
      <c r="AB1679" t="str">
        <f t="shared" ca="1" si="586"/>
        <v>Pending</v>
      </c>
      <c r="AC1679" t="str">
        <f t="shared" ca="1" si="587"/>
        <v>Cash</v>
      </c>
      <c r="AD1679" t="str">
        <f t="shared" ca="1" si="588"/>
        <v>No</v>
      </c>
      <c r="AE1679" t="str">
        <f t="shared" ca="1" si="589"/>
        <v>No</v>
      </c>
      <c r="AF1679" t="str">
        <f t="shared" ca="1" si="590"/>
        <v>Transferred</v>
      </c>
      <c r="AG1679" t="str">
        <f t="shared" ca="1" si="591"/>
        <v>Northeast</v>
      </c>
      <c r="AH1679" t="str">
        <f t="shared" si="574"/>
        <v>September</v>
      </c>
      <c r="AI1679">
        <f t="shared" si="575"/>
        <v>2020</v>
      </c>
      <c r="AJ1679" t="str">
        <f t="shared" ca="1" si="592"/>
        <v>Vacant</v>
      </c>
      <c r="AK1679">
        <f t="shared" ca="1" si="593"/>
        <v>2</v>
      </c>
    </row>
    <row r="1680" spans="1:37" x14ac:dyDescent="0.3">
      <c r="A1680" t="s">
        <v>6068</v>
      </c>
      <c r="B1680">
        <v>25</v>
      </c>
      <c r="C1680" t="s">
        <v>32</v>
      </c>
      <c r="D1680" t="s">
        <v>83</v>
      </c>
      <c r="E1680" t="s">
        <v>48</v>
      </c>
      <c r="F1680" s="1">
        <v>44366</v>
      </c>
      <c r="G1680" t="s">
        <v>3350</v>
      </c>
      <c r="H1680" t="s">
        <v>3351</v>
      </c>
      <c r="I1680" t="s">
        <v>28</v>
      </c>
      <c r="J1680">
        <v>27485</v>
      </c>
      <c r="K1680">
        <v>268</v>
      </c>
      <c r="L1680" t="s">
        <v>42</v>
      </c>
      <c r="M1680" s="1">
        <v>44371</v>
      </c>
      <c r="N1680" t="s">
        <v>30</v>
      </c>
      <c r="O1680" t="s">
        <v>31</v>
      </c>
      <c r="P1680" t="str">
        <f t="shared" si="576"/>
        <v>P1679</v>
      </c>
      <c r="Q1680" t="str">
        <f t="shared" si="572"/>
        <v>Pulmonology</v>
      </c>
      <c r="R1680">
        <f t="shared" si="573"/>
        <v>5</v>
      </c>
      <c r="S1680" t="str">
        <f t="shared" ca="1" si="577"/>
        <v>No</v>
      </c>
      <c r="T1680" t="str">
        <f t="shared" ca="1" si="578"/>
        <v>Severe</v>
      </c>
      <c r="U1680" t="str">
        <f t="shared" ca="1" si="579"/>
        <v>Emergency</v>
      </c>
      <c r="V1680" t="str">
        <f t="shared" si="580"/>
        <v>BED1679</v>
      </c>
      <c r="W1680" t="str">
        <f t="shared" ca="1" si="581"/>
        <v>Semi-Private</v>
      </c>
      <c r="X1680" t="str">
        <f t="shared" si="582"/>
        <v>NUR029</v>
      </c>
      <c r="Y1680" t="str">
        <f t="shared" ca="1" si="583"/>
        <v>Morning</v>
      </c>
      <c r="Z1680" t="str">
        <f t="shared" ca="1" si="584"/>
        <v>Ultrasound</v>
      </c>
      <c r="AA1680" t="str">
        <f t="shared" ca="1" si="585"/>
        <v>Maintenance</v>
      </c>
      <c r="AB1680" t="str">
        <f t="shared" ca="1" si="586"/>
        <v>Pending</v>
      </c>
      <c r="AC1680" t="str">
        <f t="shared" ca="1" si="587"/>
        <v>Debit Card</v>
      </c>
      <c r="AD1680" t="str">
        <f t="shared" ca="1" si="588"/>
        <v>Yes</v>
      </c>
      <c r="AE1680" t="str">
        <f t="shared" ca="1" si="589"/>
        <v>Yes</v>
      </c>
      <c r="AF1680" t="str">
        <f t="shared" ca="1" si="590"/>
        <v>Transferred</v>
      </c>
      <c r="AG1680" t="str">
        <f t="shared" ca="1" si="591"/>
        <v>Southeast</v>
      </c>
      <c r="AH1680" t="str">
        <f t="shared" si="574"/>
        <v>June</v>
      </c>
      <c r="AI1680">
        <f t="shared" si="575"/>
        <v>2021</v>
      </c>
      <c r="AJ1680" t="str">
        <f t="shared" ca="1" si="592"/>
        <v>Occupied</v>
      </c>
      <c r="AK1680">
        <f t="shared" ca="1" si="593"/>
        <v>2</v>
      </c>
    </row>
    <row r="1681" spans="1:37" x14ac:dyDescent="0.3">
      <c r="A1681" t="s">
        <v>6069</v>
      </c>
      <c r="B1681">
        <v>56</v>
      </c>
      <c r="C1681" t="s">
        <v>15</v>
      </c>
      <c r="D1681" t="s">
        <v>33</v>
      </c>
      <c r="E1681" t="s">
        <v>25</v>
      </c>
      <c r="F1681" s="1">
        <v>44208</v>
      </c>
      <c r="G1681" t="s">
        <v>3352</v>
      </c>
      <c r="H1681" t="s">
        <v>3353</v>
      </c>
      <c r="I1681" t="s">
        <v>28</v>
      </c>
      <c r="J1681">
        <v>28531</v>
      </c>
      <c r="K1681">
        <v>279</v>
      </c>
      <c r="L1681" t="s">
        <v>21</v>
      </c>
      <c r="M1681" s="1">
        <v>44223</v>
      </c>
      <c r="N1681" t="s">
        <v>22</v>
      </c>
      <c r="O1681" t="s">
        <v>23</v>
      </c>
      <c r="P1681" t="str">
        <f t="shared" si="576"/>
        <v>P1680</v>
      </c>
      <c r="Q1681" t="str">
        <f t="shared" si="572"/>
        <v>Nutrition</v>
      </c>
      <c r="R1681">
        <f t="shared" si="573"/>
        <v>15</v>
      </c>
      <c r="S1681" t="str">
        <f t="shared" ca="1" si="577"/>
        <v>No</v>
      </c>
      <c r="T1681" t="str">
        <f t="shared" ca="1" si="578"/>
        <v>Severe</v>
      </c>
      <c r="U1681" t="str">
        <f t="shared" ca="1" si="579"/>
        <v>General Ward</v>
      </c>
      <c r="V1681" t="str">
        <f t="shared" si="580"/>
        <v>BED1680</v>
      </c>
      <c r="W1681" t="str">
        <f t="shared" ca="1" si="581"/>
        <v>Private</v>
      </c>
      <c r="X1681" t="str">
        <f t="shared" si="582"/>
        <v>NUR030</v>
      </c>
      <c r="Y1681" t="str">
        <f t="shared" ca="1" si="583"/>
        <v>Morning</v>
      </c>
      <c r="Z1681" t="str">
        <f t="shared" ca="1" si="584"/>
        <v>MRI Scanner</v>
      </c>
      <c r="AA1681" t="str">
        <f t="shared" ca="1" si="585"/>
        <v>Maintenance</v>
      </c>
      <c r="AB1681" t="str">
        <f t="shared" ca="1" si="586"/>
        <v>Pending</v>
      </c>
      <c r="AC1681" t="str">
        <f t="shared" ca="1" si="587"/>
        <v>Debit Card</v>
      </c>
      <c r="AD1681" t="str">
        <f t="shared" ca="1" si="588"/>
        <v>No</v>
      </c>
      <c r="AE1681" t="str">
        <f t="shared" ca="1" si="589"/>
        <v>No</v>
      </c>
      <c r="AF1681" t="str">
        <f t="shared" ca="1" si="590"/>
        <v>Transferred</v>
      </c>
      <c r="AG1681" t="str">
        <f t="shared" ca="1" si="591"/>
        <v>West Coast</v>
      </c>
      <c r="AH1681" t="str">
        <f t="shared" si="574"/>
        <v>January</v>
      </c>
      <c r="AI1681">
        <f t="shared" si="575"/>
        <v>2021</v>
      </c>
      <c r="AJ1681" t="str">
        <f t="shared" ca="1" si="592"/>
        <v>Occupied</v>
      </c>
      <c r="AK1681">
        <f t="shared" ca="1" si="593"/>
        <v>4</v>
      </c>
    </row>
    <row r="1682" spans="1:37" x14ac:dyDescent="0.3">
      <c r="A1682" t="s">
        <v>6070</v>
      </c>
      <c r="B1682">
        <v>80</v>
      </c>
      <c r="C1682" t="s">
        <v>32</v>
      </c>
      <c r="D1682" t="s">
        <v>24</v>
      </c>
      <c r="E1682" t="s">
        <v>39</v>
      </c>
      <c r="F1682" s="1">
        <v>45146</v>
      </c>
      <c r="G1682" t="s">
        <v>3354</v>
      </c>
      <c r="H1682" t="s">
        <v>2555</v>
      </c>
      <c r="I1682" t="s">
        <v>51</v>
      </c>
      <c r="J1682">
        <v>49447</v>
      </c>
      <c r="K1682">
        <v>320</v>
      </c>
      <c r="L1682" t="s">
        <v>42</v>
      </c>
      <c r="M1682" s="1">
        <v>45166</v>
      </c>
      <c r="N1682" t="s">
        <v>37</v>
      </c>
      <c r="O1682" t="s">
        <v>43</v>
      </c>
      <c r="P1682" t="str">
        <f t="shared" si="576"/>
        <v>P1681</v>
      </c>
      <c r="Q1682" t="str">
        <f t="shared" si="572"/>
        <v>Endocrinology</v>
      </c>
      <c r="R1682">
        <f t="shared" si="573"/>
        <v>20</v>
      </c>
      <c r="S1682" t="str">
        <f t="shared" ca="1" si="577"/>
        <v>No</v>
      </c>
      <c r="T1682" t="str">
        <f t="shared" ca="1" si="578"/>
        <v>Moderate</v>
      </c>
      <c r="U1682" t="str">
        <f t="shared" ca="1" si="579"/>
        <v>Semi-Private</v>
      </c>
      <c r="V1682" t="str">
        <f t="shared" si="580"/>
        <v>BED1681</v>
      </c>
      <c r="W1682" t="str">
        <f t="shared" ca="1" si="581"/>
        <v>Private</v>
      </c>
      <c r="X1682" t="str">
        <f t="shared" si="582"/>
        <v>NUR031</v>
      </c>
      <c r="Y1682" t="str">
        <f t="shared" ca="1" si="583"/>
        <v>Morning</v>
      </c>
      <c r="Z1682" t="str">
        <f t="shared" ca="1" si="584"/>
        <v>ECG Machine</v>
      </c>
      <c r="AA1682" t="str">
        <f t="shared" ca="1" si="585"/>
        <v>Maintenance</v>
      </c>
      <c r="AB1682" t="str">
        <f t="shared" ca="1" si="586"/>
        <v>Partially Paid</v>
      </c>
      <c r="AC1682" t="str">
        <f t="shared" ca="1" si="587"/>
        <v>Insurance</v>
      </c>
      <c r="AD1682" t="str">
        <f t="shared" ca="1" si="588"/>
        <v>No</v>
      </c>
      <c r="AE1682" t="str">
        <f t="shared" ca="1" si="589"/>
        <v>No</v>
      </c>
      <c r="AF1682" t="str">
        <f t="shared" ca="1" si="590"/>
        <v>Under Observation</v>
      </c>
      <c r="AG1682" t="str">
        <f t="shared" ca="1" si="591"/>
        <v>Midwest</v>
      </c>
      <c r="AH1682" t="str">
        <f t="shared" si="574"/>
        <v>August</v>
      </c>
      <c r="AI1682">
        <f t="shared" si="575"/>
        <v>2023</v>
      </c>
      <c r="AJ1682" t="str">
        <f t="shared" ca="1" si="592"/>
        <v>Occupied</v>
      </c>
      <c r="AK1682">
        <f t="shared" ca="1" si="593"/>
        <v>1</v>
      </c>
    </row>
    <row r="1683" spans="1:37" x14ac:dyDescent="0.3">
      <c r="A1683" t="s">
        <v>4569</v>
      </c>
      <c r="B1683">
        <v>52</v>
      </c>
      <c r="C1683" t="s">
        <v>32</v>
      </c>
      <c r="D1683" t="s">
        <v>83</v>
      </c>
      <c r="E1683" t="s">
        <v>76</v>
      </c>
      <c r="F1683" s="1">
        <v>44691</v>
      </c>
      <c r="G1683" t="s">
        <v>3355</v>
      </c>
      <c r="H1683" t="s">
        <v>3356</v>
      </c>
      <c r="I1683" t="s">
        <v>57</v>
      </c>
      <c r="J1683">
        <v>18961</v>
      </c>
      <c r="K1683">
        <v>120</v>
      </c>
      <c r="L1683" t="s">
        <v>29</v>
      </c>
      <c r="M1683" s="1">
        <v>44698</v>
      </c>
      <c r="N1683" t="s">
        <v>22</v>
      </c>
      <c r="O1683" t="s">
        <v>43</v>
      </c>
      <c r="P1683" t="str">
        <f t="shared" si="576"/>
        <v>P1682</v>
      </c>
      <c r="Q1683" t="str">
        <f t="shared" si="572"/>
        <v>Orthopedics</v>
      </c>
      <c r="R1683">
        <f t="shared" si="573"/>
        <v>7</v>
      </c>
      <c r="S1683" t="str">
        <f t="shared" ca="1" si="577"/>
        <v>No</v>
      </c>
      <c r="T1683" t="str">
        <f t="shared" ca="1" si="578"/>
        <v>Mild</v>
      </c>
      <c r="U1683" t="str">
        <f t="shared" ca="1" si="579"/>
        <v>General Ward</v>
      </c>
      <c r="V1683" t="str">
        <f t="shared" si="580"/>
        <v>BED1682</v>
      </c>
      <c r="W1683" t="str">
        <f t="shared" ca="1" si="581"/>
        <v>Private</v>
      </c>
      <c r="X1683" t="str">
        <f t="shared" si="582"/>
        <v>NUR032</v>
      </c>
      <c r="Y1683" t="str">
        <f t="shared" ca="1" si="583"/>
        <v>Morning</v>
      </c>
      <c r="Z1683" t="str">
        <f t="shared" ca="1" si="584"/>
        <v>CT Scanner</v>
      </c>
      <c r="AA1683" t="str">
        <f t="shared" ca="1" si="585"/>
        <v>Available</v>
      </c>
      <c r="AB1683" t="str">
        <f t="shared" ca="1" si="586"/>
        <v>Partially Paid</v>
      </c>
      <c r="AC1683" t="str">
        <f t="shared" ca="1" si="587"/>
        <v>Debit Card</v>
      </c>
      <c r="AD1683" t="str">
        <f t="shared" ca="1" si="588"/>
        <v>No</v>
      </c>
      <c r="AE1683" t="str">
        <f t="shared" ca="1" si="589"/>
        <v>No</v>
      </c>
      <c r="AF1683" t="str">
        <f t="shared" ca="1" si="590"/>
        <v>Under Observation</v>
      </c>
      <c r="AG1683" t="str">
        <f t="shared" ca="1" si="591"/>
        <v>Southwest</v>
      </c>
      <c r="AH1683" t="str">
        <f t="shared" si="574"/>
        <v>May</v>
      </c>
      <c r="AI1683">
        <f t="shared" si="575"/>
        <v>2022</v>
      </c>
      <c r="AJ1683" t="str">
        <f t="shared" ca="1" si="592"/>
        <v>Occupied</v>
      </c>
      <c r="AK1683">
        <f t="shared" ca="1" si="593"/>
        <v>4</v>
      </c>
    </row>
    <row r="1684" spans="1:37" x14ac:dyDescent="0.3">
      <c r="A1684" t="s">
        <v>6071</v>
      </c>
      <c r="B1684">
        <v>63</v>
      </c>
      <c r="C1684" t="s">
        <v>15</v>
      </c>
      <c r="D1684" t="s">
        <v>83</v>
      </c>
      <c r="E1684" t="s">
        <v>48</v>
      </c>
      <c r="F1684" s="1">
        <v>44648</v>
      </c>
      <c r="G1684" t="s">
        <v>3357</v>
      </c>
      <c r="H1684" t="s">
        <v>3358</v>
      </c>
      <c r="I1684" t="s">
        <v>57</v>
      </c>
      <c r="J1684">
        <v>33812</v>
      </c>
      <c r="K1684">
        <v>181</v>
      </c>
      <c r="L1684" t="s">
        <v>21</v>
      </c>
      <c r="M1684" s="1">
        <v>44650</v>
      </c>
      <c r="N1684" t="s">
        <v>47</v>
      </c>
      <c r="O1684" t="s">
        <v>43</v>
      </c>
      <c r="P1684" t="str">
        <f t="shared" si="576"/>
        <v>P1683</v>
      </c>
      <c r="Q1684" t="str">
        <f t="shared" si="572"/>
        <v>Pulmonology</v>
      </c>
      <c r="R1684">
        <f t="shared" si="573"/>
        <v>2</v>
      </c>
      <c r="S1684" t="str">
        <f t="shared" ca="1" si="577"/>
        <v>No</v>
      </c>
      <c r="T1684" t="str">
        <f t="shared" ca="1" si="578"/>
        <v>Moderate</v>
      </c>
      <c r="U1684" t="str">
        <f t="shared" ca="1" si="579"/>
        <v>General Ward</v>
      </c>
      <c r="V1684" t="str">
        <f t="shared" si="580"/>
        <v>BED1683</v>
      </c>
      <c r="W1684" t="str">
        <f t="shared" ca="1" si="581"/>
        <v>General</v>
      </c>
      <c r="X1684" t="str">
        <f t="shared" si="582"/>
        <v>NUR033</v>
      </c>
      <c r="Y1684" t="str">
        <f t="shared" ca="1" si="583"/>
        <v>Night</v>
      </c>
      <c r="Z1684" t="str">
        <f t="shared" ca="1" si="584"/>
        <v>ECG Machine</v>
      </c>
      <c r="AA1684" t="str">
        <f t="shared" ca="1" si="585"/>
        <v>Available</v>
      </c>
      <c r="AB1684" t="str">
        <f t="shared" ca="1" si="586"/>
        <v>Paid</v>
      </c>
      <c r="AC1684" t="str">
        <f t="shared" ca="1" si="587"/>
        <v>Credit Card</v>
      </c>
      <c r="AD1684" t="str">
        <f t="shared" ca="1" si="588"/>
        <v>No</v>
      </c>
      <c r="AE1684" t="str">
        <f t="shared" ca="1" si="589"/>
        <v>No</v>
      </c>
      <c r="AF1684" t="str">
        <f t="shared" ca="1" si="590"/>
        <v>Transferred</v>
      </c>
      <c r="AG1684" t="str">
        <f t="shared" ca="1" si="591"/>
        <v>Northeast</v>
      </c>
      <c r="AH1684" t="str">
        <f t="shared" si="574"/>
        <v>March</v>
      </c>
      <c r="AI1684">
        <f t="shared" si="575"/>
        <v>2022</v>
      </c>
      <c r="AJ1684" t="str">
        <f t="shared" ca="1" si="592"/>
        <v>Vacant</v>
      </c>
      <c r="AK1684">
        <f t="shared" ca="1" si="593"/>
        <v>2</v>
      </c>
    </row>
    <row r="1685" spans="1:37" x14ac:dyDescent="0.3">
      <c r="A1685" t="s">
        <v>6072</v>
      </c>
      <c r="B1685">
        <v>52</v>
      </c>
      <c r="C1685" t="s">
        <v>32</v>
      </c>
      <c r="D1685" t="s">
        <v>98</v>
      </c>
      <c r="E1685" t="s">
        <v>25</v>
      </c>
      <c r="F1685" s="1">
        <v>43593</v>
      </c>
      <c r="G1685" t="s">
        <v>3359</v>
      </c>
      <c r="H1685" t="s">
        <v>3360</v>
      </c>
      <c r="I1685" t="s">
        <v>57</v>
      </c>
      <c r="J1685">
        <v>26452</v>
      </c>
      <c r="K1685">
        <v>169</v>
      </c>
      <c r="L1685" t="s">
        <v>29</v>
      </c>
      <c r="M1685" s="1">
        <v>43598</v>
      </c>
      <c r="N1685" t="s">
        <v>30</v>
      </c>
      <c r="O1685" t="s">
        <v>43</v>
      </c>
      <c r="P1685" t="str">
        <f t="shared" si="576"/>
        <v>P1684</v>
      </c>
      <c r="Q1685" t="str">
        <f t="shared" si="572"/>
        <v>Nutrition</v>
      </c>
      <c r="R1685">
        <f t="shared" si="573"/>
        <v>5</v>
      </c>
      <c r="S1685" t="str">
        <f t="shared" ca="1" si="577"/>
        <v>No</v>
      </c>
      <c r="T1685" t="str">
        <f t="shared" ca="1" si="578"/>
        <v>Mild</v>
      </c>
      <c r="U1685" t="str">
        <f t="shared" ca="1" si="579"/>
        <v>General Ward</v>
      </c>
      <c r="V1685" t="str">
        <f t="shared" si="580"/>
        <v>BED1684</v>
      </c>
      <c r="W1685" t="str">
        <f t="shared" ca="1" si="581"/>
        <v>Semi-Private</v>
      </c>
      <c r="X1685" t="str">
        <f t="shared" si="582"/>
        <v>NUR034</v>
      </c>
      <c r="Y1685" t="str">
        <f t="shared" ca="1" si="583"/>
        <v>Morning</v>
      </c>
      <c r="Z1685" t="str">
        <f t="shared" ca="1" si="584"/>
        <v>Ultrasound</v>
      </c>
      <c r="AA1685" t="str">
        <f t="shared" ca="1" si="585"/>
        <v>Available</v>
      </c>
      <c r="AB1685" t="str">
        <f t="shared" ca="1" si="586"/>
        <v>Paid</v>
      </c>
      <c r="AC1685" t="str">
        <f t="shared" ca="1" si="587"/>
        <v>Debit Card</v>
      </c>
      <c r="AD1685" t="str">
        <f t="shared" ca="1" si="588"/>
        <v>No</v>
      </c>
      <c r="AE1685" t="str">
        <f t="shared" ca="1" si="589"/>
        <v>No</v>
      </c>
      <c r="AF1685" t="str">
        <f t="shared" ca="1" si="590"/>
        <v>Under Observation</v>
      </c>
      <c r="AG1685" t="str">
        <f t="shared" ca="1" si="591"/>
        <v>Southeast</v>
      </c>
      <c r="AH1685" t="str">
        <f t="shared" si="574"/>
        <v>May</v>
      </c>
      <c r="AI1685">
        <f t="shared" si="575"/>
        <v>2019</v>
      </c>
      <c r="AJ1685" t="str">
        <f t="shared" ca="1" si="592"/>
        <v>Occupied</v>
      </c>
      <c r="AK1685">
        <f t="shared" ca="1" si="593"/>
        <v>1</v>
      </c>
    </row>
    <row r="1686" spans="1:37" x14ac:dyDescent="0.3">
      <c r="A1686" t="s">
        <v>6073</v>
      </c>
      <c r="B1686">
        <v>63</v>
      </c>
      <c r="C1686" t="s">
        <v>15</v>
      </c>
      <c r="D1686" t="s">
        <v>38</v>
      </c>
      <c r="E1686" t="s">
        <v>25</v>
      </c>
      <c r="F1686" s="1">
        <v>44955</v>
      </c>
      <c r="G1686" t="s">
        <v>3361</v>
      </c>
      <c r="H1686" t="s">
        <v>3362</v>
      </c>
      <c r="I1686" t="s">
        <v>28</v>
      </c>
      <c r="J1686">
        <v>24883</v>
      </c>
      <c r="K1686">
        <v>157</v>
      </c>
      <c r="L1686" t="s">
        <v>42</v>
      </c>
      <c r="M1686" s="1">
        <v>44980</v>
      </c>
      <c r="N1686" t="s">
        <v>37</v>
      </c>
      <c r="O1686" t="s">
        <v>23</v>
      </c>
      <c r="P1686" t="str">
        <f t="shared" si="576"/>
        <v>P1685</v>
      </c>
      <c r="Q1686" t="str">
        <f t="shared" si="572"/>
        <v>Nutrition</v>
      </c>
      <c r="R1686">
        <f t="shared" si="573"/>
        <v>25</v>
      </c>
      <c r="S1686" t="str">
        <f t="shared" ca="1" si="577"/>
        <v>Yes</v>
      </c>
      <c r="T1686" t="str">
        <f t="shared" ca="1" si="578"/>
        <v>Severe</v>
      </c>
      <c r="U1686" t="str">
        <f t="shared" ca="1" si="579"/>
        <v>General Ward</v>
      </c>
      <c r="V1686" t="str">
        <f t="shared" si="580"/>
        <v>BED1685</v>
      </c>
      <c r="W1686" t="str">
        <f t="shared" ca="1" si="581"/>
        <v>Private</v>
      </c>
      <c r="X1686" t="str">
        <f t="shared" si="582"/>
        <v>NUR035</v>
      </c>
      <c r="Y1686" t="str">
        <f t="shared" ca="1" si="583"/>
        <v>Night</v>
      </c>
      <c r="Z1686" t="str">
        <f t="shared" ca="1" si="584"/>
        <v>X-Ray</v>
      </c>
      <c r="AA1686" t="str">
        <f t="shared" ca="1" si="585"/>
        <v>Available</v>
      </c>
      <c r="AB1686" t="str">
        <f t="shared" ca="1" si="586"/>
        <v>Paid</v>
      </c>
      <c r="AC1686" t="str">
        <f t="shared" ca="1" si="587"/>
        <v>Credit Card</v>
      </c>
      <c r="AD1686" t="str">
        <f t="shared" ca="1" si="588"/>
        <v>No</v>
      </c>
      <c r="AE1686" t="str">
        <f t="shared" ca="1" si="589"/>
        <v>No</v>
      </c>
      <c r="AF1686" t="str">
        <f t="shared" ca="1" si="590"/>
        <v>Recovered</v>
      </c>
      <c r="AG1686" t="str">
        <f t="shared" ca="1" si="591"/>
        <v>West Coast</v>
      </c>
      <c r="AH1686" t="str">
        <f t="shared" si="574"/>
        <v>January</v>
      </c>
      <c r="AI1686">
        <f t="shared" si="575"/>
        <v>2023</v>
      </c>
      <c r="AJ1686" t="str">
        <f t="shared" ca="1" si="592"/>
        <v>Vacant</v>
      </c>
      <c r="AK1686">
        <f t="shared" ca="1" si="593"/>
        <v>4</v>
      </c>
    </row>
    <row r="1687" spans="1:37" x14ac:dyDescent="0.3">
      <c r="A1687" t="s">
        <v>6074</v>
      </c>
      <c r="B1687">
        <v>40</v>
      </c>
      <c r="C1687" t="s">
        <v>32</v>
      </c>
      <c r="D1687" t="s">
        <v>33</v>
      </c>
      <c r="E1687" t="s">
        <v>17</v>
      </c>
      <c r="F1687" s="1">
        <v>44494</v>
      </c>
      <c r="G1687" t="s">
        <v>3363</v>
      </c>
      <c r="H1687" t="s">
        <v>3364</v>
      </c>
      <c r="I1687" t="s">
        <v>20</v>
      </c>
      <c r="J1687">
        <v>15502</v>
      </c>
      <c r="K1687">
        <v>339</v>
      </c>
      <c r="L1687" t="s">
        <v>21</v>
      </c>
      <c r="M1687" s="1">
        <v>44497</v>
      </c>
      <c r="N1687" t="s">
        <v>47</v>
      </c>
      <c r="O1687" t="s">
        <v>31</v>
      </c>
      <c r="P1687" t="str">
        <f t="shared" si="576"/>
        <v>P1686</v>
      </c>
      <c r="Q1687" t="str">
        <f t="shared" si="572"/>
        <v>Oncology</v>
      </c>
      <c r="R1687">
        <f t="shared" si="573"/>
        <v>3</v>
      </c>
      <c r="S1687" t="str">
        <f t="shared" ca="1" si="577"/>
        <v>Yes</v>
      </c>
      <c r="T1687" t="str">
        <f t="shared" ca="1" si="578"/>
        <v>Mild</v>
      </c>
      <c r="U1687" t="str">
        <f t="shared" ca="1" si="579"/>
        <v>Private Ward</v>
      </c>
      <c r="V1687" t="str">
        <f t="shared" si="580"/>
        <v>BED1686</v>
      </c>
      <c r="W1687" t="str">
        <f t="shared" ca="1" si="581"/>
        <v>Semi-Private</v>
      </c>
      <c r="X1687" t="str">
        <f t="shared" si="582"/>
        <v>NUR036</v>
      </c>
      <c r="Y1687" t="str">
        <f t="shared" ca="1" si="583"/>
        <v>Evening</v>
      </c>
      <c r="Z1687" t="str">
        <f t="shared" ca="1" si="584"/>
        <v>Ultrasound</v>
      </c>
      <c r="AA1687" t="str">
        <f t="shared" ca="1" si="585"/>
        <v>In Use</v>
      </c>
      <c r="AB1687" t="str">
        <f t="shared" ca="1" si="586"/>
        <v>Paid</v>
      </c>
      <c r="AC1687" t="str">
        <f t="shared" ca="1" si="587"/>
        <v>Credit Card</v>
      </c>
      <c r="AD1687" t="str">
        <f t="shared" ca="1" si="588"/>
        <v>No</v>
      </c>
      <c r="AE1687" t="str">
        <f t="shared" ca="1" si="589"/>
        <v>No</v>
      </c>
      <c r="AF1687" t="str">
        <f t="shared" ca="1" si="590"/>
        <v>Recovered</v>
      </c>
      <c r="AG1687" t="str">
        <f t="shared" ca="1" si="591"/>
        <v>Southeast</v>
      </c>
      <c r="AH1687" t="str">
        <f t="shared" si="574"/>
        <v>October</v>
      </c>
      <c r="AI1687">
        <f t="shared" si="575"/>
        <v>2021</v>
      </c>
      <c r="AJ1687" t="str">
        <f t="shared" ca="1" si="592"/>
        <v>Occupied</v>
      </c>
      <c r="AK1687">
        <f t="shared" ca="1" si="593"/>
        <v>2</v>
      </c>
    </row>
    <row r="1688" spans="1:37" x14ac:dyDescent="0.3">
      <c r="A1688" t="s">
        <v>6075</v>
      </c>
      <c r="B1688">
        <v>50</v>
      </c>
      <c r="C1688" t="s">
        <v>32</v>
      </c>
      <c r="D1688" t="s">
        <v>24</v>
      </c>
      <c r="E1688" t="s">
        <v>39</v>
      </c>
      <c r="F1688" s="1">
        <v>43756</v>
      </c>
      <c r="G1688" t="s">
        <v>3365</v>
      </c>
      <c r="H1688" t="s">
        <v>3332</v>
      </c>
      <c r="I1688" t="s">
        <v>51</v>
      </c>
      <c r="J1688">
        <v>40619</v>
      </c>
      <c r="K1688">
        <v>440</v>
      </c>
      <c r="L1688" t="s">
        <v>42</v>
      </c>
      <c r="M1688" s="1">
        <v>43777</v>
      </c>
      <c r="N1688" t="s">
        <v>30</v>
      </c>
      <c r="O1688" t="s">
        <v>31</v>
      </c>
      <c r="P1688" t="str">
        <f t="shared" si="576"/>
        <v>P1687</v>
      </c>
      <c r="Q1688" t="str">
        <f t="shared" si="572"/>
        <v>Endocrinology</v>
      </c>
      <c r="R1688">
        <f t="shared" si="573"/>
        <v>21</v>
      </c>
      <c r="S1688" t="str">
        <f t="shared" ca="1" si="577"/>
        <v>No</v>
      </c>
      <c r="T1688" t="str">
        <f t="shared" ca="1" si="578"/>
        <v>Critical</v>
      </c>
      <c r="U1688" t="str">
        <f t="shared" ca="1" si="579"/>
        <v>ICU</v>
      </c>
      <c r="V1688" t="str">
        <f t="shared" si="580"/>
        <v>BED1687</v>
      </c>
      <c r="W1688" t="str">
        <f t="shared" ca="1" si="581"/>
        <v>General</v>
      </c>
      <c r="X1688" t="str">
        <f t="shared" si="582"/>
        <v>NUR037</v>
      </c>
      <c r="Y1688" t="str">
        <f t="shared" ca="1" si="583"/>
        <v>Night</v>
      </c>
      <c r="Z1688" t="str">
        <f t="shared" ca="1" si="584"/>
        <v>CT Scanner</v>
      </c>
      <c r="AA1688" t="str">
        <f t="shared" ca="1" si="585"/>
        <v>In Use</v>
      </c>
      <c r="AB1688" t="str">
        <f t="shared" ca="1" si="586"/>
        <v>Pending</v>
      </c>
      <c r="AC1688" t="str">
        <f t="shared" ca="1" si="587"/>
        <v>Insurance</v>
      </c>
      <c r="AD1688" t="str">
        <f t="shared" ca="1" si="588"/>
        <v>Yes</v>
      </c>
      <c r="AE1688" t="str">
        <f t="shared" ca="1" si="589"/>
        <v>No</v>
      </c>
      <c r="AF1688" t="str">
        <f t="shared" ca="1" si="590"/>
        <v>Under Observation</v>
      </c>
      <c r="AG1688" t="str">
        <f t="shared" ca="1" si="591"/>
        <v>West Coast</v>
      </c>
      <c r="AH1688" t="str">
        <f t="shared" si="574"/>
        <v>October</v>
      </c>
      <c r="AI1688">
        <f t="shared" si="575"/>
        <v>2019</v>
      </c>
      <c r="AJ1688" t="str">
        <f t="shared" ca="1" si="592"/>
        <v>Occupied</v>
      </c>
      <c r="AK1688">
        <f t="shared" ca="1" si="593"/>
        <v>2</v>
      </c>
    </row>
    <row r="1689" spans="1:37" x14ac:dyDescent="0.3">
      <c r="A1689" t="s">
        <v>6076</v>
      </c>
      <c r="B1689">
        <v>33</v>
      </c>
      <c r="C1689" t="s">
        <v>32</v>
      </c>
      <c r="D1689" t="s">
        <v>52</v>
      </c>
      <c r="E1689" t="s">
        <v>39</v>
      </c>
      <c r="F1689" s="1">
        <v>44703</v>
      </c>
      <c r="G1689" t="s">
        <v>3366</v>
      </c>
      <c r="H1689" t="s">
        <v>3367</v>
      </c>
      <c r="I1689" t="s">
        <v>51</v>
      </c>
      <c r="J1689">
        <v>22261</v>
      </c>
      <c r="K1689">
        <v>193</v>
      </c>
      <c r="L1689" t="s">
        <v>29</v>
      </c>
      <c r="M1689" s="1">
        <v>44721</v>
      </c>
      <c r="N1689" t="s">
        <v>47</v>
      </c>
      <c r="O1689" t="s">
        <v>43</v>
      </c>
      <c r="P1689" t="str">
        <f t="shared" si="576"/>
        <v>P1688</v>
      </c>
      <c r="Q1689" t="str">
        <f t="shared" si="572"/>
        <v>Endocrinology</v>
      </c>
      <c r="R1689">
        <f t="shared" si="573"/>
        <v>18</v>
      </c>
      <c r="S1689" t="str">
        <f t="shared" ca="1" si="577"/>
        <v>No</v>
      </c>
      <c r="T1689" t="str">
        <f t="shared" ca="1" si="578"/>
        <v>Mild</v>
      </c>
      <c r="U1689" t="str">
        <f t="shared" ca="1" si="579"/>
        <v>Emergency</v>
      </c>
      <c r="V1689" t="str">
        <f t="shared" si="580"/>
        <v>BED1688</v>
      </c>
      <c r="W1689" t="str">
        <f t="shared" ca="1" si="581"/>
        <v>General</v>
      </c>
      <c r="X1689" t="str">
        <f t="shared" si="582"/>
        <v>NUR038</v>
      </c>
      <c r="Y1689" t="str">
        <f t="shared" ca="1" si="583"/>
        <v>Night</v>
      </c>
      <c r="Z1689" t="str">
        <f t="shared" ca="1" si="584"/>
        <v>X-Ray</v>
      </c>
      <c r="AA1689" t="str">
        <f t="shared" ca="1" si="585"/>
        <v>In Use</v>
      </c>
      <c r="AB1689" t="str">
        <f t="shared" ca="1" si="586"/>
        <v>Partially Paid</v>
      </c>
      <c r="AC1689" t="str">
        <f t="shared" ca="1" si="587"/>
        <v>Cash</v>
      </c>
      <c r="AD1689" t="str">
        <f t="shared" ca="1" si="588"/>
        <v>No</v>
      </c>
      <c r="AE1689" t="str">
        <f t="shared" ca="1" si="589"/>
        <v>No</v>
      </c>
      <c r="AF1689" t="str">
        <f t="shared" ca="1" si="590"/>
        <v>Transferred</v>
      </c>
      <c r="AG1689" t="str">
        <f t="shared" ca="1" si="591"/>
        <v>Southeast</v>
      </c>
      <c r="AH1689" t="str">
        <f t="shared" si="574"/>
        <v>May</v>
      </c>
      <c r="AI1689">
        <f t="shared" si="575"/>
        <v>2022</v>
      </c>
      <c r="AJ1689" t="str">
        <f t="shared" ca="1" si="592"/>
        <v>Vacant</v>
      </c>
      <c r="AK1689">
        <f t="shared" ca="1" si="593"/>
        <v>1</v>
      </c>
    </row>
    <row r="1690" spans="1:37" x14ac:dyDescent="0.3">
      <c r="A1690" t="s">
        <v>5913</v>
      </c>
      <c r="B1690">
        <v>84</v>
      </c>
      <c r="C1690" t="s">
        <v>32</v>
      </c>
      <c r="D1690" t="s">
        <v>24</v>
      </c>
      <c r="E1690" t="s">
        <v>39</v>
      </c>
      <c r="F1690" s="1">
        <v>45229</v>
      </c>
      <c r="G1690" t="s">
        <v>3368</v>
      </c>
      <c r="H1690" t="s">
        <v>3369</v>
      </c>
      <c r="I1690" t="s">
        <v>36</v>
      </c>
      <c r="J1690">
        <v>5145</v>
      </c>
      <c r="K1690">
        <v>422</v>
      </c>
      <c r="L1690" t="s">
        <v>21</v>
      </c>
      <c r="M1690" s="1">
        <v>45240</v>
      </c>
      <c r="N1690" t="s">
        <v>37</v>
      </c>
      <c r="O1690" t="s">
        <v>31</v>
      </c>
      <c r="P1690" t="str">
        <f t="shared" si="576"/>
        <v>P1689</v>
      </c>
      <c r="Q1690" t="str">
        <f t="shared" si="572"/>
        <v>Endocrinology</v>
      </c>
      <c r="R1690">
        <f t="shared" si="573"/>
        <v>11</v>
      </c>
      <c r="S1690" t="str">
        <f t="shared" ca="1" si="577"/>
        <v>No</v>
      </c>
      <c r="T1690" t="str">
        <f t="shared" ca="1" si="578"/>
        <v>Critical</v>
      </c>
      <c r="U1690" t="str">
        <f t="shared" ca="1" si="579"/>
        <v>Semi-Private</v>
      </c>
      <c r="V1690" t="str">
        <f t="shared" si="580"/>
        <v>BED1689</v>
      </c>
      <c r="W1690" t="str">
        <f t="shared" ca="1" si="581"/>
        <v>ICU</v>
      </c>
      <c r="X1690" t="str">
        <f t="shared" si="582"/>
        <v>NUR039</v>
      </c>
      <c r="Y1690" t="str">
        <f t="shared" ca="1" si="583"/>
        <v>Night</v>
      </c>
      <c r="Z1690" t="str">
        <f t="shared" ca="1" si="584"/>
        <v>MRI Scanner</v>
      </c>
      <c r="AA1690" t="str">
        <f t="shared" ca="1" si="585"/>
        <v>Available</v>
      </c>
      <c r="AB1690" t="str">
        <f t="shared" ca="1" si="586"/>
        <v>Pending</v>
      </c>
      <c r="AC1690" t="str">
        <f t="shared" ca="1" si="587"/>
        <v>Cash</v>
      </c>
      <c r="AD1690" t="str">
        <f t="shared" ca="1" si="588"/>
        <v>Yes</v>
      </c>
      <c r="AE1690" t="str">
        <f t="shared" ca="1" si="589"/>
        <v>No</v>
      </c>
      <c r="AF1690" t="str">
        <f t="shared" ca="1" si="590"/>
        <v>Recovered</v>
      </c>
      <c r="AG1690" t="str">
        <f t="shared" ca="1" si="591"/>
        <v>Southwest</v>
      </c>
      <c r="AH1690" t="str">
        <f t="shared" si="574"/>
        <v>October</v>
      </c>
      <c r="AI1690">
        <f t="shared" si="575"/>
        <v>2023</v>
      </c>
      <c r="AJ1690" t="str">
        <f t="shared" ca="1" si="592"/>
        <v>Occupied</v>
      </c>
      <c r="AK1690">
        <f t="shared" ca="1" si="593"/>
        <v>4</v>
      </c>
    </row>
    <row r="1691" spans="1:37" x14ac:dyDescent="0.3">
      <c r="A1691" t="s">
        <v>6077</v>
      </c>
      <c r="B1691">
        <v>41</v>
      </c>
      <c r="C1691" t="s">
        <v>15</v>
      </c>
      <c r="D1691" t="s">
        <v>98</v>
      </c>
      <c r="E1691" t="s">
        <v>17</v>
      </c>
      <c r="F1691" s="1">
        <v>44036</v>
      </c>
      <c r="G1691" t="s">
        <v>3370</v>
      </c>
      <c r="H1691" t="s">
        <v>3371</v>
      </c>
      <c r="I1691" t="s">
        <v>57</v>
      </c>
      <c r="J1691">
        <v>38405</v>
      </c>
      <c r="K1691">
        <v>201</v>
      </c>
      <c r="L1691" t="s">
        <v>29</v>
      </c>
      <c r="M1691" s="1">
        <v>44047</v>
      </c>
      <c r="N1691" t="s">
        <v>30</v>
      </c>
      <c r="O1691" t="s">
        <v>43</v>
      </c>
      <c r="P1691" t="str">
        <f t="shared" si="576"/>
        <v>P1690</v>
      </c>
      <c r="Q1691" t="str">
        <f t="shared" si="572"/>
        <v>Oncology</v>
      </c>
      <c r="R1691">
        <f t="shared" si="573"/>
        <v>11</v>
      </c>
      <c r="S1691" t="str">
        <f t="shared" ca="1" si="577"/>
        <v>No</v>
      </c>
      <c r="T1691" t="str">
        <f t="shared" ca="1" si="578"/>
        <v>Moderate</v>
      </c>
      <c r="U1691" t="str">
        <f t="shared" ca="1" si="579"/>
        <v>Emergency</v>
      </c>
      <c r="V1691" t="str">
        <f t="shared" si="580"/>
        <v>BED1690</v>
      </c>
      <c r="W1691" t="str">
        <f t="shared" ca="1" si="581"/>
        <v>ICU</v>
      </c>
      <c r="X1691" t="str">
        <f t="shared" si="582"/>
        <v>NUR040</v>
      </c>
      <c r="Y1691" t="str">
        <f t="shared" ca="1" si="583"/>
        <v>Evening</v>
      </c>
      <c r="Z1691" t="str">
        <f t="shared" ca="1" si="584"/>
        <v>Ventilator</v>
      </c>
      <c r="AA1691" t="str">
        <f t="shared" ca="1" si="585"/>
        <v>In Use</v>
      </c>
      <c r="AB1691" t="str">
        <f t="shared" ca="1" si="586"/>
        <v>Paid</v>
      </c>
      <c r="AC1691" t="str">
        <f t="shared" ca="1" si="587"/>
        <v>Credit Card</v>
      </c>
      <c r="AD1691" t="str">
        <f t="shared" ca="1" si="588"/>
        <v>Yes</v>
      </c>
      <c r="AE1691" t="str">
        <f t="shared" ca="1" si="589"/>
        <v>No</v>
      </c>
      <c r="AF1691" t="str">
        <f t="shared" ca="1" si="590"/>
        <v>Under Observation</v>
      </c>
      <c r="AG1691" t="str">
        <f t="shared" ca="1" si="591"/>
        <v>West Coast</v>
      </c>
      <c r="AH1691" t="str">
        <f t="shared" si="574"/>
        <v>July</v>
      </c>
      <c r="AI1691">
        <f t="shared" si="575"/>
        <v>2020</v>
      </c>
      <c r="AJ1691" t="str">
        <f t="shared" ca="1" si="592"/>
        <v>Vacant</v>
      </c>
      <c r="AK1691">
        <f t="shared" ca="1" si="593"/>
        <v>4</v>
      </c>
    </row>
    <row r="1692" spans="1:37" x14ac:dyDescent="0.3">
      <c r="A1692" t="s">
        <v>6078</v>
      </c>
      <c r="B1692">
        <v>30</v>
      </c>
      <c r="C1692" t="s">
        <v>32</v>
      </c>
      <c r="D1692" t="s">
        <v>52</v>
      </c>
      <c r="E1692" t="s">
        <v>25</v>
      </c>
      <c r="F1692" s="1">
        <v>43730</v>
      </c>
      <c r="G1692" t="s">
        <v>3372</v>
      </c>
      <c r="H1692" t="s">
        <v>3373</v>
      </c>
      <c r="I1692" t="s">
        <v>51</v>
      </c>
      <c r="J1692">
        <v>22578</v>
      </c>
      <c r="K1692">
        <v>320</v>
      </c>
      <c r="L1692" t="s">
        <v>29</v>
      </c>
      <c r="M1692" s="1">
        <v>43756</v>
      </c>
      <c r="N1692" t="s">
        <v>37</v>
      </c>
      <c r="O1692" t="s">
        <v>31</v>
      </c>
      <c r="P1692" t="str">
        <f t="shared" si="576"/>
        <v>P1691</v>
      </c>
      <c r="Q1692" t="str">
        <f t="shared" si="572"/>
        <v>Nutrition</v>
      </c>
      <c r="R1692">
        <f t="shared" si="573"/>
        <v>26</v>
      </c>
      <c r="S1692" t="str">
        <f t="shared" ca="1" si="577"/>
        <v>No</v>
      </c>
      <c r="T1692" t="str">
        <f t="shared" ca="1" si="578"/>
        <v>Severe</v>
      </c>
      <c r="U1692" t="str">
        <f t="shared" ca="1" si="579"/>
        <v>Emergency</v>
      </c>
      <c r="V1692" t="str">
        <f t="shared" si="580"/>
        <v>BED1691</v>
      </c>
      <c r="W1692" t="str">
        <f t="shared" ca="1" si="581"/>
        <v>Semi-Private</v>
      </c>
      <c r="X1692" t="str">
        <f t="shared" si="582"/>
        <v>NUR041</v>
      </c>
      <c r="Y1692" t="str">
        <f t="shared" ca="1" si="583"/>
        <v>Evening</v>
      </c>
      <c r="Z1692" t="str">
        <f t="shared" ca="1" si="584"/>
        <v>Ultrasound</v>
      </c>
      <c r="AA1692" t="str">
        <f t="shared" ca="1" si="585"/>
        <v>Available</v>
      </c>
      <c r="AB1692" t="str">
        <f t="shared" ca="1" si="586"/>
        <v>Paid</v>
      </c>
      <c r="AC1692" t="str">
        <f t="shared" ca="1" si="587"/>
        <v>Credit Card</v>
      </c>
      <c r="AD1692" t="str">
        <f t="shared" ca="1" si="588"/>
        <v>No</v>
      </c>
      <c r="AE1692" t="str">
        <f t="shared" ca="1" si="589"/>
        <v>No</v>
      </c>
      <c r="AF1692" t="str">
        <f t="shared" ca="1" si="590"/>
        <v>Under Observation</v>
      </c>
      <c r="AG1692" t="str">
        <f t="shared" ca="1" si="591"/>
        <v>Northeast</v>
      </c>
      <c r="AH1692" t="str">
        <f t="shared" si="574"/>
        <v>September</v>
      </c>
      <c r="AI1692">
        <f t="shared" si="575"/>
        <v>2019</v>
      </c>
      <c r="AJ1692" t="str">
        <f t="shared" ca="1" si="592"/>
        <v>Occupied</v>
      </c>
      <c r="AK1692">
        <f t="shared" ca="1" si="593"/>
        <v>2</v>
      </c>
    </row>
    <row r="1693" spans="1:37" x14ac:dyDescent="0.3">
      <c r="A1693" t="s">
        <v>6079</v>
      </c>
      <c r="B1693">
        <v>60</v>
      </c>
      <c r="C1693" t="s">
        <v>32</v>
      </c>
      <c r="D1693" t="s">
        <v>33</v>
      </c>
      <c r="E1693" t="s">
        <v>17</v>
      </c>
      <c r="F1693" s="1">
        <v>43692</v>
      </c>
      <c r="G1693" t="s">
        <v>3374</v>
      </c>
      <c r="H1693" t="s">
        <v>3375</v>
      </c>
      <c r="I1693" t="s">
        <v>36</v>
      </c>
      <c r="J1693">
        <v>46965</v>
      </c>
      <c r="K1693">
        <v>172</v>
      </c>
      <c r="L1693" t="s">
        <v>42</v>
      </c>
      <c r="M1693" s="1">
        <v>43718</v>
      </c>
      <c r="N1693" t="s">
        <v>22</v>
      </c>
      <c r="O1693" t="s">
        <v>31</v>
      </c>
      <c r="P1693" t="str">
        <f t="shared" si="576"/>
        <v>P1692</v>
      </c>
      <c r="Q1693" t="str">
        <f t="shared" si="572"/>
        <v>Oncology</v>
      </c>
      <c r="R1693">
        <f t="shared" si="573"/>
        <v>26</v>
      </c>
      <c r="S1693" t="str">
        <f t="shared" ca="1" si="577"/>
        <v>No</v>
      </c>
      <c r="T1693" t="str">
        <f t="shared" ca="1" si="578"/>
        <v>Mild</v>
      </c>
      <c r="U1693" t="str">
        <f t="shared" ca="1" si="579"/>
        <v>Semi-Private</v>
      </c>
      <c r="V1693" t="str">
        <f t="shared" si="580"/>
        <v>BED1692</v>
      </c>
      <c r="W1693" t="str">
        <f t="shared" ca="1" si="581"/>
        <v>ICU</v>
      </c>
      <c r="X1693" t="str">
        <f t="shared" si="582"/>
        <v>NUR042</v>
      </c>
      <c r="Y1693" t="str">
        <f t="shared" ca="1" si="583"/>
        <v>Evening</v>
      </c>
      <c r="Z1693" t="str">
        <f t="shared" ca="1" si="584"/>
        <v>CT Scanner</v>
      </c>
      <c r="AA1693" t="str">
        <f t="shared" ca="1" si="585"/>
        <v>In Use</v>
      </c>
      <c r="AB1693" t="str">
        <f t="shared" ca="1" si="586"/>
        <v>Pending</v>
      </c>
      <c r="AC1693" t="str">
        <f t="shared" ca="1" si="587"/>
        <v>Debit Card</v>
      </c>
      <c r="AD1693" t="str">
        <f t="shared" ca="1" si="588"/>
        <v>No</v>
      </c>
      <c r="AE1693" t="str">
        <f t="shared" ca="1" si="589"/>
        <v>No</v>
      </c>
      <c r="AF1693" t="str">
        <f t="shared" ca="1" si="590"/>
        <v>Transferred</v>
      </c>
      <c r="AG1693" t="str">
        <f t="shared" ca="1" si="591"/>
        <v>Midwest</v>
      </c>
      <c r="AH1693" t="str">
        <f t="shared" si="574"/>
        <v>August</v>
      </c>
      <c r="AI1693">
        <f t="shared" si="575"/>
        <v>2019</v>
      </c>
      <c r="AJ1693" t="str">
        <f t="shared" ca="1" si="592"/>
        <v>Occupied</v>
      </c>
      <c r="AK1693">
        <f t="shared" ca="1" si="593"/>
        <v>2</v>
      </c>
    </row>
    <row r="1694" spans="1:37" x14ac:dyDescent="0.3">
      <c r="A1694" t="s">
        <v>6080</v>
      </c>
      <c r="B1694">
        <v>81</v>
      </c>
      <c r="C1694" t="s">
        <v>15</v>
      </c>
      <c r="D1694" t="s">
        <v>16</v>
      </c>
      <c r="E1694" t="s">
        <v>17</v>
      </c>
      <c r="F1694" s="1">
        <v>45248</v>
      </c>
      <c r="G1694" t="s">
        <v>3376</v>
      </c>
      <c r="H1694" t="s">
        <v>3377</v>
      </c>
      <c r="I1694" t="s">
        <v>36</v>
      </c>
      <c r="J1694">
        <v>21768</v>
      </c>
      <c r="K1694">
        <v>326</v>
      </c>
      <c r="L1694" t="s">
        <v>29</v>
      </c>
      <c r="M1694" s="1">
        <v>45251</v>
      </c>
      <c r="N1694" t="s">
        <v>47</v>
      </c>
      <c r="O1694" t="s">
        <v>31</v>
      </c>
      <c r="P1694" t="str">
        <f t="shared" si="576"/>
        <v>P1693</v>
      </c>
      <c r="Q1694" t="str">
        <f t="shared" si="572"/>
        <v>Oncology</v>
      </c>
      <c r="R1694">
        <f t="shared" si="573"/>
        <v>3</v>
      </c>
      <c r="S1694" t="str">
        <f t="shared" ca="1" si="577"/>
        <v>No</v>
      </c>
      <c r="T1694" t="str">
        <f t="shared" ca="1" si="578"/>
        <v>Mild</v>
      </c>
      <c r="U1694" t="str">
        <f t="shared" ca="1" si="579"/>
        <v>Private Ward</v>
      </c>
      <c r="V1694" t="str">
        <f t="shared" si="580"/>
        <v>BED1693</v>
      </c>
      <c r="W1694" t="str">
        <f t="shared" ca="1" si="581"/>
        <v>Semi-Private</v>
      </c>
      <c r="X1694" t="str">
        <f t="shared" si="582"/>
        <v>NUR043</v>
      </c>
      <c r="Y1694" t="str">
        <f t="shared" ca="1" si="583"/>
        <v>Evening</v>
      </c>
      <c r="Z1694" t="str">
        <f t="shared" ca="1" si="584"/>
        <v>CT Scanner</v>
      </c>
      <c r="AA1694" t="str">
        <f t="shared" ca="1" si="585"/>
        <v>Available</v>
      </c>
      <c r="AB1694" t="str">
        <f t="shared" ca="1" si="586"/>
        <v>Partially Paid</v>
      </c>
      <c r="AC1694" t="str">
        <f t="shared" ca="1" si="587"/>
        <v>Bank Transfer</v>
      </c>
      <c r="AD1694" t="str">
        <f t="shared" ca="1" si="588"/>
        <v>No</v>
      </c>
      <c r="AE1694" t="str">
        <f t="shared" ca="1" si="589"/>
        <v>No</v>
      </c>
      <c r="AF1694" t="str">
        <f t="shared" ca="1" si="590"/>
        <v>Transferred</v>
      </c>
      <c r="AG1694" t="str">
        <f t="shared" ca="1" si="591"/>
        <v>Southwest</v>
      </c>
      <c r="AH1694" t="str">
        <f t="shared" si="574"/>
        <v>November</v>
      </c>
      <c r="AI1694">
        <f t="shared" si="575"/>
        <v>2023</v>
      </c>
      <c r="AJ1694" t="str">
        <f t="shared" ca="1" si="592"/>
        <v>Occupied</v>
      </c>
      <c r="AK1694">
        <f t="shared" ca="1" si="593"/>
        <v>4</v>
      </c>
    </row>
    <row r="1695" spans="1:37" x14ac:dyDescent="0.3">
      <c r="A1695" t="s">
        <v>6081</v>
      </c>
      <c r="B1695">
        <v>50</v>
      </c>
      <c r="C1695" t="s">
        <v>15</v>
      </c>
      <c r="D1695" t="s">
        <v>24</v>
      </c>
      <c r="E1695" t="s">
        <v>17</v>
      </c>
      <c r="F1695" s="1">
        <v>44741</v>
      </c>
      <c r="G1695" t="s">
        <v>3378</v>
      </c>
      <c r="H1695" t="s">
        <v>3379</v>
      </c>
      <c r="I1695" t="s">
        <v>57</v>
      </c>
      <c r="J1695">
        <v>29083</v>
      </c>
      <c r="K1695">
        <v>305</v>
      </c>
      <c r="L1695" t="s">
        <v>29</v>
      </c>
      <c r="M1695" s="1">
        <v>44755</v>
      </c>
      <c r="N1695" t="s">
        <v>37</v>
      </c>
      <c r="O1695" t="s">
        <v>31</v>
      </c>
      <c r="P1695" t="str">
        <f t="shared" si="576"/>
        <v>P1694</v>
      </c>
      <c r="Q1695" t="str">
        <f t="shared" si="572"/>
        <v>Oncology</v>
      </c>
      <c r="R1695">
        <f t="shared" si="573"/>
        <v>14</v>
      </c>
      <c r="S1695" t="str">
        <f t="shared" ca="1" si="577"/>
        <v>No</v>
      </c>
      <c r="T1695" t="str">
        <f t="shared" ca="1" si="578"/>
        <v>Critical</v>
      </c>
      <c r="U1695" t="str">
        <f t="shared" ca="1" si="579"/>
        <v>General Ward</v>
      </c>
      <c r="V1695" t="str">
        <f t="shared" si="580"/>
        <v>BED1694</v>
      </c>
      <c r="W1695" t="str">
        <f t="shared" ca="1" si="581"/>
        <v>General</v>
      </c>
      <c r="X1695" t="str">
        <f t="shared" si="582"/>
        <v>NUR044</v>
      </c>
      <c r="Y1695" t="str">
        <f t="shared" ca="1" si="583"/>
        <v>Morning</v>
      </c>
      <c r="Z1695" t="str">
        <f t="shared" ca="1" si="584"/>
        <v>MRI Scanner</v>
      </c>
      <c r="AA1695" t="str">
        <f t="shared" ca="1" si="585"/>
        <v>Maintenance</v>
      </c>
      <c r="AB1695" t="str">
        <f t="shared" ca="1" si="586"/>
        <v>Pending</v>
      </c>
      <c r="AC1695" t="str">
        <f t="shared" ca="1" si="587"/>
        <v>Cash</v>
      </c>
      <c r="AD1695" t="str">
        <f t="shared" ca="1" si="588"/>
        <v>No</v>
      </c>
      <c r="AE1695" t="str">
        <f t="shared" ca="1" si="589"/>
        <v>No</v>
      </c>
      <c r="AF1695" t="str">
        <f t="shared" ca="1" si="590"/>
        <v>Under Observation</v>
      </c>
      <c r="AG1695" t="str">
        <f t="shared" ca="1" si="591"/>
        <v>Southeast</v>
      </c>
      <c r="AH1695" t="str">
        <f t="shared" si="574"/>
        <v>June</v>
      </c>
      <c r="AI1695">
        <f t="shared" si="575"/>
        <v>2022</v>
      </c>
      <c r="AJ1695" t="str">
        <f t="shared" ca="1" si="592"/>
        <v>Occupied</v>
      </c>
      <c r="AK1695">
        <f t="shared" ca="1" si="593"/>
        <v>1</v>
      </c>
    </row>
    <row r="1696" spans="1:37" x14ac:dyDescent="0.3">
      <c r="A1696" t="s">
        <v>6082</v>
      </c>
      <c r="B1696">
        <v>41</v>
      </c>
      <c r="C1696" t="s">
        <v>15</v>
      </c>
      <c r="D1696" t="s">
        <v>38</v>
      </c>
      <c r="E1696" t="s">
        <v>64</v>
      </c>
      <c r="F1696" s="1">
        <v>45145</v>
      </c>
      <c r="G1696" t="s">
        <v>3380</v>
      </c>
      <c r="H1696" t="s">
        <v>3381</v>
      </c>
      <c r="I1696" t="s">
        <v>57</v>
      </c>
      <c r="J1696">
        <v>18417</v>
      </c>
      <c r="K1696">
        <v>361</v>
      </c>
      <c r="L1696" t="s">
        <v>21</v>
      </c>
      <c r="M1696" s="1">
        <v>45157</v>
      </c>
      <c r="N1696" t="s">
        <v>30</v>
      </c>
      <c r="O1696" t="s">
        <v>43</v>
      </c>
      <c r="P1696" t="str">
        <f t="shared" si="576"/>
        <v>P1695</v>
      </c>
      <c r="Q1696" t="str">
        <f t="shared" si="572"/>
        <v>Cardiology</v>
      </c>
      <c r="R1696">
        <f t="shared" si="573"/>
        <v>12</v>
      </c>
      <c r="S1696" t="str">
        <f t="shared" ca="1" si="577"/>
        <v>Yes</v>
      </c>
      <c r="T1696" t="str">
        <f t="shared" ca="1" si="578"/>
        <v>Critical</v>
      </c>
      <c r="U1696" t="str">
        <f t="shared" ca="1" si="579"/>
        <v>Private Ward</v>
      </c>
      <c r="V1696" t="str">
        <f t="shared" si="580"/>
        <v>BED1695</v>
      </c>
      <c r="W1696" t="str">
        <f t="shared" ca="1" si="581"/>
        <v>General</v>
      </c>
      <c r="X1696" t="str">
        <f t="shared" si="582"/>
        <v>NUR045</v>
      </c>
      <c r="Y1696" t="str">
        <f t="shared" ca="1" si="583"/>
        <v>Evening</v>
      </c>
      <c r="Z1696" t="str">
        <f t="shared" ca="1" si="584"/>
        <v>MRI Scanner</v>
      </c>
      <c r="AA1696" t="str">
        <f t="shared" ca="1" si="585"/>
        <v>In Use</v>
      </c>
      <c r="AB1696" t="str">
        <f t="shared" ca="1" si="586"/>
        <v>Partially Paid</v>
      </c>
      <c r="AC1696" t="str">
        <f t="shared" ca="1" si="587"/>
        <v>Credit Card</v>
      </c>
      <c r="AD1696" t="str">
        <f t="shared" ca="1" si="588"/>
        <v>Yes</v>
      </c>
      <c r="AE1696" t="str">
        <f t="shared" ca="1" si="589"/>
        <v>No</v>
      </c>
      <c r="AF1696" t="str">
        <f t="shared" ca="1" si="590"/>
        <v>Recovered</v>
      </c>
      <c r="AG1696" t="str">
        <f t="shared" ca="1" si="591"/>
        <v>Northeast</v>
      </c>
      <c r="AH1696" t="str">
        <f t="shared" si="574"/>
        <v>August</v>
      </c>
      <c r="AI1696">
        <f t="shared" si="575"/>
        <v>2023</v>
      </c>
      <c r="AJ1696" t="str">
        <f t="shared" ca="1" si="592"/>
        <v>Occupied</v>
      </c>
      <c r="AK1696">
        <f t="shared" ca="1" si="593"/>
        <v>2</v>
      </c>
    </row>
    <row r="1697" spans="1:37" x14ac:dyDescent="0.3">
      <c r="A1697" t="s">
        <v>6083</v>
      </c>
      <c r="B1697">
        <v>56</v>
      </c>
      <c r="C1697" t="s">
        <v>32</v>
      </c>
      <c r="D1697" t="s">
        <v>44</v>
      </c>
      <c r="E1697" t="s">
        <v>25</v>
      </c>
      <c r="F1697" s="1">
        <v>44444</v>
      </c>
      <c r="G1697" t="s">
        <v>3382</v>
      </c>
      <c r="H1697" t="s">
        <v>3383</v>
      </c>
      <c r="I1697" t="s">
        <v>51</v>
      </c>
      <c r="J1697">
        <v>34638</v>
      </c>
      <c r="K1697">
        <v>117</v>
      </c>
      <c r="L1697" t="s">
        <v>29</v>
      </c>
      <c r="M1697" s="1">
        <v>44470</v>
      </c>
      <c r="N1697" t="s">
        <v>30</v>
      </c>
      <c r="O1697" t="s">
        <v>31</v>
      </c>
      <c r="P1697" t="str">
        <f t="shared" si="576"/>
        <v>P1696</v>
      </c>
      <c r="Q1697" t="str">
        <f t="shared" si="572"/>
        <v>Nutrition</v>
      </c>
      <c r="R1697">
        <f t="shared" si="573"/>
        <v>26</v>
      </c>
      <c r="S1697" t="str">
        <f t="shared" ca="1" si="577"/>
        <v>Yes</v>
      </c>
      <c r="T1697" t="str">
        <f t="shared" ca="1" si="578"/>
        <v>Mild</v>
      </c>
      <c r="U1697" t="str">
        <f t="shared" ca="1" si="579"/>
        <v>Private Ward</v>
      </c>
      <c r="V1697" t="str">
        <f t="shared" si="580"/>
        <v>BED1696</v>
      </c>
      <c r="W1697" t="str">
        <f t="shared" ca="1" si="581"/>
        <v>General</v>
      </c>
      <c r="X1697" t="str">
        <f t="shared" si="582"/>
        <v>NUR046</v>
      </c>
      <c r="Y1697" t="str">
        <f t="shared" ca="1" si="583"/>
        <v>Evening</v>
      </c>
      <c r="Z1697" t="str">
        <f t="shared" ca="1" si="584"/>
        <v>MRI Scanner</v>
      </c>
      <c r="AA1697" t="str">
        <f t="shared" ca="1" si="585"/>
        <v>Maintenance</v>
      </c>
      <c r="AB1697" t="str">
        <f t="shared" ca="1" si="586"/>
        <v>Paid</v>
      </c>
      <c r="AC1697" t="str">
        <f t="shared" ca="1" si="587"/>
        <v>Bank Transfer</v>
      </c>
      <c r="AD1697" t="str">
        <f t="shared" ca="1" si="588"/>
        <v>No</v>
      </c>
      <c r="AE1697" t="str">
        <f t="shared" ca="1" si="589"/>
        <v>No</v>
      </c>
      <c r="AF1697" t="str">
        <f t="shared" ca="1" si="590"/>
        <v>Recovered</v>
      </c>
      <c r="AG1697" t="str">
        <f t="shared" ca="1" si="591"/>
        <v>West Coast</v>
      </c>
      <c r="AH1697" t="str">
        <f t="shared" si="574"/>
        <v>September</v>
      </c>
      <c r="AI1697">
        <f t="shared" si="575"/>
        <v>2021</v>
      </c>
      <c r="AJ1697" t="str">
        <f t="shared" ca="1" si="592"/>
        <v>Occupied</v>
      </c>
      <c r="AK1697">
        <f t="shared" ca="1" si="593"/>
        <v>1</v>
      </c>
    </row>
    <row r="1698" spans="1:37" x14ac:dyDescent="0.3">
      <c r="A1698" t="s">
        <v>6084</v>
      </c>
      <c r="B1698">
        <v>46</v>
      </c>
      <c r="C1698" t="s">
        <v>32</v>
      </c>
      <c r="D1698" t="s">
        <v>16</v>
      </c>
      <c r="E1698" t="s">
        <v>76</v>
      </c>
      <c r="F1698" s="1">
        <v>45347</v>
      </c>
      <c r="G1698" t="s">
        <v>3384</v>
      </c>
      <c r="H1698" t="s">
        <v>3385</v>
      </c>
      <c r="I1698" t="s">
        <v>36</v>
      </c>
      <c r="J1698">
        <v>19119</v>
      </c>
      <c r="K1698">
        <v>221</v>
      </c>
      <c r="L1698" t="s">
        <v>21</v>
      </c>
      <c r="M1698" s="1">
        <v>45356</v>
      </c>
      <c r="N1698" t="s">
        <v>22</v>
      </c>
      <c r="O1698" t="s">
        <v>43</v>
      </c>
      <c r="P1698" t="str">
        <f t="shared" si="576"/>
        <v>P1697</v>
      </c>
      <c r="Q1698" t="str">
        <f t="shared" si="572"/>
        <v>Orthopedics</v>
      </c>
      <c r="R1698">
        <f t="shared" si="573"/>
        <v>9</v>
      </c>
      <c r="S1698" t="str">
        <f t="shared" ca="1" si="577"/>
        <v>No</v>
      </c>
      <c r="T1698" t="str">
        <f t="shared" ca="1" si="578"/>
        <v>Moderate</v>
      </c>
      <c r="U1698" t="str">
        <f t="shared" ca="1" si="579"/>
        <v>Private Ward</v>
      </c>
      <c r="V1698" t="str">
        <f t="shared" si="580"/>
        <v>BED1697</v>
      </c>
      <c r="W1698" t="str">
        <f t="shared" ca="1" si="581"/>
        <v>Semi-Private</v>
      </c>
      <c r="X1698" t="str">
        <f t="shared" si="582"/>
        <v>NUR047</v>
      </c>
      <c r="Y1698" t="str">
        <f t="shared" ca="1" si="583"/>
        <v>Morning</v>
      </c>
      <c r="Z1698" t="str">
        <f t="shared" ca="1" si="584"/>
        <v>MRI Scanner</v>
      </c>
      <c r="AA1698" t="str">
        <f t="shared" ca="1" si="585"/>
        <v>Available</v>
      </c>
      <c r="AB1698" t="str">
        <f t="shared" ca="1" si="586"/>
        <v>Pending</v>
      </c>
      <c r="AC1698" t="str">
        <f t="shared" ca="1" si="587"/>
        <v>Bank Transfer</v>
      </c>
      <c r="AD1698" t="str">
        <f t="shared" ca="1" si="588"/>
        <v>No</v>
      </c>
      <c r="AE1698" t="str">
        <f t="shared" ca="1" si="589"/>
        <v>Yes</v>
      </c>
      <c r="AF1698" t="str">
        <f t="shared" ca="1" si="590"/>
        <v>Under Observation</v>
      </c>
      <c r="AG1698" t="str">
        <f t="shared" ca="1" si="591"/>
        <v>Southwest</v>
      </c>
      <c r="AH1698" t="str">
        <f t="shared" si="574"/>
        <v>February</v>
      </c>
      <c r="AI1698">
        <f t="shared" si="575"/>
        <v>2024</v>
      </c>
      <c r="AJ1698" t="str">
        <f t="shared" ca="1" si="592"/>
        <v>Occupied</v>
      </c>
      <c r="AK1698">
        <f t="shared" ca="1" si="593"/>
        <v>4</v>
      </c>
    </row>
    <row r="1699" spans="1:37" x14ac:dyDescent="0.3">
      <c r="A1699" t="s">
        <v>6085</v>
      </c>
      <c r="B1699">
        <v>62</v>
      </c>
      <c r="C1699" t="s">
        <v>32</v>
      </c>
      <c r="D1699" t="s">
        <v>52</v>
      </c>
      <c r="E1699" t="s">
        <v>25</v>
      </c>
      <c r="F1699" s="1">
        <v>44769</v>
      </c>
      <c r="G1699" t="s">
        <v>2028</v>
      </c>
      <c r="H1699" t="s">
        <v>3386</v>
      </c>
      <c r="I1699" t="s">
        <v>28</v>
      </c>
      <c r="J1699">
        <v>31098</v>
      </c>
      <c r="K1699">
        <v>451</v>
      </c>
      <c r="L1699" t="s">
        <v>21</v>
      </c>
      <c r="M1699" s="1">
        <v>44797</v>
      </c>
      <c r="N1699" t="s">
        <v>67</v>
      </c>
      <c r="O1699" t="s">
        <v>23</v>
      </c>
      <c r="P1699" t="str">
        <f t="shared" si="576"/>
        <v>P1698</v>
      </c>
      <c r="Q1699" t="str">
        <f t="shared" si="572"/>
        <v>Nutrition</v>
      </c>
      <c r="R1699">
        <f t="shared" si="573"/>
        <v>28</v>
      </c>
      <c r="S1699" t="str">
        <f t="shared" ca="1" si="577"/>
        <v>No</v>
      </c>
      <c r="T1699" t="str">
        <f t="shared" ca="1" si="578"/>
        <v>Moderate</v>
      </c>
      <c r="U1699" t="str">
        <f t="shared" ca="1" si="579"/>
        <v>General Ward</v>
      </c>
      <c r="V1699" t="str">
        <f t="shared" si="580"/>
        <v>BED1698</v>
      </c>
      <c r="W1699" t="str">
        <f t="shared" ca="1" si="581"/>
        <v>ICU</v>
      </c>
      <c r="X1699" t="str">
        <f t="shared" si="582"/>
        <v>NUR048</v>
      </c>
      <c r="Y1699" t="str">
        <f t="shared" ca="1" si="583"/>
        <v>Morning</v>
      </c>
      <c r="Z1699" t="str">
        <f t="shared" ca="1" si="584"/>
        <v>Ventilator</v>
      </c>
      <c r="AA1699" t="str">
        <f t="shared" ca="1" si="585"/>
        <v>In Use</v>
      </c>
      <c r="AB1699" t="str">
        <f t="shared" ca="1" si="586"/>
        <v>Paid</v>
      </c>
      <c r="AC1699" t="str">
        <f t="shared" ca="1" si="587"/>
        <v>Cash</v>
      </c>
      <c r="AD1699" t="str">
        <f t="shared" ca="1" si="588"/>
        <v>No</v>
      </c>
      <c r="AE1699" t="str">
        <f t="shared" ca="1" si="589"/>
        <v>No</v>
      </c>
      <c r="AF1699" t="str">
        <f t="shared" ca="1" si="590"/>
        <v>Recovered</v>
      </c>
      <c r="AG1699" t="str">
        <f t="shared" ca="1" si="591"/>
        <v>Northeast</v>
      </c>
      <c r="AH1699" t="str">
        <f t="shared" si="574"/>
        <v>July</v>
      </c>
      <c r="AI1699">
        <f t="shared" si="575"/>
        <v>2022</v>
      </c>
      <c r="AJ1699" t="str">
        <f t="shared" ca="1" si="592"/>
        <v>Occupied</v>
      </c>
      <c r="AK1699">
        <f t="shared" ca="1" si="593"/>
        <v>4</v>
      </c>
    </row>
    <row r="1700" spans="1:37" x14ac:dyDescent="0.3">
      <c r="A1700" t="s">
        <v>6086</v>
      </c>
      <c r="B1700">
        <v>30</v>
      </c>
      <c r="C1700" t="s">
        <v>15</v>
      </c>
      <c r="D1700" t="s">
        <v>33</v>
      </c>
      <c r="E1700" t="s">
        <v>17</v>
      </c>
      <c r="F1700" s="1">
        <v>43751</v>
      </c>
      <c r="G1700" t="s">
        <v>3387</v>
      </c>
      <c r="H1700" t="s">
        <v>3388</v>
      </c>
      <c r="I1700" t="s">
        <v>36</v>
      </c>
      <c r="J1700">
        <v>15267</v>
      </c>
      <c r="K1700">
        <v>237</v>
      </c>
      <c r="L1700" t="s">
        <v>42</v>
      </c>
      <c r="M1700" s="1">
        <v>43777</v>
      </c>
      <c r="N1700" t="s">
        <v>47</v>
      </c>
      <c r="O1700" t="s">
        <v>43</v>
      </c>
      <c r="P1700" t="str">
        <f t="shared" si="576"/>
        <v>P1699</v>
      </c>
      <c r="Q1700" t="str">
        <f t="shared" si="572"/>
        <v>Oncology</v>
      </c>
      <c r="R1700">
        <f t="shared" si="573"/>
        <v>26</v>
      </c>
      <c r="S1700" t="str">
        <f t="shared" ca="1" si="577"/>
        <v>No</v>
      </c>
      <c r="T1700" t="str">
        <f t="shared" ca="1" si="578"/>
        <v>Moderate</v>
      </c>
      <c r="U1700" t="str">
        <f t="shared" ca="1" si="579"/>
        <v>Emergency</v>
      </c>
      <c r="V1700" t="str">
        <f t="shared" si="580"/>
        <v>BED1699</v>
      </c>
      <c r="W1700" t="str">
        <f t="shared" ca="1" si="581"/>
        <v>Semi-Private</v>
      </c>
      <c r="X1700" t="str">
        <f t="shared" si="582"/>
        <v>NUR049</v>
      </c>
      <c r="Y1700" t="str">
        <f t="shared" ca="1" si="583"/>
        <v>Evening</v>
      </c>
      <c r="Z1700" t="str">
        <f t="shared" ca="1" si="584"/>
        <v>Ventilator</v>
      </c>
      <c r="AA1700" t="str">
        <f t="shared" ca="1" si="585"/>
        <v>Maintenance</v>
      </c>
      <c r="AB1700" t="str">
        <f t="shared" ca="1" si="586"/>
        <v>Pending</v>
      </c>
      <c r="AC1700" t="str">
        <f t="shared" ca="1" si="587"/>
        <v>Cash</v>
      </c>
      <c r="AD1700" t="str">
        <f t="shared" ca="1" si="588"/>
        <v>No</v>
      </c>
      <c r="AE1700" t="str">
        <f t="shared" ca="1" si="589"/>
        <v>No</v>
      </c>
      <c r="AF1700" t="str">
        <f t="shared" ca="1" si="590"/>
        <v>Recovered</v>
      </c>
      <c r="AG1700" t="str">
        <f t="shared" ca="1" si="591"/>
        <v>Southwest</v>
      </c>
      <c r="AH1700" t="str">
        <f t="shared" si="574"/>
        <v>October</v>
      </c>
      <c r="AI1700">
        <f t="shared" si="575"/>
        <v>2019</v>
      </c>
      <c r="AJ1700" t="str">
        <f t="shared" ca="1" si="592"/>
        <v>Occupied</v>
      </c>
      <c r="AK1700">
        <f t="shared" ca="1" si="593"/>
        <v>2</v>
      </c>
    </row>
    <row r="1701" spans="1:37" x14ac:dyDescent="0.3">
      <c r="A1701" t="s">
        <v>6087</v>
      </c>
      <c r="B1701">
        <v>20</v>
      </c>
      <c r="C1701" t="s">
        <v>15</v>
      </c>
      <c r="D1701" t="s">
        <v>33</v>
      </c>
      <c r="E1701" t="s">
        <v>76</v>
      </c>
      <c r="F1701" s="1">
        <v>45380</v>
      </c>
      <c r="G1701" t="s">
        <v>3389</v>
      </c>
      <c r="H1701" t="s">
        <v>3390</v>
      </c>
      <c r="I1701" t="s">
        <v>51</v>
      </c>
      <c r="J1701">
        <v>21792</v>
      </c>
      <c r="K1701">
        <v>266</v>
      </c>
      <c r="L1701" t="s">
        <v>21</v>
      </c>
      <c r="M1701" s="1">
        <v>45396</v>
      </c>
      <c r="N1701" t="s">
        <v>37</v>
      </c>
      <c r="O1701" t="s">
        <v>31</v>
      </c>
      <c r="P1701" t="str">
        <f t="shared" si="576"/>
        <v>P1700</v>
      </c>
      <c r="Q1701" t="str">
        <f t="shared" si="572"/>
        <v>Orthopedics</v>
      </c>
      <c r="R1701">
        <f t="shared" si="573"/>
        <v>16</v>
      </c>
      <c r="S1701" t="str">
        <f t="shared" ca="1" si="577"/>
        <v>No</v>
      </c>
      <c r="T1701" t="str">
        <f t="shared" ca="1" si="578"/>
        <v>Moderate</v>
      </c>
      <c r="U1701" t="str">
        <f t="shared" ca="1" si="579"/>
        <v>Private Ward</v>
      </c>
      <c r="V1701" t="str">
        <f t="shared" si="580"/>
        <v>BED1700</v>
      </c>
      <c r="W1701" t="str">
        <f t="shared" ca="1" si="581"/>
        <v>ICU</v>
      </c>
      <c r="X1701" t="str">
        <f t="shared" si="582"/>
        <v>NUR050</v>
      </c>
      <c r="Y1701" t="str">
        <f t="shared" ca="1" si="583"/>
        <v>Evening</v>
      </c>
      <c r="Z1701" t="str">
        <f t="shared" ca="1" si="584"/>
        <v>X-Ray</v>
      </c>
      <c r="AA1701" t="str">
        <f t="shared" ca="1" si="585"/>
        <v>Available</v>
      </c>
      <c r="AB1701" t="str">
        <f t="shared" ca="1" si="586"/>
        <v>Paid</v>
      </c>
      <c r="AC1701" t="str">
        <f t="shared" ca="1" si="587"/>
        <v>Bank Transfer</v>
      </c>
      <c r="AD1701" t="str">
        <f t="shared" ca="1" si="588"/>
        <v>No</v>
      </c>
      <c r="AE1701" t="str">
        <f t="shared" ca="1" si="589"/>
        <v>No</v>
      </c>
      <c r="AF1701" t="str">
        <f t="shared" ca="1" si="590"/>
        <v>Transferred</v>
      </c>
      <c r="AG1701" t="str">
        <f t="shared" ca="1" si="591"/>
        <v>Northeast</v>
      </c>
      <c r="AH1701" t="str">
        <f t="shared" si="574"/>
        <v>March</v>
      </c>
      <c r="AI1701">
        <f t="shared" si="575"/>
        <v>2024</v>
      </c>
      <c r="AJ1701" t="str">
        <f t="shared" ca="1" si="592"/>
        <v>Occupied</v>
      </c>
      <c r="AK1701">
        <f t="shared" ca="1" si="593"/>
        <v>2</v>
      </c>
    </row>
    <row r="1702" spans="1:37" x14ac:dyDescent="0.3">
      <c r="A1702" t="s">
        <v>6088</v>
      </c>
      <c r="B1702">
        <v>31</v>
      </c>
      <c r="C1702" t="s">
        <v>32</v>
      </c>
      <c r="D1702" t="s">
        <v>83</v>
      </c>
      <c r="E1702" t="s">
        <v>64</v>
      </c>
      <c r="F1702" s="1">
        <v>44982</v>
      </c>
      <c r="G1702" t="s">
        <v>3391</v>
      </c>
      <c r="H1702" t="s">
        <v>3392</v>
      </c>
      <c r="I1702" t="s">
        <v>51</v>
      </c>
      <c r="J1702">
        <v>41444</v>
      </c>
      <c r="K1702">
        <v>421</v>
      </c>
      <c r="L1702" t="s">
        <v>21</v>
      </c>
      <c r="M1702" s="1">
        <v>44983</v>
      </c>
      <c r="N1702" t="s">
        <v>37</v>
      </c>
      <c r="O1702" t="s">
        <v>31</v>
      </c>
      <c r="P1702" t="str">
        <f t="shared" si="576"/>
        <v>P1701</v>
      </c>
      <c r="Q1702" t="str">
        <f t="shared" si="572"/>
        <v>Cardiology</v>
      </c>
      <c r="R1702">
        <f t="shared" si="573"/>
        <v>1</v>
      </c>
      <c r="S1702" t="str">
        <f t="shared" ca="1" si="577"/>
        <v>No</v>
      </c>
      <c r="T1702" t="str">
        <f t="shared" ca="1" si="578"/>
        <v>Critical</v>
      </c>
      <c r="U1702" t="str">
        <f t="shared" ca="1" si="579"/>
        <v>Emergency</v>
      </c>
      <c r="V1702" t="str">
        <f t="shared" si="580"/>
        <v>BED1701</v>
      </c>
      <c r="W1702" t="str">
        <f t="shared" ca="1" si="581"/>
        <v>General</v>
      </c>
      <c r="X1702" t="str">
        <f t="shared" si="582"/>
        <v>NUR001</v>
      </c>
      <c r="Y1702" t="str">
        <f t="shared" ca="1" si="583"/>
        <v>Morning</v>
      </c>
      <c r="Z1702" t="str">
        <f t="shared" ca="1" si="584"/>
        <v>CT Scanner</v>
      </c>
      <c r="AA1702" t="str">
        <f t="shared" ca="1" si="585"/>
        <v>Available</v>
      </c>
      <c r="AB1702" t="str">
        <f t="shared" ca="1" si="586"/>
        <v>Pending</v>
      </c>
      <c r="AC1702" t="str">
        <f t="shared" ca="1" si="587"/>
        <v>Insurance</v>
      </c>
      <c r="AD1702" t="str">
        <f t="shared" ca="1" si="588"/>
        <v>No</v>
      </c>
      <c r="AE1702" t="str">
        <f t="shared" ca="1" si="589"/>
        <v>No</v>
      </c>
      <c r="AF1702" t="str">
        <f t="shared" ca="1" si="590"/>
        <v>Under Observation</v>
      </c>
      <c r="AG1702" t="str">
        <f t="shared" ca="1" si="591"/>
        <v>Southeast</v>
      </c>
      <c r="AH1702" t="str">
        <f t="shared" si="574"/>
        <v>February</v>
      </c>
      <c r="AI1702">
        <f t="shared" si="575"/>
        <v>2023</v>
      </c>
      <c r="AJ1702" t="str">
        <f t="shared" ca="1" si="592"/>
        <v>Occupied</v>
      </c>
      <c r="AK1702">
        <f t="shared" ca="1" si="593"/>
        <v>1</v>
      </c>
    </row>
    <row r="1703" spans="1:37" x14ac:dyDescent="0.3">
      <c r="A1703" t="s">
        <v>6089</v>
      </c>
      <c r="B1703">
        <v>34</v>
      </c>
      <c r="C1703" t="s">
        <v>32</v>
      </c>
      <c r="D1703" t="s">
        <v>33</v>
      </c>
      <c r="E1703" t="s">
        <v>76</v>
      </c>
      <c r="F1703" s="1">
        <v>44733</v>
      </c>
      <c r="G1703" t="s">
        <v>3393</v>
      </c>
      <c r="H1703" t="s">
        <v>3394</v>
      </c>
      <c r="I1703" t="s">
        <v>20</v>
      </c>
      <c r="J1703">
        <v>5850</v>
      </c>
      <c r="K1703">
        <v>111</v>
      </c>
      <c r="L1703" t="s">
        <v>21</v>
      </c>
      <c r="M1703" s="1">
        <v>44757</v>
      </c>
      <c r="N1703" t="s">
        <v>37</v>
      </c>
      <c r="O1703" t="s">
        <v>23</v>
      </c>
      <c r="P1703" t="str">
        <f t="shared" si="576"/>
        <v>P1702</v>
      </c>
      <c r="Q1703" t="str">
        <f t="shared" si="572"/>
        <v>Orthopedics</v>
      </c>
      <c r="R1703">
        <f t="shared" si="573"/>
        <v>24</v>
      </c>
      <c r="S1703" t="str">
        <f t="shared" ca="1" si="577"/>
        <v>No</v>
      </c>
      <c r="T1703" t="str">
        <f t="shared" ca="1" si="578"/>
        <v>Moderate</v>
      </c>
      <c r="U1703" t="str">
        <f t="shared" ca="1" si="579"/>
        <v>ICU</v>
      </c>
      <c r="V1703" t="str">
        <f t="shared" si="580"/>
        <v>BED1702</v>
      </c>
      <c r="W1703" t="str">
        <f t="shared" ca="1" si="581"/>
        <v>General</v>
      </c>
      <c r="X1703" t="str">
        <f t="shared" si="582"/>
        <v>NUR002</v>
      </c>
      <c r="Y1703" t="str">
        <f t="shared" ca="1" si="583"/>
        <v>Evening</v>
      </c>
      <c r="Z1703" t="str">
        <f t="shared" ca="1" si="584"/>
        <v>Ventilator</v>
      </c>
      <c r="AA1703" t="str">
        <f t="shared" ca="1" si="585"/>
        <v>In Use</v>
      </c>
      <c r="AB1703" t="str">
        <f t="shared" ca="1" si="586"/>
        <v>Partially Paid</v>
      </c>
      <c r="AC1703" t="str">
        <f t="shared" ca="1" si="587"/>
        <v>Cash</v>
      </c>
      <c r="AD1703" t="str">
        <f t="shared" ca="1" si="588"/>
        <v>No</v>
      </c>
      <c r="AE1703" t="str">
        <f t="shared" ca="1" si="589"/>
        <v>No</v>
      </c>
      <c r="AF1703" t="str">
        <f t="shared" ca="1" si="590"/>
        <v>Recovered</v>
      </c>
      <c r="AG1703" t="str">
        <f t="shared" ca="1" si="591"/>
        <v>Midwest</v>
      </c>
      <c r="AH1703" t="str">
        <f t="shared" si="574"/>
        <v>June</v>
      </c>
      <c r="AI1703">
        <f t="shared" si="575"/>
        <v>2022</v>
      </c>
      <c r="AJ1703" t="str">
        <f t="shared" ca="1" si="592"/>
        <v>Occupied</v>
      </c>
      <c r="AK1703">
        <f t="shared" ca="1" si="593"/>
        <v>4</v>
      </c>
    </row>
    <row r="1704" spans="1:37" x14ac:dyDescent="0.3">
      <c r="A1704" t="s">
        <v>6090</v>
      </c>
      <c r="B1704">
        <v>49</v>
      </c>
      <c r="C1704" t="s">
        <v>15</v>
      </c>
      <c r="D1704" t="s">
        <v>16</v>
      </c>
      <c r="E1704" t="s">
        <v>39</v>
      </c>
      <c r="F1704" s="1">
        <v>44282</v>
      </c>
      <c r="G1704" t="s">
        <v>3395</v>
      </c>
      <c r="H1704" t="s">
        <v>3396</v>
      </c>
      <c r="I1704" t="s">
        <v>28</v>
      </c>
      <c r="J1704">
        <v>7330</v>
      </c>
      <c r="K1704">
        <v>500</v>
      </c>
      <c r="L1704" t="s">
        <v>42</v>
      </c>
      <c r="M1704" s="1">
        <v>44296</v>
      </c>
      <c r="N1704" t="s">
        <v>47</v>
      </c>
      <c r="O1704" t="s">
        <v>23</v>
      </c>
      <c r="P1704" t="str">
        <f t="shared" si="576"/>
        <v>P1703</v>
      </c>
      <c r="Q1704" t="str">
        <f t="shared" si="572"/>
        <v>Endocrinology</v>
      </c>
      <c r="R1704">
        <f t="shared" si="573"/>
        <v>14</v>
      </c>
      <c r="S1704" t="str">
        <f t="shared" ca="1" si="577"/>
        <v>Yes</v>
      </c>
      <c r="T1704" t="str">
        <f t="shared" ca="1" si="578"/>
        <v>Moderate</v>
      </c>
      <c r="U1704" t="str">
        <f t="shared" ca="1" si="579"/>
        <v>ICU</v>
      </c>
      <c r="V1704" t="str">
        <f t="shared" si="580"/>
        <v>BED1703</v>
      </c>
      <c r="W1704" t="str">
        <f t="shared" ca="1" si="581"/>
        <v>Private</v>
      </c>
      <c r="X1704" t="str">
        <f t="shared" si="582"/>
        <v>NUR003</v>
      </c>
      <c r="Y1704" t="str">
        <f t="shared" ca="1" si="583"/>
        <v>Morning</v>
      </c>
      <c r="Z1704" t="str">
        <f t="shared" ca="1" si="584"/>
        <v>MRI Scanner</v>
      </c>
      <c r="AA1704" t="str">
        <f t="shared" ca="1" si="585"/>
        <v>Maintenance</v>
      </c>
      <c r="AB1704" t="str">
        <f t="shared" ca="1" si="586"/>
        <v>Paid</v>
      </c>
      <c r="AC1704" t="str">
        <f t="shared" ca="1" si="587"/>
        <v>Credit Card</v>
      </c>
      <c r="AD1704" t="str">
        <f t="shared" ca="1" si="588"/>
        <v>Yes</v>
      </c>
      <c r="AE1704" t="str">
        <f t="shared" ca="1" si="589"/>
        <v>No</v>
      </c>
      <c r="AF1704" t="str">
        <f t="shared" ca="1" si="590"/>
        <v>Recovered</v>
      </c>
      <c r="AG1704" t="str">
        <f t="shared" ca="1" si="591"/>
        <v>Northeast</v>
      </c>
      <c r="AH1704" t="str">
        <f t="shared" si="574"/>
        <v>March</v>
      </c>
      <c r="AI1704">
        <f t="shared" si="575"/>
        <v>2021</v>
      </c>
      <c r="AJ1704" t="str">
        <f t="shared" ca="1" si="592"/>
        <v>Vacant</v>
      </c>
      <c r="AK1704">
        <f t="shared" ca="1" si="593"/>
        <v>4</v>
      </c>
    </row>
    <row r="1705" spans="1:37" x14ac:dyDescent="0.3">
      <c r="A1705" t="s">
        <v>6091</v>
      </c>
      <c r="B1705">
        <v>66</v>
      </c>
      <c r="C1705" t="s">
        <v>15</v>
      </c>
      <c r="D1705" t="s">
        <v>16</v>
      </c>
      <c r="E1705" t="s">
        <v>48</v>
      </c>
      <c r="F1705" s="1">
        <v>45329</v>
      </c>
      <c r="G1705" t="s">
        <v>1921</v>
      </c>
      <c r="H1705" t="s">
        <v>3397</v>
      </c>
      <c r="I1705" t="s">
        <v>51</v>
      </c>
      <c r="J1705">
        <v>40192</v>
      </c>
      <c r="K1705">
        <v>102</v>
      </c>
      <c r="L1705" t="s">
        <v>42</v>
      </c>
      <c r="M1705" s="1">
        <v>45349</v>
      </c>
      <c r="N1705" t="s">
        <v>47</v>
      </c>
      <c r="O1705" t="s">
        <v>31</v>
      </c>
      <c r="P1705" t="str">
        <f t="shared" si="576"/>
        <v>P1704</v>
      </c>
      <c r="Q1705" t="str">
        <f t="shared" si="572"/>
        <v>Pulmonology</v>
      </c>
      <c r="R1705">
        <f t="shared" si="573"/>
        <v>20</v>
      </c>
      <c r="S1705" t="str">
        <f t="shared" ca="1" si="577"/>
        <v>No</v>
      </c>
      <c r="T1705" t="str">
        <f t="shared" ca="1" si="578"/>
        <v>Severe</v>
      </c>
      <c r="U1705" t="str">
        <f t="shared" ca="1" si="579"/>
        <v>General Ward</v>
      </c>
      <c r="V1705" t="str">
        <f t="shared" si="580"/>
        <v>BED1704</v>
      </c>
      <c r="W1705" t="str">
        <f t="shared" ca="1" si="581"/>
        <v>Semi-Private</v>
      </c>
      <c r="X1705" t="str">
        <f t="shared" si="582"/>
        <v>NUR004</v>
      </c>
      <c r="Y1705" t="str">
        <f t="shared" ca="1" si="583"/>
        <v>Morning</v>
      </c>
      <c r="Z1705" t="str">
        <f t="shared" ca="1" si="584"/>
        <v>ECG Machine</v>
      </c>
      <c r="AA1705" t="str">
        <f t="shared" ca="1" si="585"/>
        <v>Available</v>
      </c>
      <c r="AB1705" t="str">
        <f t="shared" ca="1" si="586"/>
        <v>Pending</v>
      </c>
      <c r="AC1705" t="str">
        <f t="shared" ca="1" si="587"/>
        <v>Insurance</v>
      </c>
      <c r="AD1705" t="str">
        <f t="shared" ca="1" si="588"/>
        <v>No</v>
      </c>
      <c r="AE1705" t="str">
        <f t="shared" ca="1" si="589"/>
        <v>No</v>
      </c>
      <c r="AF1705" t="str">
        <f t="shared" ca="1" si="590"/>
        <v>Under Observation</v>
      </c>
      <c r="AG1705" t="str">
        <f t="shared" ca="1" si="591"/>
        <v>West Coast</v>
      </c>
      <c r="AH1705" t="str">
        <f t="shared" si="574"/>
        <v>February</v>
      </c>
      <c r="AI1705">
        <f t="shared" si="575"/>
        <v>2024</v>
      </c>
      <c r="AJ1705" t="str">
        <f t="shared" ca="1" si="592"/>
        <v>Occupied</v>
      </c>
      <c r="AK1705">
        <f t="shared" ca="1" si="593"/>
        <v>1</v>
      </c>
    </row>
    <row r="1706" spans="1:37" x14ac:dyDescent="0.3">
      <c r="A1706" t="s">
        <v>6092</v>
      </c>
      <c r="B1706">
        <v>82</v>
      </c>
      <c r="C1706" t="s">
        <v>15</v>
      </c>
      <c r="D1706" t="s">
        <v>44</v>
      </c>
      <c r="E1706" t="s">
        <v>17</v>
      </c>
      <c r="F1706" s="1">
        <v>44443</v>
      </c>
      <c r="G1706" t="s">
        <v>3398</v>
      </c>
      <c r="H1706" t="s">
        <v>3399</v>
      </c>
      <c r="I1706" t="s">
        <v>28</v>
      </c>
      <c r="J1706">
        <v>30954</v>
      </c>
      <c r="K1706">
        <v>371</v>
      </c>
      <c r="L1706" t="s">
        <v>29</v>
      </c>
      <c r="M1706" s="1">
        <v>44471</v>
      </c>
      <c r="N1706" t="s">
        <v>37</v>
      </c>
      <c r="O1706" t="s">
        <v>23</v>
      </c>
      <c r="P1706" t="str">
        <f t="shared" si="576"/>
        <v>P1705</v>
      </c>
      <c r="Q1706" t="str">
        <f t="shared" si="572"/>
        <v>Oncology</v>
      </c>
      <c r="R1706">
        <f t="shared" si="573"/>
        <v>28</v>
      </c>
      <c r="S1706" t="str">
        <f t="shared" ca="1" si="577"/>
        <v>No</v>
      </c>
      <c r="T1706" t="str">
        <f t="shared" ca="1" si="578"/>
        <v>Moderate</v>
      </c>
      <c r="U1706" t="str">
        <f t="shared" ca="1" si="579"/>
        <v>Emergency</v>
      </c>
      <c r="V1706" t="str">
        <f t="shared" si="580"/>
        <v>BED1705</v>
      </c>
      <c r="W1706" t="str">
        <f t="shared" ca="1" si="581"/>
        <v>ICU</v>
      </c>
      <c r="X1706" t="str">
        <f t="shared" si="582"/>
        <v>NUR005</v>
      </c>
      <c r="Y1706" t="str">
        <f t="shared" ca="1" si="583"/>
        <v>Night</v>
      </c>
      <c r="Z1706" t="str">
        <f t="shared" ca="1" si="584"/>
        <v>MRI Scanner</v>
      </c>
      <c r="AA1706" t="str">
        <f t="shared" ca="1" si="585"/>
        <v>Available</v>
      </c>
      <c r="AB1706" t="str">
        <f t="shared" ca="1" si="586"/>
        <v>Pending</v>
      </c>
      <c r="AC1706" t="str">
        <f t="shared" ca="1" si="587"/>
        <v>Credit Card</v>
      </c>
      <c r="AD1706" t="str">
        <f t="shared" ca="1" si="588"/>
        <v>Yes</v>
      </c>
      <c r="AE1706" t="str">
        <f t="shared" ca="1" si="589"/>
        <v>No</v>
      </c>
      <c r="AF1706" t="str">
        <f t="shared" ca="1" si="590"/>
        <v>Under Observation</v>
      </c>
      <c r="AG1706" t="str">
        <f t="shared" ca="1" si="591"/>
        <v>West Coast</v>
      </c>
      <c r="AH1706" t="str">
        <f t="shared" si="574"/>
        <v>September</v>
      </c>
      <c r="AI1706">
        <f t="shared" si="575"/>
        <v>2021</v>
      </c>
      <c r="AJ1706" t="str">
        <f t="shared" ca="1" si="592"/>
        <v>Occupied</v>
      </c>
      <c r="AK1706">
        <f t="shared" ca="1" si="593"/>
        <v>2</v>
      </c>
    </row>
    <row r="1707" spans="1:37" x14ac:dyDescent="0.3">
      <c r="A1707" t="s">
        <v>6093</v>
      </c>
      <c r="B1707">
        <v>46</v>
      </c>
      <c r="C1707" t="s">
        <v>15</v>
      </c>
      <c r="D1707" t="s">
        <v>98</v>
      </c>
      <c r="E1707" t="s">
        <v>64</v>
      </c>
      <c r="F1707" s="1">
        <v>43708</v>
      </c>
      <c r="G1707" t="s">
        <v>2966</v>
      </c>
      <c r="H1707" t="s">
        <v>3400</v>
      </c>
      <c r="I1707" t="s">
        <v>28</v>
      </c>
      <c r="J1707">
        <v>23538</v>
      </c>
      <c r="K1707">
        <v>170</v>
      </c>
      <c r="L1707" t="s">
        <v>21</v>
      </c>
      <c r="M1707" s="1">
        <v>43726</v>
      </c>
      <c r="N1707" t="s">
        <v>22</v>
      </c>
      <c r="O1707" t="s">
        <v>23</v>
      </c>
      <c r="P1707" t="str">
        <f t="shared" si="576"/>
        <v>P1706</v>
      </c>
      <c r="Q1707" t="str">
        <f t="shared" si="572"/>
        <v>Cardiology</v>
      </c>
      <c r="R1707">
        <f t="shared" si="573"/>
        <v>18</v>
      </c>
      <c r="S1707" t="str">
        <f t="shared" ca="1" si="577"/>
        <v>No</v>
      </c>
      <c r="T1707" t="str">
        <f t="shared" ca="1" si="578"/>
        <v>Severe</v>
      </c>
      <c r="U1707" t="str">
        <f t="shared" ca="1" si="579"/>
        <v>Emergency</v>
      </c>
      <c r="V1707" t="str">
        <f t="shared" si="580"/>
        <v>BED1706</v>
      </c>
      <c r="W1707" t="str">
        <f t="shared" ca="1" si="581"/>
        <v>Semi-Private</v>
      </c>
      <c r="X1707" t="str">
        <f t="shared" si="582"/>
        <v>NUR006</v>
      </c>
      <c r="Y1707" t="str">
        <f t="shared" ca="1" si="583"/>
        <v>Morning</v>
      </c>
      <c r="Z1707" t="str">
        <f t="shared" ca="1" si="584"/>
        <v>ECG Machine</v>
      </c>
      <c r="AA1707" t="str">
        <f t="shared" ca="1" si="585"/>
        <v>Available</v>
      </c>
      <c r="AB1707" t="str">
        <f t="shared" ca="1" si="586"/>
        <v>Pending</v>
      </c>
      <c r="AC1707" t="str">
        <f t="shared" ca="1" si="587"/>
        <v>Cash</v>
      </c>
      <c r="AD1707" t="str">
        <f t="shared" ca="1" si="588"/>
        <v>Yes</v>
      </c>
      <c r="AE1707" t="str">
        <f t="shared" ca="1" si="589"/>
        <v>No</v>
      </c>
      <c r="AF1707" t="str">
        <f t="shared" ca="1" si="590"/>
        <v>Transferred</v>
      </c>
      <c r="AG1707" t="str">
        <f t="shared" ca="1" si="591"/>
        <v>Southwest</v>
      </c>
      <c r="AH1707" t="str">
        <f t="shared" si="574"/>
        <v>August</v>
      </c>
      <c r="AI1707">
        <f t="shared" si="575"/>
        <v>2019</v>
      </c>
      <c r="AJ1707" t="str">
        <f t="shared" ca="1" si="592"/>
        <v>Occupied</v>
      </c>
      <c r="AK1707">
        <f t="shared" ca="1" si="593"/>
        <v>4</v>
      </c>
    </row>
    <row r="1708" spans="1:37" x14ac:dyDescent="0.3">
      <c r="A1708" t="s">
        <v>4203</v>
      </c>
      <c r="B1708">
        <v>32</v>
      </c>
      <c r="C1708" t="s">
        <v>32</v>
      </c>
      <c r="D1708" t="s">
        <v>44</v>
      </c>
      <c r="E1708" t="s">
        <v>17</v>
      </c>
      <c r="F1708" s="1">
        <v>43680</v>
      </c>
      <c r="G1708" t="s">
        <v>3401</v>
      </c>
      <c r="H1708" t="s">
        <v>3402</v>
      </c>
      <c r="I1708" t="s">
        <v>36</v>
      </c>
      <c r="J1708">
        <v>33654</v>
      </c>
      <c r="K1708">
        <v>164</v>
      </c>
      <c r="L1708" t="s">
        <v>42</v>
      </c>
      <c r="M1708" s="1">
        <v>43683</v>
      </c>
      <c r="N1708" t="s">
        <v>47</v>
      </c>
      <c r="O1708" t="s">
        <v>23</v>
      </c>
      <c r="P1708" t="str">
        <f t="shared" si="576"/>
        <v>P1707</v>
      </c>
      <c r="Q1708" t="str">
        <f t="shared" si="572"/>
        <v>Oncology</v>
      </c>
      <c r="R1708">
        <f t="shared" si="573"/>
        <v>3</v>
      </c>
      <c r="S1708" t="str">
        <f t="shared" ca="1" si="577"/>
        <v>No</v>
      </c>
      <c r="T1708" t="str">
        <f t="shared" ca="1" si="578"/>
        <v>Severe</v>
      </c>
      <c r="U1708" t="str">
        <f t="shared" ca="1" si="579"/>
        <v>Emergency</v>
      </c>
      <c r="V1708" t="str">
        <f t="shared" si="580"/>
        <v>BED1707</v>
      </c>
      <c r="W1708" t="str">
        <f t="shared" ca="1" si="581"/>
        <v>General</v>
      </c>
      <c r="X1708" t="str">
        <f t="shared" si="582"/>
        <v>NUR007</v>
      </c>
      <c r="Y1708" t="str">
        <f t="shared" ca="1" si="583"/>
        <v>Night</v>
      </c>
      <c r="Z1708" t="str">
        <f t="shared" ca="1" si="584"/>
        <v>Ultrasound</v>
      </c>
      <c r="AA1708" t="str">
        <f t="shared" ca="1" si="585"/>
        <v>In Use</v>
      </c>
      <c r="AB1708" t="str">
        <f t="shared" ca="1" si="586"/>
        <v>Pending</v>
      </c>
      <c r="AC1708" t="str">
        <f t="shared" ca="1" si="587"/>
        <v>Credit Card</v>
      </c>
      <c r="AD1708" t="str">
        <f t="shared" ca="1" si="588"/>
        <v>No</v>
      </c>
      <c r="AE1708" t="str">
        <f t="shared" ca="1" si="589"/>
        <v>No</v>
      </c>
      <c r="AF1708" t="str">
        <f t="shared" ca="1" si="590"/>
        <v>Transferred</v>
      </c>
      <c r="AG1708" t="str">
        <f t="shared" ca="1" si="591"/>
        <v>Northeast</v>
      </c>
      <c r="AH1708" t="str">
        <f t="shared" si="574"/>
        <v>August</v>
      </c>
      <c r="AI1708">
        <f t="shared" si="575"/>
        <v>2019</v>
      </c>
      <c r="AJ1708" t="str">
        <f t="shared" ca="1" si="592"/>
        <v>Occupied</v>
      </c>
      <c r="AK1708">
        <f t="shared" ca="1" si="593"/>
        <v>4</v>
      </c>
    </row>
    <row r="1709" spans="1:37" x14ac:dyDescent="0.3">
      <c r="A1709" t="s">
        <v>6094</v>
      </c>
      <c r="B1709">
        <v>75</v>
      </c>
      <c r="C1709" t="s">
        <v>15</v>
      </c>
      <c r="D1709" t="s">
        <v>33</v>
      </c>
      <c r="E1709" t="s">
        <v>39</v>
      </c>
      <c r="F1709" s="1">
        <v>44810</v>
      </c>
      <c r="G1709" t="s">
        <v>3403</v>
      </c>
      <c r="H1709" t="s">
        <v>3404</v>
      </c>
      <c r="I1709" t="s">
        <v>36</v>
      </c>
      <c r="J1709">
        <v>31419</v>
      </c>
      <c r="K1709">
        <v>152</v>
      </c>
      <c r="L1709" t="s">
        <v>42</v>
      </c>
      <c r="M1709" s="1">
        <v>44837</v>
      </c>
      <c r="N1709" t="s">
        <v>47</v>
      </c>
      <c r="O1709" t="s">
        <v>43</v>
      </c>
      <c r="P1709" t="str">
        <f t="shared" si="576"/>
        <v>P1708</v>
      </c>
      <c r="Q1709" t="str">
        <f t="shared" si="572"/>
        <v>Endocrinology</v>
      </c>
      <c r="R1709">
        <f t="shared" si="573"/>
        <v>27</v>
      </c>
      <c r="S1709" t="str">
        <f t="shared" ca="1" si="577"/>
        <v>No</v>
      </c>
      <c r="T1709" t="str">
        <f t="shared" ca="1" si="578"/>
        <v>Severe</v>
      </c>
      <c r="U1709" t="str">
        <f t="shared" ca="1" si="579"/>
        <v>General Ward</v>
      </c>
      <c r="V1709" t="str">
        <f t="shared" si="580"/>
        <v>BED1708</v>
      </c>
      <c r="W1709" t="str">
        <f t="shared" ca="1" si="581"/>
        <v>Private</v>
      </c>
      <c r="X1709" t="str">
        <f t="shared" si="582"/>
        <v>NUR008</v>
      </c>
      <c r="Y1709" t="str">
        <f t="shared" ca="1" si="583"/>
        <v>Evening</v>
      </c>
      <c r="Z1709" t="str">
        <f t="shared" ca="1" si="584"/>
        <v>CT Scanner</v>
      </c>
      <c r="AA1709" t="str">
        <f t="shared" ca="1" si="585"/>
        <v>Maintenance</v>
      </c>
      <c r="AB1709" t="str">
        <f t="shared" ca="1" si="586"/>
        <v>Paid</v>
      </c>
      <c r="AC1709" t="str">
        <f t="shared" ca="1" si="587"/>
        <v>Cash</v>
      </c>
      <c r="AD1709" t="str">
        <f t="shared" ca="1" si="588"/>
        <v>No</v>
      </c>
      <c r="AE1709" t="str">
        <f t="shared" ca="1" si="589"/>
        <v>No</v>
      </c>
      <c r="AF1709" t="str">
        <f t="shared" ca="1" si="590"/>
        <v>Transferred</v>
      </c>
      <c r="AG1709" t="str">
        <f t="shared" ca="1" si="591"/>
        <v>West Coast</v>
      </c>
      <c r="AH1709" t="str">
        <f t="shared" si="574"/>
        <v>September</v>
      </c>
      <c r="AI1709">
        <f t="shared" si="575"/>
        <v>2022</v>
      </c>
      <c r="AJ1709" t="str">
        <f t="shared" ca="1" si="592"/>
        <v>Occupied</v>
      </c>
      <c r="AK1709">
        <f t="shared" ca="1" si="593"/>
        <v>2</v>
      </c>
    </row>
    <row r="1710" spans="1:37" x14ac:dyDescent="0.3">
      <c r="A1710" t="s">
        <v>6095</v>
      </c>
      <c r="B1710">
        <v>41</v>
      </c>
      <c r="C1710" t="s">
        <v>15</v>
      </c>
      <c r="D1710" t="s">
        <v>44</v>
      </c>
      <c r="E1710" t="s">
        <v>39</v>
      </c>
      <c r="F1710" s="1">
        <v>44141</v>
      </c>
      <c r="G1710" t="s">
        <v>3405</v>
      </c>
      <c r="H1710" t="s">
        <v>1717</v>
      </c>
      <c r="I1710" t="s">
        <v>28</v>
      </c>
      <c r="J1710">
        <v>2670</v>
      </c>
      <c r="K1710">
        <v>432</v>
      </c>
      <c r="L1710" t="s">
        <v>29</v>
      </c>
      <c r="M1710" s="1">
        <v>44142</v>
      </c>
      <c r="N1710" t="s">
        <v>30</v>
      </c>
      <c r="O1710" t="s">
        <v>31</v>
      </c>
      <c r="P1710" t="str">
        <f t="shared" si="576"/>
        <v>P1709</v>
      </c>
      <c r="Q1710" t="str">
        <f t="shared" si="572"/>
        <v>Endocrinology</v>
      </c>
      <c r="R1710">
        <f t="shared" si="573"/>
        <v>1</v>
      </c>
      <c r="S1710" t="str">
        <f t="shared" ca="1" si="577"/>
        <v>No</v>
      </c>
      <c r="T1710" t="str">
        <f t="shared" ca="1" si="578"/>
        <v>Moderate</v>
      </c>
      <c r="U1710" t="str">
        <f t="shared" ca="1" si="579"/>
        <v>Semi-Private</v>
      </c>
      <c r="V1710" t="str">
        <f t="shared" si="580"/>
        <v>BED1709</v>
      </c>
      <c r="W1710" t="str">
        <f t="shared" ca="1" si="581"/>
        <v>ICU</v>
      </c>
      <c r="X1710" t="str">
        <f t="shared" si="582"/>
        <v>NUR009</v>
      </c>
      <c r="Y1710" t="str">
        <f t="shared" ca="1" si="583"/>
        <v>Morning</v>
      </c>
      <c r="Z1710" t="str">
        <f t="shared" ca="1" si="584"/>
        <v>ECG Machine</v>
      </c>
      <c r="AA1710" t="str">
        <f t="shared" ca="1" si="585"/>
        <v>Available</v>
      </c>
      <c r="AB1710" t="str">
        <f t="shared" ca="1" si="586"/>
        <v>Partially Paid</v>
      </c>
      <c r="AC1710" t="str">
        <f t="shared" ca="1" si="587"/>
        <v>Insurance</v>
      </c>
      <c r="AD1710" t="str">
        <f t="shared" ca="1" si="588"/>
        <v>No</v>
      </c>
      <c r="AE1710" t="str">
        <f t="shared" ca="1" si="589"/>
        <v>Yes</v>
      </c>
      <c r="AF1710" t="str">
        <f t="shared" ca="1" si="590"/>
        <v>Recovered</v>
      </c>
      <c r="AG1710" t="str">
        <f t="shared" ca="1" si="591"/>
        <v>Southwest</v>
      </c>
      <c r="AH1710" t="str">
        <f t="shared" si="574"/>
        <v>November</v>
      </c>
      <c r="AI1710">
        <f t="shared" si="575"/>
        <v>2020</v>
      </c>
      <c r="AJ1710" t="str">
        <f t="shared" ca="1" si="592"/>
        <v>Occupied</v>
      </c>
      <c r="AK1710">
        <f t="shared" ca="1" si="593"/>
        <v>1</v>
      </c>
    </row>
    <row r="1711" spans="1:37" x14ac:dyDescent="0.3">
      <c r="A1711" t="s">
        <v>6096</v>
      </c>
      <c r="B1711">
        <v>32</v>
      </c>
      <c r="C1711" t="s">
        <v>15</v>
      </c>
      <c r="D1711" t="s">
        <v>24</v>
      </c>
      <c r="E1711" t="s">
        <v>39</v>
      </c>
      <c r="F1711" s="1">
        <v>44105</v>
      </c>
      <c r="G1711" t="s">
        <v>3406</v>
      </c>
      <c r="H1711" t="s">
        <v>3407</v>
      </c>
      <c r="I1711" t="s">
        <v>57</v>
      </c>
      <c r="J1711">
        <v>40137</v>
      </c>
      <c r="K1711">
        <v>488</v>
      </c>
      <c r="L1711" t="s">
        <v>21</v>
      </c>
      <c r="M1711" s="1">
        <v>44116</v>
      </c>
      <c r="N1711" t="s">
        <v>37</v>
      </c>
      <c r="O1711" t="s">
        <v>43</v>
      </c>
      <c r="P1711" t="str">
        <f t="shared" si="576"/>
        <v>P1710</v>
      </c>
      <c r="Q1711" t="str">
        <f t="shared" si="572"/>
        <v>Endocrinology</v>
      </c>
      <c r="R1711">
        <f t="shared" si="573"/>
        <v>11</v>
      </c>
      <c r="S1711" t="str">
        <f t="shared" ca="1" si="577"/>
        <v>No</v>
      </c>
      <c r="T1711" t="str">
        <f t="shared" ca="1" si="578"/>
        <v>Moderate</v>
      </c>
      <c r="U1711" t="str">
        <f t="shared" ca="1" si="579"/>
        <v>Semi-Private</v>
      </c>
      <c r="V1711" t="str">
        <f t="shared" si="580"/>
        <v>BED1710</v>
      </c>
      <c r="W1711" t="str">
        <f t="shared" ca="1" si="581"/>
        <v>General</v>
      </c>
      <c r="X1711" t="str">
        <f t="shared" si="582"/>
        <v>NUR010</v>
      </c>
      <c r="Y1711" t="str">
        <f t="shared" ca="1" si="583"/>
        <v>Morning</v>
      </c>
      <c r="Z1711" t="str">
        <f t="shared" ca="1" si="584"/>
        <v>CT Scanner</v>
      </c>
      <c r="AA1711" t="str">
        <f t="shared" ca="1" si="585"/>
        <v>In Use</v>
      </c>
      <c r="AB1711" t="str">
        <f t="shared" ca="1" si="586"/>
        <v>Pending</v>
      </c>
      <c r="AC1711" t="str">
        <f t="shared" ca="1" si="587"/>
        <v>Debit Card</v>
      </c>
      <c r="AD1711" t="str">
        <f t="shared" ca="1" si="588"/>
        <v>No</v>
      </c>
      <c r="AE1711" t="str">
        <f t="shared" ca="1" si="589"/>
        <v>No</v>
      </c>
      <c r="AF1711" t="str">
        <f t="shared" ca="1" si="590"/>
        <v>Under Observation</v>
      </c>
      <c r="AG1711" t="str">
        <f t="shared" ca="1" si="591"/>
        <v>Southwest</v>
      </c>
      <c r="AH1711" t="str">
        <f t="shared" si="574"/>
        <v>October</v>
      </c>
      <c r="AI1711">
        <f t="shared" si="575"/>
        <v>2020</v>
      </c>
      <c r="AJ1711" t="str">
        <f t="shared" ca="1" si="592"/>
        <v>Occupied</v>
      </c>
      <c r="AK1711">
        <f t="shared" ca="1" si="593"/>
        <v>1</v>
      </c>
    </row>
    <row r="1712" spans="1:37" x14ac:dyDescent="0.3">
      <c r="A1712" t="s">
        <v>6097</v>
      </c>
      <c r="B1712">
        <v>24</v>
      </c>
      <c r="C1712" t="s">
        <v>15</v>
      </c>
      <c r="D1712" t="s">
        <v>24</v>
      </c>
      <c r="E1712" t="s">
        <v>64</v>
      </c>
      <c r="F1712" s="1">
        <v>44061</v>
      </c>
      <c r="G1712" t="s">
        <v>3408</v>
      </c>
      <c r="H1712" t="s">
        <v>3409</v>
      </c>
      <c r="I1712" t="s">
        <v>57</v>
      </c>
      <c r="J1712">
        <v>43723</v>
      </c>
      <c r="K1712">
        <v>198</v>
      </c>
      <c r="L1712" t="s">
        <v>29</v>
      </c>
      <c r="M1712" s="1">
        <v>44075</v>
      </c>
      <c r="N1712" t="s">
        <v>47</v>
      </c>
      <c r="O1712" t="s">
        <v>23</v>
      </c>
      <c r="P1712" t="str">
        <f t="shared" si="576"/>
        <v>P1711</v>
      </c>
      <c r="Q1712" t="str">
        <f t="shared" si="572"/>
        <v>Cardiology</v>
      </c>
      <c r="R1712">
        <f t="shared" si="573"/>
        <v>14</v>
      </c>
      <c r="S1712" t="str">
        <f t="shared" ca="1" si="577"/>
        <v>No</v>
      </c>
      <c r="T1712" t="str">
        <f t="shared" ca="1" si="578"/>
        <v>Mild</v>
      </c>
      <c r="U1712" t="str">
        <f t="shared" ca="1" si="579"/>
        <v>General Ward</v>
      </c>
      <c r="V1712" t="str">
        <f t="shared" si="580"/>
        <v>BED1711</v>
      </c>
      <c r="W1712" t="str">
        <f t="shared" ca="1" si="581"/>
        <v>Semi-Private</v>
      </c>
      <c r="X1712" t="str">
        <f t="shared" si="582"/>
        <v>NUR011</v>
      </c>
      <c r="Y1712" t="str">
        <f t="shared" ca="1" si="583"/>
        <v>Evening</v>
      </c>
      <c r="Z1712" t="str">
        <f t="shared" ca="1" si="584"/>
        <v>Ventilator</v>
      </c>
      <c r="AA1712" t="str">
        <f t="shared" ca="1" si="585"/>
        <v>In Use</v>
      </c>
      <c r="AB1712" t="str">
        <f t="shared" ca="1" si="586"/>
        <v>Pending</v>
      </c>
      <c r="AC1712" t="str">
        <f t="shared" ca="1" si="587"/>
        <v>Credit Card</v>
      </c>
      <c r="AD1712" t="str">
        <f t="shared" ca="1" si="588"/>
        <v>No</v>
      </c>
      <c r="AE1712" t="str">
        <f t="shared" ca="1" si="589"/>
        <v>Yes</v>
      </c>
      <c r="AF1712" t="str">
        <f t="shared" ca="1" si="590"/>
        <v>Recovered</v>
      </c>
      <c r="AG1712" t="str">
        <f t="shared" ca="1" si="591"/>
        <v>Midwest</v>
      </c>
      <c r="AH1712" t="str">
        <f t="shared" si="574"/>
        <v>August</v>
      </c>
      <c r="AI1712">
        <f t="shared" si="575"/>
        <v>2020</v>
      </c>
      <c r="AJ1712" t="str">
        <f t="shared" ca="1" si="592"/>
        <v>Occupied</v>
      </c>
      <c r="AK1712">
        <f t="shared" ca="1" si="593"/>
        <v>1</v>
      </c>
    </row>
    <row r="1713" spans="1:37" x14ac:dyDescent="0.3">
      <c r="A1713" t="s">
        <v>6098</v>
      </c>
      <c r="B1713">
        <v>42</v>
      </c>
      <c r="C1713" t="s">
        <v>15</v>
      </c>
      <c r="D1713" t="s">
        <v>52</v>
      </c>
      <c r="E1713" t="s">
        <v>25</v>
      </c>
      <c r="F1713" s="1">
        <v>45162</v>
      </c>
      <c r="G1713" t="s">
        <v>3410</v>
      </c>
      <c r="H1713" t="s">
        <v>3411</v>
      </c>
      <c r="I1713" t="s">
        <v>20</v>
      </c>
      <c r="J1713">
        <v>44356</v>
      </c>
      <c r="K1713">
        <v>166</v>
      </c>
      <c r="L1713" t="s">
        <v>21</v>
      </c>
      <c r="M1713" s="1">
        <v>45181</v>
      </c>
      <c r="N1713" t="s">
        <v>30</v>
      </c>
      <c r="O1713" t="s">
        <v>43</v>
      </c>
      <c r="P1713" t="str">
        <f t="shared" si="576"/>
        <v>P1712</v>
      </c>
      <c r="Q1713" t="str">
        <f t="shared" si="572"/>
        <v>Nutrition</v>
      </c>
      <c r="R1713">
        <f t="shared" si="573"/>
        <v>19</v>
      </c>
      <c r="S1713" t="str">
        <f t="shared" ca="1" si="577"/>
        <v>No</v>
      </c>
      <c r="T1713" t="str">
        <f t="shared" ca="1" si="578"/>
        <v>Severe</v>
      </c>
      <c r="U1713" t="str">
        <f t="shared" ca="1" si="579"/>
        <v>General Ward</v>
      </c>
      <c r="V1713" t="str">
        <f t="shared" si="580"/>
        <v>BED1712</v>
      </c>
      <c r="W1713" t="str">
        <f t="shared" ca="1" si="581"/>
        <v>Semi-Private</v>
      </c>
      <c r="X1713" t="str">
        <f t="shared" si="582"/>
        <v>NUR012</v>
      </c>
      <c r="Y1713" t="str">
        <f t="shared" ca="1" si="583"/>
        <v>Night</v>
      </c>
      <c r="Z1713" t="str">
        <f t="shared" ca="1" si="584"/>
        <v>X-Ray</v>
      </c>
      <c r="AA1713" t="str">
        <f t="shared" ca="1" si="585"/>
        <v>Maintenance</v>
      </c>
      <c r="AB1713" t="str">
        <f t="shared" ca="1" si="586"/>
        <v>Paid</v>
      </c>
      <c r="AC1713" t="str">
        <f t="shared" ca="1" si="587"/>
        <v>Debit Card</v>
      </c>
      <c r="AD1713" t="str">
        <f t="shared" ca="1" si="588"/>
        <v>Yes</v>
      </c>
      <c r="AE1713" t="str">
        <f t="shared" ca="1" si="589"/>
        <v>No</v>
      </c>
      <c r="AF1713" t="str">
        <f t="shared" ca="1" si="590"/>
        <v>Recovered</v>
      </c>
      <c r="AG1713" t="str">
        <f t="shared" ca="1" si="591"/>
        <v>Southeast</v>
      </c>
      <c r="AH1713" t="str">
        <f t="shared" si="574"/>
        <v>August</v>
      </c>
      <c r="AI1713">
        <f t="shared" si="575"/>
        <v>2023</v>
      </c>
      <c r="AJ1713" t="str">
        <f t="shared" ca="1" si="592"/>
        <v>Occupied</v>
      </c>
      <c r="AK1713">
        <f t="shared" ca="1" si="593"/>
        <v>2</v>
      </c>
    </row>
    <row r="1714" spans="1:37" x14ac:dyDescent="0.3">
      <c r="A1714" t="s">
        <v>6099</v>
      </c>
      <c r="B1714">
        <v>38</v>
      </c>
      <c r="C1714" t="s">
        <v>32</v>
      </c>
      <c r="D1714" t="s">
        <v>24</v>
      </c>
      <c r="E1714" t="s">
        <v>39</v>
      </c>
      <c r="F1714" s="1">
        <v>44431</v>
      </c>
      <c r="G1714" t="s">
        <v>3412</v>
      </c>
      <c r="H1714" t="s">
        <v>3413</v>
      </c>
      <c r="I1714" t="s">
        <v>28</v>
      </c>
      <c r="J1714">
        <v>14416</v>
      </c>
      <c r="K1714">
        <v>269</v>
      </c>
      <c r="L1714" t="s">
        <v>29</v>
      </c>
      <c r="M1714" s="1">
        <v>44454</v>
      </c>
      <c r="N1714" t="s">
        <v>37</v>
      </c>
      <c r="O1714" t="s">
        <v>31</v>
      </c>
      <c r="P1714" t="str">
        <f t="shared" si="576"/>
        <v>P1713</v>
      </c>
      <c r="Q1714" t="str">
        <f t="shared" si="572"/>
        <v>Endocrinology</v>
      </c>
      <c r="R1714">
        <f t="shared" si="573"/>
        <v>23</v>
      </c>
      <c r="S1714" t="str">
        <f t="shared" ca="1" si="577"/>
        <v>No</v>
      </c>
      <c r="T1714" t="str">
        <f t="shared" ca="1" si="578"/>
        <v>Critical</v>
      </c>
      <c r="U1714" t="str">
        <f t="shared" ca="1" si="579"/>
        <v>Emergency</v>
      </c>
      <c r="V1714" t="str">
        <f t="shared" si="580"/>
        <v>BED1713</v>
      </c>
      <c r="W1714" t="str">
        <f t="shared" ca="1" si="581"/>
        <v>General</v>
      </c>
      <c r="X1714" t="str">
        <f t="shared" si="582"/>
        <v>NUR013</v>
      </c>
      <c r="Y1714" t="str">
        <f t="shared" ca="1" si="583"/>
        <v>Morning</v>
      </c>
      <c r="Z1714" t="str">
        <f t="shared" ca="1" si="584"/>
        <v>ECG Machine</v>
      </c>
      <c r="AA1714" t="str">
        <f t="shared" ca="1" si="585"/>
        <v>Available</v>
      </c>
      <c r="AB1714" t="str">
        <f t="shared" ca="1" si="586"/>
        <v>Pending</v>
      </c>
      <c r="AC1714" t="str">
        <f t="shared" ca="1" si="587"/>
        <v>Debit Card</v>
      </c>
      <c r="AD1714" t="str">
        <f t="shared" ca="1" si="588"/>
        <v>No</v>
      </c>
      <c r="AE1714" t="str">
        <f t="shared" ca="1" si="589"/>
        <v>No</v>
      </c>
      <c r="AF1714" t="str">
        <f t="shared" ca="1" si="590"/>
        <v>Recovered</v>
      </c>
      <c r="AG1714" t="str">
        <f t="shared" ca="1" si="591"/>
        <v>Northeast</v>
      </c>
      <c r="AH1714" t="str">
        <f t="shared" si="574"/>
        <v>August</v>
      </c>
      <c r="AI1714">
        <f t="shared" si="575"/>
        <v>2021</v>
      </c>
      <c r="AJ1714" t="str">
        <f t="shared" ca="1" si="592"/>
        <v>Occupied</v>
      </c>
      <c r="AK1714">
        <f t="shared" ca="1" si="593"/>
        <v>2</v>
      </c>
    </row>
    <row r="1715" spans="1:37" x14ac:dyDescent="0.3">
      <c r="A1715" t="s">
        <v>6100</v>
      </c>
      <c r="B1715">
        <v>80</v>
      </c>
      <c r="C1715" t="s">
        <v>15</v>
      </c>
      <c r="D1715" t="s">
        <v>38</v>
      </c>
      <c r="E1715" t="s">
        <v>17</v>
      </c>
      <c r="F1715" s="1">
        <v>43782</v>
      </c>
      <c r="G1715" t="s">
        <v>3414</v>
      </c>
      <c r="H1715" t="s">
        <v>3415</v>
      </c>
      <c r="I1715" t="s">
        <v>51</v>
      </c>
      <c r="J1715">
        <v>47597</v>
      </c>
      <c r="K1715">
        <v>469</v>
      </c>
      <c r="L1715" t="s">
        <v>21</v>
      </c>
      <c r="M1715" s="1">
        <v>43812</v>
      </c>
      <c r="N1715" t="s">
        <v>37</v>
      </c>
      <c r="O1715" t="s">
        <v>43</v>
      </c>
      <c r="P1715" t="str">
        <f t="shared" si="576"/>
        <v>P1714</v>
      </c>
      <c r="Q1715" t="str">
        <f t="shared" si="572"/>
        <v>Oncology</v>
      </c>
      <c r="R1715">
        <f t="shared" si="573"/>
        <v>30</v>
      </c>
      <c r="S1715" t="str">
        <f t="shared" ca="1" si="577"/>
        <v>No</v>
      </c>
      <c r="T1715" t="str">
        <f t="shared" ca="1" si="578"/>
        <v>Mild</v>
      </c>
      <c r="U1715" t="str">
        <f t="shared" ca="1" si="579"/>
        <v>General Ward</v>
      </c>
      <c r="V1715" t="str">
        <f t="shared" si="580"/>
        <v>BED1714</v>
      </c>
      <c r="W1715" t="str">
        <f t="shared" ca="1" si="581"/>
        <v>ICU</v>
      </c>
      <c r="X1715" t="str">
        <f t="shared" si="582"/>
        <v>NUR014</v>
      </c>
      <c r="Y1715" t="str">
        <f t="shared" ca="1" si="583"/>
        <v>Evening</v>
      </c>
      <c r="Z1715" t="str">
        <f t="shared" ca="1" si="584"/>
        <v>Ultrasound</v>
      </c>
      <c r="AA1715" t="str">
        <f t="shared" ca="1" si="585"/>
        <v>In Use</v>
      </c>
      <c r="AB1715" t="str">
        <f t="shared" ca="1" si="586"/>
        <v>Pending</v>
      </c>
      <c r="AC1715" t="str">
        <f t="shared" ca="1" si="587"/>
        <v>Bank Transfer</v>
      </c>
      <c r="AD1715" t="str">
        <f t="shared" ca="1" si="588"/>
        <v>No</v>
      </c>
      <c r="AE1715" t="str">
        <f t="shared" ca="1" si="589"/>
        <v>No</v>
      </c>
      <c r="AF1715" t="str">
        <f t="shared" ca="1" si="590"/>
        <v>Under Observation</v>
      </c>
      <c r="AG1715" t="str">
        <f t="shared" ca="1" si="591"/>
        <v>West Coast</v>
      </c>
      <c r="AH1715" t="str">
        <f t="shared" si="574"/>
        <v>November</v>
      </c>
      <c r="AI1715">
        <f t="shared" si="575"/>
        <v>2019</v>
      </c>
      <c r="AJ1715" t="str">
        <f t="shared" ca="1" si="592"/>
        <v>Occupied</v>
      </c>
      <c r="AK1715">
        <f t="shared" ca="1" si="593"/>
        <v>2</v>
      </c>
    </row>
    <row r="1716" spans="1:37" x14ac:dyDescent="0.3">
      <c r="A1716" t="s">
        <v>6101</v>
      </c>
      <c r="B1716">
        <v>74</v>
      </c>
      <c r="C1716" t="s">
        <v>15</v>
      </c>
      <c r="D1716" t="s">
        <v>33</v>
      </c>
      <c r="E1716" t="s">
        <v>76</v>
      </c>
      <c r="F1716" s="1">
        <v>44899</v>
      </c>
      <c r="G1716" t="s">
        <v>3416</v>
      </c>
      <c r="H1716" t="s">
        <v>3417</v>
      </c>
      <c r="I1716" t="s">
        <v>57</v>
      </c>
      <c r="J1716">
        <v>31911</v>
      </c>
      <c r="K1716">
        <v>445</v>
      </c>
      <c r="L1716" t="s">
        <v>42</v>
      </c>
      <c r="M1716" s="1">
        <v>44927</v>
      </c>
      <c r="N1716" t="s">
        <v>30</v>
      </c>
      <c r="O1716" t="s">
        <v>23</v>
      </c>
      <c r="P1716" t="str">
        <f t="shared" si="576"/>
        <v>P1715</v>
      </c>
      <c r="Q1716" t="str">
        <f t="shared" si="572"/>
        <v>Orthopedics</v>
      </c>
      <c r="R1716">
        <f t="shared" si="573"/>
        <v>28</v>
      </c>
      <c r="S1716" t="str">
        <f t="shared" ca="1" si="577"/>
        <v>No</v>
      </c>
      <c r="T1716" t="str">
        <f t="shared" ca="1" si="578"/>
        <v>Mild</v>
      </c>
      <c r="U1716" t="str">
        <f t="shared" ca="1" si="579"/>
        <v>Emergency</v>
      </c>
      <c r="V1716" t="str">
        <f t="shared" si="580"/>
        <v>BED1715</v>
      </c>
      <c r="W1716" t="str">
        <f t="shared" ca="1" si="581"/>
        <v>Private</v>
      </c>
      <c r="X1716" t="str">
        <f t="shared" si="582"/>
        <v>NUR015</v>
      </c>
      <c r="Y1716" t="str">
        <f t="shared" ca="1" si="583"/>
        <v>Morning</v>
      </c>
      <c r="Z1716" t="str">
        <f t="shared" ca="1" si="584"/>
        <v>X-Ray</v>
      </c>
      <c r="AA1716" t="str">
        <f t="shared" ca="1" si="585"/>
        <v>Maintenance</v>
      </c>
      <c r="AB1716" t="str">
        <f t="shared" ca="1" si="586"/>
        <v>Partially Paid</v>
      </c>
      <c r="AC1716" t="str">
        <f t="shared" ca="1" si="587"/>
        <v>Debit Card</v>
      </c>
      <c r="AD1716" t="str">
        <f t="shared" ca="1" si="588"/>
        <v>No</v>
      </c>
      <c r="AE1716" t="str">
        <f t="shared" ca="1" si="589"/>
        <v>No</v>
      </c>
      <c r="AF1716" t="str">
        <f t="shared" ca="1" si="590"/>
        <v>Recovered</v>
      </c>
      <c r="AG1716" t="str">
        <f t="shared" ca="1" si="591"/>
        <v>Northeast</v>
      </c>
      <c r="AH1716" t="str">
        <f t="shared" si="574"/>
        <v>December</v>
      </c>
      <c r="AI1716">
        <f t="shared" si="575"/>
        <v>2022</v>
      </c>
      <c r="AJ1716" t="str">
        <f t="shared" ca="1" si="592"/>
        <v>Occupied</v>
      </c>
      <c r="AK1716">
        <f t="shared" ca="1" si="593"/>
        <v>2</v>
      </c>
    </row>
    <row r="1717" spans="1:37" x14ac:dyDescent="0.3">
      <c r="A1717" t="s">
        <v>6102</v>
      </c>
      <c r="B1717">
        <v>79</v>
      </c>
      <c r="C1717" t="s">
        <v>32</v>
      </c>
      <c r="D1717" t="s">
        <v>24</v>
      </c>
      <c r="E1717" t="s">
        <v>17</v>
      </c>
      <c r="F1717" s="1">
        <v>43734</v>
      </c>
      <c r="G1717" t="s">
        <v>3418</v>
      </c>
      <c r="H1717" t="s">
        <v>3419</v>
      </c>
      <c r="I1717" t="s">
        <v>20</v>
      </c>
      <c r="J1717">
        <v>38598</v>
      </c>
      <c r="K1717">
        <v>491</v>
      </c>
      <c r="L1717" t="s">
        <v>21</v>
      </c>
      <c r="M1717" s="1">
        <v>43755</v>
      </c>
      <c r="N1717" t="s">
        <v>37</v>
      </c>
      <c r="O1717" t="s">
        <v>31</v>
      </c>
      <c r="P1717" t="str">
        <f t="shared" si="576"/>
        <v>P1716</v>
      </c>
      <c r="Q1717" t="str">
        <f t="shared" si="572"/>
        <v>Oncology</v>
      </c>
      <c r="R1717">
        <f t="shared" si="573"/>
        <v>21</v>
      </c>
      <c r="S1717" t="str">
        <f t="shared" ca="1" si="577"/>
        <v>No</v>
      </c>
      <c r="T1717" t="str">
        <f t="shared" ca="1" si="578"/>
        <v>Mild</v>
      </c>
      <c r="U1717" t="str">
        <f t="shared" ca="1" si="579"/>
        <v>General Ward</v>
      </c>
      <c r="V1717" t="str">
        <f t="shared" si="580"/>
        <v>BED1716</v>
      </c>
      <c r="W1717" t="str">
        <f t="shared" ca="1" si="581"/>
        <v>General</v>
      </c>
      <c r="X1717" t="str">
        <f t="shared" si="582"/>
        <v>NUR016</v>
      </c>
      <c r="Y1717" t="str">
        <f t="shared" ca="1" si="583"/>
        <v>Night</v>
      </c>
      <c r="Z1717" t="str">
        <f t="shared" ca="1" si="584"/>
        <v>CT Scanner</v>
      </c>
      <c r="AA1717" t="str">
        <f t="shared" ca="1" si="585"/>
        <v>In Use</v>
      </c>
      <c r="AB1717" t="str">
        <f t="shared" ca="1" si="586"/>
        <v>Paid</v>
      </c>
      <c r="AC1717" t="str">
        <f t="shared" ca="1" si="587"/>
        <v>Cash</v>
      </c>
      <c r="AD1717" t="str">
        <f t="shared" ca="1" si="588"/>
        <v>No</v>
      </c>
      <c r="AE1717" t="str">
        <f t="shared" ca="1" si="589"/>
        <v>No</v>
      </c>
      <c r="AF1717" t="str">
        <f t="shared" ca="1" si="590"/>
        <v>Transferred</v>
      </c>
      <c r="AG1717" t="str">
        <f t="shared" ca="1" si="591"/>
        <v>West Coast</v>
      </c>
      <c r="AH1717" t="str">
        <f t="shared" si="574"/>
        <v>September</v>
      </c>
      <c r="AI1717">
        <f t="shared" si="575"/>
        <v>2019</v>
      </c>
      <c r="AJ1717" t="str">
        <f t="shared" ca="1" si="592"/>
        <v>Occupied</v>
      </c>
      <c r="AK1717">
        <f t="shared" ca="1" si="593"/>
        <v>1</v>
      </c>
    </row>
    <row r="1718" spans="1:37" x14ac:dyDescent="0.3">
      <c r="A1718" t="s">
        <v>6103</v>
      </c>
      <c r="B1718">
        <v>62</v>
      </c>
      <c r="C1718" t="s">
        <v>15</v>
      </c>
      <c r="D1718" t="s">
        <v>44</v>
      </c>
      <c r="E1718" t="s">
        <v>48</v>
      </c>
      <c r="F1718" s="1">
        <v>45086</v>
      </c>
      <c r="G1718" t="s">
        <v>3420</v>
      </c>
      <c r="H1718" t="s">
        <v>3421</v>
      </c>
      <c r="I1718" t="s">
        <v>28</v>
      </c>
      <c r="J1718">
        <v>9508</v>
      </c>
      <c r="K1718">
        <v>309</v>
      </c>
      <c r="L1718" t="s">
        <v>21</v>
      </c>
      <c r="M1718" s="1">
        <v>45097</v>
      </c>
      <c r="N1718" t="s">
        <v>67</v>
      </c>
      <c r="O1718" t="s">
        <v>31</v>
      </c>
      <c r="P1718" t="str">
        <f t="shared" si="576"/>
        <v>P1717</v>
      </c>
      <c r="Q1718" t="str">
        <f t="shared" si="572"/>
        <v>Pulmonology</v>
      </c>
      <c r="R1718">
        <f t="shared" si="573"/>
        <v>11</v>
      </c>
      <c r="S1718" t="str">
        <f t="shared" ca="1" si="577"/>
        <v>No</v>
      </c>
      <c r="T1718" t="str">
        <f t="shared" ca="1" si="578"/>
        <v>Critical</v>
      </c>
      <c r="U1718" t="str">
        <f t="shared" ca="1" si="579"/>
        <v>Semi-Private</v>
      </c>
      <c r="V1718" t="str">
        <f t="shared" si="580"/>
        <v>BED1717</v>
      </c>
      <c r="W1718" t="str">
        <f t="shared" ca="1" si="581"/>
        <v>ICU</v>
      </c>
      <c r="X1718" t="str">
        <f t="shared" si="582"/>
        <v>NUR017</v>
      </c>
      <c r="Y1718" t="str">
        <f t="shared" ca="1" si="583"/>
        <v>Morning</v>
      </c>
      <c r="Z1718" t="str">
        <f t="shared" ca="1" si="584"/>
        <v>ECG Machine</v>
      </c>
      <c r="AA1718" t="str">
        <f t="shared" ca="1" si="585"/>
        <v>Maintenance</v>
      </c>
      <c r="AB1718" t="str">
        <f t="shared" ca="1" si="586"/>
        <v>Paid</v>
      </c>
      <c r="AC1718" t="str">
        <f t="shared" ca="1" si="587"/>
        <v>Insurance</v>
      </c>
      <c r="AD1718" t="str">
        <f t="shared" ca="1" si="588"/>
        <v>No</v>
      </c>
      <c r="AE1718" t="str">
        <f t="shared" ca="1" si="589"/>
        <v>No</v>
      </c>
      <c r="AF1718" t="str">
        <f t="shared" ca="1" si="590"/>
        <v>Recovered</v>
      </c>
      <c r="AG1718" t="str">
        <f t="shared" ca="1" si="591"/>
        <v>Northeast</v>
      </c>
      <c r="AH1718" t="str">
        <f t="shared" si="574"/>
        <v>June</v>
      </c>
      <c r="AI1718">
        <f t="shared" si="575"/>
        <v>2023</v>
      </c>
      <c r="AJ1718" t="str">
        <f t="shared" ca="1" si="592"/>
        <v>Vacant</v>
      </c>
      <c r="AK1718">
        <f t="shared" ca="1" si="593"/>
        <v>2</v>
      </c>
    </row>
    <row r="1719" spans="1:37" x14ac:dyDescent="0.3">
      <c r="A1719" t="s">
        <v>6104</v>
      </c>
      <c r="B1719">
        <v>42</v>
      </c>
      <c r="C1719" t="s">
        <v>32</v>
      </c>
      <c r="D1719" t="s">
        <v>44</v>
      </c>
      <c r="E1719" t="s">
        <v>48</v>
      </c>
      <c r="F1719" s="1">
        <v>44066</v>
      </c>
      <c r="G1719" t="s">
        <v>3422</v>
      </c>
      <c r="H1719" t="s">
        <v>3423</v>
      </c>
      <c r="I1719" t="s">
        <v>28</v>
      </c>
      <c r="J1719">
        <v>30538</v>
      </c>
      <c r="K1719">
        <v>370</v>
      </c>
      <c r="L1719" t="s">
        <v>29</v>
      </c>
      <c r="M1719" s="1">
        <v>44085</v>
      </c>
      <c r="N1719" t="s">
        <v>30</v>
      </c>
      <c r="O1719" t="s">
        <v>31</v>
      </c>
      <c r="P1719" t="str">
        <f t="shared" si="576"/>
        <v>P1718</v>
      </c>
      <c r="Q1719" t="str">
        <f t="shared" si="572"/>
        <v>Pulmonology</v>
      </c>
      <c r="R1719">
        <f t="shared" si="573"/>
        <v>19</v>
      </c>
      <c r="S1719" t="str">
        <f t="shared" ca="1" si="577"/>
        <v>No</v>
      </c>
      <c r="T1719" t="str">
        <f t="shared" ca="1" si="578"/>
        <v>Critical</v>
      </c>
      <c r="U1719" t="str">
        <f t="shared" ca="1" si="579"/>
        <v>ICU</v>
      </c>
      <c r="V1719" t="str">
        <f t="shared" si="580"/>
        <v>BED1718</v>
      </c>
      <c r="W1719" t="str">
        <f t="shared" ca="1" si="581"/>
        <v>Semi-Private</v>
      </c>
      <c r="X1719" t="str">
        <f t="shared" si="582"/>
        <v>NUR018</v>
      </c>
      <c r="Y1719" t="str">
        <f t="shared" ca="1" si="583"/>
        <v>Morning</v>
      </c>
      <c r="Z1719" t="str">
        <f t="shared" ca="1" si="584"/>
        <v>Ultrasound</v>
      </c>
      <c r="AA1719" t="str">
        <f t="shared" ca="1" si="585"/>
        <v>Available</v>
      </c>
      <c r="AB1719" t="str">
        <f t="shared" ca="1" si="586"/>
        <v>Partially Paid</v>
      </c>
      <c r="AC1719" t="str">
        <f t="shared" ca="1" si="587"/>
        <v>Credit Card</v>
      </c>
      <c r="AD1719" t="str">
        <f t="shared" ca="1" si="588"/>
        <v>No</v>
      </c>
      <c r="AE1719" t="str">
        <f t="shared" ca="1" si="589"/>
        <v>No</v>
      </c>
      <c r="AF1719" t="str">
        <f t="shared" ca="1" si="590"/>
        <v>Recovered</v>
      </c>
      <c r="AG1719" t="str">
        <f t="shared" ca="1" si="591"/>
        <v>Northeast</v>
      </c>
      <c r="AH1719" t="str">
        <f t="shared" si="574"/>
        <v>August</v>
      </c>
      <c r="AI1719">
        <f t="shared" si="575"/>
        <v>2020</v>
      </c>
      <c r="AJ1719" t="str">
        <f t="shared" ca="1" si="592"/>
        <v>Vacant</v>
      </c>
      <c r="AK1719">
        <f t="shared" ca="1" si="593"/>
        <v>2</v>
      </c>
    </row>
    <row r="1720" spans="1:37" x14ac:dyDescent="0.3">
      <c r="A1720" t="s">
        <v>6105</v>
      </c>
      <c r="B1720">
        <v>54</v>
      </c>
      <c r="C1720" t="s">
        <v>15</v>
      </c>
      <c r="D1720" t="s">
        <v>24</v>
      </c>
      <c r="E1720" t="s">
        <v>64</v>
      </c>
      <c r="F1720" s="1">
        <v>44043</v>
      </c>
      <c r="G1720" t="s">
        <v>3424</v>
      </c>
      <c r="H1720" t="s">
        <v>3425</v>
      </c>
      <c r="I1720" t="s">
        <v>28</v>
      </c>
      <c r="J1720">
        <v>21770</v>
      </c>
      <c r="K1720">
        <v>329</v>
      </c>
      <c r="L1720" t="s">
        <v>29</v>
      </c>
      <c r="M1720" s="1">
        <v>44051</v>
      </c>
      <c r="N1720" t="s">
        <v>37</v>
      </c>
      <c r="O1720" t="s">
        <v>31</v>
      </c>
      <c r="P1720" t="str">
        <f t="shared" si="576"/>
        <v>P1719</v>
      </c>
      <c r="Q1720" t="str">
        <f t="shared" si="572"/>
        <v>Cardiology</v>
      </c>
      <c r="R1720">
        <f t="shared" si="573"/>
        <v>8</v>
      </c>
      <c r="S1720" t="str">
        <f t="shared" ca="1" si="577"/>
        <v>No</v>
      </c>
      <c r="T1720" t="str">
        <f t="shared" ca="1" si="578"/>
        <v>Severe</v>
      </c>
      <c r="U1720" t="str">
        <f t="shared" ca="1" si="579"/>
        <v>ICU</v>
      </c>
      <c r="V1720" t="str">
        <f t="shared" si="580"/>
        <v>BED1719</v>
      </c>
      <c r="W1720" t="str">
        <f t="shared" ca="1" si="581"/>
        <v>General</v>
      </c>
      <c r="X1720" t="str">
        <f t="shared" si="582"/>
        <v>NUR019</v>
      </c>
      <c r="Y1720" t="str">
        <f t="shared" ca="1" si="583"/>
        <v>Morning</v>
      </c>
      <c r="Z1720" t="str">
        <f t="shared" ca="1" si="584"/>
        <v>Ventilator</v>
      </c>
      <c r="AA1720" t="str">
        <f t="shared" ca="1" si="585"/>
        <v>In Use</v>
      </c>
      <c r="AB1720" t="str">
        <f t="shared" ca="1" si="586"/>
        <v>Partially Paid</v>
      </c>
      <c r="AC1720" t="str">
        <f t="shared" ca="1" si="587"/>
        <v>Insurance</v>
      </c>
      <c r="AD1720" t="str">
        <f t="shared" ca="1" si="588"/>
        <v>No</v>
      </c>
      <c r="AE1720" t="str">
        <f t="shared" ca="1" si="589"/>
        <v>No</v>
      </c>
      <c r="AF1720" t="str">
        <f t="shared" ca="1" si="590"/>
        <v>Under Observation</v>
      </c>
      <c r="AG1720" t="str">
        <f t="shared" ca="1" si="591"/>
        <v>Southeast</v>
      </c>
      <c r="AH1720" t="str">
        <f t="shared" si="574"/>
        <v>July</v>
      </c>
      <c r="AI1720">
        <f t="shared" si="575"/>
        <v>2020</v>
      </c>
      <c r="AJ1720" t="str">
        <f t="shared" ca="1" si="592"/>
        <v>Occupied</v>
      </c>
      <c r="AK1720">
        <f t="shared" ca="1" si="593"/>
        <v>2</v>
      </c>
    </row>
    <row r="1721" spans="1:37" x14ac:dyDescent="0.3">
      <c r="A1721" t="s">
        <v>6106</v>
      </c>
      <c r="B1721">
        <v>70</v>
      </c>
      <c r="C1721" t="s">
        <v>15</v>
      </c>
      <c r="D1721" t="s">
        <v>52</v>
      </c>
      <c r="E1721" t="s">
        <v>25</v>
      </c>
      <c r="F1721" s="1">
        <v>44402</v>
      </c>
      <c r="G1721" t="s">
        <v>3426</v>
      </c>
      <c r="H1721" t="s">
        <v>3427</v>
      </c>
      <c r="I1721" t="s">
        <v>36</v>
      </c>
      <c r="J1721">
        <v>2501</v>
      </c>
      <c r="K1721">
        <v>443</v>
      </c>
      <c r="L1721" t="s">
        <v>21</v>
      </c>
      <c r="M1721" s="1">
        <v>44411</v>
      </c>
      <c r="N1721" t="s">
        <v>37</v>
      </c>
      <c r="O1721" t="s">
        <v>31</v>
      </c>
      <c r="P1721" t="str">
        <f t="shared" si="576"/>
        <v>P1720</v>
      </c>
      <c r="Q1721" t="str">
        <f t="shared" si="572"/>
        <v>Nutrition</v>
      </c>
      <c r="R1721">
        <f t="shared" si="573"/>
        <v>9</v>
      </c>
      <c r="S1721" t="str">
        <f t="shared" ca="1" si="577"/>
        <v>Yes</v>
      </c>
      <c r="T1721" t="str">
        <f t="shared" ca="1" si="578"/>
        <v>Mild</v>
      </c>
      <c r="U1721" t="str">
        <f t="shared" ca="1" si="579"/>
        <v>Emergency</v>
      </c>
      <c r="V1721" t="str">
        <f t="shared" si="580"/>
        <v>BED1720</v>
      </c>
      <c r="W1721" t="str">
        <f t="shared" ca="1" si="581"/>
        <v>Private</v>
      </c>
      <c r="X1721" t="str">
        <f t="shared" si="582"/>
        <v>NUR020</v>
      </c>
      <c r="Y1721" t="str">
        <f t="shared" ca="1" si="583"/>
        <v>Morning</v>
      </c>
      <c r="Z1721" t="str">
        <f t="shared" ca="1" si="584"/>
        <v>CT Scanner</v>
      </c>
      <c r="AA1721" t="str">
        <f t="shared" ca="1" si="585"/>
        <v>Maintenance</v>
      </c>
      <c r="AB1721" t="str">
        <f t="shared" ca="1" si="586"/>
        <v>Partially Paid</v>
      </c>
      <c r="AC1721" t="str">
        <f t="shared" ca="1" si="587"/>
        <v>Insurance</v>
      </c>
      <c r="AD1721" t="str">
        <f t="shared" ca="1" si="588"/>
        <v>No</v>
      </c>
      <c r="AE1721" t="str">
        <f t="shared" ca="1" si="589"/>
        <v>No</v>
      </c>
      <c r="AF1721" t="str">
        <f t="shared" ca="1" si="590"/>
        <v>Recovered</v>
      </c>
      <c r="AG1721" t="str">
        <f t="shared" ca="1" si="591"/>
        <v>Midwest</v>
      </c>
      <c r="AH1721" t="str">
        <f t="shared" si="574"/>
        <v>July</v>
      </c>
      <c r="AI1721">
        <f t="shared" si="575"/>
        <v>2021</v>
      </c>
      <c r="AJ1721" t="str">
        <f t="shared" ca="1" si="592"/>
        <v>Occupied</v>
      </c>
      <c r="AK1721">
        <f t="shared" ca="1" si="593"/>
        <v>1</v>
      </c>
    </row>
    <row r="1722" spans="1:37" x14ac:dyDescent="0.3">
      <c r="A1722" t="s">
        <v>6107</v>
      </c>
      <c r="B1722">
        <v>35</v>
      </c>
      <c r="C1722" t="s">
        <v>15</v>
      </c>
      <c r="D1722" t="s">
        <v>16</v>
      </c>
      <c r="E1722" t="s">
        <v>17</v>
      </c>
      <c r="F1722" s="1">
        <v>45309</v>
      </c>
      <c r="G1722" t="s">
        <v>3428</v>
      </c>
      <c r="H1722" t="s">
        <v>3429</v>
      </c>
      <c r="I1722" t="s">
        <v>20</v>
      </c>
      <c r="J1722">
        <v>3768</v>
      </c>
      <c r="K1722">
        <v>168</v>
      </c>
      <c r="L1722" t="s">
        <v>29</v>
      </c>
      <c r="M1722" s="1">
        <v>45323</v>
      </c>
      <c r="N1722" t="s">
        <v>47</v>
      </c>
      <c r="O1722" t="s">
        <v>43</v>
      </c>
      <c r="P1722" t="str">
        <f t="shared" si="576"/>
        <v>P1721</v>
      </c>
      <c r="Q1722" t="str">
        <f t="shared" si="572"/>
        <v>Oncology</v>
      </c>
      <c r="R1722">
        <f t="shared" si="573"/>
        <v>14</v>
      </c>
      <c r="S1722" t="str">
        <f t="shared" ca="1" si="577"/>
        <v>No</v>
      </c>
      <c r="T1722" t="str">
        <f t="shared" ca="1" si="578"/>
        <v>Critical</v>
      </c>
      <c r="U1722" t="str">
        <f t="shared" ca="1" si="579"/>
        <v>ICU</v>
      </c>
      <c r="V1722" t="str">
        <f t="shared" si="580"/>
        <v>BED1721</v>
      </c>
      <c r="W1722" t="str">
        <f t="shared" ca="1" si="581"/>
        <v>Private</v>
      </c>
      <c r="X1722" t="str">
        <f t="shared" si="582"/>
        <v>NUR021</v>
      </c>
      <c r="Y1722" t="str">
        <f t="shared" ca="1" si="583"/>
        <v>Evening</v>
      </c>
      <c r="Z1722" t="str">
        <f t="shared" ca="1" si="584"/>
        <v>ECG Machine</v>
      </c>
      <c r="AA1722" t="str">
        <f t="shared" ca="1" si="585"/>
        <v>In Use</v>
      </c>
      <c r="AB1722" t="str">
        <f t="shared" ca="1" si="586"/>
        <v>Pending</v>
      </c>
      <c r="AC1722" t="str">
        <f t="shared" ca="1" si="587"/>
        <v>Insurance</v>
      </c>
      <c r="AD1722" t="str">
        <f t="shared" ca="1" si="588"/>
        <v>No</v>
      </c>
      <c r="AE1722" t="str">
        <f t="shared" ca="1" si="589"/>
        <v>No</v>
      </c>
      <c r="AF1722" t="str">
        <f t="shared" ca="1" si="590"/>
        <v>Transferred</v>
      </c>
      <c r="AG1722" t="str">
        <f t="shared" ca="1" si="591"/>
        <v>West Coast</v>
      </c>
      <c r="AH1722" t="str">
        <f t="shared" si="574"/>
        <v>January</v>
      </c>
      <c r="AI1722">
        <f t="shared" si="575"/>
        <v>2024</v>
      </c>
      <c r="AJ1722" t="str">
        <f t="shared" ca="1" si="592"/>
        <v>Occupied</v>
      </c>
      <c r="AK1722">
        <f t="shared" ca="1" si="593"/>
        <v>1</v>
      </c>
    </row>
    <row r="1723" spans="1:37" x14ac:dyDescent="0.3">
      <c r="A1723" t="s">
        <v>6108</v>
      </c>
      <c r="B1723">
        <v>48</v>
      </c>
      <c r="C1723" t="s">
        <v>32</v>
      </c>
      <c r="D1723" t="s">
        <v>38</v>
      </c>
      <c r="E1723" t="s">
        <v>39</v>
      </c>
      <c r="F1723" s="1">
        <v>44509</v>
      </c>
      <c r="G1723" t="s">
        <v>3430</v>
      </c>
      <c r="H1723" t="s">
        <v>3431</v>
      </c>
      <c r="I1723" t="s">
        <v>20</v>
      </c>
      <c r="J1723">
        <v>46745</v>
      </c>
      <c r="K1723">
        <v>278</v>
      </c>
      <c r="L1723" t="s">
        <v>42</v>
      </c>
      <c r="M1723" s="1">
        <v>44527</v>
      </c>
      <c r="N1723" t="s">
        <v>67</v>
      </c>
      <c r="O1723" t="s">
        <v>23</v>
      </c>
      <c r="P1723" t="str">
        <f t="shared" si="576"/>
        <v>P1722</v>
      </c>
      <c r="Q1723" t="str">
        <f t="shared" si="572"/>
        <v>Endocrinology</v>
      </c>
      <c r="R1723">
        <f t="shared" si="573"/>
        <v>18</v>
      </c>
      <c r="S1723" t="str">
        <f t="shared" ca="1" si="577"/>
        <v>No</v>
      </c>
      <c r="T1723" t="str">
        <f t="shared" ca="1" si="578"/>
        <v>Mild</v>
      </c>
      <c r="U1723" t="str">
        <f t="shared" ca="1" si="579"/>
        <v>ICU</v>
      </c>
      <c r="V1723" t="str">
        <f t="shared" si="580"/>
        <v>BED1722</v>
      </c>
      <c r="W1723" t="str">
        <f t="shared" ca="1" si="581"/>
        <v>General</v>
      </c>
      <c r="X1723" t="str">
        <f t="shared" si="582"/>
        <v>NUR022</v>
      </c>
      <c r="Y1723" t="str">
        <f t="shared" ca="1" si="583"/>
        <v>Evening</v>
      </c>
      <c r="Z1723" t="str">
        <f t="shared" ca="1" si="584"/>
        <v>Ultrasound</v>
      </c>
      <c r="AA1723" t="str">
        <f t="shared" ca="1" si="585"/>
        <v>Available</v>
      </c>
      <c r="AB1723" t="str">
        <f t="shared" ca="1" si="586"/>
        <v>Partially Paid</v>
      </c>
      <c r="AC1723" t="str">
        <f t="shared" ca="1" si="587"/>
        <v>Bank Transfer</v>
      </c>
      <c r="AD1723" t="str">
        <f t="shared" ca="1" si="588"/>
        <v>No</v>
      </c>
      <c r="AE1723" t="str">
        <f t="shared" ca="1" si="589"/>
        <v>No</v>
      </c>
      <c r="AF1723" t="str">
        <f t="shared" ca="1" si="590"/>
        <v>Transferred</v>
      </c>
      <c r="AG1723" t="str">
        <f t="shared" ca="1" si="591"/>
        <v>Southeast</v>
      </c>
      <c r="AH1723" t="str">
        <f t="shared" si="574"/>
        <v>November</v>
      </c>
      <c r="AI1723">
        <f t="shared" si="575"/>
        <v>2021</v>
      </c>
      <c r="AJ1723" t="str">
        <f t="shared" ca="1" si="592"/>
        <v>Occupied</v>
      </c>
      <c r="AK1723">
        <f t="shared" ca="1" si="593"/>
        <v>2</v>
      </c>
    </row>
    <row r="1724" spans="1:37" x14ac:dyDescent="0.3">
      <c r="A1724" t="s">
        <v>6109</v>
      </c>
      <c r="B1724">
        <v>34</v>
      </c>
      <c r="C1724" t="s">
        <v>32</v>
      </c>
      <c r="D1724" t="s">
        <v>52</v>
      </c>
      <c r="E1724" t="s">
        <v>39</v>
      </c>
      <c r="F1724" s="1">
        <v>44747</v>
      </c>
      <c r="G1724" t="s">
        <v>3432</v>
      </c>
      <c r="H1724" t="s">
        <v>3433</v>
      </c>
      <c r="I1724" t="s">
        <v>28</v>
      </c>
      <c r="J1724">
        <v>14275</v>
      </c>
      <c r="K1724">
        <v>326</v>
      </c>
      <c r="L1724" t="s">
        <v>42</v>
      </c>
      <c r="M1724" s="1">
        <v>44773</v>
      </c>
      <c r="N1724" t="s">
        <v>22</v>
      </c>
      <c r="O1724" t="s">
        <v>31</v>
      </c>
      <c r="P1724" t="str">
        <f t="shared" si="576"/>
        <v>P1723</v>
      </c>
      <c r="Q1724" t="str">
        <f t="shared" si="572"/>
        <v>Endocrinology</v>
      </c>
      <c r="R1724">
        <f t="shared" si="573"/>
        <v>26</v>
      </c>
      <c r="S1724" t="str">
        <f t="shared" ca="1" si="577"/>
        <v>No</v>
      </c>
      <c r="T1724" t="str">
        <f t="shared" ca="1" si="578"/>
        <v>Severe</v>
      </c>
      <c r="U1724" t="str">
        <f t="shared" ca="1" si="579"/>
        <v>Emergency</v>
      </c>
      <c r="V1724" t="str">
        <f t="shared" si="580"/>
        <v>BED1723</v>
      </c>
      <c r="W1724" t="str">
        <f t="shared" ca="1" si="581"/>
        <v>ICU</v>
      </c>
      <c r="X1724" t="str">
        <f t="shared" si="582"/>
        <v>NUR023</v>
      </c>
      <c r="Y1724" t="str">
        <f t="shared" ca="1" si="583"/>
        <v>Night</v>
      </c>
      <c r="Z1724" t="str">
        <f t="shared" ca="1" si="584"/>
        <v>X-Ray</v>
      </c>
      <c r="AA1724" t="str">
        <f t="shared" ca="1" si="585"/>
        <v>In Use</v>
      </c>
      <c r="AB1724" t="str">
        <f t="shared" ca="1" si="586"/>
        <v>Paid</v>
      </c>
      <c r="AC1724" t="str">
        <f t="shared" ca="1" si="587"/>
        <v>Insurance</v>
      </c>
      <c r="AD1724" t="str">
        <f t="shared" ca="1" si="588"/>
        <v>No</v>
      </c>
      <c r="AE1724" t="str">
        <f t="shared" ca="1" si="589"/>
        <v>No</v>
      </c>
      <c r="AF1724" t="str">
        <f t="shared" ca="1" si="590"/>
        <v>Under Observation</v>
      </c>
      <c r="AG1724" t="str">
        <f t="shared" ca="1" si="591"/>
        <v>Northeast</v>
      </c>
      <c r="AH1724" t="str">
        <f t="shared" si="574"/>
        <v>July</v>
      </c>
      <c r="AI1724">
        <f t="shared" si="575"/>
        <v>2022</v>
      </c>
      <c r="AJ1724" t="str">
        <f t="shared" ca="1" si="592"/>
        <v>Occupied</v>
      </c>
      <c r="AK1724">
        <f t="shared" ca="1" si="593"/>
        <v>1</v>
      </c>
    </row>
    <row r="1725" spans="1:37" x14ac:dyDescent="0.3">
      <c r="A1725" t="s">
        <v>6110</v>
      </c>
      <c r="B1725">
        <v>59</v>
      </c>
      <c r="C1725" t="s">
        <v>15</v>
      </c>
      <c r="D1725" t="s">
        <v>16</v>
      </c>
      <c r="E1725" t="s">
        <v>25</v>
      </c>
      <c r="F1725" s="1">
        <v>44853</v>
      </c>
      <c r="G1725" t="s">
        <v>3434</v>
      </c>
      <c r="H1725" t="s">
        <v>3435</v>
      </c>
      <c r="I1725" t="s">
        <v>51</v>
      </c>
      <c r="J1725">
        <v>5922</v>
      </c>
      <c r="K1725">
        <v>225</v>
      </c>
      <c r="L1725" t="s">
        <v>29</v>
      </c>
      <c r="M1725" s="1">
        <v>44873</v>
      </c>
      <c r="N1725" t="s">
        <v>37</v>
      </c>
      <c r="O1725" t="s">
        <v>23</v>
      </c>
      <c r="P1725" t="str">
        <f t="shared" si="576"/>
        <v>P1724</v>
      </c>
      <c r="Q1725" t="str">
        <f t="shared" si="572"/>
        <v>Nutrition</v>
      </c>
      <c r="R1725">
        <f t="shared" si="573"/>
        <v>20</v>
      </c>
      <c r="S1725" t="str">
        <f t="shared" ca="1" si="577"/>
        <v>No</v>
      </c>
      <c r="T1725" t="str">
        <f t="shared" ca="1" si="578"/>
        <v>Moderate</v>
      </c>
      <c r="U1725" t="str">
        <f t="shared" ca="1" si="579"/>
        <v>ICU</v>
      </c>
      <c r="V1725" t="str">
        <f t="shared" si="580"/>
        <v>BED1724</v>
      </c>
      <c r="W1725" t="str">
        <f t="shared" ca="1" si="581"/>
        <v>General</v>
      </c>
      <c r="X1725" t="str">
        <f t="shared" si="582"/>
        <v>NUR024</v>
      </c>
      <c r="Y1725" t="str">
        <f t="shared" ca="1" si="583"/>
        <v>Night</v>
      </c>
      <c r="Z1725" t="str">
        <f t="shared" ca="1" si="584"/>
        <v>Ventilator</v>
      </c>
      <c r="AA1725" t="str">
        <f t="shared" ca="1" si="585"/>
        <v>In Use</v>
      </c>
      <c r="AB1725" t="str">
        <f t="shared" ca="1" si="586"/>
        <v>Pending</v>
      </c>
      <c r="AC1725" t="str">
        <f t="shared" ca="1" si="587"/>
        <v>Credit Card</v>
      </c>
      <c r="AD1725" t="str">
        <f t="shared" ca="1" si="588"/>
        <v>No</v>
      </c>
      <c r="AE1725" t="str">
        <f t="shared" ca="1" si="589"/>
        <v>No</v>
      </c>
      <c r="AF1725" t="str">
        <f t="shared" ca="1" si="590"/>
        <v>Recovered</v>
      </c>
      <c r="AG1725" t="str">
        <f t="shared" ca="1" si="591"/>
        <v>Northeast</v>
      </c>
      <c r="AH1725" t="str">
        <f t="shared" si="574"/>
        <v>October</v>
      </c>
      <c r="AI1725">
        <f t="shared" si="575"/>
        <v>2022</v>
      </c>
      <c r="AJ1725" t="str">
        <f t="shared" ca="1" si="592"/>
        <v>Occupied</v>
      </c>
      <c r="AK1725">
        <f t="shared" ca="1" si="593"/>
        <v>2</v>
      </c>
    </row>
    <row r="1726" spans="1:37" x14ac:dyDescent="0.3">
      <c r="A1726" t="s">
        <v>6111</v>
      </c>
      <c r="B1726">
        <v>71</v>
      </c>
      <c r="C1726" t="s">
        <v>15</v>
      </c>
      <c r="D1726" t="s">
        <v>44</v>
      </c>
      <c r="E1726" t="s">
        <v>48</v>
      </c>
      <c r="F1726" s="1">
        <v>44325</v>
      </c>
      <c r="G1726" t="s">
        <v>3436</v>
      </c>
      <c r="H1726" t="s">
        <v>3437</v>
      </c>
      <c r="I1726" t="s">
        <v>51</v>
      </c>
      <c r="J1726">
        <v>38024</v>
      </c>
      <c r="K1726">
        <v>455</v>
      </c>
      <c r="L1726" t="s">
        <v>29</v>
      </c>
      <c r="M1726" s="1">
        <v>44350</v>
      </c>
      <c r="N1726" t="s">
        <v>22</v>
      </c>
      <c r="O1726" t="s">
        <v>43</v>
      </c>
      <c r="P1726" t="str">
        <f t="shared" si="576"/>
        <v>P1725</v>
      </c>
      <c r="Q1726" t="str">
        <f t="shared" si="572"/>
        <v>Pulmonology</v>
      </c>
      <c r="R1726">
        <f t="shared" si="573"/>
        <v>25</v>
      </c>
      <c r="S1726" t="str">
        <f t="shared" ca="1" si="577"/>
        <v>No</v>
      </c>
      <c r="T1726" t="str">
        <f t="shared" ca="1" si="578"/>
        <v>Severe</v>
      </c>
      <c r="U1726" t="str">
        <f t="shared" ca="1" si="579"/>
        <v>Emergency</v>
      </c>
      <c r="V1726" t="str">
        <f t="shared" si="580"/>
        <v>BED1725</v>
      </c>
      <c r="W1726" t="str">
        <f t="shared" ca="1" si="581"/>
        <v>ICU</v>
      </c>
      <c r="X1726" t="str">
        <f t="shared" si="582"/>
        <v>NUR025</v>
      </c>
      <c r="Y1726" t="str">
        <f t="shared" ca="1" si="583"/>
        <v>Evening</v>
      </c>
      <c r="Z1726" t="str">
        <f t="shared" ca="1" si="584"/>
        <v>X-Ray</v>
      </c>
      <c r="AA1726" t="str">
        <f t="shared" ca="1" si="585"/>
        <v>In Use</v>
      </c>
      <c r="AB1726" t="str">
        <f t="shared" ca="1" si="586"/>
        <v>Paid</v>
      </c>
      <c r="AC1726" t="str">
        <f t="shared" ca="1" si="587"/>
        <v>Credit Card</v>
      </c>
      <c r="AD1726" t="str">
        <f t="shared" ca="1" si="588"/>
        <v>No</v>
      </c>
      <c r="AE1726" t="str">
        <f t="shared" ca="1" si="589"/>
        <v>No</v>
      </c>
      <c r="AF1726" t="str">
        <f t="shared" ca="1" si="590"/>
        <v>Recovered</v>
      </c>
      <c r="AG1726" t="str">
        <f t="shared" ca="1" si="591"/>
        <v>Northeast</v>
      </c>
      <c r="AH1726" t="str">
        <f t="shared" si="574"/>
        <v>May</v>
      </c>
      <c r="AI1726">
        <f t="shared" si="575"/>
        <v>2021</v>
      </c>
      <c r="AJ1726" t="str">
        <f t="shared" ca="1" si="592"/>
        <v>Occupied</v>
      </c>
      <c r="AK1726">
        <f t="shared" ca="1" si="593"/>
        <v>2</v>
      </c>
    </row>
    <row r="1727" spans="1:37" x14ac:dyDescent="0.3">
      <c r="A1727" t="s">
        <v>6112</v>
      </c>
      <c r="B1727">
        <v>83</v>
      </c>
      <c r="C1727" t="s">
        <v>15</v>
      </c>
      <c r="D1727" t="s">
        <v>44</v>
      </c>
      <c r="E1727" t="s">
        <v>64</v>
      </c>
      <c r="F1727" s="1">
        <v>44667</v>
      </c>
      <c r="G1727" t="s">
        <v>3438</v>
      </c>
      <c r="H1727" t="s">
        <v>3439</v>
      </c>
      <c r="I1727" t="s">
        <v>36</v>
      </c>
      <c r="J1727">
        <v>36715</v>
      </c>
      <c r="K1727">
        <v>274</v>
      </c>
      <c r="L1727" t="s">
        <v>42</v>
      </c>
      <c r="M1727" s="1">
        <v>44693</v>
      </c>
      <c r="N1727" t="s">
        <v>67</v>
      </c>
      <c r="O1727" t="s">
        <v>43</v>
      </c>
      <c r="P1727" t="str">
        <f t="shared" si="576"/>
        <v>P1726</v>
      </c>
      <c r="Q1727" t="str">
        <f t="shared" si="572"/>
        <v>Cardiology</v>
      </c>
      <c r="R1727">
        <f t="shared" si="573"/>
        <v>26</v>
      </c>
      <c r="S1727" t="str">
        <f t="shared" ca="1" si="577"/>
        <v>No</v>
      </c>
      <c r="T1727" t="str">
        <f t="shared" ca="1" si="578"/>
        <v>Severe</v>
      </c>
      <c r="U1727" t="str">
        <f t="shared" ca="1" si="579"/>
        <v>Semi-Private</v>
      </c>
      <c r="V1727" t="str">
        <f t="shared" si="580"/>
        <v>BED1726</v>
      </c>
      <c r="W1727" t="str">
        <f t="shared" ca="1" si="581"/>
        <v>General</v>
      </c>
      <c r="X1727" t="str">
        <f t="shared" si="582"/>
        <v>NUR026</v>
      </c>
      <c r="Y1727" t="str">
        <f t="shared" ca="1" si="583"/>
        <v>Morning</v>
      </c>
      <c r="Z1727" t="str">
        <f t="shared" ca="1" si="584"/>
        <v>Ventilator</v>
      </c>
      <c r="AA1727" t="str">
        <f t="shared" ca="1" si="585"/>
        <v>In Use</v>
      </c>
      <c r="AB1727" t="str">
        <f t="shared" ca="1" si="586"/>
        <v>Pending</v>
      </c>
      <c r="AC1727" t="str">
        <f t="shared" ca="1" si="587"/>
        <v>Debit Card</v>
      </c>
      <c r="AD1727" t="str">
        <f t="shared" ca="1" si="588"/>
        <v>No</v>
      </c>
      <c r="AE1727" t="str">
        <f t="shared" ca="1" si="589"/>
        <v>No</v>
      </c>
      <c r="AF1727" t="str">
        <f t="shared" ca="1" si="590"/>
        <v>Recovered</v>
      </c>
      <c r="AG1727" t="str">
        <f t="shared" ca="1" si="591"/>
        <v>Southeast</v>
      </c>
      <c r="AH1727" t="str">
        <f t="shared" si="574"/>
        <v>April</v>
      </c>
      <c r="AI1727">
        <f t="shared" si="575"/>
        <v>2022</v>
      </c>
      <c r="AJ1727" t="str">
        <f t="shared" ca="1" si="592"/>
        <v>Vacant</v>
      </c>
      <c r="AK1727">
        <f t="shared" ca="1" si="593"/>
        <v>2</v>
      </c>
    </row>
    <row r="1728" spans="1:37" x14ac:dyDescent="0.3">
      <c r="A1728" t="s">
        <v>6113</v>
      </c>
      <c r="B1728">
        <v>65</v>
      </c>
      <c r="C1728" t="s">
        <v>15</v>
      </c>
      <c r="D1728" t="s">
        <v>83</v>
      </c>
      <c r="E1728" t="s">
        <v>64</v>
      </c>
      <c r="F1728" s="1">
        <v>45070</v>
      </c>
      <c r="G1728" t="s">
        <v>3440</v>
      </c>
      <c r="H1728" t="s">
        <v>3441</v>
      </c>
      <c r="I1728" t="s">
        <v>36</v>
      </c>
      <c r="J1728">
        <v>12932</v>
      </c>
      <c r="K1728">
        <v>253</v>
      </c>
      <c r="L1728" t="s">
        <v>21</v>
      </c>
      <c r="M1728" s="1">
        <v>45077</v>
      </c>
      <c r="N1728" t="s">
        <v>30</v>
      </c>
      <c r="O1728" t="s">
        <v>43</v>
      </c>
      <c r="P1728" t="str">
        <f t="shared" si="576"/>
        <v>P1727</v>
      </c>
      <c r="Q1728" t="str">
        <f t="shared" si="572"/>
        <v>Cardiology</v>
      </c>
      <c r="R1728">
        <f t="shared" si="573"/>
        <v>7</v>
      </c>
      <c r="S1728" t="str">
        <f t="shared" ca="1" si="577"/>
        <v>Yes</v>
      </c>
      <c r="T1728" t="str">
        <f t="shared" ca="1" si="578"/>
        <v>Mild</v>
      </c>
      <c r="U1728" t="str">
        <f t="shared" ca="1" si="579"/>
        <v>Semi-Private</v>
      </c>
      <c r="V1728" t="str">
        <f t="shared" si="580"/>
        <v>BED1727</v>
      </c>
      <c r="W1728" t="str">
        <f t="shared" ca="1" si="581"/>
        <v>ICU</v>
      </c>
      <c r="X1728" t="str">
        <f t="shared" si="582"/>
        <v>NUR027</v>
      </c>
      <c r="Y1728" t="str">
        <f t="shared" ca="1" si="583"/>
        <v>Evening</v>
      </c>
      <c r="Z1728" t="str">
        <f t="shared" ca="1" si="584"/>
        <v>ECG Machine</v>
      </c>
      <c r="AA1728" t="str">
        <f t="shared" ca="1" si="585"/>
        <v>In Use</v>
      </c>
      <c r="AB1728" t="str">
        <f t="shared" ca="1" si="586"/>
        <v>Partially Paid</v>
      </c>
      <c r="AC1728" t="str">
        <f t="shared" ca="1" si="587"/>
        <v>Bank Transfer</v>
      </c>
      <c r="AD1728" t="str">
        <f t="shared" ca="1" si="588"/>
        <v>No</v>
      </c>
      <c r="AE1728" t="str">
        <f t="shared" ca="1" si="589"/>
        <v>No</v>
      </c>
      <c r="AF1728" t="str">
        <f t="shared" ca="1" si="590"/>
        <v>Transferred</v>
      </c>
      <c r="AG1728" t="str">
        <f t="shared" ca="1" si="591"/>
        <v>Southwest</v>
      </c>
      <c r="AH1728" t="str">
        <f t="shared" si="574"/>
        <v>May</v>
      </c>
      <c r="AI1728">
        <f t="shared" si="575"/>
        <v>2023</v>
      </c>
      <c r="AJ1728" t="str">
        <f t="shared" ca="1" si="592"/>
        <v>Occupied</v>
      </c>
      <c r="AK1728">
        <f t="shared" ca="1" si="593"/>
        <v>1</v>
      </c>
    </row>
    <row r="1729" spans="1:37" x14ac:dyDescent="0.3">
      <c r="A1729" t="s">
        <v>6114</v>
      </c>
      <c r="B1729">
        <v>80</v>
      </c>
      <c r="C1729" t="s">
        <v>15</v>
      </c>
      <c r="D1729" t="s">
        <v>52</v>
      </c>
      <c r="E1729" t="s">
        <v>25</v>
      </c>
      <c r="F1729" s="1">
        <v>44173</v>
      </c>
      <c r="G1729" t="s">
        <v>3442</v>
      </c>
      <c r="H1729" t="s">
        <v>3443</v>
      </c>
      <c r="I1729" t="s">
        <v>51</v>
      </c>
      <c r="J1729">
        <v>12240</v>
      </c>
      <c r="K1729">
        <v>457</v>
      </c>
      <c r="L1729" t="s">
        <v>42</v>
      </c>
      <c r="M1729" s="1">
        <v>44197</v>
      </c>
      <c r="N1729" t="s">
        <v>30</v>
      </c>
      <c r="O1729" t="s">
        <v>23</v>
      </c>
      <c r="P1729" t="str">
        <f t="shared" si="576"/>
        <v>P1728</v>
      </c>
      <c r="Q1729" t="str">
        <f t="shared" si="572"/>
        <v>Nutrition</v>
      </c>
      <c r="R1729">
        <f t="shared" si="573"/>
        <v>24</v>
      </c>
      <c r="S1729" t="str">
        <f t="shared" ca="1" si="577"/>
        <v>No</v>
      </c>
      <c r="T1729" t="str">
        <f t="shared" ca="1" si="578"/>
        <v>Mild</v>
      </c>
      <c r="U1729" t="str">
        <f t="shared" ca="1" si="579"/>
        <v>General Ward</v>
      </c>
      <c r="V1729" t="str">
        <f t="shared" si="580"/>
        <v>BED1728</v>
      </c>
      <c r="W1729" t="str">
        <f t="shared" ca="1" si="581"/>
        <v>Private</v>
      </c>
      <c r="X1729" t="str">
        <f t="shared" si="582"/>
        <v>NUR028</v>
      </c>
      <c r="Y1729" t="str">
        <f t="shared" ca="1" si="583"/>
        <v>Night</v>
      </c>
      <c r="Z1729" t="str">
        <f t="shared" ca="1" si="584"/>
        <v>Ventilator</v>
      </c>
      <c r="AA1729" t="str">
        <f t="shared" ca="1" si="585"/>
        <v>Maintenance</v>
      </c>
      <c r="AB1729" t="str">
        <f t="shared" ca="1" si="586"/>
        <v>Paid</v>
      </c>
      <c r="AC1729" t="str">
        <f t="shared" ca="1" si="587"/>
        <v>Insurance</v>
      </c>
      <c r="AD1729" t="str">
        <f t="shared" ca="1" si="588"/>
        <v>No</v>
      </c>
      <c r="AE1729" t="str">
        <f t="shared" ca="1" si="589"/>
        <v>No</v>
      </c>
      <c r="AF1729" t="str">
        <f t="shared" ca="1" si="590"/>
        <v>Under Observation</v>
      </c>
      <c r="AG1729" t="str">
        <f t="shared" ca="1" si="591"/>
        <v>Midwest</v>
      </c>
      <c r="AH1729" t="str">
        <f t="shared" si="574"/>
        <v>December</v>
      </c>
      <c r="AI1729">
        <f t="shared" si="575"/>
        <v>2020</v>
      </c>
      <c r="AJ1729" t="str">
        <f t="shared" ca="1" si="592"/>
        <v>Occupied</v>
      </c>
      <c r="AK1729">
        <f t="shared" ca="1" si="593"/>
        <v>2</v>
      </c>
    </row>
    <row r="1730" spans="1:37" x14ac:dyDescent="0.3">
      <c r="A1730" t="s">
        <v>6115</v>
      </c>
      <c r="B1730">
        <v>21</v>
      </c>
      <c r="C1730" t="s">
        <v>32</v>
      </c>
      <c r="D1730" t="s">
        <v>44</v>
      </c>
      <c r="E1730" t="s">
        <v>64</v>
      </c>
      <c r="F1730" s="1">
        <v>44275</v>
      </c>
      <c r="G1730" t="s">
        <v>3444</v>
      </c>
      <c r="H1730" t="s">
        <v>3445</v>
      </c>
      <c r="I1730" t="s">
        <v>36</v>
      </c>
      <c r="J1730">
        <v>35953</v>
      </c>
      <c r="K1730">
        <v>462</v>
      </c>
      <c r="L1730" t="s">
        <v>42</v>
      </c>
      <c r="M1730" s="1">
        <v>44276</v>
      </c>
      <c r="N1730" t="s">
        <v>22</v>
      </c>
      <c r="O1730" t="s">
        <v>23</v>
      </c>
      <c r="P1730" t="str">
        <f t="shared" si="576"/>
        <v>P1729</v>
      </c>
      <c r="Q1730" t="str">
        <f t="shared" ref="Q1730:Q1793" si="594">IF(E1730="Cancer","Oncology",IF(E1730="Obesity","Nutrition",IF(E1730="Diabetes","Endocrinology",IF(E1730="Asthma","Pulmonology",IF(E1730="Arthritis","Orthopedics",IF(E1730="Hypertension","Cardiology","General Medicine"))))))</f>
        <v>Cardiology</v>
      </c>
      <c r="R1730">
        <f t="shared" ref="R1730:R1793" si="595">M1730-F1730</f>
        <v>1</v>
      </c>
      <c r="S1730" t="str">
        <f t="shared" ca="1" si="577"/>
        <v>No</v>
      </c>
      <c r="T1730" t="str">
        <f t="shared" ca="1" si="578"/>
        <v>Critical</v>
      </c>
      <c r="U1730" t="str">
        <f t="shared" ca="1" si="579"/>
        <v>Private Ward</v>
      </c>
      <c r="V1730" t="str">
        <f t="shared" si="580"/>
        <v>BED1729</v>
      </c>
      <c r="W1730" t="str">
        <f t="shared" ca="1" si="581"/>
        <v>Private</v>
      </c>
      <c r="X1730" t="str">
        <f t="shared" si="582"/>
        <v>NUR029</v>
      </c>
      <c r="Y1730" t="str">
        <f t="shared" ca="1" si="583"/>
        <v>Night</v>
      </c>
      <c r="Z1730" t="str">
        <f t="shared" ca="1" si="584"/>
        <v>Ventilator</v>
      </c>
      <c r="AA1730" t="str">
        <f t="shared" ca="1" si="585"/>
        <v>In Use</v>
      </c>
      <c r="AB1730" t="str">
        <f t="shared" ca="1" si="586"/>
        <v>Partially Paid</v>
      </c>
      <c r="AC1730" t="str">
        <f t="shared" ca="1" si="587"/>
        <v>Insurance</v>
      </c>
      <c r="AD1730" t="str">
        <f t="shared" ca="1" si="588"/>
        <v>No</v>
      </c>
      <c r="AE1730" t="str">
        <f t="shared" ca="1" si="589"/>
        <v>No</v>
      </c>
      <c r="AF1730" t="str">
        <f t="shared" ca="1" si="590"/>
        <v>Transferred</v>
      </c>
      <c r="AG1730" t="str">
        <f t="shared" ca="1" si="591"/>
        <v>Southwest</v>
      </c>
      <c r="AH1730" t="str">
        <f t="shared" ref="AH1730:AH1793" si="596">TEXT(F1730,"MMMM")</f>
        <v>March</v>
      </c>
      <c r="AI1730">
        <f t="shared" ref="AI1730:AI1793" si="597">YEAR(F1730)</f>
        <v>2021</v>
      </c>
      <c r="AJ1730" t="str">
        <f t="shared" ca="1" si="592"/>
        <v>Occupied</v>
      </c>
      <c r="AK1730">
        <f t="shared" ca="1" si="593"/>
        <v>2</v>
      </c>
    </row>
    <row r="1731" spans="1:37" x14ac:dyDescent="0.3">
      <c r="A1731" t="s">
        <v>6116</v>
      </c>
      <c r="B1731">
        <v>60</v>
      </c>
      <c r="C1731" t="s">
        <v>15</v>
      </c>
      <c r="D1731" t="s">
        <v>98</v>
      </c>
      <c r="E1731" t="s">
        <v>48</v>
      </c>
      <c r="F1731" s="1">
        <v>43626</v>
      </c>
      <c r="G1731" t="s">
        <v>3446</v>
      </c>
      <c r="H1731" t="s">
        <v>3447</v>
      </c>
      <c r="I1731" t="s">
        <v>57</v>
      </c>
      <c r="J1731">
        <v>23026</v>
      </c>
      <c r="K1731">
        <v>426</v>
      </c>
      <c r="L1731" t="s">
        <v>42</v>
      </c>
      <c r="M1731" s="1">
        <v>43639</v>
      </c>
      <c r="N1731" t="s">
        <v>67</v>
      </c>
      <c r="O1731" t="s">
        <v>31</v>
      </c>
      <c r="P1731" t="str">
        <f t="shared" ref="P1731:P1794" si="598">"P"&amp;TEXT(ROW()-1,"0000")</f>
        <v>P1730</v>
      </c>
      <c r="Q1731" t="str">
        <f t="shared" si="594"/>
        <v>Pulmonology</v>
      </c>
      <c r="R1731">
        <f t="shared" si="595"/>
        <v>13</v>
      </c>
      <c r="S1731" t="str">
        <f t="shared" ref="S1731:S1794" ca="1" si="599">IF(RAND()&lt;0.1,"Yes","No")</f>
        <v>No</v>
      </c>
      <c r="T1731" t="str">
        <f t="shared" ref="T1731:T1794" ca="1" si="600">CHOOSE(RANDBETWEEN(1,4),"Mild","Moderate","Severe","Critical")</f>
        <v>Severe</v>
      </c>
      <c r="U1731" t="str">
        <f t="shared" ref="U1731:U1794" ca="1" si="601">CHOOSE(RANDBETWEEN(1,5),"General Ward","ICU","Emergency","Private Ward","Semi-Private")</f>
        <v>Private Ward</v>
      </c>
      <c r="V1731" t="str">
        <f t="shared" ref="V1731:V1794" si="602">"BED"&amp;TEXT(ROW()-1,"0000")</f>
        <v>BED1730</v>
      </c>
      <c r="W1731" t="str">
        <f t="shared" ref="W1731:W1794" ca="1" si="603">CHOOSE(RANDBETWEEN(1,4),"General","Private","Semi-Private","ICU")</f>
        <v>Private</v>
      </c>
      <c r="X1731" t="str">
        <f t="shared" ref="X1731:X1794" si="604">"NUR"&amp;TEXT(MOD(ROW()-2,50)+1,"000")</f>
        <v>NUR030</v>
      </c>
      <c r="Y1731" t="str">
        <f t="shared" ref="Y1731:Y1794" ca="1" si="605">CHOOSE(RANDBETWEEN(1,3),"Morning","Evening","Night")</f>
        <v>Evening</v>
      </c>
      <c r="Z1731" t="str">
        <f t="shared" ref="Z1731:Z1794" ca="1" si="606">CHOOSE(RANDBETWEEN(1,6),"MRI Scanner","CT Scanner","Ventilator","X-Ray","ECG Machine","Ultrasound")</f>
        <v>MRI Scanner</v>
      </c>
      <c r="AA1731" t="str">
        <f t="shared" ref="AA1731:AA1794" ca="1" si="607">CHOOSE(RANDBETWEEN(1,3),"Available","In Use","Maintenance")</f>
        <v>In Use</v>
      </c>
      <c r="AB1731" t="str">
        <f t="shared" ref="AB1731:AB1794" ca="1" si="608">CHOOSE(RANDBETWEEN(1,3),"Paid","Pending","Partially Paid")</f>
        <v>Partially Paid</v>
      </c>
      <c r="AC1731" t="str">
        <f t="shared" ref="AC1731:AC1794" ca="1" si="609">CHOOSE(RANDBETWEEN(1,5),"Cash","Credit Card","Debit Card","Insurance","Bank Transfer")</f>
        <v>Credit Card</v>
      </c>
      <c r="AD1731" t="str">
        <f t="shared" ref="AD1731:AD1794" ca="1" si="610">IF(RAND()&lt;0.2,"Yes","No")</f>
        <v>No</v>
      </c>
      <c r="AE1731" t="str">
        <f t="shared" ref="AE1731:AE1794" ca="1" si="611">IF(RAND()&lt;0.15,"Yes","No")</f>
        <v>No</v>
      </c>
      <c r="AF1731" t="str">
        <f t="shared" ref="AF1731:AF1794" ca="1" si="612">CHOOSE(RANDBETWEEN(1,3),"Recovered","Transferred","Under Observation")</f>
        <v>Recovered</v>
      </c>
      <c r="AG1731" t="str">
        <f t="shared" ref="AG1731:AG1794" ca="1" si="613">CHOOSE(RANDBETWEEN(1,5),"Northeast","Southeast","Midwest","Southwest","West Coast")</f>
        <v>Southwest</v>
      </c>
      <c r="AH1731" t="str">
        <f t="shared" si="596"/>
        <v>June</v>
      </c>
      <c r="AI1731">
        <f t="shared" si="597"/>
        <v>2019</v>
      </c>
      <c r="AJ1731" t="str">
        <f t="shared" ref="AJ1731:AJ1794" ca="1" si="614">IF(RANDBETWEEN(1,100)&lt;=80,"Occupied","Vacant")</f>
        <v>Occupied</v>
      </c>
      <c r="AK1731">
        <f t="shared" ref="AK1731:AK1794" ca="1" si="615">CHOOSE(RANDBETWEEN(1,3),1,2,4)</f>
        <v>2</v>
      </c>
    </row>
    <row r="1732" spans="1:37" x14ac:dyDescent="0.3">
      <c r="A1732" t="s">
        <v>6117</v>
      </c>
      <c r="B1732">
        <v>84</v>
      </c>
      <c r="C1732" t="s">
        <v>32</v>
      </c>
      <c r="D1732" t="s">
        <v>98</v>
      </c>
      <c r="E1732" t="s">
        <v>76</v>
      </c>
      <c r="F1732" s="1">
        <v>44873</v>
      </c>
      <c r="G1732" t="s">
        <v>3448</v>
      </c>
      <c r="H1732" t="s">
        <v>3449</v>
      </c>
      <c r="I1732" t="s">
        <v>28</v>
      </c>
      <c r="J1732">
        <v>39144</v>
      </c>
      <c r="K1732">
        <v>399</v>
      </c>
      <c r="L1732" t="s">
        <v>29</v>
      </c>
      <c r="M1732" s="1">
        <v>44876</v>
      </c>
      <c r="N1732" t="s">
        <v>67</v>
      </c>
      <c r="O1732" t="s">
        <v>43</v>
      </c>
      <c r="P1732" t="str">
        <f t="shared" si="598"/>
        <v>P1731</v>
      </c>
      <c r="Q1732" t="str">
        <f t="shared" si="594"/>
        <v>Orthopedics</v>
      </c>
      <c r="R1732">
        <f t="shared" si="595"/>
        <v>3</v>
      </c>
      <c r="S1732" t="str">
        <f t="shared" ca="1" si="599"/>
        <v>No</v>
      </c>
      <c r="T1732" t="str">
        <f t="shared" ca="1" si="600"/>
        <v>Moderate</v>
      </c>
      <c r="U1732" t="str">
        <f t="shared" ca="1" si="601"/>
        <v>Private Ward</v>
      </c>
      <c r="V1732" t="str">
        <f t="shared" si="602"/>
        <v>BED1731</v>
      </c>
      <c r="W1732" t="str">
        <f t="shared" ca="1" si="603"/>
        <v>General</v>
      </c>
      <c r="X1732" t="str">
        <f t="shared" si="604"/>
        <v>NUR031</v>
      </c>
      <c r="Y1732" t="str">
        <f t="shared" ca="1" si="605"/>
        <v>Night</v>
      </c>
      <c r="Z1732" t="str">
        <f t="shared" ca="1" si="606"/>
        <v>ECG Machine</v>
      </c>
      <c r="AA1732" t="str">
        <f t="shared" ca="1" si="607"/>
        <v>Available</v>
      </c>
      <c r="AB1732" t="str">
        <f t="shared" ca="1" si="608"/>
        <v>Paid</v>
      </c>
      <c r="AC1732" t="str">
        <f t="shared" ca="1" si="609"/>
        <v>Bank Transfer</v>
      </c>
      <c r="AD1732" t="str">
        <f t="shared" ca="1" si="610"/>
        <v>Yes</v>
      </c>
      <c r="AE1732" t="str">
        <f t="shared" ca="1" si="611"/>
        <v>Yes</v>
      </c>
      <c r="AF1732" t="str">
        <f t="shared" ca="1" si="612"/>
        <v>Transferred</v>
      </c>
      <c r="AG1732" t="str">
        <f t="shared" ca="1" si="613"/>
        <v>Southeast</v>
      </c>
      <c r="AH1732" t="str">
        <f t="shared" si="596"/>
        <v>November</v>
      </c>
      <c r="AI1732">
        <f t="shared" si="597"/>
        <v>2022</v>
      </c>
      <c r="AJ1732" t="str">
        <f t="shared" ca="1" si="614"/>
        <v>Vacant</v>
      </c>
      <c r="AK1732">
        <f t="shared" ca="1" si="615"/>
        <v>4</v>
      </c>
    </row>
    <row r="1733" spans="1:37" x14ac:dyDescent="0.3">
      <c r="A1733" t="s">
        <v>6118</v>
      </c>
      <c r="B1733">
        <v>26</v>
      </c>
      <c r="C1733" t="s">
        <v>32</v>
      </c>
      <c r="D1733" t="s">
        <v>83</v>
      </c>
      <c r="E1733" t="s">
        <v>64</v>
      </c>
      <c r="F1733" s="1">
        <v>44489</v>
      </c>
      <c r="G1733" t="s">
        <v>3450</v>
      </c>
      <c r="H1733" t="s">
        <v>3451</v>
      </c>
      <c r="I1733" t="s">
        <v>28</v>
      </c>
      <c r="J1733">
        <v>20494</v>
      </c>
      <c r="K1733">
        <v>232</v>
      </c>
      <c r="L1733" t="s">
        <v>42</v>
      </c>
      <c r="M1733" s="1">
        <v>44499</v>
      </c>
      <c r="N1733" t="s">
        <v>67</v>
      </c>
      <c r="O1733" t="s">
        <v>23</v>
      </c>
      <c r="P1733" t="str">
        <f t="shared" si="598"/>
        <v>P1732</v>
      </c>
      <c r="Q1733" t="str">
        <f t="shared" si="594"/>
        <v>Cardiology</v>
      </c>
      <c r="R1733">
        <f t="shared" si="595"/>
        <v>10</v>
      </c>
      <c r="S1733" t="str">
        <f t="shared" ca="1" si="599"/>
        <v>No</v>
      </c>
      <c r="T1733" t="str">
        <f t="shared" ca="1" si="600"/>
        <v>Mild</v>
      </c>
      <c r="U1733" t="str">
        <f t="shared" ca="1" si="601"/>
        <v>General Ward</v>
      </c>
      <c r="V1733" t="str">
        <f t="shared" si="602"/>
        <v>BED1732</v>
      </c>
      <c r="W1733" t="str">
        <f t="shared" ca="1" si="603"/>
        <v>Private</v>
      </c>
      <c r="X1733" t="str">
        <f t="shared" si="604"/>
        <v>NUR032</v>
      </c>
      <c r="Y1733" t="str">
        <f t="shared" ca="1" si="605"/>
        <v>Evening</v>
      </c>
      <c r="Z1733" t="str">
        <f t="shared" ca="1" si="606"/>
        <v>Ventilator</v>
      </c>
      <c r="AA1733" t="str">
        <f t="shared" ca="1" si="607"/>
        <v>Available</v>
      </c>
      <c r="AB1733" t="str">
        <f t="shared" ca="1" si="608"/>
        <v>Partially Paid</v>
      </c>
      <c r="AC1733" t="str">
        <f t="shared" ca="1" si="609"/>
        <v>Credit Card</v>
      </c>
      <c r="AD1733" t="str">
        <f t="shared" ca="1" si="610"/>
        <v>Yes</v>
      </c>
      <c r="AE1733" t="str">
        <f t="shared" ca="1" si="611"/>
        <v>No</v>
      </c>
      <c r="AF1733" t="str">
        <f t="shared" ca="1" si="612"/>
        <v>Transferred</v>
      </c>
      <c r="AG1733" t="str">
        <f t="shared" ca="1" si="613"/>
        <v>Southeast</v>
      </c>
      <c r="AH1733" t="str">
        <f t="shared" si="596"/>
        <v>October</v>
      </c>
      <c r="AI1733">
        <f t="shared" si="597"/>
        <v>2021</v>
      </c>
      <c r="AJ1733" t="str">
        <f t="shared" ca="1" si="614"/>
        <v>Occupied</v>
      </c>
      <c r="AK1733">
        <f t="shared" ca="1" si="615"/>
        <v>4</v>
      </c>
    </row>
    <row r="1734" spans="1:37" x14ac:dyDescent="0.3">
      <c r="A1734" t="s">
        <v>6119</v>
      </c>
      <c r="B1734">
        <v>57</v>
      </c>
      <c r="C1734" t="s">
        <v>15</v>
      </c>
      <c r="D1734" t="s">
        <v>44</v>
      </c>
      <c r="E1734" t="s">
        <v>39</v>
      </c>
      <c r="F1734" s="1">
        <v>45123</v>
      </c>
      <c r="G1734" t="s">
        <v>3452</v>
      </c>
      <c r="H1734" t="s">
        <v>1482</v>
      </c>
      <c r="I1734" t="s">
        <v>28</v>
      </c>
      <c r="J1734">
        <v>21505</v>
      </c>
      <c r="K1734">
        <v>252</v>
      </c>
      <c r="L1734" t="s">
        <v>42</v>
      </c>
      <c r="M1734" s="1">
        <v>45147</v>
      </c>
      <c r="N1734" t="s">
        <v>30</v>
      </c>
      <c r="O1734" t="s">
        <v>23</v>
      </c>
      <c r="P1734" t="str">
        <f t="shared" si="598"/>
        <v>P1733</v>
      </c>
      <c r="Q1734" t="str">
        <f t="shared" si="594"/>
        <v>Endocrinology</v>
      </c>
      <c r="R1734">
        <f t="shared" si="595"/>
        <v>24</v>
      </c>
      <c r="S1734" t="str">
        <f t="shared" ca="1" si="599"/>
        <v>No</v>
      </c>
      <c r="T1734" t="str">
        <f t="shared" ca="1" si="600"/>
        <v>Mild</v>
      </c>
      <c r="U1734" t="str">
        <f t="shared" ca="1" si="601"/>
        <v>Private Ward</v>
      </c>
      <c r="V1734" t="str">
        <f t="shared" si="602"/>
        <v>BED1733</v>
      </c>
      <c r="W1734" t="str">
        <f t="shared" ca="1" si="603"/>
        <v>Private</v>
      </c>
      <c r="X1734" t="str">
        <f t="shared" si="604"/>
        <v>NUR033</v>
      </c>
      <c r="Y1734" t="str">
        <f t="shared" ca="1" si="605"/>
        <v>Night</v>
      </c>
      <c r="Z1734" t="str">
        <f t="shared" ca="1" si="606"/>
        <v>Ultrasound</v>
      </c>
      <c r="AA1734" t="str">
        <f t="shared" ca="1" si="607"/>
        <v>Available</v>
      </c>
      <c r="AB1734" t="str">
        <f t="shared" ca="1" si="608"/>
        <v>Partially Paid</v>
      </c>
      <c r="AC1734" t="str">
        <f t="shared" ca="1" si="609"/>
        <v>Bank Transfer</v>
      </c>
      <c r="AD1734" t="str">
        <f t="shared" ca="1" si="610"/>
        <v>Yes</v>
      </c>
      <c r="AE1734" t="str">
        <f t="shared" ca="1" si="611"/>
        <v>No</v>
      </c>
      <c r="AF1734" t="str">
        <f t="shared" ca="1" si="612"/>
        <v>Recovered</v>
      </c>
      <c r="AG1734" t="str">
        <f t="shared" ca="1" si="613"/>
        <v>Southwest</v>
      </c>
      <c r="AH1734" t="str">
        <f t="shared" si="596"/>
        <v>July</v>
      </c>
      <c r="AI1734">
        <f t="shared" si="597"/>
        <v>2023</v>
      </c>
      <c r="AJ1734" t="str">
        <f t="shared" ca="1" si="614"/>
        <v>Occupied</v>
      </c>
      <c r="AK1734">
        <f t="shared" ca="1" si="615"/>
        <v>4</v>
      </c>
    </row>
    <row r="1735" spans="1:37" x14ac:dyDescent="0.3">
      <c r="A1735" t="s">
        <v>4366</v>
      </c>
      <c r="B1735">
        <v>39</v>
      </c>
      <c r="C1735" t="s">
        <v>32</v>
      </c>
      <c r="D1735" t="s">
        <v>44</v>
      </c>
      <c r="E1735" t="s">
        <v>25</v>
      </c>
      <c r="F1735" s="1">
        <v>44248</v>
      </c>
      <c r="G1735" t="s">
        <v>3453</v>
      </c>
      <c r="H1735" t="s">
        <v>3454</v>
      </c>
      <c r="I1735" t="s">
        <v>57</v>
      </c>
      <c r="J1735">
        <v>30096</v>
      </c>
      <c r="K1735">
        <v>122</v>
      </c>
      <c r="L1735" t="s">
        <v>29</v>
      </c>
      <c r="M1735" s="1">
        <v>44273</v>
      </c>
      <c r="N1735" t="s">
        <v>22</v>
      </c>
      <c r="O1735" t="s">
        <v>43</v>
      </c>
      <c r="P1735" t="str">
        <f t="shared" si="598"/>
        <v>P1734</v>
      </c>
      <c r="Q1735" t="str">
        <f t="shared" si="594"/>
        <v>Nutrition</v>
      </c>
      <c r="R1735">
        <f t="shared" si="595"/>
        <v>25</v>
      </c>
      <c r="S1735" t="str">
        <f t="shared" ca="1" si="599"/>
        <v>No</v>
      </c>
      <c r="T1735" t="str">
        <f t="shared" ca="1" si="600"/>
        <v>Critical</v>
      </c>
      <c r="U1735" t="str">
        <f t="shared" ca="1" si="601"/>
        <v>Private Ward</v>
      </c>
      <c r="V1735" t="str">
        <f t="shared" si="602"/>
        <v>BED1734</v>
      </c>
      <c r="W1735" t="str">
        <f t="shared" ca="1" si="603"/>
        <v>General</v>
      </c>
      <c r="X1735" t="str">
        <f t="shared" si="604"/>
        <v>NUR034</v>
      </c>
      <c r="Y1735" t="str">
        <f t="shared" ca="1" si="605"/>
        <v>Night</v>
      </c>
      <c r="Z1735" t="str">
        <f t="shared" ca="1" si="606"/>
        <v>Ultrasound</v>
      </c>
      <c r="AA1735" t="str">
        <f t="shared" ca="1" si="607"/>
        <v>Maintenance</v>
      </c>
      <c r="AB1735" t="str">
        <f t="shared" ca="1" si="608"/>
        <v>Paid</v>
      </c>
      <c r="AC1735" t="str">
        <f t="shared" ca="1" si="609"/>
        <v>Cash</v>
      </c>
      <c r="AD1735" t="str">
        <f t="shared" ca="1" si="610"/>
        <v>No</v>
      </c>
      <c r="AE1735" t="str">
        <f t="shared" ca="1" si="611"/>
        <v>No</v>
      </c>
      <c r="AF1735" t="str">
        <f t="shared" ca="1" si="612"/>
        <v>Under Observation</v>
      </c>
      <c r="AG1735" t="str">
        <f t="shared" ca="1" si="613"/>
        <v>Midwest</v>
      </c>
      <c r="AH1735" t="str">
        <f t="shared" si="596"/>
        <v>February</v>
      </c>
      <c r="AI1735">
        <f t="shared" si="597"/>
        <v>2021</v>
      </c>
      <c r="AJ1735" t="str">
        <f t="shared" ca="1" si="614"/>
        <v>Occupied</v>
      </c>
      <c r="AK1735">
        <f t="shared" ca="1" si="615"/>
        <v>4</v>
      </c>
    </row>
    <row r="1736" spans="1:37" x14ac:dyDescent="0.3">
      <c r="A1736" t="s">
        <v>6120</v>
      </c>
      <c r="B1736">
        <v>38</v>
      </c>
      <c r="C1736" t="s">
        <v>15</v>
      </c>
      <c r="D1736" t="s">
        <v>16</v>
      </c>
      <c r="E1736" t="s">
        <v>39</v>
      </c>
      <c r="F1736" s="1">
        <v>44853</v>
      </c>
      <c r="G1736" t="s">
        <v>3455</v>
      </c>
      <c r="H1736" t="s">
        <v>3456</v>
      </c>
      <c r="I1736" t="s">
        <v>28</v>
      </c>
      <c r="J1736">
        <v>36755</v>
      </c>
      <c r="K1736">
        <v>444</v>
      </c>
      <c r="L1736" t="s">
        <v>21</v>
      </c>
      <c r="M1736" s="1">
        <v>44878</v>
      </c>
      <c r="N1736" t="s">
        <v>47</v>
      </c>
      <c r="O1736" t="s">
        <v>23</v>
      </c>
      <c r="P1736" t="str">
        <f t="shared" si="598"/>
        <v>P1735</v>
      </c>
      <c r="Q1736" t="str">
        <f t="shared" si="594"/>
        <v>Endocrinology</v>
      </c>
      <c r="R1736">
        <f t="shared" si="595"/>
        <v>25</v>
      </c>
      <c r="S1736" t="str">
        <f t="shared" ca="1" si="599"/>
        <v>No</v>
      </c>
      <c r="T1736" t="str">
        <f t="shared" ca="1" si="600"/>
        <v>Mild</v>
      </c>
      <c r="U1736" t="str">
        <f t="shared" ca="1" si="601"/>
        <v>Private Ward</v>
      </c>
      <c r="V1736" t="str">
        <f t="shared" si="602"/>
        <v>BED1735</v>
      </c>
      <c r="W1736" t="str">
        <f t="shared" ca="1" si="603"/>
        <v>Private</v>
      </c>
      <c r="X1736" t="str">
        <f t="shared" si="604"/>
        <v>NUR035</v>
      </c>
      <c r="Y1736" t="str">
        <f t="shared" ca="1" si="605"/>
        <v>Morning</v>
      </c>
      <c r="Z1736" t="str">
        <f t="shared" ca="1" si="606"/>
        <v>Ultrasound</v>
      </c>
      <c r="AA1736" t="str">
        <f t="shared" ca="1" si="607"/>
        <v>In Use</v>
      </c>
      <c r="AB1736" t="str">
        <f t="shared" ca="1" si="608"/>
        <v>Paid</v>
      </c>
      <c r="AC1736" t="str">
        <f t="shared" ca="1" si="609"/>
        <v>Insurance</v>
      </c>
      <c r="AD1736" t="str">
        <f t="shared" ca="1" si="610"/>
        <v>No</v>
      </c>
      <c r="AE1736" t="str">
        <f t="shared" ca="1" si="611"/>
        <v>Yes</v>
      </c>
      <c r="AF1736" t="str">
        <f t="shared" ca="1" si="612"/>
        <v>Under Observation</v>
      </c>
      <c r="AG1736" t="str">
        <f t="shared" ca="1" si="613"/>
        <v>Northeast</v>
      </c>
      <c r="AH1736" t="str">
        <f t="shared" si="596"/>
        <v>October</v>
      </c>
      <c r="AI1736">
        <f t="shared" si="597"/>
        <v>2022</v>
      </c>
      <c r="AJ1736" t="str">
        <f t="shared" ca="1" si="614"/>
        <v>Occupied</v>
      </c>
      <c r="AK1736">
        <f t="shared" ca="1" si="615"/>
        <v>1</v>
      </c>
    </row>
    <row r="1737" spans="1:37" x14ac:dyDescent="0.3">
      <c r="A1737" t="s">
        <v>6121</v>
      </c>
      <c r="B1737">
        <v>69</v>
      </c>
      <c r="C1737" t="s">
        <v>32</v>
      </c>
      <c r="D1737" t="s">
        <v>24</v>
      </c>
      <c r="E1737" t="s">
        <v>64</v>
      </c>
      <c r="F1737" s="1">
        <v>44584</v>
      </c>
      <c r="G1737" t="s">
        <v>3457</v>
      </c>
      <c r="H1737" t="s">
        <v>822</v>
      </c>
      <c r="I1737" t="s">
        <v>36</v>
      </c>
      <c r="J1737">
        <v>26813</v>
      </c>
      <c r="K1737">
        <v>127</v>
      </c>
      <c r="L1737" t="s">
        <v>21</v>
      </c>
      <c r="M1737" s="1">
        <v>44586</v>
      </c>
      <c r="N1737" t="s">
        <v>22</v>
      </c>
      <c r="O1737" t="s">
        <v>43</v>
      </c>
      <c r="P1737" t="str">
        <f t="shared" si="598"/>
        <v>P1736</v>
      </c>
      <c r="Q1737" t="str">
        <f t="shared" si="594"/>
        <v>Cardiology</v>
      </c>
      <c r="R1737">
        <f t="shared" si="595"/>
        <v>2</v>
      </c>
      <c r="S1737" t="str">
        <f t="shared" ca="1" si="599"/>
        <v>No</v>
      </c>
      <c r="T1737" t="str">
        <f t="shared" ca="1" si="600"/>
        <v>Mild</v>
      </c>
      <c r="U1737" t="str">
        <f t="shared" ca="1" si="601"/>
        <v>ICU</v>
      </c>
      <c r="V1737" t="str">
        <f t="shared" si="602"/>
        <v>BED1736</v>
      </c>
      <c r="W1737" t="str">
        <f t="shared" ca="1" si="603"/>
        <v>General</v>
      </c>
      <c r="X1737" t="str">
        <f t="shared" si="604"/>
        <v>NUR036</v>
      </c>
      <c r="Y1737" t="str">
        <f t="shared" ca="1" si="605"/>
        <v>Night</v>
      </c>
      <c r="Z1737" t="str">
        <f t="shared" ca="1" si="606"/>
        <v>CT Scanner</v>
      </c>
      <c r="AA1737" t="str">
        <f t="shared" ca="1" si="607"/>
        <v>In Use</v>
      </c>
      <c r="AB1737" t="str">
        <f t="shared" ca="1" si="608"/>
        <v>Partially Paid</v>
      </c>
      <c r="AC1737" t="str">
        <f t="shared" ca="1" si="609"/>
        <v>Cash</v>
      </c>
      <c r="AD1737" t="str">
        <f t="shared" ca="1" si="610"/>
        <v>Yes</v>
      </c>
      <c r="AE1737" t="str">
        <f t="shared" ca="1" si="611"/>
        <v>No</v>
      </c>
      <c r="AF1737" t="str">
        <f t="shared" ca="1" si="612"/>
        <v>Under Observation</v>
      </c>
      <c r="AG1737" t="str">
        <f t="shared" ca="1" si="613"/>
        <v>West Coast</v>
      </c>
      <c r="AH1737" t="str">
        <f t="shared" si="596"/>
        <v>January</v>
      </c>
      <c r="AI1737">
        <f t="shared" si="597"/>
        <v>2022</v>
      </c>
      <c r="AJ1737" t="str">
        <f t="shared" ca="1" si="614"/>
        <v>Vacant</v>
      </c>
      <c r="AK1737">
        <f t="shared" ca="1" si="615"/>
        <v>4</v>
      </c>
    </row>
    <row r="1738" spans="1:37" x14ac:dyDescent="0.3">
      <c r="A1738" t="s">
        <v>6122</v>
      </c>
      <c r="B1738">
        <v>20</v>
      </c>
      <c r="C1738" t="s">
        <v>15</v>
      </c>
      <c r="D1738" t="s">
        <v>24</v>
      </c>
      <c r="E1738" t="s">
        <v>25</v>
      </c>
      <c r="F1738" s="1">
        <v>44867</v>
      </c>
      <c r="G1738" t="s">
        <v>3458</v>
      </c>
      <c r="H1738" t="s">
        <v>3459</v>
      </c>
      <c r="I1738" t="s">
        <v>51</v>
      </c>
      <c r="J1738">
        <v>22544</v>
      </c>
      <c r="K1738">
        <v>154</v>
      </c>
      <c r="L1738" t="s">
        <v>42</v>
      </c>
      <c r="M1738" s="1">
        <v>44889</v>
      </c>
      <c r="N1738" t="s">
        <v>30</v>
      </c>
      <c r="O1738" t="s">
        <v>23</v>
      </c>
      <c r="P1738" t="str">
        <f t="shared" si="598"/>
        <v>P1737</v>
      </c>
      <c r="Q1738" t="str">
        <f t="shared" si="594"/>
        <v>Nutrition</v>
      </c>
      <c r="R1738">
        <f t="shared" si="595"/>
        <v>22</v>
      </c>
      <c r="S1738" t="str">
        <f t="shared" ca="1" si="599"/>
        <v>No</v>
      </c>
      <c r="T1738" t="str">
        <f t="shared" ca="1" si="600"/>
        <v>Critical</v>
      </c>
      <c r="U1738" t="str">
        <f t="shared" ca="1" si="601"/>
        <v>Semi-Private</v>
      </c>
      <c r="V1738" t="str">
        <f t="shared" si="602"/>
        <v>BED1737</v>
      </c>
      <c r="W1738" t="str">
        <f t="shared" ca="1" si="603"/>
        <v>Private</v>
      </c>
      <c r="X1738" t="str">
        <f t="shared" si="604"/>
        <v>NUR037</v>
      </c>
      <c r="Y1738" t="str">
        <f t="shared" ca="1" si="605"/>
        <v>Night</v>
      </c>
      <c r="Z1738" t="str">
        <f t="shared" ca="1" si="606"/>
        <v>Ultrasound</v>
      </c>
      <c r="AA1738" t="str">
        <f t="shared" ca="1" si="607"/>
        <v>In Use</v>
      </c>
      <c r="AB1738" t="str">
        <f t="shared" ca="1" si="608"/>
        <v>Paid</v>
      </c>
      <c r="AC1738" t="str">
        <f t="shared" ca="1" si="609"/>
        <v>Debit Card</v>
      </c>
      <c r="AD1738" t="str">
        <f t="shared" ca="1" si="610"/>
        <v>No</v>
      </c>
      <c r="AE1738" t="str">
        <f t="shared" ca="1" si="611"/>
        <v>No</v>
      </c>
      <c r="AF1738" t="str">
        <f t="shared" ca="1" si="612"/>
        <v>Under Observation</v>
      </c>
      <c r="AG1738" t="str">
        <f t="shared" ca="1" si="613"/>
        <v>West Coast</v>
      </c>
      <c r="AH1738" t="str">
        <f t="shared" si="596"/>
        <v>November</v>
      </c>
      <c r="AI1738">
        <f t="shared" si="597"/>
        <v>2022</v>
      </c>
      <c r="AJ1738" t="str">
        <f t="shared" ca="1" si="614"/>
        <v>Vacant</v>
      </c>
      <c r="AK1738">
        <f t="shared" ca="1" si="615"/>
        <v>4</v>
      </c>
    </row>
    <row r="1739" spans="1:37" x14ac:dyDescent="0.3">
      <c r="A1739" t="s">
        <v>6123</v>
      </c>
      <c r="B1739">
        <v>75</v>
      </c>
      <c r="C1739" t="s">
        <v>32</v>
      </c>
      <c r="D1739" t="s">
        <v>24</v>
      </c>
      <c r="E1739" t="s">
        <v>25</v>
      </c>
      <c r="F1739" s="1">
        <v>43659</v>
      </c>
      <c r="G1739" t="s">
        <v>3460</v>
      </c>
      <c r="H1739" t="s">
        <v>3461</v>
      </c>
      <c r="I1739" t="s">
        <v>20</v>
      </c>
      <c r="J1739">
        <v>20891</v>
      </c>
      <c r="K1739">
        <v>200</v>
      </c>
      <c r="L1739" t="s">
        <v>42</v>
      </c>
      <c r="M1739" s="1">
        <v>43665</v>
      </c>
      <c r="N1739" t="s">
        <v>30</v>
      </c>
      <c r="O1739" t="s">
        <v>31</v>
      </c>
      <c r="P1739" t="str">
        <f t="shared" si="598"/>
        <v>P1738</v>
      </c>
      <c r="Q1739" t="str">
        <f t="shared" si="594"/>
        <v>Nutrition</v>
      </c>
      <c r="R1739">
        <f t="shared" si="595"/>
        <v>6</v>
      </c>
      <c r="S1739" t="str">
        <f t="shared" ca="1" si="599"/>
        <v>No</v>
      </c>
      <c r="T1739" t="str">
        <f t="shared" ca="1" si="600"/>
        <v>Critical</v>
      </c>
      <c r="U1739" t="str">
        <f t="shared" ca="1" si="601"/>
        <v>General Ward</v>
      </c>
      <c r="V1739" t="str">
        <f t="shared" si="602"/>
        <v>BED1738</v>
      </c>
      <c r="W1739" t="str">
        <f t="shared" ca="1" si="603"/>
        <v>Semi-Private</v>
      </c>
      <c r="X1739" t="str">
        <f t="shared" si="604"/>
        <v>NUR038</v>
      </c>
      <c r="Y1739" t="str">
        <f t="shared" ca="1" si="605"/>
        <v>Night</v>
      </c>
      <c r="Z1739" t="str">
        <f t="shared" ca="1" si="606"/>
        <v>ECG Machine</v>
      </c>
      <c r="AA1739" t="str">
        <f t="shared" ca="1" si="607"/>
        <v>Available</v>
      </c>
      <c r="AB1739" t="str">
        <f t="shared" ca="1" si="608"/>
        <v>Pending</v>
      </c>
      <c r="AC1739" t="str">
        <f t="shared" ca="1" si="609"/>
        <v>Credit Card</v>
      </c>
      <c r="AD1739" t="str">
        <f t="shared" ca="1" si="610"/>
        <v>No</v>
      </c>
      <c r="AE1739" t="str">
        <f t="shared" ca="1" si="611"/>
        <v>No</v>
      </c>
      <c r="AF1739" t="str">
        <f t="shared" ca="1" si="612"/>
        <v>Under Observation</v>
      </c>
      <c r="AG1739" t="str">
        <f t="shared" ca="1" si="613"/>
        <v>Northeast</v>
      </c>
      <c r="AH1739" t="str">
        <f t="shared" si="596"/>
        <v>July</v>
      </c>
      <c r="AI1739">
        <f t="shared" si="597"/>
        <v>2019</v>
      </c>
      <c r="AJ1739" t="str">
        <f t="shared" ca="1" si="614"/>
        <v>Vacant</v>
      </c>
      <c r="AK1739">
        <f t="shared" ca="1" si="615"/>
        <v>1</v>
      </c>
    </row>
    <row r="1740" spans="1:37" x14ac:dyDescent="0.3">
      <c r="A1740" t="s">
        <v>5862</v>
      </c>
      <c r="B1740">
        <v>64</v>
      </c>
      <c r="C1740" t="s">
        <v>32</v>
      </c>
      <c r="D1740" t="s">
        <v>16</v>
      </c>
      <c r="E1740" t="s">
        <v>17</v>
      </c>
      <c r="F1740" s="1">
        <v>44050</v>
      </c>
      <c r="G1740" t="s">
        <v>3462</v>
      </c>
      <c r="H1740" t="s">
        <v>3463</v>
      </c>
      <c r="I1740" t="s">
        <v>57</v>
      </c>
      <c r="J1740">
        <v>27487</v>
      </c>
      <c r="K1740">
        <v>228</v>
      </c>
      <c r="L1740" t="s">
        <v>21</v>
      </c>
      <c r="M1740" s="1">
        <v>44072</v>
      </c>
      <c r="N1740" t="s">
        <v>37</v>
      </c>
      <c r="O1740" t="s">
        <v>23</v>
      </c>
      <c r="P1740" t="str">
        <f t="shared" si="598"/>
        <v>P1739</v>
      </c>
      <c r="Q1740" t="str">
        <f t="shared" si="594"/>
        <v>Oncology</v>
      </c>
      <c r="R1740">
        <f t="shared" si="595"/>
        <v>22</v>
      </c>
      <c r="S1740" t="str">
        <f t="shared" ca="1" si="599"/>
        <v>No</v>
      </c>
      <c r="T1740" t="str">
        <f t="shared" ca="1" si="600"/>
        <v>Critical</v>
      </c>
      <c r="U1740" t="str">
        <f t="shared" ca="1" si="601"/>
        <v>Private Ward</v>
      </c>
      <c r="V1740" t="str">
        <f t="shared" si="602"/>
        <v>BED1739</v>
      </c>
      <c r="W1740" t="str">
        <f t="shared" ca="1" si="603"/>
        <v>General</v>
      </c>
      <c r="X1740" t="str">
        <f t="shared" si="604"/>
        <v>NUR039</v>
      </c>
      <c r="Y1740" t="str">
        <f t="shared" ca="1" si="605"/>
        <v>Evening</v>
      </c>
      <c r="Z1740" t="str">
        <f t="shared" ca="1" si="606"/>
        <v>Ultrasound</v>
      </c>
      <c r="AA1740" t="str">
        <f t="shared" ca="1" si="607"/>
        <v>In Use</v>
      </c>
      <c r="AB1740" t="str">
        <f t="shared" ca="1" si="608"/>
        <v>Partially Paid</v>
      </c>
      <c r="AC1740" t="str">
        <f t="shared" ca="1" si="609"/>
        <v>Debit Card</v>
      </c>
      <c r="AD1740" t="str">
        <f t="shared" ca="1" si="610"/>
        <v>No</v>
      </c>
      <c r="AE1740" t="str">
        <f t="shared" ca="1" si="611"/>
        <v>No</v>
      </c>
      <c r="AF1740" t="str">
        <f t="shared" ca="1" si="612"/>
        <v>Recovered</v>
      </c>
      <c r="AG1740" t="str">
        <f t="shared" ca="1" si="613"/>
        <v>Southwest</v>
      </c>
      <c r="AH1740" t="str">
        <f t="shared" si="596"/>
        <v>August</v>
      </c>
      <c r="AI1740">
        <f t="shared" si="597"/>
        <v>2020</v>
      </c>
      <c r="AJ1740" t="str">
        <f t="shared" ca="1" si="614"/>
        <v>Occupied</v>
      </c>
      <c r="AK1740">
        <f t="shared" ca="1" si="615"/>
        <v>1</v>
      </c>
    </row>
    <row r="1741" spans="1:37" x14ac:dyDescent="0.3">
      <c r="A1741" t="s">
        <v>6124</v>
      </c>
      <c r="B1741">
        <v>74</v>
      </c>
      <c r="C1741" t="s">
        <v>32</v>
      </c>
      <c r="D1741" t="s">
        <v>52</v>
      </c>
      <c r="E1741" t="s">
        <v>17</v>
      </c>
      <c r="F1741" s="1">
        <v>43640</v>
      </c>
      <c r="G1741" t="s">
        <v>3464</v>
      </c>
      <c r="H1741" t="s">
        <v>3465</v>
      </c>
      <c r="I1741" t="s">
        <v>28</v>
      </c>
      <c r="J1741">
        <v>46252</v>
      </c>
      <c r="K1741">
        <v>497</v>
      </c>
      <c r="L1741" t="s">
        <v>29</v>
      </c>
      <c r="M1741" s="1">
        <v>43667</v>
      </c>
      <c r="N1741" t="s">
        <v>37</v>
      </c>
      <c r="O1741" t="s">
        <v>31</v>
      </c>
      <c r="P1741" t="str">
        <f t="shared" si="598"/>
        <v>P1740</v>
      </c>
      <c r="Q1741" t="str">
        <f t="shared" si="594"/>
        <v>Oncology</v>
      </c>
      <c r="R1741">
        <f t="shared" si="595"/>
        <v>27</v>
      </c>
      <c r="S1741" t="str">
        <f t="shared" ca="1" si="599"/>
        <v>No</v>
      </c>
      <c r="T1741" t="str">
        <f t="shared" ca="1" si="600"/>
        <v>Mild</v>
      </c>
      <c r="U1741" t="str">
        <f t="shared" ca="1" si="601"/>
        <v>ICU</v>
      </c>
      <c r="V1741" t="str">
        <f t="shared" si="602"/>
        <v>BED1740</v>
      </c>
      <c r="W1741" t="str">
        <f t="shared" ca="1" si="603"/>
        <v>Semi-Private</v>
      </c>
      <c r="X1741" t="str">
        <f t="shared" si="604"/>
        <v>NUR040</v>
      </c>
      <c r="Y1741" t="str">
        <f t="shared" ca="1" si="605"/>
        <v>Night</v>
      </c>
      <c r="Z1741" t="str">
        <f t="shared" ca="1" si="606"/>
        <v>Ventilator</v>
      </c>
      <c r="AA1741" t="str">
        <f t="shared" ca="1" si="607"/>
        <v>Available</v>
      </c>
      <c r="AB1741" t="str">
        <f t="shared" ca="1" si="608"/>
        <v>Paid</v>
      </c>
      <c r="AC1741" t="str">
        <f t="shared" ca="1" si="609"/>
        <v>Debit Card</v>
      </c>
      <c r="AD1741" t="str">
        <f t="shared" ca="1" si="610"/>
        <v>No</v>
      </c>
      <c r="AE1741" t="str">
        <f t="shared" ca="1" si="611"/>
        <v>No</v>
      </c>
      <c r="AF1741" t="str">
        <f t="shared" ca="1" si="612"/>
        <v>Recovered</v>
      </c>
      <c r="AG1741" t="str">
        <f t="shared" ca="1" si="613"/>
        <v>Southeast</v>
      </c>
      <c r="AH1741" t="str">
        <f t="shared" si="596"/>
        <v>June</v>
      </c>
      <c r="AI1741">
        <f t="shared" si="597"/>
        <v>2019</v>
      </c>
      <c r="AJ1741" t="str">
        <f t="shared" ca="1" si="614"/>
        <v>Occupied</v>
      </c>
      <c r="AK1741">
        <f t="shared" ca="1" si="615"/>
        <v>1</v>
      </c>
    </row>
    <row r="1742" spans="1:37" x14ac:dyDescent="0.3">
      <c r="A1742" t="s">
        <v>6125</v>
      </c>
      <c r="B1742">
        <v>68</v>
      </c>
      <c r="C1742" t="s">
        <v>32</v>
      </c>
      <c r="D1742" t="s">
        <v>52</v>
      </c>
      <c r="E1742" t="s">
        <v>17</v>
      </c>
      <c r="F1742" s="1">
        <v>45131</v>
      </c>
      <c r="G1742" t="s">
        <v>3466</v>
      </c>
      <c r="H1742" t="s">
        <v>3467</v>
      </c>
      <c r="I1742" t="s">
        <v>51</v>
      </c>
      <c r="J1742">
        <v>32442</v>
      </c>
      <c r="K1742">
        <v>109</v>
      </c>
      <c r="L1742" t="s">
        <v>29</v>
      </c>
      <c r="M1742" s="1">
        <v>45154</v>
      </c>
      <c r="N1742" t="s">
        <v>37</v>
      </c>
      <c r="O1742" t="s">
        <v>43</v>
      </c>
      <c r="P1742" t="str">
        <f t="shared" si="598"/>
        <v>P1741</v>
      </c>
      <c r="Q1742" t="str">
        <f t="shared" si="594"/>
        <v>Oncology</v>
      </c>
      <c r="R1742">
        <f t="shared" si="595"/>
        <v>23</v>
      </c>
      <c r="S1742" t="str">
        <f t="shared" ca="1" si="599"/>
        <v>No</v>
      </c>
      <c r="T1742" t="str">
        <f t="shared" ca="1" si="600"/>
        <v>Mild</v>
      </c>
      <c r="U1742" t="str">
        <f t="shared" ca="1" si="601"/>
        <v>ICU</v>
      </c>
      <c r="V1742" t="str">
        <f t="shared" si="602"/>
        <v>BED1741</v>
      </c>
      <c r="W1742" t="str">
        <f t="shared" ca="1" si="603"/>
        <v>Semi-Private</v>
      </c>
      <c r="X1742" t="str">
        <f t="shared" si="604"/>
        <v>NUR041</v>
      </c>
      <c r="Y1742" t="str">
        <f t="shared" ca="1" si="605"/>
        <v>Morning</v>
      </c>
      <c r="Z1742" t="str">
        <f t="shared" ca="1" si="606"/>
        <v>ECG Machine</v>
      </c>
      <c r="AA1742" t="str">
        <f t="shared" ca="1" si="607"/>
        <v>In Use</v>
      </c>
      <c r="AB1742" t="str">
        <f t="shared" ca="1" si="608"/>
        <v>Pending</v>
      </c>
      <c r="AC1742" t="str">
        <f t="shared" ca="1" si="609"/>
        <v>Debit Card</v>
      </c>
      <c r="AD1742" t="str">
        <f t="shared" ca="1" si="610"/>
        <v>No</v>
      </c>
      <c r="AE1742" t="str">
        <f t="shared" ca="1" si="611"/>
        <v>No</v>
      </c>
      <c r="AF1742" t="str">
        <f t="shared" ca="1" si="612"/>
        <v>Under Observation</v>
      </c>
      <c r="AG1742" t="str">
        <f t="shared" ca="1" si="613"/>
        <v>Southeast</v>
      </c>
      <c r="AH1742" t="str">
        <f t="shared" si="596"/>
        <v>July</v>
      </c>
      <c r="AI1742">
        <f t="shared" si="597"/>
        <v>2023</v>
      </c>
      <c r="AJ1742" t="str">
        <f t="shared" ca="1" si="614"/>
        <v>Occupied</v>
      </c>
      <c r="AK1742">
        <f t="shared" ca="1" si="615"/>
        <v>4</v>
      </c>
    </row>
    <row r="1743" spans="1:37" x14ac:dyDescent="0.3">
      <c r="A1743" t="s">
        <v>6126</v>
      </c>
      <c r="B1743">
        <v>51</v>
      </c>
      <c r="C1743" t="s">
        <v>15</v>
      </c>
      <c r="D1743" t="s">
        <v>24</v>
      </c>
      <c r="E1743" t="s">
        <v>39</v>
      </c>
      <c r="F1743" s="1">
        <v>45382</v>
      </c>
      <c r="G1743" t="s">
        <v>3468</v>
      </c>
      <c r="H1743" t="s">
        <v>3469</v>
      </c>
      <c r="I1743" t="s">
        <v>51</v>
      </c>
      <c r="J1743">
        <v>11090</v>
      </c>
      <c r="K1743">
        <v>307</v>
      </c>
      <c r="L1743" t="s">
        <v>29</v>
      </c>
      <c r="M1743" s="1">
        <v>45387</v>
      </c>
      <c r="N1743" t="s">
        <v>37</v>
      </c>
      <c r="O1743" t="s">
        <v>43</v>
      </c>
      <c r="P1743" t="str">
        <f t="shared" si="598"/>
        <v>P1742</v>
      </c>
      <c r="Q1743" t="str">
        <f t="shared" si="594"/>
        <v>Endocrinology</v>
      </c>
      <c r="R1743">
        <f t="shared" si="595"/>
        <v>5</v>
      </c>
      <c r="S1743" t="str">
        <f t="shared" ca="1" si="599"/>
        <v>No</v>
      </c>
      <c r="T1743" t="str">
        <f t="shared" ca="1" si="600"/>
        <v>Mild</v>
      </c>
      <c r="U1743" t="str">
        <f t="shared" ca="1" si="601"/>
        <v>General Ward</v>
      </c>
      <c r="V1743" t="str">
        <f t="shared" si="602"/>
        <v>BED1742</v>
      </c>
      <c r="W1743" t="str">
        <f t="shared" ca="1" si="603"/>
        <v>Semi-Private</v>
      </c>
      <c r="X1743" t="str">
        <f t="shared" si="604"/>
        <v>NUR042</v>
      </c>
      <c r="Y1743" t="str">
        <f t="shared" ca="1" si="605"/>
        <v>Morning</v>
      </c>
      <c r="Z1743" t="str">
        <f t="shared" ca="1" si="606"/>
        <v>ECG Machine</v>
      </c>
      <c r="AA1743" t="str">
        <f t="shared" ca="1" si="607"/>
        <v>Maintenance</v>
      </c>
      <c r="AB1743" t="str">
        <f t="shared" ca="1" si="608"/>
        <v>Pending</v>
      </c>
      <c r="AC1743" t="str">
        <f t="shared" ca="1" si="609"/>
        <v>Debit Card</v>
      </c>
      <c r="AD1743" t="str">
        <f t="shared" ca="1" si="610"/>
        <v>No</v>
      </c>
      <c r="AE1743" t="str">
        <f t="shared" ca="1" si="611"/>
        <v>No</v>
      </c>
      <c r="AF1743" t="str">
        <f t="shared" ca="1" si="612"/>
        <v>Under Observation</v>
      </c>
      <c r="AG1743" t="str">
        <f t="shared" ca="1" si="613"/>
        <v>West Coast</v>
      </c>
      <c r="AH1743" t="str">
        <f t="shared" si="596"/>
        <v>March</v>
      </c>
      <c r="AI1743">
        <f t="shared" si="597"/>
        <v>2024</v>
      </c>
      <c r="AJ1743" t="str">
        <f t="shared" ca="1" si="614"/>
        <v>Occupied</v>
      </c>
      <c r="AK1743">
        <f t="shared" ca="1" si="615"/>
        <v>4</v>
      </c>
    </row>
    <row r="1744" spans="1:37" x14ac:dyDescent="0.3">
      <c r="A1744" t="s">
        <v>6127</v>
      </c>
      <c r="B1744">
        <v>47</v>
      </c>
      <c r="C1744" t="s">
        <v>32</v>
      </c>
      <c r="D1744" t="s">
        <v>33</v>
      </c>
      <c r="E1744" t="s">
        <v>48</v>
      </c>
      <c r="F1744" s="1">
        <v>45368</v>
      </c>
      <c r="G1744" t="s">
        <v>3470</v>
      </c>
      <c r="H1744" t="s">
        <v>3471</v>
      </c>
      <c r="I1744" t="s">
        <v>20</v>
      </c>
      <c r="J1744">
        <v>14361</v>
      </c>
      <c r="K1744">
        <v>379</v>
      </c>
      <c r="L1744" t="s">
        <v>29</v>
      </c>
      <c r="M1744" s="1">
        <v>45374</v>
      </c>
      <c r="N1744" t="s">
        <v>47</v>
      </c>
      <c r="O1744" t="s">
        <v>31</v>
      </c>
      <c r="P1744" t="str">
        <f t="shared" si="598"/>
        <v>P1743</v>
      </c>
      <c r="Q1744" t="str">
        <f t="shared" si="594"/>
        <v>Pulmonology</v>
      </c>
      <c r="R1744">
        <f t="shared" si="595"/>
        <v>6</v>
      </c>
      <c r="S1744" t="str">
        <f t="shared" ca="1" si="599"/>
        <v>No</v>
      </c>
      <c r="T1744" t="str">
        <f t="shared" ca="1" si="600"/>
        <v>Critical</v>
      </c>
      <c r="U1744" t="str">
        <f t="shared" ca="1" si="601"/>
        <v>Emergency</v>
      </c>
      <c r="V1744" t="str">
        <f t="shared" si="602"/>
        <v>BED1743</v>
      </c>
      <c r="W1744" t="str">
        <f t="shared" ca="1" si="603"/>
        <v>Private</v>
      </c>
      <c r="X1744" t="str">
        <f t="shared" si="604"/>
        <v>NUR043</v>
      </c>
      <c r="Y1744" t="str">
        <f t="shared" ca="1" si="605"/>
        <v>Morning</v>
      </c>
      <c r="Z1744" t="str">
        <f t="shared" ca="1" si="606"/>
        <v>X-Ray</v>
      </c>
      <c r="AA1744" t="str">
        <f t="shared" ca="1" si="607"/>
        <v>In Use</v>
      </c>
      <c r="AB1744" t="str">
        <f t="shared" ca="1" si="608"/>
        <v>Pending</v>
      </c>
      <c r="AC1744" t="str">
        <f t="shared" ca="1" si="609"/>
        <v>Debit Card</v>
      </c>
      <c r="AD1744" t="str">
        <f t="shared" ca="1" si="610"/>
        <v>Yes</v>
      </c>
      <c r="AE1744" t="str">
        <f t="shared" ca="1" si="611"/>
        <v>Yes</v>
      </c>
      <c r="AF1744" t="str">
        <f t="shared" ca="1" si="612"/>
        <v>Recovered</v>
      </c>
      <c r="AG1744" t="str">
        <f t="shared" ca="1" si="613"/>
        <v>Southeast</v>
      </c>
      <c r="AH1744" t="str">
        <f t="shared" si="596"/>
        <v>March</v>
      </c>
      <c r="AI1744">
        <f t="shared" si="597"/>
        <v>2024</v>
      </c>
      <c r="AJ1744" t="str">
        <f t="shared" ca="1" si="614"/>
        <v>Occupied</v>
      </c>
      <c r="AK1744">
        <f t="shared" ca="1" si="615"/>
        <v>1</v>
      </c>
    </row>
    <row r="1745" spans="1:37" x14ac:dyDescent="0.3">
      <c r="A1745" t="s">
        <v>6128</v>
      </c>
      <c r="B1745">
        <v>65</v>
      </c>
      <c r="C1745" t="s">
        <v>32</v>
      </c>
      <c r="D1745" t="s">
        <v>24</v>
      </c>
      <c r="E1745" t="s">
        <v>25</v>
      </c>
      <c r="F1745" s="1">
        <v>45383</v>
      </c>
      <c r="G1745" t="s">
        <v>3472</v>
      </c>
      <c r="H1745" t="s">
        <v>3473</v>
      </c>
      <c r="I1745" t="s">
        <v>57</v>
      </c>
      <c r="J1745">
        <v>9425</v>
      </c>
      <c r="K1745">
        <v>283</v>
      </c>
      <c r="L1745" t="s">
        <v>42</v>
      </c>
      <c r="M1745" s="1">
        <v>45405</v>
      </c>
      <c r="N1745" t="s">
        <v>47</v>
      </c>
      <c r="O1745" t="s">
        <v>31</v>
      </c>
      <c r="P1745" t="str">
        <f t="shared" si="598"/>
        <v>P1744</v>
      </c>
      <c r="Q1745" t="str">
        <f t="shared" si="594"/>
        <v>Nutrition</v>
      </c>
      <c r="R1745">
        <f t="shared" si="595"/>
        <v>22</v>
      </c>
      <c r="S1745" t="str">
        <f t="shared" ca="1" si="599"/>
        <v>No</v>
      </c>
      <c r="T1745" t="str">
        <f t="shared" ca="1" si="600"/>
        <v>Critical</v>
      </c>
      <c r="U1745" t="str">
        <f t="shared" ca="1" si="601"/>
        <v>Private Ward</v>
      </c>
      <c r="V1745" t="str">
        <f t="shared" si="602"/>
        <v>BED1744</v>
      </c>
      <c r="W1745" t="str">
        <f t="shared" ca="1" si="603"/>
        <v>Semi-Private</v>
      </c>
      <c r="X1745" t="str">
        <f t="shared" si="604"/>
        <v>NUR044</v>
      </c>
      <c r="Y1745" t="str">
        <f t="shared" ca="1" si="605"/>
        <v>Night</v>
      </c>
      <c r="Z1745" t="str">
        <f t="shared" ca="1" si="606"/>
        <v>MRI Scanner</v>
      </c>
      <c r="AA1745" t="str">
        <f t="shared" ca="1" si="607"/>
        <v>Available</v>
      </c>
      <c r="AB1745" t="str">
        <f t="shared" ca="1" si="608"/>
        <v>Pending</v>
      </c>
      <c r="AC1745" t="str">
        <f t="shared" ca="1" si="609"/>
        <v>Cash</v>
      </c>
      <c r="AD1745" t="str">
        <f t="shared" ca="1" si="610"/>
        <v>No</v>
      </c>
      <c r="AE1745" t="str">
        <f t="shared" ca="1" si="611"/>
        <v>No</v>
      </c>
      <c r="AF1745" t="str">
        <f t="shared" ca="1" si="612"/>
        <v>Under Observation</v>
      </c>
      <c r="AG1745" t="str">
        <f t="shared" ca="1" si="613"/>
        <v>Midwest</v>
      </c>
      <c r="AH1745" t="str">
        <f t="shared" si="596"/>
        <v>April</v>
      </c>
      <c r="AI1745">
        <f t="shared" si="597"/>
        <v>2024</v>
      </c>
      <c r="AJ1745" t="str">
        <f t="shared" ca="1" si="614"/>
        <v>Occupied</v>
      </c>
      <c r="AK1745">
        <f t="shared" ca="1" si="615"/>
        <v>4</v>
      </c>
    </row>
    <row r="1746" spans="1:37" x14ac:dyDescent="0.3">
      <c r="A1746" t="s">
        <v>6129</v>
      </c>
      <c r="B1746">
        <v>27</v>
      </c>
      <c r="C1746" t="s">
        <v>15</v>
      </c>
      <c r="D1746" t="s">
        <v>44</v>
      </c>
      <c r="E1746" t="s">
        <v>76</v>
      </c>
      <c r="F1746" s="1">
        <v>44871</v>
      </c>
      <c r="G1746" t="s">
        <v>3474</v>
      </c>
      <c r="H1746" t="s">
        <v>3475</v>
      </c>
      <c r="I1746" t="s">
        <v>36</v>
      </c>
      <c r="J1746">
        <v>41455</v>
      </c>
      <c r="K1746">
        <v>426</v>
      </c>
      <c r="L1746" t="s">
        <v>42</v>
      </c>
      <c r="M1746" s="1">
        <v>44896</v>
      </c>
      <c r="N1746" t="s">
        <v>47</v>
      </c>
      <c r="O1746" t="s">
        <v>43</v>
      </c>
      <c r="P1746" t="str">
        <f t="shared" si="598"/>
        <v>P1745</v>
      </c>
      <c r="Q1746" t="str">
        <f t="shared" si="594"/>
        <v>Orthopedics</v>
      </c>
      <c r="R1746">
        <f t="shared" si="595"/>
        <v>25</v>
      </c>
      <c r="S1746" t="str">
        <f t="shared" ca="1" si="599"/>
        <v>No</v>
      </c>
      <c r="T1746" t="str">
        <f t="shared" ca="1" si="600"/>
        <v>Mild</v>
      </c>
      <c r="U1746" t="str">
        <f t="shared" ca="1" si="601"/>
        <v>General Ward</v>
      </c>
      <c r="V1746" t="str">
        <f t="shared" si="602"/>
        <v>BED1745</v>
      </c>
      <c r="W1746" t="str">
        <f t="shared" ca="1" si="603"/>
        <v>Semi-Private</v>
      </c>
      <c r="X1746" t="str">
        <f t="shared" si="604"/>
        <v>NUR045</v>
      </c>
      <c r="Y1746" t="str">
        <f t="shared" ca="1" si="605"/>
        <v>Night</v>
      </c>
      <c r="Z1746" t="str">
        <f t="shared" ca="1" si="606"/>
        <v>Ventilator</v>
      </c>
      <c r="AA1746" t="str">
        <f t="shared" ca="1" si="607"/>
        <v>In Use</v>
      </c>
      <c r="AB1746" t="str">
        <f t="shared" ca="1" si="608"/>
        <v>Paid</v>
      </c>
      <c r="AC1746" t="str">
        <f t="shared" ca="1" si="609"/>
        <v>Bank Transfer</v>
      </c>
      <c r="AD1746" t="str">
        <f t="shared" ca="1" si="610"/>
        <v>No</v>
      </c>
      <c r="AE1746" t="str">
        <f t="shared" ca="1" si="611"/>
        <v>No</v>
      </c>
      <c r="AF1746" t="str">
        <f t="shared" ca="1" si="612"/>
        <v>Transferred</v>
      </c>
      <c r="AG1746" t="str">
        <f t="shared" ca="1" si="613"/>
        <v>Southwest</v>
      </c>
      <c r="AH1746" t="str">
        <f t="shared" si="596"/>
        <v>November</v>
      </c>
      <c r="AI1746">
        <f t="shared" si="597"/>
        <v>2022</v>
      </c>
      <c r="AJ1746" t="str">
        <f t="shared" ca="1" si="614"/>
        <v>Occupied</v>
      </c>
      <c r="AK1746">
        <f t="shared" ca="1" si="615"/>
        <v>1</v>
      </c>
    </row>
    <row r="1747" spans="1:37" x14ac:dyDescent="0.3">
      <c r="A1747" t="s">
        <v>6130</v>
      </c>
      <c r="B1747">
        <v>21</v>
      </c>
      <c r="C1747" t="s">
        <v>15</v>
      </c>
      <c r="D1747" t="s">
        <v>16</v>
      </c>
      <c r="E1747" t="s">
        <v>64</v>
      </c>
      <c r="F1747" s="1">
        <v>45320</v>
      </c>
      <c r="G1747" t="s">
        <v>3476</v>
      </c>
      <c r="H1747" t="s">
        <v>3477</v>
      </c>
      <c r="I1747" t="s">
        <v>28</v>
      </c>
      <c r="J1747">
        <v>9955</v>
      </c>
      <c r="K1747">
        <v>413</v>
      </c>
      <c r="L1747" t="s">
        <v>42</v>
      </c>
      <c r="M1747" s="1">
        <v>45348</v>
      </c>
      <c r="N1747" t="s">
        <v>30</v>
      </c>
      <c r="O1747" t="s">
        <v>43</v>
      </c>
      <c r="P1747" t="str">
        <f t="shared" si="598"/>
        <v>P1746</v>
      </c>
      <c r="Q1747" t="str">
        <f t="shared" si="594"/>
        <v>Cardiology</v>
      </c>
      <c r="R1747">
        <f t="shared" si="595"/>
        <v>28</v>
      </c>
      <c r="S1747" t="str">
        <f t="shared" ca="1" si="599"/>
        <v>No</v>
      </c>
      <c r="T1747" t="str">
        <f t="shared" ca="1" si="600"/>
        <v>Mild</v>
      </c>
      <c r="U1747" t="str">
        <f t="shared" ca="1" si="601"/>
        <v>Semi-Private</v>
      </c>
      <c r="V1747" t="str">
        <f t="shared" si="602"/>
        <v>BED1746</v>
      </c>
      <c r="W1747" t="str">
        <f t="shared" ca="1" si="603"/>
        <v>Private</v>
      </c>
      <c r="X1747" t="str">
        <f t="shared" si="604"/>
        <v>NUR046</v>
      </c>
      <c r="Y1747" t="str">
        <f t="shared" ca="1" si="605"/>
        <v>Evening</v>
      </c>
      <c r="Z1747" t="str">
        <f t="shared" ca="1" si="606"/>
        <v>CT Scanner</v>
      </c>
      <c r="AA1747" t="str">
        <f t="shared" ca="1" si="607"/>
        <v>Available</v>
      </c>
      <c r="AB1747" t="str">
        <f t="shared" ca="1" si="608"/>
        <v>Paid</v>
      </c>
      <c r="AC1747" t="str">
        <f t="shared" ca="1" si="609"/>
        <v>Debit Card</v>
      </c>
      <c r="AD1747" t="str">
        <f t="shared" ca="1" si="610"/>
        <v>No</v>
      </c>
      <c r="AE1747" t="str">
        <f t="shared" ca="1" si="611"/>
        <v>No</v>
      </c>
      <c r="AF1747" t="str">
        <f t="shared" ca="1" si="612"/>
        <v>Recovered</v>
      </c>
      <c r="AG1747" t="str">
        <f t="shared" ca="1" si="613"/>
        <v>Southwest</v>
      </c>
      <c r="AH1747" t="str">
        <f t="shared" si="596"/>
        <v>January</v>
      </c>
      <c r="AI1747">
        <f t="shared" si="597"/>
        <v>2024</v>
      </c>
      <c r="AJ1747" t="str">
        <f t="shared" ca="1" si="614"/>
        <v>Occupied</v>
      </c>
      <c r="AK1747">
        <f t="shared" ca="1" si="615"/>
        <v>4</v>
      </c>
    </row>
    <row r="1748" spans="1:37" x14ac:dyDescent="0.3">
      <c r="A1748" t="s">
        <v>6131</v>
      </c>
      <c r="B1748">
        <v>21</v>
      </c>
      <c r="C1748" t="s">
        <v>15</v>
      </c>
      <c r="D1748" t="s">
        <v>38</v>
      </c>
      <c r="E1748" t="s">
        <v>64</v>
      </c>
      <c r="F1748" s="1">
        <v>43765</v>
      </c>
      <c r="G1748" t="s">
        <v>3478</v>
      </c>
      <c r="H1748" t="s">
        <v>3479</v>
      </c>
      <c r="I1748" t="s">
        <v>36</v>
      </c>
      <c r="J1748">
        <v>47192</v>
      </c>
      <c r="K1748">
        <v>156</v>
      </c>
      <c r="L1748" t="s">
        <v>29</v>
      </c>
      <c r="M1748" s="1">
        <v>43792</v>
      </c>
      <c r="N1748" t="s">
        <v>47</v>
      </c>
      <c r="O1748" t="s">
        <v>31</v>
      </c>
      <c r="P1748" t="str">
        <f t="shared" si="598"/>
        <v>P1747</v>
      </c>
      <c r="Q1748" t="str">
        <f t="shared" si="594"/>
        <v>Cardiology</v>
      </c>
      <c r="R1748">
        <f t="shared" si="595"/>
        <v>27</v>
      </c>
      <c r="S1748" t="str">
        <f t="shared" ca="1" si="599"/>
        <v>No</v>
      </c>
      <c r="T1748" t="str">
        <f t="shared" ca="1" si="600"/>
        <v>Critical</v>
      </c>
      <c r="U1748" t="str">
        <f t="shared" ca="1" si="601"/>
        <v>General Ward</v>
      </c>
      <c r="V1748" t="str">
        <f t="shared" si="602"/>
        <v>BED1747</v>
      </c>
      <c r="W1748" t="str">
        <f t="shared" ca="1" si="603"/>
        <v>Semi-Private</v>
      </c>
      <c r="X1748" t="str">
        <f t="shared" si="604"/>
        <v>NUR047</v>
      </c>
      <c r="Y1748" t="str">
        <f t="shared" ca="1" si="605"/>
        <v>Night</v>
      </c>
      <c r="Z1748" t="str">
        <f t="shared" ca="1" si="606"/>
        <v>X-Ray</v>
      </c>
      <c r="AA1748" t="str">
        <f t="shared" ca="1" si="607"/>
        <v>Available</v>
      </c>
      <c r="AB1748" t="str">
        <f t="shared" ca="1" si="608"/>
        <v>Pending</v>
      </c>
      <c r="AC1748" t="str">
        <f t="shared" ca="1" si="609"/>
        <v>Debit Card</v>
      </c>
      <c r="AD1748" t="str">
        <f t="shared" ca="1" si="610"/>
        <v>No</v>
      </c>
      <c r="AE1748" t="str">
        <f t="shared" ca="1" si="611"/>
        <v>No</v>
      </c>
      <c r="AF1748" t="str">
        <f t="shared" ca="1" si="612"/>
        <v>Recovered</v>
      </c>
      <c r="AG1748" t="str">
        <f t="shared" ca="1" si="613"/>
        <v>Midwest</v>
      </c>
      <c r="AH1748" t="str">
        <f t="shared" si="596"/>
        <v>October</v>
      </c>
      <c r="AI1748">
        <f t="shared" si="597"/>
        <v>2019</v>
      </c>
      <c r="AJ1748" t="str">
        <f t="shared" ca="1" si="614"/>
        <v>Occupied</v>
      </c>
      <c r="AK1748">
        <f t="shared" ca="1" si="615"/>
        <v>1</v>
      </c>
    </row>
    <row r="1749" spans="1:37" x14ac:dyDescent="0.3">
      <c r="A1749" t="s">
        <v>6132</v>
      </c>
      <c r="B1749">
        <v>53</v>
      </c>
      <c r="C1749" t="s">
        <v>15</v>
      </c>
      <c r="D1749" t="s">
        <v>44</v>
      </c>
      <c r="E1749" t="s">
        <v>17</v>
      </c>
      <c r="F1749" s="1">
        <v>44746</v>
      </c>
      <c r="G1749" t="s">
        <v>3480</v>
      </c>
      <c r="H1749" t="s">
        <v>3481</v>
      </c>
      <c r="I1749" t="s">
        <v>28</v>
      </c>
      <c r="J1749">
        <v>32730</v>
      </c>
      <c r="K1749">
        <v>441</v>
      </c>
      <c r="L1749" t="s">
        <v>42</v>
      </c>
      <c r="M1749" s="1">
        <v>44747</v>
      </c>
      <c r="N1749" t="s">
        <v>67</v>
      </c>
      <c r="O1749" t="s">
        <v>31</v>
      </c>
      <c r="P1749" t="str">
        <f t="shared" si="598"/>
        <v>P1748</v>
      </c>
      <c r="Q1749" t="str">
        <f t="shared" si="594"/>
        <v>Oncology</v>
      </c>
      <c r="R1749">
        <f t="shared" si="595"/>
        <v>1</v>
      </c>
      <c r="S1749" t="str">
        <f t="shared" ca="1" si="599"/>
        <v>No</v>
      </c>
      <c r="T1749" t="str">
        <f t="shared" ca="1" si="600"/>
        <v>Mild</v>
      </c>
      <c r="U1749" t="str">
        <f t="shared" ca="1" si="601"/>
        <v>Private Ward</v>
      </c>
      <c r="V1749" t="str">
        <f t="shared" si="602"/>
        <v>BED1748</v>
      </c>
      <c r="W1749" t="str">
        <f t="shared" ca="1" si="603"/>
        <v>General</v>
      </c>
      <c r="X1749" t="str">
        <f t="shared" si="604"/>
        <v>NUR048</v>
      </c>
      <c r="Y1749" t="str">
        <f t="shared" ca="1" si="605"/>
        <v>Night</v>
      </c>
      <c r="Z1749" t="str">
        <f t="shared" ca="1" si="606"/>
        <v>Ultrasound</v>
      </c>
      <c r="AA1749" t="str">
        <f t="shared" ca="1" si="607"/>
        <v>Maintenance</v>
      </c>
      <c r="AB1749" t="str">
        <f t="shared" ca="1" si="608"/>
        <v>Paid</v>
      </c>
      <c r="AC1749" t="str">
        <f t="shared" ca="1" si="609"/>
        <v>Debit Card</v>
      </c>
      <c r="AD1749" t="str">
        <f t="shared" ca="1" si="610"/>
        <v>No</v>
      </c>
      <c r="AE1749" t="str">
        <f t="shared" ca="1" si="611"/>
        <v>No</v>
      </c>
      <c r="AF1749" t="str">
        <f t="shared" ca="1" si="612"/>
        <v>Under Observation</v>
      </c>
      <c r="AG1749" t="str">
        <f t="shared" ca="1" si="613"/>
        <v>Northeast</v>
      </c>
      <c r="AH1749" t="str">
        <f t="shared" si="596"/>
        <v>July</v>
      </c>
      <c r="AI1749">
        <f t="shared" si="597"/>
        <v>2022</v>
      </c>
      <c r="AJ1749" t="str">
        <f t="shared" ca="1" si="614"/>
        <v>Occupied</v>
      </c>
      <c r="AK1749">
        <f t="shared" ca="1" si="615"/>
        <v>4</v>
      </c>
    </row>
    <row r="1750" spans="1:37" x14ac:dyDescent="0.3">
      <c r="A1750" t="s">
        <v>6133</v>
      </c>
      <c r="B1750">
        <v>34</v>
      </c>
      <c r="C1750" t="s">
        <v>32</v>
      </c>
      <c r="D1750" t="s">
        <v>24</v>
      </c>
      <c r="E1750" t="s">
        <v>76</v>
      </c>
      <c r="F1750" s="1">
        <v>44077</v>
      </c>
      <c r="G1750" t="s">
        <v>3482</v>
      </c>
      <c r="H1750" t="s">
        <v>3483</v>
      </c>
      <c r="I1750" t="s">
        <v>57</v>
      </c>
      <c r="J1750">
        <v>51146</v>
      </c>
      <c r="K1750">
        <v>102</v>
      </c>
      <c r="L1750" t="s">
        <v>42</v>
      </c>
      <c r="M1750" s="1">
        <v>44098</v>
      </c>
      <c r="N1750" t="s">
        <v>47</v>
      </c>
      <c r="O1750" t="s">
        <v>43</v>
      </c>
      <c r="P1750" t="str">
        <f t="shared" si="598"/>
        <v>P1749</v>
      </c>
      <c r="Q1750" t="str">
        <f t="shared" si="594"/>
        <v>Orthopedics</v>
      </c>
      <c r="R1750">
        <f t="shared" si="595"/>
        <v>21</v>
      </c>
      <c r="S1750" t="str">
        <f t="shared" ca="1" si="599"/>
        <v>Yes</v>
      </c>
      <c r="T1750" t="str">
        <f t="shared" ca="1" si="600"/>
        <v>Mild</v>
      </c>
      <c r="U1750" t="str">
        <f t="shared" ca="1" si="601"/>
        <v>Private Ward</v>
      </c>
      <c r="V1750" t="str">
        <f t="shared" si="602"/>
        <v>BED1749</v>
      </c>
      <c r="W1750" t="str">
        <f t="shared" ca="1" si="603"/>
        <v>Semi-Private</v>
      </c>
      <c r="X1750" t="str">
        <f t="shared" si="604"/>
        <v>NUR049</v>
      </c>
      <c r="Y1750" t="str">
        <f t="shared" ca="1" si="605"/>
        <v>Evening</v>
      </c>
      <c r="Z1750" t="str">
        <f t="shared" ca="1" si="606"/>
        <v>MRI Scanner</v>
      </c>
      <c r="AA1750" t="str">
        <f t="shared" ca="1" si="607"/>
        <v>Available</v>
      </c>
      <c r="AB1750" t="str">
        <f t="shared" ca="1" si="608"/>
        <v>Paid</v>
      </c>
      <c r="AC1750" t="str">
        <f t="shared" ca="1" si="609"/>
        <v>Debit Card</v>
      </c>
      <c r="AD1750" t="str">
        <f t="shared" ca="1" si="610"/>
        <v>No</v>
      </c>
      <c r="AE1750" t="str">
        <f t="shared" ca="1" si="611"/>
        <v>No</v>
      </c>
      <c r="AF1750" t="str">
        <f t="shared" ca="1" si="612"/>
        <v>Under Observation</v>
      </c>
      <c r="AG1750" t="str">
        <f t="shared" ca="1" si="613"/>
        <v>Southeast</v>
      </c>
      <c r="AH1750" t="str">
        <f t="shared" si="596"/>
        <v>September</v>
      </c>
      <c r="AI1750">
        <f t="shared" si="597"/>
        <v>2020</v>
      </c>
      <c r="AJ1750" t="str">
        <f t="shared" ca="1" si="614"/>
        <v>Occupied</v>
      </c>
      <c r="AK1750">
        <f t="shared" ca="1" si="615"/>
        <v>4</v>
      </c>
    </row>
    <row r="1751" spans="1:37" x14ac:dyDescent="0.3">
      <c r="A1751" t="s">
        <v>6134</v>
      </c>
      <c r="B1751">
        <v>24</v>
      </c>
      <c r="C1751" t="s">
        <v>15</v>
      </c>
      <c r="D1751" t="s">
        <v>33</v>
      </c>
      <c r="E1751" t="s">
        <v>25</v>
      </c>
      <c r="F1751" s="1">
        <v>45080</v>
      </c>
      <c r="G1751" t="s">
        <v>3484</v>
      </c>
      <c r="H1751" t="s">
        <v>3485</v>
      </c>
      <c r="I1751" t="s">
        <v>51</v>
      </c>
      <c r="J1751">
        <v>30487</v>
      </c>
      <c r="K1751">
        <v>121</v>
      </c>
      <c r="L1751" t="s">
        <v>29</v>
      </c>
      <c r="M1751" s="1">
        <v>45092</v>
      </c>
      <c r="N1751" t="s">
        <v>47</v>
      </c>
      <c r="O1751" t="s">
        <v>23</v>
      </c>
      <c r="P1751" t="str">
        <f t="shared" si="598"/>
        <v>P1750</v>
      </c>
      <c r="Q1751" t="str">
        <f t="shared" si="594"/>
        <v>Nutrition</v>
      </c>
      <c r="R1751">
        <f t="shared" si="595"/>
        <v>12</v>
      </c>
      <c r="S1751" t="str">
        <f t="shared" ca="1" si="599"/>
        <v>No</v>
      </c>
      <c r="T1751" t="str">
        <f t="shared" ca="1" si="600"/>
        <v>Severe</v>
      </c>
      <c r="U1751" t="str">
        <f t="shared" ca="1" si="601"/>
        <v>Semi-Private</v>
      </c>
      <c r="V1751" t="str">
        <f t="shared" si="602"/>
        <v>BED1750</v>
      </c>
      <c r="W1751" t="str">
        <f t="shared" ca="1" si="603"/>
        <v>Private</v>
      </c>
      <c r="X1751" t="str">
        <f t="shared" si="604"/>
        <v>NUR050</v>
      </c>
      <c r="Y1751" t="str">
        <f t="shared" ca="1" si="605"/>
        <v>Night</v>
      </c>
      <c r="Z1751" t="str">
        <f t="shared" ca="1" si="606"/>
        <v>X-Ray</v>
      </c>
      <c r="AA1751" t="str">
        <f t="shared" ca="1" si="607"/>
        <v>Available</v>
      </c>
      <c r="AB1751" t="str">
        <f t="shared" ca="1" si="608"/>
        <v>Partially Paid</v>
      </c>
      <c r="AC1751" t="str">
        <f t="shared" ca="1" si="609"/>
        <v>Cash</v>
      </c>
      <c r="AD1751" t="str">
        <f t="shared" ca="1" si="610"/>
        <v>Yes</v>
      </c>
      <c r="AE1751" t="str">
        <f t="shared" ca="1" si="611"/>
        <v>Yes</v>
      </c>
      <c r="AF1751" t="str">
        <f t="shared" ca="1" si="612"/>
        <v>Recovered</v>
      </c>
      <c r="AG1751" t="str">
        <f t="shared" ca="1" si="613"/>
        <v>Northeast</v>
      </c>
      <c r="AH1751" t="str">
        <f t="shared" si="596"/>
        <v>June</v>
      </c>
      <c r="AI1751">
        <f t="shared" si="597"/>
        <v>2023</v>
      </c>
      <c r="AJ1751" t="str">
        <f t="shared" ca="1" si="614"/>
        <v>Occupied</v>
      </c>
      <c r="AK1751">
        <f t="shared" ca="1" si="615"/>
        <v>1</v>
      </c>
    </row>
    <row r="1752" spans="1:37" x14ac:dyDescent="0.3">
      <c r="A1752" t="s">
        <v>5611</v>
      </c>
      <c r="B1752">
        <v>74</v>
      </c>
      <c r="C1752" t="s">
        <v>15</v>
      </c>
      <c r="D1752" t="s">
        <v>33</v>
      </c>
      <c r="E1752" t="s">
        <v>25</v>
      </c>
      <c r="F1752" s="1">
        <v>44807</v>
      </c>
      <c r="G1752" t="s">
        <v>3486</v>
      </c>
      <c r="H1752" t="s">
        <v>3487</v>
      </c>
      <c r="I1752" t="s">
        <v>57</v>
      </c>
      <c r="J1752">
        <v>38498</v>
      </c>
      <c r="K1752">
        <v>344</v>
      </c>
      <c r="L1752" t="s">
        <v>21</v>
      </c>
      <c r="M1752" s="1">
        <v>44834</v>
      </c>
      <c r="N1752" t="s">
        <v>67</v>
      </c>
      <c r="O1752" t="s">
        <v>31</v>
      </c>
      <c r="P1752" t="str">
        <f t="shared" si="598"/>
        <v>P1751</v>
      </c>
      <c r="Q1752" t="str">
        <f t="shared" si="594"/>
        <v>Nutrition</v>
      </c>
      <c r="R1752">
        <f t="shared" si="595"/>
        <v>27</v>
      </c>
      <c r="S1752" t="str">
        <f t="shared" ca="1" si="599"/>
        <v>No</v>
      </c>
      <c r="T1752" t="str">
        <f t="shared" ca="1" si="600"/>
        <v>Moderate</v>
      </c>
      <c r="U1752" t="str">
        <f t="shared" ca="1" si="601"/>
        <v>Private Ward</v>
      </c>
      <c r="V1752" t="str">
        <f t="shared" si="602"/>
        <v>BED1751</v>
      </c>
      <c r="W1752" t="str">
        <f t="shared" ca="1" si="603"/>
        <v>General</v>
      </c>
      <c r="X1752" t="str">
        <f t="shared" si="604"/>
        <v>NUR001</v>
      </c>
      <c r="Y1752" t="str">
        <f t="shared" ca="1" si="605"/>
        <v>Night</v>
      </c>
      <c r="Z1752" t="str">
        <f t="shared" ca="1" si="606"/>
        <v>CT Scanner</v>
      </c>
      <c r="AA1752" t="str">
        <f t="shared" ca="1" si="607"/>
        <v>Available</v>
      </c>
      <c r="AB1752" t="str">
        <f t="shared" ca="1" si="608"/>
        <v>Paid</v>
      </c>
      <c r="AC1752" t="str">
        <f t="shared" ca="1" si="609"/>
        <v>Insurance</v>
      </c>
      <c r="AD1752" t="str">
        <f t="shared" ca="1" si="610"/>
        <v>No</v>
      </c>
      <c r="AE1752" t="str">
        <f t="shared" ca="1" si="611"/>
        <v>No</v>
      </c>
      <c r="AF1752" t="str">
        <f t="shared" ca="1" si="612"/>
        <v>Recovered</v>
      </c>
      <c r="AG1752" t="str">
        <f t="shared" ca="1" si="613"/>
        <v>Southeast</v>
      </c>
      <c r="AH1752" t="str">
        <f t="shared" si="596"/>
        <v>September</v>
      </c>
      <c r="AI1752">
        <f t="shared" si="597"/>
        <v>2022</v>
      </c>
      <c r="AJ1752" t="str">
        <f t="shared" ca="1" si="614"/>
        <v>Occupied</v>
      </c>
      <c r="AK1752">
        <f t="shared" ca="1" si="615"/>
        <v>2</v>
      </c>
    </row>
    <row r="1753" spans="1:37" x14ac:dyDescent="0.3">
      <c r="A1753" t="s">
        <v>6135</v>
      </c>
      <c r="B1753">
        <v>85</v>
      </c>
      <c r="C1753" t="s">
        <v>32</v>
      </c>
      <c r="D1753" t="s">
        <v>38</v>
      </c>
      <c r="E1753" t="s">
        <v>25</v>
      </c>
      <c r="F1753" s="1">
        <v>44755</v>
      </c>
      <c r="G1753" t="s">
        <v>3488</v>
      </c>
      <c r="H1753" t="s">
        <v>3489</v>
      </c>
      <c r="I1753" t="s">
        <v>57</v>
      </c>
      <c r="J1753">
        <v>45693</v>
      </c>
      <c r="K1753">
        <v>456</v>
      </c>
      <c r="L1753" t="s">
        <v>21</v>
      </c>
      <c r="M1753" s="1">
        <v>44763</v>
      </c>
      <c r="N1753" t="s">
        <v>22</v>
      </c>
      <c r="O1753" t="s">
        <v>43</v>
      </c>
      <c r="P1753" t="str">
        <f t="shared" si="598"/>
        <v>P1752</v>
      </c>
      <c r="Q1753" t="str">
        <f t="shared" si="594"/>
        <v>Nutrition</v>
      </c>
      <c r="R1753">
        <f t="shared" si="595"/>
        <v>8</v>
      </c>
      <c r="S1753" t="str">
        <f t="shared" ca="1" si="599"/>
        <v>No</v>
      </c>
      <c r="T1753" t="str">
        <f t="shared" ca="1" si="600"/>
        <v>Severe</v>
      </c>
      <c r="U1753" t="str">
        <f t="shared" ca="1" si="601"/>
        <v>Private Ward</v>
      </c>
      <c r="V1753" t="str">
        <f t="shared" si="602"/>
        <v>BED1752</v>
      </c>
      <c r="W1753" t="str">
        <f t="shared" ca="1" si="603"/>
        <v>Private</v>
      </c>
      <c r="X1753" t="str">
        <f t="shared" si="604"/>
        <v>NUR002</v>
      </c>
      <c r="Y1753" t="str">
        <f t="shared" ca="1" si="605"/>
        <v>Night</v>
      </c>
      <c r="Z1753" t="str">
        <f t="shared" ca="1" si="606"/>
        <v>Ultrasound</v>
      </c>
      <c r="AA1753" t="str">
        <f t="shared" ca="1" si="607"/>
        <v>Maintenance</v>
      </c>
      <c r="AB1753" t="str">
        <f t="shared" ca="1" si="608"/>
        <v>Pending</v>
      </c>
      <c r="AC1753" t="str">
        <f t="shared" ca="1" si="609"/>
        <v>Cash</v>
      </c>
      <c r="AD1753" t="str">
        <f t="shared" ca="1" si="610"/>
        <v>No</v>
      </c>
      <c r="AE1753" t="str">
        <f t="shared" ca="1" si="611"/>
        <v>No</v>
      </c>
      <c r="AF1753" t="str">
        <f t="shared" ca="1" si="612"/>
        <v>Recovered</v>
      </c>
      <c r="AG1753" t="str">
        <f t="shared" ca="1" si="613"/>
        <v>Southwest</v>
      </c>
      <c r="AH1753" t="str">
        <f t="shared" si="596"/>
        <v>July</v>
      </c>
      <c r="AI1753">
        <f t="shared" si="597"/>
        <v>2022</v>
      </c>
      <c r="AJ1753" t="str">
        <f t="shared" ca="1" si="614"/>
        <v>Occupied</v>
      </c>
      <c r="AK1753">
        <f t="shared" ca="1" si="615"/>
        <v>4</v>
      </c>
    </row>
    <row r="1754" spans="1:37" x14ac:dyDescent="0.3">
      <c r="A1754" t="s">
        <v>738</v>
      </c>
      <c r="B1754">
        <v>60</v>
      </c>
      <c r="C1754" t="s">
        <v>15</v>
      </c>
      <c r="D1754" t="s">
        <v>38</v>
      </c>
      <c r="E1754" t="s">
        <v>64</v>
      </c>
      <c r="F1754" s="1">
        <v>43993</v>
      </c>
      <c r="G1754" t="s">
        <v>738</v>
      </c>
      <c r="H1754" t="s">
        <v>3490</v>
      </c>
      <c r="I1754" t="s">
        <v>57</v>
      </c>
      <c r="J1754">
        <v>2949</v>
      </c>
      <c r="K1754">
        <v>151</v>
      </c>
      <c r="L1754" t="s">
        <v>29</v>
      </c>
      <c r="M1754" s="1">
        <v>44010</v>
      </c>
      <c r="N1754" t="s">
        <v>22</v>
      </c>
      <c r="O1754" t="s">
        <v>31</v>
      </c>
      <c r="P1754" t="str">
        <f t="shared" si="598"/>
        <v>P1753</v>
      </c>
      <c r="Q1754" t="str">
        <f t="shared" si="594"/>
        <v>Cardiology</v>
      </c>
      <c r="R1754">
        <f t="shared" si="595"/>
        <v>17</v>
      </c>
      <c r="S1754" t="str">
        <f t="shared" ca="1" si="599"/>
        <v>No</v>
      </c>
      <c r="T1754" t="str">
        <f t="shared" ca="1" si="600"/>
        <v>Mild</v>
      </c>
      <c r="U1754" t="str">
        <f t="shared" ca="1" si="601"/>
        <v>Private Ward</v>
      </c>
      <c r="V1754" t="str">
        <f t="shared" si="602"/>
        <v>BED1753</v>
      </c>
      <c r="W1754" t="str">
        <f t="shared" ca="1" si="603"/>
        <v>ICU</v>
      </c>
      <c r="X1754" t="str">
        <f t="shared" si="604"/>
        <v>NUR003</v>
      </c>
      <c r="Y1754" t="str">
        <f t="shared" ca="1" si="605"/>
        <v>Evening</v>
      </c>
      <c r="Z1754" t="str">
        <f t="shared" ca="1" si="606"/>
        <v>Ultrasound</v>
      </c>
      <c r="AA1754" t="str">
        <f t="shared" ca="1" si="607"/>
        <v>Maintenance</v>
      </c>
      <c r="AB1754" t="str">
        <f t="shared" ca="1" si="608"/>
        <v>Partially Paid</v>
      </c>
      <c r="AC1754" t="str">
        <f t="shared" ca="1" si="609"/>
        <v>Credit Card</v>
      </c>
      <c r="AD1754" t="str">
        <f t="shared" ca="1" si="610"/>
        <v>No</v>
      </c>
      <c r="AE1754" t="str">
        <f t="shared" ca="1" si="611"/>
        <v>No</v>
      </c>
      <c r="AF1754" t="str">
        <f t="shared" ca="1" si="612"/>
        <v>Recovered</v>
      </c>
      <c r="AG1754" t="str">
        <f t="shared" ca="1" si="613"/>
        <v>Midwest</v>
      </c>
      <c r="AH1754" t="str">
        <f t="shared" si="596"/>
        <v>June</v>
      </c>
      <c r="AI1754">
        <f t="shared" si="597"/>
        <v>2020</v>
      </c>
      <c r="AJ1754" t="str">
        <f t="shared" ca="1" si="614"/>
        <v>Occupied</v>
      </c>
      <c r="AK1754">
        <f t="shared" ca="1" si="615"/>
        <v>2</v>
      </c>
    </row>
    <row r="1755" spans="1:37" x14ac:dyDescent="0.3">
      <c r="A1755" t="s">
        <v>6136</v>
      </c>
      <c r="B1755">
        <v>53</v>
      </c>
      <c r="C1755" t="s">
        <v>32</v>
      </c>
      <c r="D1755" t="s">
        <v>44</v>
      </c>
      <c r="E1755" t="s">
        <v>64</v>
      </c>
      <c r="F1755" s="1">
        <v>43619</v>
      </c>
      <c r="G1755" t="s">
        <v>3491</v>
      </c>
      <c r="H1755" t="s">
        <v>3492</v>
      </c>
      <c r="I1755" t="s">
        <v>28</v>
      </c>
      <c r="J1755">
        <v>31570</v>
      </c>
      <c r="K1755">
        <v>372</v>
      </c>
      <c r="L1755" t="s">
        <v>42</v>
      </c>
      <c r="M1755" s="1">
        <v>43620</v>
      </c>
      <c r="N1755" t="s">
        <v>67</v>
      </c>
      <c r="O1755" t="s">
        <v>23</v>
      </c>
      <c r="P1755" t="str">
        <f t="shared" si="598"/>
        <v>P1754</v>
      </c>
      <c r="Q1755" t="str">
        <f t="shared" si="594"/>
        <v>Cardiology</v>
      </c>
      <c r="R1755">
        <f t="shared" si="595"/>
        <v>1</v>
      </c>
      <c r="S1755" t="str">
        <f t="shared" ca="1" si="599"/>
        <v>No</v>
      </c>
      <c r="T1755" t="str">
        <f t="shared" ca="1" si="600"/>
        <v>Mild</v>
      </c>
      <c r="U1755" t="str">
        <f t="shared" ca="1" si="601"/>
        <v>General Ward</v>
      </c>
      <c r="V1755" t="str">
        <f t="shared" si="602"/>
        <v>BED1754</v>
      </c>
      <c r="W1755" t="str">
        <f t="shared" ca="1" si="603"/>
        <v>Semi-Private</v>
      </c>
      <c r="X1755" t="str">
        <f t="shared" si="604"/>
        <v>NUR004</v>
      </c>
      <c r="Y1755" t="str">
        <f t="shared" ca="1" si="605"/>
        <v>Evening</v>
      </c>
      <c r="Z1755" t="str">
        <f t="shared" ca="1" si="606"/>
        <v>ECG Machine</v>
      </c>
      <c r="AA1755" t="str">
        <f t="shared" ca="1" si="607"/>
        <v>Available</v>
      </c>
      <c r="AB1755" t="str">
        <f t="shared" ca="1" si="608"/>
        <v>Paid</v>
      </c>
      <c r="AC1755" t="str">
        <f t="shared" ca="1" si="609"/>
        <v>Debit Card</v>
      </c>
      <c r="AD1755" t="str">
        <f t="shared" ca="1" si="610"/>
        <v>No</v>
      </c>
      <c r="AE1755" t="str">
        <f t="shared" ca="1" si="611"/>
        <v>Yes</v>
      </c>
      <c r="AF1755" t="str">
        <f t="shared" ca="1" si="612"/>
        <v>Under Observation</v>
      </c>
      <c r="AG1755" t="str">
        <f t="shared" ca="1" si="613"/>
        <v>West Coast</v>
      </c>
      <c r="AH1755" t="str">
        <f t="shared" si="596"/>
        <v>June</v>
      </c>
      <c r="AI1755">
        <f t="shared" si="597"/>
        <v>2019</v>
      </c>
      <c r="AJ1755" t="str">
        <f t="shared" ca="1" si="614"/>
        <v>Occupied</v>
      </c>
      <c r="AK1755">
        <f t="shared" ca="1" si="615"/>
        <v>4</v>
      </c>
    </row>
    <row r="1756" spans="1:37" x14ac:dyDescent="0.3">
      <c r="A1756" t="s">
        <v>6137</v>
      </c>
      <c r="B1756">
        <v>74</v>
      </c>
      <c r="C1756" t="s">
        <v>15</v>
      </c>
      <c r="D1756" t="s">
        <v>44</v>
      </c>
      <c r="E1756" t="s">
        <v>76</v>
      </c>
      <c r="F1756" s="1">
        <v>43717</v>
      </c>
      <c r="G1756" t="s">
        <v>3493</v>
      </c>
      <c r="H1756" t="s">
        <v>2649</v>
      </c>
      <c r="I1756" t="s">
        <v>20</v>
      </c>
      <c r="J1756">
        <v>33538</v>
      </c>
      <c r="K1756">
        <v>318</v>
      </c>
      <c r="L1756" t="s">
        <v>42</v>
      </c>
      <c r="M1756" s="1">
        <v>43747</v>
      </c>
      <c r="N1756" t="s">
        <v>67</v>
      </c>
      <c r="O1756" t="s">
        <v>31</v>
      </c>
      <c r="P1756" t="str">
        <f t="shared" si="598"/>
        <v>P1755</v>
      </c>
      <c r="Q1756" t="str">
        <f t="shared" si="594"/>
        <v>Orthopedics</v>
      </c>
      <c r="R1756">
        <f t="shared" si="595"/>
        <v>30</v>
      </c>
      <c r="S1756" t="str">
        <f t="shared" ca="1" si="599"/>
        <v>No</v>
      </c>
      <c r="T1756" t="str">
        <f t="shared" ca="1" si="600"/>
        <v>Severe</v>
      </c>
      <c r="U1756" t="str">
        <f t="shared" ca="1" si="601"/>
        <v>General Ward</v>
      </c>
      <c r="V1756" t="str">
        <f t="shared" si="602"/>
        <v>BED1755</v>
      </c>
      <c r="W1756" t="str">
        <f t="shared" ca="1" si="603"/>
        <v>General</v>
      </c>
      <c r="X1756" t="str">
        <f t="shared" si="604"/>
        <v>NUR005</v>
      </c>
      <c r="Y1756" t="str">
        <f t="shared" ca="1" si="605"/>
        <v>Night</v>
      </c>
      <c r="Z1756" t="str">
        <f t="shared" ca="1" si="606"/>
        <v>CT Scanner</v>
      </c>
      <c r="AA1756" t="str">
        <f t="shared" ca="1" si="607"/>
        <v>In Use</v>
      </c>
      <c r="AB1756" t="str">
        <f t="shared" ca="1" si="608"/>
        <v>Pending</v>
      </c>
      <c r="AC1756" t="str">
        <f t="shared" ca="1" si="609"/>
        <v>Credit Card</v>
      </c>
      <c r="AD1756" t="str">
        <f t="shared" ca="1" si="610"/>
        <v>No</v>
      </c>
      <c r="AE1756" t="str">
        <f t="shared" ca="1" si="611"/>
        <v>No</v>
      </c>
      <c r="AF1756" t="str">
        <f t="shared" ca="1" si="612"/>
        <v>Transferred</v>
      </c>
      <c r="AG1756" t="str">
        <f t="shared" ca="1" si="613"/>
        <v>Northeast</v>
      </c>
      <c r="AH1756" t="str">
        <f t="shared" si="596"/>
        <v>September</v>
      </c>
      <c r="AI1756">
        <f t="shared" si="597"/>
        <v>2019</v>
      </c>
      <c r="AJ1756" t="str">
        <f t="shared" ca="1" si="614"/>
        <v>Occupied</v>
      </c>
      <c r="AK1756">
        <f t="shared" ca="1" si="615"/>
        <v>4</v>
      </c>
    </row>
    <row r="1757" spans="1:37" x14ac:dyDescent="0.3">
      <c r="A1757" t="s">
        <v>6138</v>
      </c>
      <c r="B1757">
        <v>35</v>
      </c>
      <c r="C1757" t="s">
        <v>15</v>
      </c>
      <c r="D1757" t="s">
        <v>98</v>
      </c>
      <c r="E1757" t="s">
        <v>64</v>
      </c>
      <c r="F1757" s="1">
        <v>44769</v>
      </c>
      <c r="G1757" t="s">
        <v>3494</v>
      </c>
      <c r="H1757" t="s">
        <v>3495</v>
      </c>
      <c r="I1757" t="s">
        <v>57</v>
      </c>
      <c r="J1757">
        <v>9856</v>
      </c>
      <c r="K1757">
        <v>165</v>
      </c>
      <c r="L1757" t="s">
        <v>21</v>
      </c>
      <c r="M1757" s="1">
        <v>44794</v>
      </c>
      <c r="N1757" t="s">
        <v>47</v>
      </c>
      <c r="O1757" t="s">
        <v>43</v>
      </c>
      <c r="P1757" t="str">
        <f t="shared" si="598"/>
        <v>P1756</v>
      </c>
      <c r="Q1757" t="str">
        <f t="shared" si="594"/>
        <v>Cardiology</v>
      </c>
      <c r="R1757">
        <f t="shared" si="595"/>
        <v>25</v>
      </c>
      <c r="S1757" t="str">
        <f t="shared" ca="1" si="599"/>
        <v>No</v>
      </c>
      <c r="T1757" t="str">
        <f t="shared" ca="1" si="600"/>
        <v>Critical</v>
      </c>
      <c r="U1757" t="str">
        <f t="shared" ca="1" si="601"/>
        <v>Emergency</v>
      </c>
      <c r="V1757" t="str">
        <f t="shared" si="602"/>
        <v>BED1756</v>
      </c>
      <c r="W1757" t="str">
        <f t="shared" ca="1" si="603"/>
        <v>ICU</v>
      </c>
      <c r="X1757" t="str">
        <f t="shared" si="604"/>
        <v>NUR006</v>
      </c>
      <c r="Y1757" t="str">
        <f t="shared" ca="1" si="605"/>
        <v>Night</v>
      </c>
      <c r="Z1757" t="str">
        <f t="shared" ca="1" si="606"/>
        <v>CT Scanner</v>
      </c>
      <c r="AA1757" t="str">
        <f t="shared" ca="1" si="607"/>
        <v>Maintenance</v>
      </c>
      <c r="AB1757" t="str">
        <f t="shared" ca="1" si="608"/>
        <v>Paid</v>
      </c>
      <c r="AC1757" t="str">
        <f t="shared" ca="1" si="609"/>
        <v>Bank Transfer</v>
      </c>
      <c r="AD1757" t="str">
        <f t="shared" ca="1" si="610"/>
        <v>No</v>
      </c>
      <c r="AE1757" t="str">
        <f t="shared" ca="1" si="611"/>
        <v>No</v>
      </c>
      <c r="AF1757" t="str">
        <f t="shared" ca="1" si="612"/>
        <v>Recovered</v>
      </c>
      <c r="AG1757" t="str">
        <f t="shared" ca="1" si="613"/>
        <v>Southeast</v>
      </c>
      <c r="AH1757" t="str">
        <f t="shared" si="596"/>
        <v>July</v>
      </c>
      <c r="AI1757">
        <f t="shared" si="597"/>
        <v>2022</v>
      </c>
      <c r="AJ1757" t="str">
        <f t="shared" ca="1" si="614"/>
        <v>Occupied</v>
      </c>
      <c r="AK1757">
        <f t="shared" ca="1" si="615"/>
        <v>1</v>
      </c>
    </row>
    <row r="1758" spans="1:37" x14ac:dyDescent="0.3">
      <c r="A1758" t="s">
        <v>6139</v>
      </c>
      <c r="B1758">
        <v>76</v>
      </c>
      <c r="C1758" t="s">
        <v>32</v>
      </c>
      <c r="D1758" t="s">
        <v>38</v>
      </c>
      <c r="E1758" t="s">
        <v>25</v>
      </c>
      <c r="F1758" s="1">
        <v>44330</v>
      </c>
      <c r="G1758" t="s">
        <v>3496</v>
      </c>
      <c r="H1758" t="s">
        <v>3497</v>
      </c>
      <c r="I1758" t="s">
        <v>20</v>
      </c>
      <c r="J1758">
        <v>45421</v>
      </c>
      <c r="K1758">
        <v>308</v>
      </c>
      <c r="L1758" t="s">
        <v>29</v>
      </c>
      <c r="M1758" s="1">
        <v>44349</v>
      </c>
      <c r="N1758" t="s">
        <v>67</v>
      </c>
      <c r="O1758" t="s">
        <v>43</v>
      </c>
      <c r="P1758" t="str">
        <f t="shared" si="598"/>
        <v>P1757</v>
      </c>
      <c r="Q1758" t="str">
        <f t="shared" si="594"/>
        <v>Nutrition</v>
      </c>
      <c r="R1758">
        <f t="shared" si="595"/>
        <v>19</v>
      </c>
      <c r="S1758" t="str">
        <f t="shared" ca="1" si="599"/>
        <v>No</v>
      </c>
      <c r="T1758" t="str">
        <f t="shared" ca="1" si="600"/>
        <v>Severe</v>
      </c>
      <c r="U1758" t="str">
        <f t="shared" ca="1" si="601"/>
        <v>Emergency</v>
      </c>
      <c r="V1758" t="str">
        <f t="shared" si="602"/>
        <v>BED1757</v>
      </c>
      <c r="W1758" t="str">
        <f t="shared" ca="1" si="603"/>
        <v>General</v>
      </c>
      <c r="X1758" t="str">
        <f t="shared" si="604"/>
        <v>NUR007</v>
      </c>
      <c r="Y1758" t="str">
        <f t="shared" ca="1" si="605"/>
        <v>Evening</v>
      </c>
      <c r="Z1758" t="str">
        <f t="shared" ca="1" si="606"/>
        <v>MRI Scanner</v>
      </c>
      <c r="AA1758" t="str">
        <f t="shared" ca="1" si="607"/>
        <v>In Use</v>
      </c>
      <c r="AB1758" t="str">
        <f t="shared" ca="1" si="608"/>
        <v>Partially Paid</v>
      </c>
      <c r="AC1758" t="str">
        <f t="shared" ca="1" si="609"/>
        <v>Cash</v>
      </c>
      <c r="AD1758" t="str">
        <f t="shared" ca="1" si="610"/>
        <v>Yes</v>
      </c>
      <c r="AE1758" t="str">
        <f t="shared" ca="1" si="611"/>
        <v>No</v>
      </c>
      <c r="AF1758" t="str">
        <f t="shared" ca="1" si="612"/>
        <v>Under Observation</v>
      </c>
      <c r="AG1758" t="str">
        <f t="shared" ca="1" si="613"/>
        <v>Northeast</v>
      </c>
      <c r="AH1758" t="str">
        <f t="shared" si="596"/>
        <v>May</v>
      </c>
      <c r="AI1758">
        <f t="shared" si="597"/>
        <v>2021</v>
      </c>
      <c r="AJ1758" t="str">
        <f t="shared" ca="1" si="614"/>
        <v>Vacant</v>
      </c>
      <c r="AK1758">
        <f t="shared" ca="1" si="615"/>
        <v>4</v>
      </c>
    </row>
    <row r="1759" spans="1:37" x14ac:dyDescent="0.3">
      <c r="A1759" t="s">
        <v>6140</v>
      </c>
      <c r="B1759">
        <v>20</v>
      </c>
      <c r="C1759" t="s">
        <v>32</v>
      </c>
      <c r="D1759" t="s">
        <v>44</v>
      </c>
      <c r="E1759" t="s">
        <v>25</v>
      </c>
      <c r="F1759" s="1">
        <v>44880</v>
      </c>
      <c r="G1759" t="s">
        <v>3498</v>
      </c>
      <c r="H1759" t="s">
        <v>3499</v>
      </c>
      <c r="I1759" t="s">
        <v>36</v>
      </c>
      <c r="J1759">
        <v>24642</v>
      </c>
      <c r="K1759">
        <v>499</v>
      </c>
      <c r="L1759" t="s">
        <v>29</v>
      </c>
      <c r="M1759" s="1">
        <v>44882</v>
      </c>
      <c r="N1759" t="s">
        <v>67</v>
      </c>
      <c r="O1759" t="s">
        <v>31</v>
      </c>
      <c r="P1759" t="str">
        <f t="shared" si="598"/>
        <v>P1758</v>
      </c>
      <c r="Q1759" t="str">
        <f t="shared" si="594"/>
        <v>Nutrition</v>
      </c>
      <c r="R1759">
        <f t="shared" si="595"/>
        <v>2</v>
      </c>
      <c r="S1759" t="str">
        <f t="shared" ca="1" si="599"/>
        <v>No</v>
      </c>
      <c r="T1759" t="str">
        <f t="shared" ca="1" si="600"/>
        <v>Severe</v>
      </c>
      <c r="U1759" t="str">
        <f t="shared" ca="1" si="601"/>
        <v>ICU</v>
      </c>
      <c r="V1759" t="str">
        <f t="shared" si="602"/>
        <v>BED1758</v>
      </c>
      <c r="W1759" t="str">
        <f t="shared" ca="1" si="603"/>
        <v>Private</v>
      </c>
      <c r="X1759" t="str">
        <f t="shared" si="604"/>
        <v>NUR008</v>
      </c>
      <c r="Y1759" t="str">
        <f t="shared" ca="1" si="605"/>
        <v>Night</v>
      </c>
      <c r="Z1759" t="str">
        <f t="shared" ca="1" si="606"/>
        <v>Ultrasound</v>
      </c>
      <c r="AA1759" t="str">
        <f t="shared" ca="1" si="607"/>
        <v>Available</v>
      </c>
      <c r="AB1759" t="str">
        <f t="shared" ca="1" si="608"/>
        <v>Pending</v>
      </c>
      <c r="AC1759" t="str">
        <f t="shared" ca="1" si="609"/>
        <v>Debit Card</v>
      </c>
      <c r="AD1759" t="str">
        <f t="shared" ca="1" si="610"/>
        <v>No</v>
      </c>
      <c r="AE1759" t="str">
        <f t="shared" ca="1" si="611"/>
        <v>Yes</v>
      </c>
      <c r="AF1759" t="str">
        <f t="shared" ca="1" si="612"/>
        <v>Transferred</v>
      </c>
      <c r="AG1759" t="str">
        <f t="shared" ca="1" si="613"/>
        <v>West Coast</v>
      </c>
      <c r="AH1759" t="str">
        <f t="shared" si="596"/>
        <v>November</v>
      </c>
      <c r="AI1759">
        <f t="shared" si="597"/>
        <v>2022</v>
      </c>
      <c r="AJ1759" t="str">
        <f t="shared" ca="1" si="614"/>
        <v>Vacant</v>
      </c>
      <c r="AK1759">
        <f t="shared" ca="1" si="615"/>
        <v>1</v>
      </c>
    </row>
    <row r="1760" spans="1:37" x14ac:dyDescent="0.3">
      <c r="A1760" t="s">
        <v>6141</v>
      </c>
      <c r="B1760">
        <v>83</v>
      </c>
      <c r="C1760" t="s">
        <v>15</v>
      </c>
      <c r="D1760" t="s">
        <v>38</v>
      </c>
      <c r="E1760" t="s">
        <v>17</v>
      </c>
      <c r="F1760" s="1">
        <v>43888</v>
      </c>
      <c r="G1760" t="s">
        <v>3500</v>
      </c>
      <c r="H1760" t="s">
        <v>3501</v>
      </c>
      <c r="I1760" t="s">
        <v>36</v>
      </c>
      <c r="J1760">
        <v>18802</v>
      </c>
      <c r="K1760">
        <v>307</v>
      </c>
      <c r="L1760" t="s">
        <v>42</v>
      </c>
      <c r="M1760" s="1">
        <v>43918</v>
      </c>
      <c r="N1760" t="s">
        <v>47</v>
      </c>
      <c r="O1760" t="s">
        <v>43</v>
      </c>
      <c r="P1760" t="str">
        <f t="shared" si="598"/>
        <v>P1759</v>
      </c>
      <c r="Q1760" t="str">
        <f t="shared" si="594"/>
        <v>Oncology</v>
      </c>
      <c r="R1760">
        <f t="shared" si="595"/>
        <v>30</v>
      </c>
      <c r="S1760" t="str">
        <f t="shared" ca="1" si="599"/>
        <v>No</v>
      </c>
      <c r="T1760" t="str">
        <f t="shared" ca="1" si="600"/>
        <v>Mild</v>
      </c>
      <c r="U1760" t="str">
        <f t="shared" ca="1" si="601"/>
        <v>Emergency</v>
      </c>
      <c r="V1760" t="str">
        <f t="shared" si="602"/>
        <v>BED1759</v>
      </c>
      <c r="W1760" t="str">
        <f t="shared" ca="1" si="603"/>
        <v>ICU</v>
      </c>
      <c r="X1760" t="str">
        <f t="shared" si="604"/>
        <v>NUR009</v>
      </c>
      <c r="Y1760" t="str">
        <f t="shared" ca="1" si="605"/>
        <v>Evening</v>
      </c>
      <c r="Z1760" t="str">
        <f t="shared" ca="1" si="606"/>
        <v>ECG Machine</v>
      </c>
      <c r="AA1760" t="str">
        <f t="shared" ca="1" si="607"/>
        <v>Maintenance</v>
      </c>
      <c r="AB1760" t="str">
        <f t="shared" ca="1" si="608"/>
        <v>Partially Paid</v>
      </c>
      <c r="AC1760" t="str">
        <f t="shared" ca="1" si="609"/>
        <v>Bank Transfer</v>
      </c>
      <c r="AD1760" t="str">
        <f t="shared" ca="1" si="610"/>
        <v>Yes</v>
      </c>
      <c r="AE1760" t="str">
        <f t="shared" ca="1" si="611"/>
        <v>No</v>
      </c>
      <c r="AF1760" t="str">
        <f t="shared" ca="1" si="612"/>
        <v>Recovered</v>
      </c>
      <c r="AG1760" t="str">
        <f t="shared" ca="1" si="613"/>
        <v>Southwest</v>
      </c>
      <c r="AH1760" t="str">
        <f t="shared" si="596"/>
        <v>February</v>
      </c>
      <c r="AI1760">
        <f t="shared" si="597"/>
        <v>2020</v>
      </c>
      <c r="AJ1760" t="str">
        <f t="shared" ca="1" si="614"/>
        <v>Occupied</v>
      </c>
      <c r="AK1760">
        <f t="shared" ca="1" si="615"/>
        <v>4</v>
      </c>
    </row>
    <row r="1761" spans="1:37" x14ac:dyDescent="0.3">
      <c r="A1761" t="s">
        <v>6142</v>
      </c>
      <c r="B1761">
        <v>37</v>
      </c>
      <c r="C1761" t="s">
        <v>15</v>
      </c>
      <c r="D1761" t="s">
        <v>98</v>
      </c>
      <c r="E1761" t="s">
        <v>25</v>
      </c>
      <c r="F1761" s="1">
        <v>44630</v>
      </c>
      <c r="G1761" t="s">
        <v>3502</v>
      </c>
      <c r="H1761" t="s">
        <v>3503</v>
      </c>
      <c r="I1761" t="s">
        <v>36</v>
      </c>
      <c r="J1761">
        <v>24500</v>
      </c>
      <c r="K1761">
        <v>410</v>
      </c>
      <c r="L1761" t="s">
        <v>42</v>
      </c>
      <c r="M1761" s="1">
        <v>44655</v>
      </c>
      <c r="N1761" t="s">
        <v>47</v>
      </c>
      <c r="O1761" t="s">
        <v>31</v>
      </c>
      <c r="P1761" t="str">
        <f t="shared" si="598"/>
        <v>P1760</v>
      </c>
      <c r="Q1761" t="str">
        <f t="shared" si="594"/>
        <v>Nutrition</v>
      </c>
      <c r="R1761">
        <f t="shared" si="595"/>
        <v>25</v>
      </c>
      <c r="S1761" t="str">
        <f t="shared" ca="1" si="599"/>
        <v>No</v>
      </c>
      <c r="T1761" t="str">
        <f t="shared" ca="1" si="600"/>
        <v>Severe</v>
      </c>
      <c r="U1761" t="str">
        <f t="shared" ca="1" si="601"/>
        <v>Emergency</v>
      </c>
      <c r="V1761" t="str">
        <f t="shared" si="602"/>
        <v>BED1760</v>
      </c>
      <c r="W1761" t="str">
        <f t="shared" ca="1" si="603"/>
        <v>ICU</v>
      </c>
      <c r="X1761" t="str">
        <f t="shared" si="604"/>
        <v>NUR010</v>
      </c>
      <c r="Y1761" t="str">
        <f t="shared" ca="1" si="605"/>
        <v>Morning</v>
      </c>
      <c r="Z1761" t="str">
        <f t="shared" ca="1" si="606"/>
        <v>ECG Machine</v>
      </c>
      <c r="AA1761" t="str">
        <f t="shared" ca="1" si="607"/>
        <v>Available</v>
      </c>
      <c r="AB1761" t="str">
        <f t="shared" ca="1" si="608"/>
        <v>Pending</v>
      </c>
      <c r="AC1761" t="str">
        <f t="shared" ca="1" si="609"/>
        <v>Debit Card</v>
      </c>
      <c r="AD1761" t="str">
        <f t="shared" ca="1" si="610"/>
        <v>No</v>
      </c>
      <c r="AE1761" t="str">
        <f t="shared" ca="1" si="611"/>
        <v>Yes</v>
      </c>
      <c r="AF1761" t="str">
        <f t="shared" ca="1" si="612"/>
        <v>Transferred</v>
      </c>
      <c r="AG1761" t="str">
        <f t="shared" ca="1" si="613"/>
        <v>Southeast</v>
      </c>
      <c r="AH1761" t="str">
        <f t="shared" si="596"/>
        <v>March</v>
      </c>
      <c r="AI1761">
        <f t="shared" si="597"/>
        <v>2022</v>
      </c>
      <c r="AJ1761" t="str">
        <f t="shared" ca="1" si="614"/>
        <v>Vacant</v>
      </c>
      <c r="AK1761">
        <f t="shared" ca="1" si="615"/>
        <v>4</v>
      </c>
    </row>
    <row r="1762" spans="1:37" x14ac:dyDescent="0.3">
      <c r="A1762" t="s">
        <v>6143</v>
      </c>
      <c r="B1762">
        <v>37</v>
      </c>
      <c r="C1762" t="s">
        <v>32</v>
      </c>
      <c r="D1762" t="s">
        <v>16</v>
      </c>
      <c r="E1762" t="s">
        <v>17</v>
      </c>
      <c r="F1762" s="1">
        <v>43935</v>
      </c>
      <c r="G1762" t="s">
        <v>3504</v>
      </c>
      <c r="H1762" t="s">
        <v>3505</v>
      </c>
      <c r="I1762" t="s">
        <v>36</v>
      </c>
      <c r="J1762">
        <v>16473</v>
      </c>
      <c r="K1762">
        <v>320</v>
      </c>
      <c r="L1762" t="s">
        <v>21</v>
      </c>
      <c r="M1762" s="1">
        <v>43964</v>
      </c>
      <c r="N1762" t="s">
        <v>22</v>
      </c>
      <c r="O1762" t="s">
        <v>31</v>
      </c>
      <c r="P1762" t="str">
        <f t="shared" si="598"/>
        <v>P1761</v>
      </c>
      <c r="Q1762" t="str">
        <f t="shared" si="594"/>
        <v>Oncology</v>
      </c>
      <c r="R1762">
        <f t="shared" si="595"/>
        <v>29</v>
      </c>
      <c r="S1762" t="str">
        <f t="shared" ca="1" si="599"/>
        <v>Yes</v>
      </c>
      <c r="T1762" t="str">
        <f t="shared" ca="1" si="600"/>
        <v>Mild</v>
      </c>
      <c r="U1762" t="str">
        <f t="shared" ca="1" si="601"/>
        <v>Emergency</v>
      </c>
      <c r="V1762" t="str">
        <f t="shared" si="602"/>
        <v>BED1761</v>
      </c>
      <c r="W1762" t="str">
        <f t="shared" ca="1" si="603"/>
        <v>General</v>
      </c>
      <c r="X1762" t="str">
        <f t="shared" si="604"/>
        <v>NUR011</v>
      </c>
      <c r="Y1762" t="str">
        <f t="shared" ca="1" si="605"/>
        <v>Night</v>
      </c>
      <c r="Z1762" t="str">
        <f t="shared" ca="1" si="606"/>
        <v>Ultrasound</v>
      </c>
      <c r="AA1762" t="str">
        <f t="shared" ca="1" si="607"/>
        <v>Available</v>
      </c>
      <c r="AB1762" t="str">
        <f t="shared" ca="1" si="608"/>
        <v>Paid</v>
      </c>
      <c r="AC1762" t="str">
        <f t="shared" ca="1" si="609"/>
        <v>Insurance</v>
      </c>
      <c r="AD1762" t="str">
        <f t="shared" ca="1" si="610"/>
        <v>Yes</v>
      </c>
      <c r="AE1762" t="str">
        <f t="shared" ca="1" si="611"/>
        <v>No</v>
      </c>
      <c r="AF1762" t="str">
        <f t="shared" ca="1" si="612"/>
        <v>Recovered</v>
      </c>
      <c r="AG1762" t="str">
        <f t="shared" ca="1" si="613"/>
        <v>Southeast</v>
      </c>
      <c r="AH1762" t="str">
        <f t="shared" si="596"/>
        <v>April</v>
      </c>
      <c r="AI1762">
        <f t="shared" si="597"/>
        <v>2020</v>
      </c>
      <c r="AJ1762" t="str">
        <f t="shared" ca="1" si="614"/>
        <v>Occupied</v>
      </c>
      <c r="AK1762">
        <f t="shared" ca="1" si="615"/>
        <v>4</v>
      </c>
    </row>
    <row r="1763" spans="1:37" x14ac:dyDescent="0.3">
      <c r="A1763" t="s">
        <v>6144</v>
      </c>
      <c r="B1763">
        <v>82</v>
      </c>
      <c r="C1763" t="s">
        <v>15</v>
      </c>
      <c r="D1763" t="s">
        <v>98</v>
      </c>
      <c r="E1763" t="s">
        <v>25</v>
      </c>
      <c r="F1763" s="1">
        <v>43627</v>
      </c>
      <c r="G1763" t="s">
        <v>3506</v>
      </c>
      <c r="H1763" t="s">
        <v>3507</v>
      </c>
      <c r="I1763" t="s">
        <v>28</v>
      </c>
      <c r="J1763">
        <v>24175</v>
      </c>
      <c r="K1763">
        <v>155</v>
      </c>
      <c r="L1763" t="s">
        <v>21</v>
      </c>
      <c r="M1763" s="1">
        <v>43647</v>
      </c>
      <c r="N1763" t="s">
        <v>30</v>
      </c>
      <c r="O1763" t="s">
        <v>31</v>
      </c>
      <c r="P1763" t="str">
        <f t="shared" si="598"/>
        <v>P1762</v>
      </c>
      <c r="Q1763" t="str">
        <f t="shared" si="594"/>
        <v>Nutrition</v>
      </c>
      <c r="R1763">
        <f t="shared" si="595"/>
        <v>20</v>
      </c>
      <c r="S1763" t="str">
        <f t="shared" ca="1" si="599"/>
        <v>No</v>
      </c>
      <c r="T1763" t="str">
        <f t="shared" ca="1" si="600"/>
        <v>Severe</v>
      </c>
      <c r="U1763" t="str">
        <f t="shared" ca="1" si="601"/>
        <v>ICU</v>
      </c>
      <c r="V1763" t="str">
        <f t="shared" si="602"/>
        <v>BED1762</v>
      </c>
      <c r="W1763" t="str">
        <f t="shared" ca="1" si="603"/>
        <v>Private</v>
      </c>
      <c r="X1763" t="str">
        <f t="shared" si="604"/>
        <v>NUR012</v>
      </c>
      <c r="Y1763" t="str">
        <f t="shared" ca="1" si="605"/>
        <v>Night</v>
      </c>
      <c r="Z1763" t="str">
        <f t="shared" ca="1" si="606"/>
        <v>ECG Machine</v>
      </c>
      <c r="AA1763" t="str">
        <f t="shared" ca="1" si="607"/>
        <v>Available</v>
      </c>
      <c r="AB1763" t="str">
        <f t="shared" ca="1" si="608"/>
        <v>Pending</v>
      </c>
      <c r="AC1763" t="str">
        <f t="shared" ca="1" si="609"/>
        <v>Insurance</v>
      </c>
      <c r="AD1763" t="str">
        <f t="shared" ca="1" si="610"/>
        <v>No</v>
      </c>
      <c r="AE1763" t="str">
        <f t="shared" ca="1" si="611"/>
        <v>Yes</v>
      </c>
      <c r="AF1763" t="str">
        <f t="shared" ca="1" si="612"/>
        <v>Transferred</v>
      </c>
      <c r="AG1763" t="str">
        <f t="shared" ca="1" si="613"/>
        <v>Midwest</v>
      </c>
      <c r="AH1763" t="str">
        <f t="shared" si="596"/>
        <v>June</v>
      </c>
      <c r="AI1763">
        <f t="shared" si="597"/>
        <v>2019</v>
      </c>
      <c r="AJ1763" t="str">
        <f t="shared" ca="1" si="614"/>
        <v>Occupied</v>
      </c>
      <c r="AK1763">
        <f t="shared" ca="1" si="615"/>
        <v>4</v>
      </c>
    </row>
    <row r="1764" spans="1:37" x14ac:dyDescent="0.3">
      <c r="A1764" t="s">
        <v>6145</v>
      </c>
      <c r="B1764">
        <v>72</v>
      </c>
      <c r="C1764" t="s">
        <v>32</v>
      </c>
      <c r="D1764" t="s">
        <v>52</v>
      </c>
      <c r="E1764" t="s">
        <v>17</v>
      </c>
      <c r="F1764" s="1">
        <v>45305</v>
      </c>
      <c r="G1764" t="s">
        <v>3508</v>
      </c>
      <c r="H1764" t="s">
        <v>3509</v>
      </c>
      <c r="I1764" t="s">
        <v>36</v>
      </c>
      <c r="J1764">
        <v>11064</v>
      </c>
      <c r="K1764">
        <v>212</v>
      </c>
      <c r="L1764" t="s">
        <v>21</v>
      </c>
      <c r="M1764" s="1">
        <v>45330</v>
      </c>
      <c r="N1764" t="s">
        <v>30</v>
      </c>
      <c r="O1764" t="s">
        <v>43</v>
      </c>
      <c r="P1764" t="str">
        <f t="shared" si="598"/>
        <v>P1763</v>
      </c>
      <c r="Q1764" t="str">
        <f t="shared" si="594"/>
        <v>Oncology</v>
      </c>
      <c r="R1764">
        <f t="shared" si="595"/>
        <v>25</v>
      </c>
      <c r="S1764" t="str">
        <f t="shared" ca="1" si="599"/>
        <v>No</v>
      </c>
      <c r="T1764" t="str">
        <f t="shared" ca="1" si="600"/>
        <v>Mild</v>
      </c>
      <c r="U1764" t="str">
        <f t="shared" ca="1" si="601"/>
        <v>Semi-Private</v>
      </c>
      <c r="V1764" t="str">
        <f t="shared" si="602"/>
        <v>BED1763</v>
      </c>
      <c r="W1764" t="str">
        <f t="shared" ca="1" si="603"/>
        <v>ICU</v>
      </c>
      <c r="X1764" t="str">
        <f t="shared" si="604"/>
        <v>NUR013</v>
      </c>
      <c r="Y1764" t="str">
        <f t="shared" ca="1" si="605"/>
        <v>Evening</v>
      </c>
      <c r="Z1764" t="str">
        <f t="shared" ca="1" si="606"/>
        <v>X-Ray</v>
      </c>
      <c r="AA1764" t="str">
        <f t="shared" ca="1" si="607"/>
        <v>Maintenance</v>
      </c>
      <c r="AB1764" t="str">
        <f t="shared" ca="1" si="608"/>
        <v>Pending</v>
      </c>
      <c r="AC1764" t="str">
        <f t="shared" ca="1" si="609"/>
        <v>Debit Card</v>
      </c>
      <c r="AD1764" t="str">
        <f t="shared" ca="1" si="610"/>
        <v>No</v>
      </c>
      <c r="AE1764" t="str">
        <f t="shared" ca="1" si="611"/>
        <v>No</v>
      </c>
      <c r="AF1764" t="str">
        <f t="shared" ca="1" si="612"/>
        <v>Under Observation</v>
      </c>
      <c r="AG1764" t="str">
        <f t="shared" ca="1" si="613"/>
        <v>Southwest</v>
      </c>
      <c r="AH1764" t="str">
        <f t="shared" si="596"/>
        <v>January</v>
      </c>
      <c r="AI1764">
        <f t="shared" si="597"/>
        <v>2024</v>
      </c>
      <c r="AJ1764" t="str">
        <f t="shared" ca="1" si="614"/>
        <v>Occupied</v>
      </c>
      <c r="AK1764">
        <f t="shared" ca="1" si="615"/>
        <v>2</v>
      </c>
    </row>
    <row r="1765" spans="1:37" x14ac:dyDescent="0.3">
      <c r="A1765" t="s">
        <v>6146</v>
      </c>
      <c r="B1765">
        <v>83</v>
      </c>
      <c r="C1765" t="s">
        <v>15</v>
      </c>
      <c r="D1765" t="s">
        <v>24</v>
      </c>
      <c r="E1765" t="s">
        <v>48</v>
      </c>
      <c r="F1765" s="1">
        <v>44782</v>
      </c>
      <c r="G1765" t="s">
        <v>3510</v>
      </c>
      <c r="H1765" t="s">
        <v>3511</v>
      </c>
      <c r="I1765" t="s">
        <v>36</v>
      </c>
      <c r="J1765">
        <v>50714</v>
      </c>
      <c r="K1765">
        <v>244</v>
      </c>
      <c r="L1765" t="s">
        <v>29</v>
      </c>
      <c r="M1765" s="1">
        <v>44800</v>
      </c>
      <c r="N1765" t="s">
        <v>30</v>
      </c>
      <c r="O1765" t="s">
        <v>31</v>
      </c>
      <c r="P1765" t="str">
        <f t="shared" si="598"/>
        <v>P1764</v>
      </c>
      <c r="Q1765" t="str">
        <f t="shared" si="594"/>
        <v>Pulmonology</v>
      </c>
      <c r="R1765">
        <f t="shared" si="595"/>
        <v>18</v>
      </c>
      <c r="S1765" t="str">
        <f t="shared" ca="1" si="599"/>
        <v>No</v>
      </c>
      <c r="T1765" t="str">
        <f t="shared" ca="1" si="600"/>
        <v>Critical</v>
      </c>
      <c r="U1765" t="str">
        <f t="shared" ca="1" si="601"/>
        <v>Semi-Private</v>
      </c>
      <c r="V1765" t="str">
        <f t="shared" si="602"/>
        <v>BED1764</v>
      </c>
      <c r="W1765" t="str">
        <f t="shared" ca="1" si="603"/>
        <v>ICU</v>
      </c>
      <c r="X1765" t="str">
        <f t="shared" si="604"/>
        <v>NUR014</v>
      </c>
      <c r="Y1765" t="str">
        <f t="shared" ca="1" si="605"/>
        <v>Evening</v>
      </c>
      <c r="Z1765" t="str">
        <f t="shared" ca="1" si="606"/>
        <v>Ultrasound</v>
      </c>
      <c r="AA1765" t="str">
        <f t="shared" ca="1" si="607"/>
        <v>Maintenance</v>
      </c>
      <c r="AB1765" t="str">
        <f t="shared" ca="1" si="608"/>
        <v>Partially Paid</v>
      </c>
      <c r="AC1765" t="str">
        <f t="shared" ca="1" si="609"/>
        <v>Bank Transfer</v>
      </c>
      <c r="AD1765" t="str">
        <f t="shared" ca="1" si="610"/>
        <v>No</v>
      </c>
      <c r="AE1765" t="str">
        <f t="shared" ca="1" si="611"/>
        <v>No</v>
      </c>
      <c r="AF1765" t="str">
        <f t="shared" ca="1" si="612"/>
        <v>Transferred</v>
      </c>
      <c r="AG1765" t="str">
        <f t="shared" ca="1" si="613"/>
        <v>Northeast</v>
      </c>
      <c r="AH1765" t="str">
        <f t="shared" si="596"/>
        <v>August</v>
      </c>
      <c r="AI1765">
        <f t="shared" si="597"/>
        <v>2022</v>
      </c>
      <c r="AJ1765" t="str">
        <f t="shared" ca="1" si="614"/>
        <v>Occupied</v>
      </c>
      <c r="AK1765">
        <f t="shared" ca="1" si="615"/>
        <v>2</v>
      </c>
    </row>
    <row r="1766" spans="1:37" x14ac:dyDescent="0.3">
      <c r="A1766" t="s">
        <v>6147</v>
      </c>
      <c r="B1766">
        <v>83</v>
      </c>
      <c r="C1766" t="s">
        <v>32</v>
      </c>
      <c r="D1766" t="s">
        <v>16</v>
      </c>
      <c r="E1766" t="s">
        <v>64</v>
      </c>
      <c r="F1766" s="1">
        <v>44458</v>
      </c>
      <c r="G1766" t="s">
        <v>3512</v>
      </c>
      <c r="H1766" t="s">
        <v>3513</v>
      </c>
      <c r="I1766" t="s">
        <v>20</v>
      </c>
      <c r="J1766">
        <v>40851</v>
      </c>
      <c r="K1766">
        <v>347</v>
      </c>
      <c r="L1766" t="s">
        <v>29</v>
      </c>
      <c r="M1766" s="1">
        <v>44468</v>
      </c>
      <c r="N1766" t="s">
        <v>37</v>
      </c>
      <c r="O1766" t="s">
        <v>43</v>
      </c>
      <c r="P1766" t="str">
        <f t="shared" si="598"/>
        <v>P1765</v>
      </c>
      <c r="Q1766" t="str">
        <f t="shared" si="594"/>
        <v>Cardiology</v>
      </c>
      <c r="R1766">
        <f t="shared" si="595"/>
        <v>10</v>
      </c>
      <c r="S1766" t="str">
        <f t="shared" ca="1" si="599"/>
        <v>No</v>
      </c>
      <c r="T1766" t="str">
        <f t="shared" ca="1" si="600"/>
        <v>Mild</v>
      </c>
      <c r="U1766" t="str">
        <f t="shared" ca="1" si="601"/>
        <v>Emergency</v>
      </c>
      <c r="V1766" t="str">
        <f t="shared" si="602"/>
        <v>BED1765</v>
      </c>
      <c r="W1766" t="str">
        <f t="shared" ca="1" si="603"/>
        <v>ICU</v>
      </c>
      <c r="X1766" t="str">
        <f t="shared" si="604"/>
        <v>NUR015</v>
      </c>
      <c r="Y1766" t="str">
        <f t="shared" ca="1" si="605"/>
        <v>Evening</v>
      </c>
      <c r="Z1766" t="str">
        <f t="shared" ca="1" si="606"/>
        <v>Ventilator</v>
      </c>
      <c r="AA1766" t="str">
        <f t="shared" ca="1" si="607"/>
        <v>In Use</v>
      </c>
      <c r="AB1766" t="str">
        <f t="shared" ca="1" si="608"/>
        <v>Pending</v>
      </c>
      <c r="AC1766" t="str">
        <f t="shared" ca="1" si="609"/>
        <v>Cash</v>
      </c>
      <c r="AD1766" t="str">
        <f t="shared" ca="1" si="610"/>
        <v>No</v>
      </c>
      <c r="AE1766" t="str">
        <f t="shared" ca="1" si="611"/>
        <v>No</v>
      </c>
      <c r="AF1766" t="str">
        <f t="shared" ca="1" si="612"/>
        <v>Recovered</v>
      </c>
      <c r="AG1766" t="str">
        <f t="shared" ca="1" si="613"/>
        <v>Southwest</v>
      </c>
      <c r="AH1766" t="str">
        <f t="shared" si="596"/>
        <v>September</v>
      </c>
      <c r="AI1766">
        <f t="shared" si="597"/>
        <v>2021</v>
      </c>
      <c r="AJ1766" t="str">
        <f t="shared" ca="1" si="614"/>
        <v>Vacant</v>
      </c>
      <c r="AK1766">
        <f t="shared" ca="1" si="615"/>
        <v>4</v>
      </c>
    </row>
    <row r="1767" spans="1:37" x14ac:dyDescent="0.3">
      <c r="A1767" t="s">
        <v>6148</v>
      </c>
      <c r="B1767">
        <v>49</v>
      </c>
      <c r="C1767" t="s">
        <v>15</v>
      </c>
      <c r="D1767" t="s">
        <v>24</v>
      </c>
      <c r="E1767" t="s">
        <v>76</v>
      </c>
      <c r="F1767" s="1">
        <v>45073</v>
      </c>
      <c r="G1767" t="s">
        <v>3514</v>
      </c>
      <c r="H1767" t="s">
        <v>3515</v>
      </c>
      <c r="I1767" t="s">
        <v>57</v>
      </c>
      <c r="J1767">
        <v>6408</v>
      </c>
      <c r="K1767">
        <v>491</v>
      </c>
      <c r="L1767" t="s">
        <v>42</v>
      </c>
      <c r="M1767" s="1">
        <v>45098</v>
      </c>
      <c r="N1767" t="s">
        <v>30</v>
      </c>
      <c r="O1767" t="s">
        <v>31</v>
      </c>
      <c r="P1767" t="str">
        <f t="shared" si="598"/>
        <v>P1766</v>
      </c>
      <c r="Q1767" t="str">
        <f t="shared" si="594"/>
        <v>Orthopedics</v>
      </c>
      <c r="R1767">
        <f t="shared" si="595"/>
        <v>25</v>
      </c>
      <c r="S1767" t="str">
        <f t="shared" ca="1" si="599"/>
        <v>No</v>
      </c>
      <c r="T1767" t="str">
        <f t="shared" ca="1" si="600"/>
        <v>Critical</v>
      </c>
      <c r="U1767" t="str">
        <f t="shared" ca="1" si="601"/>
        <v>Private Ward</v>
      </c>
      <c r="V1767" t="str">
        <f t="shared" si="602"/>
        <v>BED1766</v>
      </c>
      <c r="W1767" t="str">
        <f t="shared" ca="1" si="603"/>
        <v>ICU</v>
      </c>
      <c r="X1767" t="str">
        <f t="shared" si="604"/>
        <v>NUR016</v>
      </c>
      <c r="Y1767" t="str">
        <f t="shared" ca="1" si="605"/>
        <v>Evening</v>
      </c>
      <c r="Z1767" t="str">
        <f t="shared" ca="1" si="606"/>
        <v>Ultrasound</v>
      </c>
      <c r="AA1767" t="str">
        <f t="shared" ca="1" si="607"/>
        <v>Available</v>
      </c>
      <c r="AB1767" t="str">
        <f t="shared" ca="1" si="608"/>
        <v>Paid</v>
      </c>
      <c r="AC1767" t="str">
        <f t="shared" ca="1" si="609"/>
        <v>Bank Transfer</v>
      </c>
      <c r="AD1767" t="str">
        <f t="shared" ca="1" si="610"/>
        <v>Yes</v>
      </c>
      <c r="AE1767" t="str">
        <f t="shared" ca="1" si="611"/>
        <v>No</v>
      </c>
      <c r="AF1767" t="str">
        <f t="shared" ca="1" si="612"/>
        <v>Under Observation</v>
      </c>
      <c r="AG1767" t="str">
        <f t="shared" ca="1" si="613"/>
        <v>Northeast</v>
      </c>
      <c r="AH1767" t="str">
        <f t="shared" si="596"/>
        <v>May</v>
      </c>
      <c r="AI1767">
        <f t="shared" si="597"/>
        <v>2023</v>
      </c>
      <c r="AJ1767" t="str">
        <f t="shared" ca="1" si="614"/>
        <v>Occupied</v>
      </c>
      <c r="AK1767">
        <f t="shared" ca="1" si="615"/>
        <v>4</v>
      </c>
    </row>
    <row r="1768" spans="1:37" x14ac:dyDescent="0.3">
      <c r="A1768" t="s">
        <v>6149</v>
      </c>
      <c r="B1768">
        <v>27</v>
      </c>
      <c r="C1768" t="s">
        <v>32</v>
      </c>
      <c r="D1768" t="s">
        <v>16</v>
      </c>
      <c r="E1768" t="s">
        <v>17</v>
      </c>
      <c r="F1768" s="1">
        <v>44051</v>
      </c>
      <c r="G1768" t="s">
        <v>3516</v>
      </c>
      <c r="H1768" t="s">
        <v>3517</v>
      </c>
      <c r="I1768" t="s">
        <v>36</v>
      </c>
      <c r="J1768">
        <v>25595</v>
      </c>
      <c r="K1768">
        <v>466</v>
      </c>
      <c r="L1768" t="s">
        <v>29</v>
      </c>
      <c r="M1768" s="1">
        <v>44078</v>
      </c>
      <c r="N1768" t="s">
        <v>30</v>
      </c>
      <c r="O1768" t="s">
        <v>43</v>
      </c>
      <c r="P1768" t="str">
        <f t="shared" si="598"/>
        <v>P1767</v>
      </c>
      <c r="Q1768" t="str">
        <f t="shared" si="594"/>
        <v>Oncology</v>
      </c>
      <c r="R1768">
        <f t="shared" si="595"/>
        <v>27</v>
      </c>
      <c r="S1768" t="str">
        <f t="shared" ca="1" si="599"/>
        <v>Yes</v>
      </c>
      <c r="T1768" t="str">
        <f t="shared" ca="1" si="600"/>
        <v>Mild</v>
      </c>
      <c r="U1768" t="str">
        <f t="shared" ca="1" si="601"/>
        <v>Emergency</v>
      </c>
      <c r="V1768" t="str">
        <f t="shared" si="602"/>
        <v>BED1767</v>
      </c>
      <c r="W1768" t="str">
        <f t="shared" ca="1" si="603"/>
        <v>ICU</v>
      </c>
      <c r="X1768" t="str">
        <f t="shared" si="604"/>
        <v>NUR017</v>
      </c>
      <c r="Y1768" t="str">
        <f t="shared" ca="1" si="605"/>
        <v>Night</v>
      </c>
      <c r="Z1768" t="str">
        <f t="shared" ca="1" si="606"/>
        <v>Ventilator</v>
      </c>
      <c r="AA1768" t="str">
        <f t="shared" ca="1" si="607"/>
        <v>Maintenance</v>
      </c>
      <c r="AB1768" t="str">
        <f t="shared" ca="1" si="608"/>
        <v>Partially Paid</v>
      </c>
      <c r="AC1768" t="str">
        <f t="shared" ca="1" si="609"/>
        <v>Insurance</v>
      </c>
      <c r="AD1768" t="str">
        <f t="shared" ca="1" si="610"/>
        <v>Yes</v>
      </c>
      <c r="AE1768" t="str">
        <f t="shared" ca="1" si="611"/>
        <v>No</v>
      </c>
      <c r="AF1768" t="str">
        <f t="shared" ca="1" si="612"/>
        <v>Under Observation</v>
      </c>
      <c r="AG1768" t="str">
        <f t="shared" ca="1" si="613"/>
        <v>Southeast</v>
      </c>
      <c r="AH1768" t="str">
        <f t="shared" si="596"/>
        <v>August</v>
      </c>
      <c r="AI1768">
        <f t="shared" si="597"/>
        <v>2020</v>
      </c>
      <c r="AJ1768" t="str">
        <f t="shared" ca="1" si="614"/>
        <v>Occupied</v>
      </c>
      <c r="AK1768">
        <f t="shared" ca="1" si="615"/>
        <v>1</v>
      </c>
    </row>
    <row r="1769" spans="1:37" x14ac:dyDescent="0.3">
      <c r="A1769" t="s">
        <v>6150</v>
      </c>
      <c r="B1769">
        <v>42</v>
      </c>
      <c r="C1769" t="s">
        <v>15</v>
      </c>
      <c r="D1769" t="s">
        <v>24</v>
      </c>
      <c r="E1769" t="s">
        <v>17</v>
      </c>
      <c r="F1769" s="1">
        <v>44628</v>
      </c>
      <c r="G1769" t="s">
        <v>3518</v>
      </c>
      <c r="H1769" t="s">
        <v>3519</v>
      </c>
      <c r="I1769" t="s">
        <v>20</v>
      </c>
      <c r="J1769">
        <v>34567</v>
      </c>
      <c r="K1769">
        <v>386</v>
      </c>
      <c r="L1769" t="s">
        <v>29</v>
      </c>
      <c r="M1769" s="1">
        <v>44653</v>
      </c>
      <c r="N1769" t="s">
        <v>47</v>
      </c>
      <c r="O1769" t="s">
        <v>23</v>
      </c>
      <c r="P1769" t="str">
        <f t="shared" si="598"/>
        <v>P1768</v>
      </c>
      <c r="Q1769" t="str">
        <f t="shared" si="594"/>
        <v>Oncology</v>
      </c>
      <c r="R1769">
        <f t="shared" si="595"/>
        <v>25</v>
      </c>
      <c r="S1769" t="str">
        <f t="shared" ca="1" si="599"/>
        <v>No</v>
      </c>
      <c r="T1769" t="str">
        <f t="shared" ca="1" si="600"/>
        <v>Mild</v>
      </c>
      <c r="U1769" t="str">
        <f t="shared" ca="1" si="601"/>
        <v>General Ward</v>
      </c>
      <c r="V1769" t="str">
        <f t="shared" si="602"/>
        <v>BED1768</v>
      </c>
      <c r="W1769" t="str">
        <f t="shared" ca="1" si="603"/>
        <v>ICU</v>
      </c>
      <c r="X1769" t="str">
        <f t="shared" si="604"/>
        <v>NUR018</v>
      </c>
      <c r="Y1769" t="str">
        <f t="shared" ca="1" si="605"/>
        <v>Evening</v>
      </c>
      <c r="Z1769" t="str">
        <f t="shared" ca="1" si="606"/>
        <v>CT Scanner</v>
      </c>
      <c r="AA1769" t="str">
        <f t="shared" ca="1" si="607"/>
        <v>In Use</v>
      </c>
      <c r="AB1769" t="str">
        <f t="shared" ca="1" si="608"/>
        <v>Pending</v>
      </c>
      <c r="AC1769" t="str">
        <f t="shared" ca="1" si="609"/>
        <v>Bank Transfer</v>
      </c>
      <c r="AD1769" t="str">
        <f t="shared" ca="1" si="610"/>
        <v>Yes</v>
      </c>
      <c r="AE1769" t="str">
        <f t="shared" ca="1" si="611"/>
        <v>No</v>
      </c>
      <c r="AF1769" t="str">
        <f t="shared" ca="1" si="612"/>
        <v>Under Observation</v>
      </c>
      <c r="AG1769" t="str">
        <f t="shared" ca="1" si="613"/>
        <v>Midwest</v>
      </c>
      <c r="AH1769" t="str">
        <f t="shared" si="596"/>
        <v>March</v>
      </c>
      <c r="AI1769">
        <f t="shared" si="597"/>
        <v>2022</v>
      </c>
      <c r="AJ1769" t="str">
        <f t="shared" ca="1" si="614"/>
        <v>Occupied</v>
      </c>
      <c r="AK1769">
        <f t="shared" ca="1" si="615"/>
        <v>4</v>
      </c>
    </row>
    <row r="1770" spans="1:37" x14ac:dyDescent="0.3">
      <c r="A1770" t="s">
        <v>6151</v>
      </c>
      <c r="B1770">
        <v>56</v>
      </c>
      <c r="C1770" t="s">
        <v>32</v>
      </c>
      <c r="D1770" t="s">
        <v>33</v>
      </c>
      <c r="E1770" t="s">
        <v>48</v>
      </c>
      <c r="F1770" s="1">
        <v>44373</v>
      </c>
      <c r="G1770" t="s">
        <v>894</v>
      </c>
      <c r="H1770" t="s">
        <v>3520</v>
      </c>
      <c r="I1770" t="s">
        <v>20</v>
      </c>
      <c r="J1770">
        <v>25785</v>
      </c>
      <c r="K1770">
        <v>369</v>
      </c>
      <c r="L1770" t="s">
        <v>29</v>
      </c>
      <c r="M1770" s="1">
        <v>44392</v>
      </c>
      <c r="N1770" t="s">
        <v>30</v>
      </c>
      <c r="O1770" t="s">
        <v>31</v>
      </c>
      <c r="P1770" t="str">
        <f t="shared" si="598"/>
        <v>P1769</v>
      </c>
      <c r="Q1770" t="str">
        <f t="shared" si="594"/>
        <v>Pulmonology</v>
      </c>
      <c r="R1770">
        <f t="shared" si="595"/>
        <v>19</v>
      </c>
      <c r="S1770" t="str">
        <f t="shared" ca="1" si="599"/>
        <v>No</v>
      </c>
      <c r="T1770" t="str">
        <f t="shared" ca="1" si="600"/>
        <v>Critical</v>
      </c>
      <c r="U1770" t="str">
        <f t="shared" ca="1" si="601"/>
        <v>ICU</v>
      </c>
      <c r="V1770" t="str">
        <f t="shared" si="602"/>
        <v>BED1769</v>
      </c>
      <c r="W1770" t="str">
        <f t="shared" ca="1" si="603"/>
        <v>Private</v>
      </c>
      <c r="X1770" t="str">
        <f t="shared" si="604"/>
        <v>NUR019</v>
      </c>
      <c r="Y1770" t="str">
        <f t="shared" ca="1" si="605"/>
        <v>Night</v>
      </c>
      <c r="Z1770" t="str">
        <f t="shared" ca="1" si="606"/>
        <v>Ultrasound</v>
      </c>
      <c r="AA1770" t="str">
        <f t="shared" ca="1" si="607"/>
        <v>Available</v>
      </c>
      <c r="AB1770" t="str">
        <f t="shared" ca="1" si="608"/>
        <v>Pending</v>
      </c>
      <c r="AC1770" t="str">
        <f t="shared" ca="1" si="609"/>
        <v>Insurance</v>
      </c>
      <c r="AD1770" t="str">
        <f t="shared" ca="1" si="610"/>
        <v>Yes</v>
      </c>
      <c r="AE1770" t="str">
        <f t="shared" ca="1" si="611"/>
        <v>Yes</v>
      </c>
      <c r="AF1770" t="str">
        <f t="shared" ca="1" si="612"/>
        <v>Transferred</v>
      </c>
      <c r="AG1770" t="str">
        <f t="shared" ca="1" si="613"/>
        <v>Southwest</v>
      </c>
      <c r="AH1770" t="str">
        <f t="shared" si="596"/>
        <v>June</v>
      </c>
      <c r="AI1770">
        <f t="shared" si="597"/>
        <v>2021</v>
      </c>
      <c r="AJ1770" t="str">
        <f t="shared" ca="1" si="614"/>
        <v>Occupied</v>
      </c>
      <c r="AK1770">
        <f t="shared" ca="1" si="615"/>
        <v>2</v>
      </c>
    </row>
    <row r="1771" spans="1:37" x14ac:dyDescent="0.3">
      <c r="A1771" t="s">
        <v>6152</v>
      </c>
      <c r="B1771">
        <v>44</v>
      </c>
      <c r="C1771" t="s">
        <v>15</v>
      </c>
      <c r="D1771" t="s">
        <v>52</v>
      </c>
      <c r="E1771" t="s">
        <v>64</v>
      </c>
      <c r="F1771" s="1">
        <v>44954</v>
      </c>
      <c r="G1771" t="s">
        <v>3521</v>
      </c>
      <c r="H1771" t="s">
        <v>3522</v>
      </c>
      <c r="I1771" t="s">
        <v>36</v>
      </c>
      <c r="J1771">
        <v>33346</v>
      </c>
      <c r="K1771">
        <v>171</v>
      </c>
      <c r="L1771" t="s">
        <v>29</v>
      </c>
      <c r="M1771" s="1">
        <v>44979</v>
      </c>
      <c r="N1771" t="s">
        <v>22</v>
      </c>
      <c r="O1771" t="s">
        <v>43</v>
      </c>
      <c r="P1771" t="str">
        <f t="shared" si="598"/>
        <v>P1770</v>
      </c>
      <c r="Q1771" t="str">
        <f t="shared" si="594"/>
        <v>Cardiology</v>
      </c>
      <c r="R1771">
        <f t="shared" si="595"/>
        <v>25</v>
      </c>
      <c r="S1771" t="str">
        <f t="shared" ca="1" si="599"/>
        <v>No</v>
      </c>
      <c r="T1771" t="str">
        <f t="shared" ca="1" si="600"/>
        <v>Mild</v>
      </c>
      <c r="U1771" t="str">
        <f t="shared" ca="1" si="601"/>
        <v>Private Ward</v>
      </c>
      <c r="V1771" t="str">
        <f t="shared" si="602"/>
        <v>BED1770</v>
      </c>
      <c r="W1771" t="str">
        <f t="shared" ca="1" si="603"/>
        <v>Private</v>
      </c>
      <c r="X1771" t="str">
        <f t="shared" si="604"/>
        <v>NUR020</v>
      </c>
      <c r="Y1771" t="str">
        <f t="shared" ca="1" si="605"/>
        <v>Morning</v>
      </c>
      <c r="Z1771" t="str">
        <f t="shared" ca="1" si="606"/>
        <v>Ventilator</v>
      </c>
      <c r="AA1771" t="str">
        <f t="shared" ca="1" si="607"/>
        <v>Maintenance</v>
      </c>
      <c r="AB1771" t="str">
        <f t="shared" ca="1" si="608"/>
        <v>Pending</v>
      </c>
      <c r="AC1771" t="str">
        <f t="shared" ca="1" si="609"/>
        <v>Insurance</v>
      </c>
      <c r="AD1771" t="str">
        <f t="shared" ca="1" si="610"/>
        <v>No</v>
      </c>
      <c r="AE1771" t="str">
        <f t="shared" ca="1" si="611"/>
        <v>No</v>
      </c>
      <c r="AF1771" t="str">
        <f t="shared" ca="1" si="612"/>
        <v>Transferred</v>
      </c>
      <c r="AG1771" t="str">
        <f t="shared" ca="1" si="613"/>
        <v>Southeast</v>
      </c>
      <c r="AH1771" t="str">
        <f t="shared" si="596"/>
        <v>January</v>
      </c>
      <c r="AI1771">
        <f t="shared" si="597"/>
        <v>2023</v>
      </c>
      <c r="AJ1771" t="str">
        <f t="shared" ca="1" si="614"/>
        <v>Occupied</v>
      </c>
      <c r="AK1771">
        <f t="shared" ca="1" si="615"/>
        <v>1</v>
      </c>
    </row>
    <row r="1772" spans="1:37" x14ac:dyDescent="0.3">
      <c r="A1772" t="s">
        <v>6153</v>
      </c>
      <c r="B1772">
        <v>55</v>
      </c>
      <c r="C1772" t="s">
        <v>32</v>
      </c>
      <c r="D1772" t="s">
        <v>52</v>
      </c>
      <c r="E1772" t="s">
        <v>76</v>
      </c>
      <c r="F1772" s="1">
        <v>45372</v>
      </c>
      <c r="G1772" t="s">
        <v>3523</v>
      </c>
      <c r="H1772" t="s">
        <v>3524</v>
      </c>
      <c r="I1772" t="s">
        <v>57</v>
      </c>
      <c r="J1772">
        <v>48615</v>
      </c>
      <c r="K1772">
        <v>329</v>
      </c>
      <c r="L1772" t="s">
        <v>29</v>
      </c>
      <c r="M1772" s="1">
        <v>45391</v>
      </c>
      <c r="N1772" t="s">
        <v>37</v>
      </c>
      <c r="O1772" t="s">
        <v>43</v>
      </c>
      <c r="P1772" t="str">
        <f t="shared" si="598"/>
        <v>P1771</v>
      </c>
      <c r="Q1772" t="str">
        <f t="shared" si="594"/>
        <v>Orthopedics</v>
      </c>
      <c r="R1772">
        <f t="shared" si="595"/>
        <v>19</v>
      </c>
      <c r="S1772" t="str">
        <f t="shared" ca="1" si="599"/>
        <v>No</v>
      </c>
      <c r="T1772" t="str">
        <f t="shared" ca="1" si="600"/>
        <v>Severe</v>
      </c>
      <c r="U1772" t="str">
        <f t="shared" ca="1" si="601"/>
        <v>Emergency</v>
      </c>
      <c r="V1772" t="str">
        <f t="shared" si="602"/>
        <v>BED1771</v>
      </c>
      <c r="W1772" t="str">
        <f t="shared" ca="1" si="603"/>
        <v>Semi-Private</v>
      </c>
      <c r="X1772" t="str">
        <f t="shared" si="604"/>
        <v>NUR021</v>
      </c>
      <c r="Y1772" t="str">
        <f t="shared" ca="1" si="605"/>
        <v>Evening</v>
      </c>
      <c r="Z1772" t="str">
        <f t="shared" ca="1" si="606"/>
        <v>Ventilator</v>
      </c>
      <c r="AA1772" t="str">
        <f t="shared" ca="1" si="607"/>
        <v>In Use</v>
      </c>
      <c r="AB1772" t="str">
        <f t="shared" ca="1" si="608"/>
        <v>Partially Paid</v>
      </c>
      <c r="AC1772" t="str">
        <f t="shared" ca="1" si="609"/>
        <v>Insurance</v>
      </c>
      <c r="AD1772" t="str">
        <f t="shared" ca="1" si="610"/>
        <v>No</v>
      </c>
      <c r="AE1772" t="str">
        <f t="shared" ca="1" si="611"/>
        <v>No</v>
      </c>
      <c r="AF1772" t="str">
        <f t="shared" ca="1" si="612"/>
        <v>Under Observation</v>
      </c>
      <c r="AG1772" t="str">
        <f t="shared" ca="1" si="613"/>
        <v>Midwest</v>
      </c>
      <c r="AH1772" t="str">
        <f t="shared" si="596"/>
        <v>March</v>
      </c>
      <c r="AI1772">
        <f t="shared" si="597"/>
        <v>2024</v>
      </c>
      <c r="AJ1772" t="str">
        <f t="shared" ca="1" si="614"/>
        <v>Occupied</v>
      </c>
      <c r="AK1772">
        <f t="shared" ca="1" si="615"/>
        <v>1</v>
      </c>
    </row>
    <row r="1773" spans="1:37" x14ac:dyDescent="0.3">
      <c r="A1773" t="s">
        <v>6154</v>
      </c>
      <c r="B1773">
        <v>36</v>
      </c>
      <c r="C1773" t="s">
        <v>32</v>
      </c>
      <c r="D1773" t="s">
        <v>98</v>
      </c>
      <c r="E1773" t="s">
        <v>17</v>
      </c>
      <c r="F1773" s="1">
        <v>44443</v>
      </c>
      <c r="G1773" t="s">
        <v>3525</v>
      </c>
      <c r="H1773" t="s">
        <v>3526</v>
      </c>
      <c r="I1773" t="s">
        <v>57</v>
      </c>
      <c r="J1773">
        <v>36572</v>
      </c>
      <c r="K1773">
        <v>180</v>
      </c>
      <c r="L1773" t="s">
        <v>29</v>
      </c>
      <c r="M1773" s="1">
        <v>44461</v>
      </c>
      <c r="N1773" t="s">
        <v>30</v>
      </c>
      <c r="O1773" t="s">
        <v>23</v>
      </c>
      <c r="P1773" t="str">
        <f t="shared" si="598"/>
        <v>P1772</v>
      </c>
      <c r="Q1773" t="str">
        <f t="shared" si="594"/>
        <v>Oncology</v>
      </c>
      <c r="R1773">
        <f t="shared" si="595"/>
        <v>18</v>
      </c>
      <c r="S1773" t="str">
        <f t="shared" ca="1" si="599"/>
        <v>No</v>
      </c>
      <c r="T1773" t="str">
        <f t="shared" ca="1" si="600"/>
        <v>Moderate</v>
      </c>
      <c r="U1773" t="str">
        <f t="shared" ca="1" si="601"/>
        <v>ICU</v>
      </c>
      <c r="V1773" t="str">
        <f t="shared" si="602"/>
        <v>BED1772</v>
      </c>
      <c r="W1773" t="str">
        <f t="shared" ca="1" si="603"/>
        <v>Private</v>
      </c>
      <c r="X1773" t="str">
        <f t="shared" si="604"/>
        <v>NUR022</v>
      </c>
      <c r="Y1773" t="str">
        <f t="shared" ca="1" si="605"/>
        <v>Night</v>
      </c>
      <c r="Z1773" t="str">
        <f t="shared" ca="1" si="606"/>
        <v>CT Scanner</v>
      </c>
      <c r="AA1773" t="str">
        <f t="shared" ca="1" si="607"/>
        <v>Maintenance</v>
      </c>
      <c r="AB1773" t="str">
        <f t="shared" ca="1" si="608"/>
        <v>Pending</v>
      </c>
      <c r="AC1773" t="str">
        <f t="shared" ca="1" si="609"/>
        <v>Bank Transfer</v>
      </c>
      <c r="AD1773" t="str">
        <f t="shared" ca="1" si="610"/>
        <v>No</v>
      </c>
      <c r="AE1773" t="str">
        <f t="shared" ca="1" si="611"/>
        <v>No</v>
      </c>
      <c r="AF1773" t="str">
        <f t="shared" ca="1" si="612"/>
        <v>Transferred</v>
      </c>
      <c r="AG1773" t="str">
        <f t="shared" ca="1" si="613"/>
        <v>Southeast</v>
      </c>
      <c r="AH1773" t="str">
        <f t="shared" si="596"/>
        <v>September</v>
      </c>
      <c r="AI1773">
        <f t="shared" si="597"/>
        <v>2021</v>
      </c>
      <c r="AJ1773" t="str">
        <f t="shared" ca="1" si="614"/>
        <v>Occupied</v>
      </c>
      <c r="AK1773">
        <f t="shared" ca="1" si="615"/>
        <v>4</v>
      </c>
    </row>
    <row r="1774" spans="1:37" x14ac:dyDescent="0.3">
      <c r="A1774" t="s">
        <v>6155</v>
      </c>
      <c r="B1774">
        <v>25</v>
      </c>
      <c r="C1774" t="s">
        <v>32</v>
      </c>
      <c r="D1774" t="s">
        <v>16</v>
      </c>
      <c r="E1774" t="s">
        <v>25</v>
      </c>
      <c r="F1774" s="1">
        <v>44648</v>
      </c>
      <c r="G1774" t="s">
        <v>3527</v>
      </c>
      <c r="H1774" t="s">
        <v>3528</v>
      </c>
      <c r="I1774" t="s">
        <v>57</v>
      </c>
      <c r="J1774">
        <v>32087</v>
      </c>
      <c r="K1774">
        <v>104</v>
      </c>
      <c r="L1774" t="s">
        <v>21</v>
      </c>
      <c r="M1774" s="1">
        <v>44659</v>
      </c>
      <c r="N1774" t="s">
        <v>22</v>
      </c>
      <c r="O1774" t="s">
        <v>31</v>
      </c>
      <c r="P1774" t="str">
        <f t="shared" si="598"/>
        <v>P1773</v>
      </c>
      <c r="Q1774" t="str">
        <f t="shared" si="594"/>
        <v>Nutrition</v>
      </c>
      <c r="R1774">
        <f t="shared" si="595"/>
        <v>11</v>
      </c>
      <c r="S1774" t="str">
        <f t="shared" ca="1" si="599"/>
        <v>No</v>
      </c>
      <c r="T1774" t="str">
        <f t="shared" ca="1" si="600"/>
        <v>Critical</v>
      </c>
      <c r="U1774" t="str">
        <f t="shared" ca="1" si="601"/>
        <v>Private Ward</v>
      </c>
      <c r="V1774" t="str">
        <f t="shared" si="602"/>
        <v>BED1773</v>
      </c>
      <c r="W1774" t="str">
        <f t="shared" ca="1" si="603"/>
        <v>ICU</v>
      </c>
      <c r="X1774" t="str">
        <f t="shared" si="604"/>
        <v>NUR023</v>
      </c>
      <c r="Y1774" t="str">
        <f t="shared" ca="1" si="605"/>
        <v>Evening</v>
      </c>
      <c r="Z1774" t="str">
        <f t="shared" ca="1" si="606"/>
        <v>Ultrasound</v>
      </c>
      <c r="AA1774" t="str">
        <f t="shared" ca="1" si="607"/>
        <v>In Use</v>
      </c>
      <c r="AB1774" t="str">
        <f t="shared" ca="1" si="608"/>
        <v>Partially Paid</v>
      </c>
      <c r="AC1774" t="str">
        <f t="shared" ca="1" si="609"/>
        <v>Insurance</v>
      </c>
      <c r="AD1774" t="str">
        <f t="shared" ca="1" si="610"/>
        <v>No</v>
      </c>
      <c r="AE1774" t="str">
        <f t="shared" ca="1" si="611"/>
        <v>No</v>
      </c>
      <c r="AF1774" t="str">
        <f t="shared" ca="1" si="612"/>
        <v>Recovered</v>
      </c>
      <c r="AG1774" t="str">
        <f t="shared" ca="1" si="613"/>
        <v>Southwest</v>
      </c>
      <c r="AH1774" t="str">
        <f t="shared" si="596"/>
        <v>March</v>
      </c>
      <c r="AI1774">
        <f t="shared" si="597"/>
        <v>2022</v>
      </c>
      <c r="AJ1774" t="str">
        <f t="shared" ca="1" si="614"/>
        <v>Occupied</v>
      </c>
      <c r="AK1774">
        <f t="shared" ca="1" si="615"/>
        <v>2</v>
      </c>
    </row>
    <row r="1775" spans="1:37" x14ac:dyDescent="0.3">
      <c r="A1775" t="s">
        <v>6156</v>
      </c>
      <c r="B1775">
        <v>57</v>
      </c>
      <c r="C1775" t="s">
        <v>32</v>
      </c>
      <c r="D1775" t="s">
        <v>98</v>
      </c>
      <c r="E1775" t="s">
        <v>48</v>
      </c>
      <c r="F1775" s="1">
        <v>45209</v>
      </c>
      <c r="G1775" t="s">
        <v>3529</v>
      </c>
      <c r="H1775" t="s">
        <v>3530</v>
      </c>
      <c r="I1775" t="s">
        <v>36</v>
      </c>
      <c r="J1775">
        <v>44276</v>
      </c>
      <c r="K1775">
        <v>436</v>
      </c>
      <c r="L1775" t="s">
        <v>42</v>
      </c>
      <c r="M1775" s="1">
        <v>45232</v>
      </c>
      <c r="N1775" t="s">
        <v>37</v>
      </c>
      <c r="O1775" t="s">
        <v>23</v>
      </c>
      <c r="P1775" t="str">
        <f t="shared" si="598"/>
        <v>P1774</v>
      </c>
      <c r="Q1775" t="str">
        <f t="shared" si="594"/>
        <v>Pulmonology</v>
      </c>
      <c r="R1775">
        <f t="shared" si="595"/>
        <v>23</v>
      </c>
      <c r="S1775" t="str">
        <f t="shared" ca="1" si="599"/>
        <v>No</v>
      </c>
      <c r="T1775" t="str">
        <f t="shared" ca="1" si="600"/>
        <v>Mild</v>
      </c>
      <c r="U1775" t="str">
        <f t="shared" ca="1" si="601"/>
        <v>Semi-Private</v>
      </c>
      <c r="V1775" t="str">
        <f t="shared" si="602"/>
        <v>BED1774</v>
      </c>
      <c r="W1775" t="str">
        <f t="shared" ca="1" si="603"/>
        <v>ICU</v>
      </c>
      <c r="X1775" t="str">
        <f t="shared" si="604"/>
        <v>NUR024</v>
      </c>
      <c r="Y1775" t="str">
        <f t="shared" ca="1" si="605"/>
        <v>Morning</v>
      </c>
      <c r="Z1775" t="str">
        <f t="shared" ca="1" si="606"/>
        <v>X-Ray</v>
      </c>
      <c r="AA1775" t="str">
        <f t="shared" ca="1" si="607"/>
        <v>Maintenance</v>
      </c>
      <c r="AB1775" t="str">
        <f t="shared" ca="1" si="608"/>
        <v>Pending</v>
      </c>
      <c r="AC1775" t="str">
        <f t="shared" ca="1" si="609"/>
        <v>Insurance</v>
      </c>
      <c r="AD1775" t="str">
        <f t="shared" ca="1" si="610"/>
        <v>No</v>
      </c>
      <c r="AE1775" t="str">
        <f t="shared" ca="1" si="611"/>
        <v>No</v>
      </c>
      <c r="AF1775" t="str">
        <f t="shared" ca="1" si="612"/>
        <v>Transferred</v>
      </c>
      <c r="AG1775" t="str">
        <f t="shared" ca="1" si="613"/>
        <v>West Coast</v>
      </c>
      <c r="AH1775" t="str">
        <f t="shared" si="596"/>
        <v>October</v>
      </c>
      <c r="AI1775">
        <f t="shared" si="597"/>
        <v>2023</v>
      </c>
      <c r="AJ1775" t="str">
        <f t="shared" ca="1" si="614"/>
        <v>Occupied</v>
      </c>
      <c r="AK1775">
        <f t="shared" ca="1" si="615"/>
        <v>1</v>
      </c>
    </row>
    <row r="1776" spans="1:37" x14ac:dyDescent="0.3">
      <c r="A1776" t="s">
        <v>2237</v>
      </c>
      <c r="B1776">
        <v>82</v>
      </c>
      <c r="C1776" t="s">
        <v>15</v>
      </c>
      <c r="D1776" t="s">
        <v>16</v>
      </c>
      <c r="E1776" t="s">
        <v>48</v>
      </c>
      <c r="F1776" s="1">
        <v>43708</v>
      </c>
      <c r="G1776" t="s">
        <v>3531</v>
      </c>
      <c r="H1776" t="s">
        <v>3532</v>
      </c>
      <c r="I1776" t="s">
        <v>20</v>
      </c>
      <c r="J1776">
        <v>29846</v>
      </c>
      <c r="K1776">
        <v>173</v>
      </c>
      <c r="L1776" t="s">
        <v>42</v>
      </c>
      <c r="M1776" s="1">
        <v>43718</v>
      </c>
      <c r="N1776" t="s">
        <v>67</v>
      </c>
      <c r="O1776" t="s">
        <v>43</v>
      </c>
      <c r="P1776" t="str">
        <f t="shared" si="598"/>
        <v>P1775</v>
      </c>
      <c r="Q1776" t="str">
        <f t="shared" si="594"/>
        <v>Pulmonology</v>
      </c>
      <c r="R1776">
        <f t="shared" si="595"/>
        <v>10</v>
      </c>
      <c r="S1776" t="str">
        <f t="shared" ca="1" si="599"/>
        <v>Yes</v>
      </c>
      <c r="T1776" t="str">
        <f t="shared" ca="1" si="600"/>
        <v>Critical</v>
      </c>
      <c r="U1776" t="str">
        <f t="shared" ca="1" si="601"/>
        <v>Semi-Private</v>
      </c>
      <c r="V1776" t="str">
        <f t="shared" si="602"/>
        <v>BED1775</v>
      </c>
      <c r="W1776" t="str">
        <f t="shared" ca="1" si="603"/>
        <v>ICU</v>
      </c>
      <c r="X1776" t="str">
        <f t="shared" si="604"/>
        <v>NUR025</v>
      </c>
      <c r="Y1776" t="str">
        <f t="shared" ca="1" si="605"/>
        <v>Night</v>
      </c>
      <c r="Z1776" t="str">
        <f t="shared" ca="1" si="606"/>
        <v>Ultrasound</v>
      </c>
      <c r="AA1776" t="str">
        <f t="shared" ca="1" si="607"/>
        <v>Maintenance</v>
      </c>
      <c r="AB1776" t="str">
        <f t="shared" ca="1" si="608"/>
        <v>Paid</v>
      </c>
      <c r="AC1776" t="str">
        <f t="shared" ca="1" si="609"/>
        <v>Bank Transfer</v>
      </c>
      <c r="AD1776" t="str">
        <f t="shared" ca="1" si="610"/>
        <v>Yes</v>
      </c>
      <c r="AE1776" t="str">
        <f t="shared" ca="1" si="611"/>
        <v>No</v>
      </c>
      <c r="AF1776" t="str">
        <f t="shared" ca="1" si="612"/>
        <v>Transferred</v>
      </c>
      <c r="AG1776" t="str">
        <f t="shared" ca="1" si="613"/>
        <v>West Coast</v>
      </c>
      <c r="AH1776" t="str">
        <f t="shared" si="596"/>
        <v>August</v>
      </c>
      <c r="AI1776">
        <f t="shared" si="597"/>
        <v>2019</v>
      </c>
      <c r="AJ1776" t="str">
        <f t="shared" ca="1" si="614"/>
        <v>Occupied</v>
      </c>
      <c r="AK1776">
        <f t="shared" ca="1" si="615"/>
        <v>4</v>
      </c>
    </row>
    <row r="1777" spans="1:37" x14ac:dyDescent="0.3">
      <c r="A1777" t="s">
        <v>6157</v>
      </c>
      <c r="B1777">
        <v>42</v>
      </c>
      <c r="C1777" t="s">
        <v>32</v>
      </c>
      <c r="D1777" t="s">
        <v>33</v>
      </c>
      <c r="E1777" t="s">
        <v>39</v>
      </c>
      <c r="F1777" s="1">
        <v>45365</v>
      </c>
      <c r="G1777" t="s">
        <v>3533</v>
      </c>
      <c r="H1777" t="s">
        <v>3534</v>
      </c>
      <c r="I1777" t="s">
        <v>36</v>
      </c>
      <c r="J1777">
        <v>1399</v>
      </c>
      <c r="K1777">
        <v>377</v>
      </c>
      <c r="L1777" t="s">
        <v>29</v>
      </c>
      <c r="M1777" s="1">
        <v>45385</v>
      </c>
      <c r="N1777" t="s">
        <v>30</v>
      </c>
      <c r="O1777" t="s">
        <v>31</v>
      </c>
      <c r="P1777" t="str">
        <f t="shared" si="598"/>
        <v>P1776</v>
      </c>
      <c r="Q1777" t="str">
        <f t="shared" si="594"/>
        <v>Endocrinology</v>
      </c>
      <c r="R1777">
        <f t="shared" si="595"/>
        <v>20</v>
      </c>
      <c r="S1777" t="str">
        <f t="shared" ca="1" si="599"/>
        <v>No</v>
      </c>
      <c r="T1777" t="str">
        <f t="shared" ca="1" si="600"/>
        <v>Mild</v>
      </c>
      <c r="U1777" t="str">
        <f t="shared" ca="1" si="601"/>
        <v>General Ward</v>
      </c>
      <c r="V1777" t="str">
        <f t="shared" si="602"/>
        <v>BED1776</v>
      </c>
      <c r="W1777" t="str">
        <f t="shared" ca="1" si="603"/>
        <v>Semi-Private</v>
      </c>
      <c r="X1777" t="str">
        <f t="shared" si="604"/>
        <v>NUR026</v>
      </c>
      <c r="Y1777" t="str">
        <f t="shared" ca="1" si="605"/>
        <v>Morning</v>
      </c>
      <c r="Z1777" t="str">
        <f t="shared" ca="1" si="606"/>
        <v>ECG Machine</v>
      </c>
      <c r="AA1777" t="str">
        <f t="shared" ca="1" si="607"/>
        <v>In Use</v>
      </c>
      <c r="AB1777" t="str">
        <f t="shared" ca="1" si="608"/>
        <v>Partially Paid</v>
      </c>
      <c r="AC1777" t="str">
        <f t="shared" ca="1" si="609"/>
        <v>Insurance</v>
      </c>
      <c r="AD1777" t="str">
        <f t="shared" ca="1" si="610"/>
        <v>Yes</v>
      </c>
      <c r="AE1777" t="str">
        <f t="shared" ca="1" si="611"/>
        <v>No</v>
      </c>
      <c r="AF1777" t="str">
        <f t="shared" ca="1" si="612"/>
        <v>Transferred</v>
      </c>
      <c r="AG1777" t="str">
        <f t="shared" ca="1" si="613"/>
        <v>Southwest</v>
      </c>
      <c r="AH1777" t="str">
        <f t="shared" si="596"/>
        <v>March</v>
      </c>
      <c r="AI1777">
        <f t="shared" si="597"/>
        <v>2024</v>
      </c>
      <c r="AJ1777" t="str">
        <f t="shared" ca="1" si="614"/>
        <v>Occupied</v>
      </c>
      <c r="AK1777">
        <f t="shared" ca="1" si="615"/>
        <v>2</v>
      </c>
    </row>
    <row r="1778" spans="1:37" x14ac:dyDescent="0.3">
      <c r="A1778" t="s">
        <v>6158</v>
      </c>
      <c r="B1778">
        <v>53</v>
      </c>
      <c r="C1778" t="s">
        <v>32</v>
      </c>
      <c r="D1778" t="s">
        <v>33</v>
      </c>
      <c r="E1778" t="s">
        <v>25</v>
      </c>
      <c r="F1778" s="1">
        <v>43938</v>
      </c>
      <c r="G1778" t="s">
        <v>3535</v>
      </c>
      <c r="H1778" t="s">
        <v>3536</v>
      </c>
      <c r="I1778" t="s">
        <v>28</v>
      </c>
      <c r="J1778">
        <v>9868</v>
      </c>
      <c r="K1778">
        <v>163</v>
      </c>
      <c r="L1778" t="s">
        <v>29</v>
      </c>
      <c r="M1778" s="1">
        <v>43961</v>
      </c>
      <c r="N1778" t="s">
        <v>30</v>
      </c>
      <c r="O1778" t="s">
        <v>23</v>
      </c>
      <c r="P1778" t="str">
        <f t="shared" si="598"/>
        <v>P1777</v>
      </c>
      <c r="Q1778" t="str">
        <f t="shared" si="594"/>
        <v>Nutrition</v>
      </c>
      <c r="R1778">
        <f t="shared" si="595"/>
        <v>23</v>
      </c>
      <c r="S1778" t="str">
        <f t="shared" ca="1" si="599"/>
        <v>No</v>
      </c>
      <c r="T1778" t="str">
        <f t="shared" ca="1" si="600"/>
        <v>Mild</v>
      </c>
      <c r="U1778" t="str">
        <f t="shared" ca="1" si="601"/>
        <v>Emergency</v>
      </c>
      <c r="V1778" t="str">
        <f t="shared" si="602"/>
        <v>BED1777</v>
      </c>
      <c r="W1778" t="str">
        <f t="shared" ca="1" si="603"/>
        <v>ICU</v>
      </c>
      <c r="X1778" t="str">
        <f t="shared" si="604"/>
        <v>NUR027</v>
      </c>
      <c r="Y1778" t="str">
        <f t="shared" ca="1" si="605"/>
        <v>Night</v>
      </c>
      <c r="Z1778" t="str">
        <f t="shared" ca="1" si="606"/>
        <v>ECG Machine</v>
      </c>
      <c r="AA1778" t="str">
        <f t="shared" ca="1" si="607"/>
        <v>Available</v>
      </c>
      <c r="AB1778" t="str">
        <f t="shared" ca="1" si="608"/>
        <v>Partially Paid</v>
      </c>
      <c r="AC1778" t="str">
        <f t="shared" ca="1" si="609"/>
        <v>Cash</v>
      </c>
      <c r="AD1778" t="str">
        <f t="shared" ca="1" si="610"/>
        <v>No</v>
      </c>
      <c r="AE1778" t="str">
        <f t="shared" ca="1" si="611"/>
        <v>No</v>
      </c>
      <c r="AF1778" t="str">
        <f t="shared" ca="1" si="612"/>
        <v>Transferred</v>
      </c>
      <c r="AG1778" t="str">
        <f t="shared" ca="1" si="613"/>
        <v>West Coast</v>
      </c>
      <c r="AH1778" t="str">
        <f t="shared" si="596"/>
        <v>April</v>
      </c>
      <c r="AI1778">
        <f t="shared" si="597"/>
        <v>2020</v>
      </c>
      <c r="AJ1778" t="str">
        <f t="shared" ca="1" si="614"/>
        <v>Vacant</v>
      </c>
      <c r="AK1778">
        <f t="shared" ca="1" si="615"/>
        <v>4</v>
      </c>
    </row>
    <row r="1779" spans="1:37" x14ac:dyDescent="0.3">
      <c r="A1779" t="s">
        <v>6159</v>
      </c>
      <c r="B1779">
        <v>41</v>
      </c>
      <c r="C1779" t="s">
        <v>32</v>
      </c>
      <c r="D1779" t="s">
        <v>16</v>
      </c>
      <c r="E1779" t="s">
        <v>25</v>
      </c>
      <c r="F1779" s="1">
        <v>45278</v>
      </c>
      <c r="G1779" t="s">
        <v>3537</v>
      </c>
      <c r="H1779" t="s">
        <v>3538</v>
      </c>
      <c r="I1779" t="s">
        <v>57</v>
      </c>
      <c r="J1779">
        <v>2953</v>
      </c>
      <c r="K1779">
        <v>426</v>
      </c>
      <c r="L1779" t="s">
        <v>29</v>
      </c>
      <c r="M1779" s="1">
        <v>45282</v>
      </c>
      <c r="N1779" t="s">
        <v>22</v>
      </c>
      <c r="O1779" t="s">
        <v>23</v>
      </c>
      <c r="P1779" t="str">
        <f t="shared" si="598"/>
        <v>P1778</v>
      </c>
      <c r="Q1779" t="str">
        <f t="shared" si="594"/>
        <v>Nutrition</v>
      </c>
      <c r="R1779">
        <f t="shared" si="595"/>
        <v>4</v>
      </c>
      <c r="S1779" t="str">
        <f t="shared" ca="1" si="599"/>
        <v>No</v>
      </c>
      <c r="T1779" t="str">
        <f t="shared" ca="1" si="600"/>
        <v>Mild</v>
      </c>
      <c r="U1779" t="str">
        <f t="shared" ca="1" si="601"/>
        <v>Semi-Private</v>
      </c>
      <c r="V1779" t="str">
        <f t="shared" si="602"/>
        <v>BED1778</v>
      </c>
      <c r="W1779" t="str">
        <f t="shared" ca="1" si="603"/>
        <v>Private</v>
      </c>
      <c r="X1779" t="str">
        <f t="shared" si="604"/>
        <v>NUR028</v>
      </c>
      <c r="Y1779" t="str">
        <f t="shared" ca="1" si="605"/>
        <v>Night</v>
      </c>
      <c r="Z1779" t="str">
        <f t="shared" ca="1" si="606"/>
        <v>X-Ray</v>
      </c>
      <c r="AA1779" t="str">
        <f t="shared" ca="1" si="607"/>
        <v>Maintenance</v>
      </c>
      <c r="AB1779" t="str">
        <f t="shared" ca="1" si="608"/>
        <v>Paid</v>
      </c>
      <c r="AC1779" t="str">
        <f t="shared" ca="1" si="609"/>
        <v>Insurance</v>
      </c>
      <c r="AD1779" t="str">
        <f t="shared" ca="1" si="610"/>
        <v>No</v>
      </c>
      <c r="AE1779" t="str">
        <f t="shared" ca="1" si="611"/>
        <v>No</v>
      </c>
      <c r="AF1779" t="str">
        <f t="shared" ca="1" si="612"/>
        <v>Transferred</v>
      </c>
      <c r="AG1779" t="str">
        <f t="shared" ca="1" si="613"/>
        <v>Southwest</v>
      </c>
      <c r="AH1779" t="str">
        <f t="shared" si="596"/>
        <v>December</v>
      </c>
      <c r="AI1779">
        <f t="shared" si="597"/>
        <v>2023</v>
      </c>
      <c r="AJ1779" t="str">
        <f t="shared" ca="1" si="614"/>
        <v>Vacant</v>
      </c>
      <c r="AK1779">
        <f t="shared" ca="1" si="615"/>
        <v>4</v>
      </c>
    </row>
    <row r="1780" spans="1:37" x14ac:dyDescent="0.3">
      <c r="A1780" t="s">
        <v>6160</v>
      </c>
      <c r="B1780">
        <v>61</v>
      </c>
      <c r="C1780" t="s">
        <v>32</v>
      </c>
      <c r="D1780" t="s">
        <v>98</v>
      </c>
      <c r="E1780" t="s">
        <v>39</v>
      </c>
      <c r="F1780" s="1">
        <v>44079</v>
      </c>
      <c r="G1780" t="s">
        <v>3539</v>
      </c>
      <c r="H1780" t="s">
        <v>3540</v>
      </c>
      <c r="I1780" t="s">
        <v>57</v>
      </c>
      <c r="J1780">
        <v>9436</v>
      </c>
      <c r="K1780">
        <v>216</v>
      </c>
      <c r="L1780" t="s">
        <v>42</v>
      </c>
      <c r="M1780" s="1">
        <v>44091</v>
      </c>
      <c r="N1780" t="s">
        <v>37</v>
      </c>
      <c r="O1780" t="s">
        <v>23</v>
      </c>
      <c r="P1780" t="str">
        <f t="shared" si="598"/>
        <v>P1779</v>
      </c>
      <c r="Q1780" t="str">
        <f t="shared" si="594"/>
        <v>Endocrinology</v>
      </c>
      <c r="R1780">
        <f t="shared" si="595"/>
        <v>12</v>
      </c>
      <c r="S1780" t="str">
        <f t="shared" ca="1" si="599"/>
        <v>No</v>
      </c>
      <c r="T1780" t="str">
        <f t="shared" ca="1" si="600"/>
        <v>Severe</v>
      </c>
      <c r="U1780" t="str">
        <f t="shared" ca="1" si="601"/>
        <v>Private Ward</v>
      </c>
      <c r="V1780" t="str">
        <f t="shared" si="602"/>
        <v>BED1779</v>
      </c>
      <c r="W1780" t="str">
        <f t="shared" ca="1" si="603"/>
        <v>Semi-Private</v>
      </c>
      <c r="X1780" t="str">
        <f t="shared" si="604"/>
        <v>NUR029</v>
      </c>
      <c r="Y1780" t="str">
        <f t="shared" ca="1" si="605"/>
        <v>Night</v>
      </c>
      <c r="Z1780" t="str">
        <f t="shared" ca="1" si="606"/>
        <v>Ultrasound</v>
      </c>
      <c r="AA1780" t="str">
        <f t="shared" ca="1" si="607"/>
        <v>In Use</v>
      </c>
      <c r="AB1780" t="str">
        <f t="shared" ca="1" si="608"/>
        <v>Paid</v>
      </c>
      <c r="AC1780" t="str">
        <f t="shared" ca="1" si="609"/>
        <v>Cash</v>
      </c>
      <c r="AD1780" t="str">
        <f t="shared" ca="1" si="610"/>
        <v>No</v>
      </c>
      <c r="AE1780" t="str">
        <f t="shared" ca="1" si="611"/>
        <v>No</v>
      </c>
      <c r="AF1780" t="str">
        <f t="shared" ca="1" si="612"/>
        <v>Transferred</v>
      </c>
      <c r="AG1780" t="str">
        <f t="shared" ca="1" si="613"/>
        <v>Southwest</v>
      </c>
      <c r="AH1780" t="str">
        <f t="shared" si="596"/>
        <v>September</v>
      </c>
      <c r="AI1780">
        <f t="shared" si="597"/>
        <v>2020</v>
      </c>
      <c r="AJ1780" t="str">
        <f t="shared" ca="1" si="614"/>
        <v>Vacant</v>
      </c>
      <c r="AK1780">
        <f t="shared" ca="1" si="615"/>
        <v>2</v>
      </c>
    </row>
    <row r="1781" spans="1:37" x14ac:dyDescent="0.3">
      <c r="A1781" t="s">
        <v>6161</v>
      </c>
      <c r="B1781">
        <v>59</v>
      </c>
      <c r="C1781" t="s">
        <v>32</v>
      </c>
      <c r="D1781" t="s">
        <v>44</v>
      </c>
      <c r="E1781" t="s">
        <v>39</v>
      </c>
      <c r="F1781" s="1">
        <v>45209</v>
      </c>
      <c r="G1781" t="s">
        <v>3541</v>
      </c>
      <c r="H1781" t="s">
        <v>3542</v>
      </c>
      <c r="I1781" t="s">
        <v>57</v>
      </c>
      <c r="J1781">
        <v>5664</v>
      </c>
      <c r="K1781">
        <v>480</v>
      </c>
      <c r="L1781" t="s">
        <v>29</v>
      </c>
      <c r="M1781" s="1">
        <v>45221</v>
      </c>
      <c r="N1781" t="s">
        <v>47</v>
      </c>
      <c r="O1781" t="s">
        <v>23</v>
      </c>
      <c r="P1781" t="str">
        <f t="shared" si="598"/>
        <v>P1780</v>
      </c>
      <c r="Q1781" t="str">
        <f t="shared" si="594"/>
        <v>Endocrinology</v>
      </c>
      <c r="R1781">
        <f t="shared" si="595"/>
        <v>12</v>
      </c>
      <c r="S1781" t="str">
        <f t="shared" ca="1" si="599"/>
        <v>No</v>
      </c>
      <c r="T1781" t="str">
        <f t="shared" ca="1" si="600"/>
        <v>Severe</v>
      </c>
      <c r="U1781" t="str">
        <f t="shared" ca="1" si="601"/>
        <v>Emergency</v>
      </c>
      <c r="V1781" t="str">
        <f t="shared" si="602"/>
        <v>BED1780</v>
      </c>
      <c r="W1781" t="str">
        <f t="shared" ca="1" si="603"/>
        <v>ICU</v>
      </c>
      <c r="X1781" t="str">
        <f t="shared" si="604"/>
        <v>NUR030</v>
      </c>
      <c r="Y1781" t="str">
        <f t="shared" ca="1" si="605"/>
        <v>Morning</v>
      </c>
      <c r="Z1781" t="str">
        <f t="shared" ca="1" si="606"/>
        <v>CT Scanner</v>
      </c>
      <c r="AA1781" t="str">
        <f t="shared" ca="1" si="607"/>
        <v>Available</v>
      </c>
      <c r="AB1781" t="str">
        <f t="shared" ca="1" si="608"/>
        <v>Pending</v>
      </c>
      <c r="AC1781" t="str">
        <f t="shared" ca="1" si="609"/>
        <v>Bank Transfer</v>
      </c>
      <c r="AD1781" t="str">
        <f t="shared" ca="1" si="610"/>
        <v>No</v>
      </c>
      <c r="AE1781" t="str">
        <f t="shared" ca="1" si="611"/>
        <v>Yes</v>
      </c>
      <c r="AF1781" t="str">
        <f t="shared" ca="1" si="612"/>
        <v>Transferred</v>
      </c>
      <c r="AG1781" t="str">
        <f t="shared" ca="1" si="613"/>
        <v>Northeast</v>
      </c>
      <c r="AH1781" t="str">
        <f t="shared" si="596"/>
        <v>October</v>
      </c>
      <c r="AI1781">
        <f t="shared" si="597"/>
        <v>2023</v>
      </c>
      <c r="AJ1781" t="str">
        <f t="shared" ca="1" si="614"/>
        <v>Occupied</v>
      </c>
      <c r="AK1781">
        <f t="shared" ca="1" si="615"/>
        <v>2</v>
      </c>
    </row>
    <row r="1782" spans="1:37" x14ac:dyDescent="0.3">
      <c r="A1782" t="s">
        <v>6162</v>
      </c>
      <c r="B1782">
        <v>54</v>
      </c>
      <c r="C1782" t="s">
        <v>32</v>
      </c>
      <c r="D1782" t="s">
        <v>98</v>
      </c>
      <c r="E1782" t="s">
        <v>64</v>
      </c>
      <c r="F1782" s="1">
        <v>44503</v>
      </c>
      <c r="G1782" t="s">
        <v>3543</v>
      </c>
      <c r="H1782" t="s">
        <v>3544</v>
      </c>
      <c r="I1782" t="s">
        <v>57</v>
      </c>
      <c r="J1782">
        <v>7232</v>
      </c>
      <c r="K1782">
        <v>160</v>
      </c>
      <c r="L1782" t="s">
        <v>29</v>
      </c>
      <c r="M1782" s="1">
        <v>44525</v>
      </c>
      <c r="N1782" t="s">
        <v>67</v>
      </c>
      <c r="O1782" t="s">
        <v>31</v>
      </c>
      <c r="P1782" t="str">
        <f t="shared" si="598"/>
        <v>P1781</v>
      </c>
      <c r="Q1782" t="str">
        <f t="shared" si="594"/>
        <v>Cardiology</v>
      </c>
      <c r="R1782">
        <f t="shared" si="595"/>
        <v>22</v>
      </c>
      <c r="S1782" t="str">
        <f t="shared" ca="1" si="599"/>
        <v>No</v>
      </c>
      <c r="T1782" t="str">
        <f t="shared" ca="1" si="600"/>
        <v>Mild</v>
      </c>
      <c r="U1782" t="str">
        <f t="shared" ca="1" si="601"/>
        <v>ICU</v>
      </c>
      <c r="V1782" t="str">
        <f t="shared" si="602"/>
        <v>BED1781</v>
      </c>
      <c r="W1782" t="str">
        <f t="shared" ca="1" si="603"/>
        <v>General</v>
      </c>
      <c r="X1782" t="str">
        <f t="shared" si="604"/>
        <v>NUR031</v>
      </c>
      <c r="Y1782" t="str">
        <f t="shared" ca="1" si="605"/>
        <v>Night</v>
      </c>
      <c r="Z1782" t="str">
        <f t="shared" ca="1" si="606"/>
        <v>CT Scanner</v>
      </c>
      <c r="AA1782" t="str">
        <f t="shared" ca="1" si="607"/>
        <v>In Use</v>
      </c>
      <c r="AB1782" t="str">
        <f t="shared" ca="1" si="608"/>
        <v>Pending</v>
      </c>
      <c r="AC1782" t="str">
        <f t="shared" ca="1" si="609"/>
        <v>Cash</v>
      </c>
      <c r="AD1782" t="str">
        <f t="shared" ca="1" si="610"/>
        <v>No</v>
      </c>
      <c r="AE1782" t="str">
        <f t="shared" ca="1" si="611"/>
        <v>No</v>
      </c>
      <c r="AF1782" t="str">
        <f t="shared" ca="1" si="612"/>
        <v>Transferred</v>
      </c>
      <c r="AG1782" t="str">
        <f t="shared" ca="1" si="613"/>
        <v>West Coast</v>
      </c>
      <c r="AH1782" t="str">
        <f t="shared" si="596"/>
        <v>November</v>
      </c>
      <c r="AI1782">
        <f t="shared" si="597"/>
        <v>2021</v>
      </c>
      <c r="AJ1782" t="str">
        <f t="shared" ca="1" si="614"/>
        <v>Occupied</v>
      </c>
      <c r="AK1782">
        <f t="shared" ca="1" si="615"/>
        <v>2</v>
      </c>
    </row>
    <row r="1783" spans="1:37" x14ac:dyDescent="0.3">
      <c r="A1783" t="s">
        <v>6163</v>
      </c>
      <c r="B1783">
        <v>68</v>
      </c>
      <c r="C1783" t="s">
        <v>15</v>
      </c>
      <c r="D1783" t="s">
        <v>33</v>
      </c>
      <c r="E1783" t="s">
        <v>76</v>
      </c>
      <c r="F1783" s="1">
        <v>44583</v>
      </c>
      <c r="G1783" t="s">
        <v>3545</v>
      </c>
      <c r="H1783" t="s">
        <v>3546</v>
      </c>
      <c r="I1783" t="s">
        <v>20</v>
      </c>
      <c r="J1783">
        <v>25344</v>
      </c>
      <c r="K1783">
        <v>223</v>
      </c>
      <c r="L1783" t="s">
        <v>29</v>
      </c>
      <c r="M1783" s="1">
        <v>44590</v>
      </c>
      <c r="N1783" t="s">
        <v>37</v>
      </c>
      <c r="O1783" t="s">
        <v>43</v>
      </c>
      <c r="P1783" t="str">
        <f t="shared" si="598"/>
        <v>P1782</v>
      </c>
      <c r="Q1783" t="str">
        <f t="shared" si="594"/>
        <v>Orthopedics</v>
      </c>
      <c r="R1783">
        <f t="shared" si="595"/>
        <v>7</v>
      </c>
      <c r="S1783" t="str">
        <f t="shared" ca="1" si="599"/>
        <v>No</v>
      </c>
      <c r="T1783" t="str">
        <f t="shared" ca="1" si="600"/>
        <v>Severe</v>
      </c>
      <c r="U1783" t="str">
        <f t="shared" ca="1" si="601"/>
        <v>General Ward</v>
      </c>
      <c r="V1783" t="str">
        <f t="shared" si="602"/>
        <v>BED1782</v>
      </c>
      <c r="W1783" t="str">
        <f t="shared" ca="1" si="603"/>
        <v>ICU</v>
      </c>
      <c r="X1783" t="str">
        <f t="shared" si="604"/>
        <v>NUR032</v>
      </c>
      <c r="Y1783" t="str">
        <f t="shared" ca="1" si="605"/>
        <v>Night</v>
      </c>
      <c r="Z1783" t="str">
        <f t="shared" ca="1" si="606"/>
        <v>CT Scanner</v>
      </c>
      <c r="AA1783" t="str">
        <f t="shared" ca="1" si="607"/>
        <v>In Use</v>
      </c>
      <c r="AB1783" t="str">
        <f t="shared" ca="1" si="608"/>
        <v>Partially Paid</v>
      </c>
      <c r="AC1783" t="str">
        <f t="shared" ca="1" si="609"/>
        <v>Credit Card</v>
      </c>
      <c r="AD1783" t="str">
        <f t="shared" ca="1" si="610"/>
        <v>No</v>
      </c>
      <c r="AE1783" t="str">
        <f t="shared" ca="1" si="611"/>
        <v>No</v>
      </c>
      <c r="AF1783" t="str">
        <f t="shared" ca="1" si="612"/>
        <v>Transferred</v>
      </c>
      <c r="AG1783" t="str">
        <f t="shared" ca="1" si="613"/>
        <v>Southwest</v>
      </c>
      <c r="AH1783" t="str">
        <f t="shared" si="596"/>
        <v>January</v>
      </c>
      <c r="AI1783">
        <f t="shared" si="597"/>
        <v>2022</v>
      </c>
      <c r="AJ1783" t="str">
        <f t="shared" ca="1" si="614"/>
        <v>Occupied</v>
      </c>
      <c r="AK1783">
        <f t="shared" ca="1" si="615"/>
        <v>2</v>
      </c>
    </row>
    <row r="1784" spans="1:37" x14ac:dyDescent="0.3">
      <c r="A1784" t="s">
        <v>6164</v>
      </c>
      <c r="B1784">
        <v>67</v>
      </c>
      <c r="C1784" t="s">
        <v>15</v>
      </c>
      <c r="D1784" t="s">
        <v>52</v>
      </c>
      <c r="E1784" t="s">
        <v>25</v>
      </c>
      <c r="F1784" s="1">
        <v>44981</v>
      </c>
      <c r="G1784" t="s">
        <v>3547</v>
      </c>
      <c r="H1784" t="s">
        <v>3548</v>
      </c>
      <c r="I1784" t="s">
        <v>20</v>
      </c>
      <c r="J1784">
        <v>22457</v>
      </c>
      <c r="K1784">
        <v>378</v>
      </c>
      <c r="L1784" t="s">
        <v>42</v>
      </c>
      <c r="M1784" s="1">
        <v>45005</v>
      </c>
      <c r="N1784" t="s">
        <v>30</v>
      </c>
      <c r="O1784" t="s">
        <v>31</v>
      </c>
      <c r="P1784" t="str">
        <f t="shared" si="598"/>
        <v>P1783</v>
      </c>
      <c r="Q1784" t="str">
        <f t="shared" si="594"/>
        <v>Nutrition</v>
      </c>
      <c r="R1784">
        <f t="shared" si="595"/>
        <v>24</v>
      </c>
      <c r="S1784" t="str">
        <f t="shared" ca="1" si="599"/>
        <v>Yes</v>
      </c>
      <c r="T1784" t="str">
        <f t="shared" ca="1" si="600"/>
        <v>Moderate</v>
      </c>
      <c r="U1784" t="str">
        <f t="shared" ca="1" si="601"/>
        <v>Semi-Private</v>
      </c>
      <c r="V1784" t="str">
        <f t="shared" si="602"/>
        <v>BED1783</v>
      </c>
      <c r="W1784" t="str">
        <f t="shared" ca="1" si="603"/>
        <v>Semi-Private</v>
      </c>
      <c r="X1784" t="str">
        <f t="shared" si="604"/>
        <v>NUR033</v>
      </c>
      <c r="Y1784" t="str">
        <f t="shared" ca="1" si="605"/>
        <v>Evening</v>
      </c>
      <c r="Z1784" t="str">
        <f t="shared" ca="1" si="606"/>
        <v>Ultrasound</v>
      </c>
      <c r="AA1784" t="str">
        <f t="shared" ca="1" si="607"/>
        <v>In Use</v>
      </c>
      <c r="AB1784" t="str">
        <f t="shared" ca="1" si="608"/>
        <v>Pending</v>
      </c>
      <c r="AC1784" t="str">
        <f t="shared" ca="1" si="609"/>
        <v>Debit Card</v>
      </c>
      <c r="AD1784" t="str">
        <f t="shared" ca="1" si="610"/>
        <v>No</v>
      </c>
      <c r="AE1784" t="str">
        <f t="shared" ca="1" si="611"/>
        <v>No</v>
      </c>
      <c r="AF1784" t="str">
        <f t="shared" ca="1" si="612"/>
        <v>Transferred</v>
      </c>
      <c r="AG1784" t="str">
        <f t="shared" ca="1" si="613"/>
        <v>Southwest</v>
      </c>
      <c r="AH1784" t="str">
        <f t="shared" si="596"/>
        <v>February</v>
      </c>
      <c r="AI1784">
        <f t="shared" si="597"/>
        <v>2023</v>
      </c>
      <c r="AJ1784" t="str">
        <f t="shared" ca="1" si="614"/>
        <v>Occupied</v>
      </c>
      <c r="AK1784">
        <f t="shared" ca="1" si="615"/>
        <v>2</v>
      </c>
    </row>
    <row r="1785" spans="1:37" x14ac:dyDescent="0.3">
      <c r="A1785" t="s">
        <v>6165</v>
      </c>
      <c r="B1785">
        <v>75</v>
      </c>
      <c r="C1785" t="s">
        <v>32</v>
      </c>
      <c r="D1785" t="s">
        <v>98</v>
      </c>
      <c r="E1785" t="s">
        <v>17</v>
      </c>
      <c r="F1785" s="1">
        <v>44847</v>
      </c>
      <c r="G1785" t="s">
        <v>3549</v>
      </c>
      <c r="H1785" t="s">
        <v>3550</v>
      </c>
      <c r="I1785" t="s">
        <v>36</v>
      </c>
      <c r="J1785">
        <v>2473</v>
      </c>
      <c r="K1785">
        <v>389</v>
      </c>
      <c r="L1785" t="s">
        <v>21</v>
      </c>
      <c r="M1785" s="1">
        <v>44873</v>
      </c>
      <c r="N1785" t="s">
        <v>30</v>
      </c>
      <c r="O1785" t="s">
        <v>43</v>
      </c>
      <c r="P1785" t="str">
        <f t="shared" si="598"/>
        <v>P1784</v>
      </c>
      <c r="Q1785" t="str">
        <f t="shared" si="594"/>
        <v>Oncology</v>
      </c>
      <c r="R1785">
        <f t="shared" si="595"/>
        <v>26</v>
      </c>
      <c r="S1785" t="str">
        <f t="shared" ca="1" si="599"/>
        <v>No</v>
      </c>
      <c r="T1785" t="str">
        <f t="shared" ca="1" si="600"/>
        <v>Critical</v>
      </c>
      <c r="U1785" t="str">
        <f t="shared" ca="1" si="601"/>
        <v>Semi-Private</v>
      </c>
      <c r="V1785" t="str">
        <f t="shared" si="602"/>
        <v>BED1784</v>
      </c>
      <c r="W1785" t="str">
        <f t="shared" ca="1" si="603"/>
        <v>General</v>
      </c>
      <c r="X1785" t="str">
        <f t="shared" si="604"/>
        <v>NUR034</v>
      </c>
      <c r="Y1785" t="str">
        <f t="shared" ca="1" si="605"/>
        <v>Evening</v>
      </c>
      <c r="Z1785" t="str">
        <f t="shared" ca="1" si="606"/>
        <v>Ventilator</v>
      </c>
      <c r="AA1785" t="str">
        <f t="shared" ca="1" si="607"/>
        <v>Maintenance</v>
      </c>
      <c r="AB1785" t="str">
        <f t="shared" ca="1" si="608"/>
        <v>Partially Paid</v>
      </c>
      <c r="AC1785" t="str">
        <f t="shared" ca="1" si="609"/>
        <v>Bank Transfer</v>
      </c>
      <c r="AD1785" t="str">
        <f t="shared" ca="1" si="610"/>
        <v>No</v>
      </c>
      <c r="AE1785" t="str">
        <f t="shared" ca="1" si="611"/>
        <v>No</v>
      </c>
      <c r="AF1785" t="str">
        <f t="shared" ca="1" si="612"/>
        <v>Recovered</v>
      </c>
      <c r="AG1785" t="str">
        <f t="shared" ca="1" si="613"/>
        <v>Southeast</v>
      </c>
      <c r="AH1785" t="str">
        <f t="shared" si="596"/>
        <v>October</v>
      </c>
      <c r="AI1785">
        <f t="shared" si="597"/>
        <v>2022</v>
      </c>
      <c r="AJ1785" t="str">
        <f t="shared" ca="1" si="614"/>
        <v>Occupied</v>
      </c>
      <c r="AK1785">
        <f t="shared" ca="1" si="615"/>
        <v>4</v>
      </c>
    </row>
    <row r="1786" spans="1:37" x14ac:dyDescent="0.3">
      <c r="A1786" t="s">
        <v>6166</v>
      </c>
      <c r="B1786">
        <v>46</v>
      </c>
      <c r="C1786" t="s">
        <v>15</v>
      </c>
      <c r="D1786" t="s">
        <v>83</v>
      </c>
      <c r="E1786" t="s">
        <v>48</v>
      </c>
      <c r="F1786" s="1">
        <v>43827</v>
      </c>
      <c r="G1786" t="s">
        <v>3551</v>
      </c>
      <c r="H1786" t="s">
        <v>3552</v>
      </c>
      <c r="I1786" t="s">
        <v>51</v>
      </c>
      <c r="J1786">
        <v>10485</v>
      </c>
      <c r="K1786">
        <v>337</v>
      </c>
      <c r="L1786" t="s">
        <v>21</v>
      </c>
      <c r="M1786" s="1">
        <v>43831</v>
      </c>
      <c r="N1786" t="s">
        <v>37</v>
      </c>
      <c r="O1786" t="s">
        <v>23</v>
      </c>
      <c r="P1786" t="str">
        <f t="shared" si="598"/>
        <v>P1785</v>
      </c>
      <c r="Q1786" t="str">
        <f t="shared" si="594"/>
        <v>Pulmonology</v>
      </c>
      <c r="R1786">
        <f t="shared" si="595"/>
        <v>4</v>
      </c>
      <c r="S1786" t="str">
        <f t="shared" ca="1" si="599"/>
        <v>No</v>
      </c>
      <c r="T1786" t="str">
        <f t="shared" ca="1" si="600"/>
        <v>Mild</v>
      </c>
      <c r="U1786" t="str">
        <f t="shared" ca="1" si="601"/>
        <v>Semi-Private</v>
      </c>
      <c r="V1786" t="str">
        <f t="shared" si="602"/>
        <v>BED1785</v>
      </c>
      <c r="W1786" t="str">
        <f t="shared" ca="1" si="603"/>
        <v>ICU</v>
      </c>
      <c r="X1786" t="str">
        <f t="shared" si="604"/>
        <v>NUR035</v>
      </c>
      <c r="Y1786" t="str">
        <f t="shared" ca="1" si="605"/>
        <v>Evening</v>
      </c>
      <c r="Z1786" t="str">
        <f t="shared" ca="1" si="606"/>
        <v>CT Scanner</v>
      </c>
      <c r="AA1786" t="str">
        <f t="shared" ca="1" si="607"/>
        <v>In Use</v>
      </c>
      <c r="AB1786" t="str">
        <f t="shared" ca="1" si="608"/>
        <v>Pending</v>
      </c>
      <c r="AC1786" t="str">
        <f t="shared" ca="1" si="609"/>
        <v>Debit Card</v>
      </c>
      <c r="AD1786" t="str">
        <f t="shared" ca="1" si="610"/>
        <v>No</v>
      </c>
      <c r="AE1786" t="str">
        <f t="shared" ca="1" si="611"/>
        <v>No</v>
      </c>
      <c r="AF1786" t="str">
        <f t="shared" ca="1" si="612"/>
        <v>Transferred</v>
      </c>
      <c r="AG1786" t="str">
        <f t="shared" ca="1" si="613"/>
        <v>Southwest</v>
      </c>
      <c r="AH1786" t="str">
        <f t="shared" si="596"/>
        <v>December</v>
      </c>
      <c r="AI1786">
        <f t="shared" si="597"/>
        <v>2019</v>
      </c>
      <c r="AJ1786" t="str">
        <f t="shared" ca="1" si="614"/>
        <v>Occupied</v>
      </c>
      <c r="AK1786">
        <f t="shared" ca="1" si="615"/>
        <v>1</v>
      </c>
    </row>
    <row r="1787" spans="1:37" x14ac:dyDescent="0.3">
      <c r="A1787" t="s">
        <v>6167</v>
      </c>
      <c r="B1787">
        <v>72</v>
      </c>
      <c r="C1787" t="s">
        <v>32</v>
      </c>
      <c r="D1787" t="s">
        <v>33</v>
      </c>
      <c r="E1787" t="s">
        <v>39</v>
      </c>
      <c r="F1787" s="1">
        <v>44091</v>
      </c>
      <c r="G1787" t="s">
        <v>3553</v>
      </c>
      <c r="H1787" t="s">
        <v>3554</v>
      </c>
      <c r="I1787" t="s">
        <v>28</v>
      </c>
      <c r="J1787">
        <v>14697</v>
      </c>
      <c r="K1787">
        <v>116</v>
      </c>
      <c r="L1787" t="s">
        <v>42</v>
      </c>
      <c r="M1787" s="1">
        <v>44095</v>
      </c>
      <c r="N1787" t="s">
        <v>37</v>
      </c>
      <c r="O1787" t="s">
        <v>31</v>
      </c>
      <c r="P1787" t="str">
        <f t="shared" si="598"/>
        <v>P1786</v>
      </c>
      <c r="Q1787" t="str">
        <f t="shared" si="594"/>
        <v>Endocrinology</v>
      </c>
      <c r="R1787">
        <f t="shared" si="595"/>
        <v>4</v>
      </c>
      <c r="S1787" t="str">
        <f t="shared" ca="1" si="599"/>
        <v>No</v>
      </c>
      <c r="T1787" t="str">
        <f t="shared" ca="1" si="600"/>
        <v>Critical</v>
      </c>
      <c r="U1787" t="str">
        <f t="shared" ca="1" si="601"/>
        <v>Private Ward</v>
      </c>
      <c r="V1787" t="str">
        <f t="shared" si="602"/>
        <v>BED1786</v>
      </c>
      <c r="W1787" t="str">
        <f t="shared" ca="1" si="603"/>
        <v>Semi-Private</v>
      </c>
      <c r="X1787" t="str">
        <f t="shared" si="604"/>
        <v>NUR036</v>
      </c>
      <c r="Y1787" t="str">
        <f t="shared" ca="1" si="605"/>
        <v>Evening</v>
      </c>
      <c r="Z1787" t="str">
        <f t="shared" ca="1" si="606"/>
        <v>ECG Machine</v>
      </c>
      <c r="AA1787" t="str">
        <f t="shared" ca="1" si="607"/>
        <v>Maintenance</v>
      </c>
      <c r="AB1787" t="str">
        <f t="shared" ca="1" si="608"/>
        <v>Partially Paid</v>
      </c>
      <c r="AC1787" t="str">
        <f t="shared" ca="1" si="609"/>
        <v>Cash</v>
      </c>
      <c r="AD1787" t="str">
        <f t="shared" ca="1" si="610"/>
        <v>No</v>
      </c>
      <c r="AE1787" t="str">
        <f t="shared" ca="1" si="611"/>
        <v>No</v>
      </c>
      <c r="AF1787" t="str">
        <f t="shared" ca="1" si="612"/>
        <v>Transferred</v>
      </c>
      <c r="AG1787" t="str">
        <f t="shared" ca="1" si="613"/>
        <v>Southeast</v>
      </c>
      <c r="AH1787" t="str">
        <f t="shared" si="596"/>
        <v>September</v>
      </c>
      <c r="AI1787">
        <f t="shared" si="597"/>
        <v>2020</v>
      </c>
      <c r="AJ1787" t="str">
        <f t="shared" ca="1" si="614"/>
        <v>Occupied</v>
      </c>
      <c r="AK1787">
        <f t="shared" ca="1" si="615"/>
        <v>4</v>
      </c>
    </row>
    <row r="1788" spans="1:37" x14ac:dyDescent="0.3">
      <c r="A1788" t="s">
        <v>6168</v>
      </c>
      <c r="B1788">
        <v>56</v>
      </c>
      <c r="C1788" t="s">
        <v>32</v>
      </c>
      <c r="D1788" t="s">
        <v>24</v>
      </c>
      <c r="E1788" t="s">
        <v>25</v>
      </c>
      <c r="F1788" s="1">
        <v>45054</v>
      </c>
      <c r="G1788" t="s">
        <v>3555</v>
      </c>
      <c r="H1788" t="s">
        <v>3556</v>
      </c>
      <c r="I1788" t="s">
        <v>20</v>
      </c>
      <c r="J1788">
        <v>13673</v>
      </c>
      <c r="K1788">
        <v>123</v>
      </c>
      <c r="L1788" t="s">
        <v>29</v>
      </c>
      <c r="M1788" s="1">
        <v>45064</v>
      </c>
      <c r="N1788" t="s">
        <v>30</v>
      </c>
      <c r="O1788" t="s">
        <v>23</v>
      </c>
      <c r="P1788" t="str">
        <f t="shared" si="598"/>
        <v>P1787</v>
      </c>
      <c r="Q1788" t="str">
        <f t="shared" si="594"/>
        <v>Nutrition</v>
      </c>
      <c r="R1788">
        <f t="shared" si="595"/>
        <v>10</v>
      </c>
      <c r="S1788" t="str">
        <f t="shared" ca="1" si="599"/>
        <v>No</v>
      </c>
      <c r="T1788" t="str">
        <f t="shared" ca="1" si="600"/>
        <v>Moderate</v>
      </c>
      <c r="U1788" t="str">
        <f t="shared" ca="1" si="601"/>
        <v>Emergency</v>
      </c>
      <c r="V1788" t="str">
        <f t="shared" si="602"/>
        <v>BED1787</v>
      </c>
      <c r="W1788" t="str">
        <f t="shared" ca="1" si="603"/>
        <v>General</v>
      </c>
      <c r="X1788" t="str">
        <f t="shared" si="604"/>
        <v>NUR037</v>
      </c>
      <c r="Y1788" t="str">
        <f t="shared" ca="1" si="605"/>
        <v>Night</v>
      </c>
      <c r="Z1788" t="str">
        <f t="shared" ca="1" si="606"/>
        <v>X-Ray</v>
      </c>
      <c r="AA1788" t="str">
        <f t="shared" ca="1" si="607"/>
        <v>Available</v>
      </c>
      <c r="AB1788" t="str">
        <f t="shared" ca="1" si="608"/>
        <v>Pending</v>
      </c>
      <c r="AC1788" t="str">
        <f t="shared" ca="1" si="609"/>
        <v>Cash</v>
      </c>
      <c r="AD1788" t="str">
        <f t="shared" ca="1" si="610"/>
        <v>No</v>
      </c>
      <c r="AE1788" t="str">
        <f t="shared" ca="1" si="611"/>
        <v>No</v>
      </c>
      <c r="AF1788" t="str">
        <f t="shared" ca="1" si="612"/>
        <v>Transferred</v>
      </c>
      <c r="AG1788" t="str">
        <f t="shared" ca="1" si="613"/>
        <v>Midwest</v>
      </c>
      <c r="AH1788" t="str">
        <f t="shared" si="596"/>
        <v>May</v>
      </c>
      <c r="AI1788">
        <f t="shared" si="597"/>
        <v>2023</v>
      </c>
      <c r="AJ1788" t="str">
        <f t="shared" ca="1" si="614"/>
        <v>Vacant</v>
      </c>
      <c r="AK1788">
        <f t="shared" ca="1" si="615"/>
        <v>2</v>
      </c>
    </row>
    <row r="1789" spans="1:37" x14ac:dyDescent="0.3">
      <c r="A1789" t="s">
        <v>6169</v>
      </c>
      <c r="B1789">
        <v>53</v>
      </c>
      <c r="C1789" t="s">
        <v>32</v>
      </c>
      <c r="D1789" t="s">
        <v>98</v>
      </c>
      <c r="E1789" t="s">
        <v>76</v>
      </c>
      <c r="F1789" s="1">
        <v>44868</v>
      </c>
      <c r="G1789" t="s">
        <v>3557</v>
      </c>
      <c r="H1789" t="s">
        <v>3558</v>
      </c>
      <c r="I1789" t="s">
        <v>36</v>
      </c>
      <c r="J1789">
        <v>41464</v>
      </c>
      <c r="K1789">
        <v>300</v>
      </c>
      <c r="L1789" t="s">
        <v>42</v>
      </c>
      <c r="M1789" s="1">
        <v>44878</v>
      </c>
      <c r="N1789" t="s">
        <v>37</v>
      </c>
      <c r="O1789" t="s">
        <v>23</v>
      </c>
      <c r="P1789" t="str">
        <f t="shared" si="598"/>
        <v>P1788</v>
      </c>
      <c r="Q1789" t="str">
        <f t="shared" si="594"/>
        <v>Orthopedics</v>
      </c>
      <c r="R1789">
        <f t="shared" si="595"/>
        <v>10</v>
      </c>
      <c r="S1789" t="str">
        <f t="shared" ca="1" si="599"/>
        <v>No</v>
      </c>
      <c r="T1789" t="str">
        <f t="shared" ca="1" si="600"/>
        <v>Mild</v>
      </c>
      <c r="U1789" t="str">
        <f t="shared" ca="1" si="601"/>
        <v>Emergency</v>
      </c>
      <c r="V1789" t="str">
        <f t="shared" si="602"/>
        <v>BED1788</v>
      </c>
      <c r="W1789" t="str">
        <f t="shared" ca="1" si="603"/>
        <v>Private</v>
      </c>
      <c r="X1789" t="str">
        <f t="shared" si="604"/>
        <v>NUR038</v>
      </c>
      <c r="Y1789" t="str">
        <f t="shared" ca="1" si="605"/>
        <v>Morning</v>
      </c>
      <c r="Z1789" t="str">
        <f t="shared" ca="1" si="606"/>
        <v>X-Ray</v>
      </c>
      <c r="AA1789" t="str">
        <f t="shared" ca="1" si="607"/>
        <v>Available</v>
      </c>
      <c r="AB1789" t="str">
        <f t="shared" ca="1" si="608"/>
        <v>Partially Paid</v>
      </c>
      <c r="AC1789" t="str">
        <f t="shared" ca="1" si="609"/>
        <v>Insurance</v>
      </c>
      <c r="AD1789" t="str">
        <f t="shared" ca="1" si="610"/>
        <v>No</v>
      </c>
      <c r="AE1789" t="str">
        <f t="shared" ca="1" si="611"/>
        <v>No</v>
      </c>
      <c r="AF1789" t="str">
        <f t="shared" ca="1" si="612"/>
        <v>Under Observation</v>
      </c>
      <c r="AG1789" t="str">
        <f t="shared" ca="1" si="613"/>
        <v>Midwest</v>
      </c>
      <c r="AH1789" t="str">
        <f t="shared" si="596"/>
        <v>November</v>
      </c>
      <c r="AI1789">
        <f t="shared" si="597"/>
        <v>2022</v>
      </c>
      <c r="AJ1789" t="str">
        <f t="shared" ca="1" si="614"/>
        <v>Occupied</v>
      </c>
      <c r="AK1789">
        <f t="shared" ca="1" si="615"/>
        <v>4</v>
      </c>
    </row>
    <row r="1790" spans="1:37" x14ac:dyDescent="0.3">
      <c r="A1790" t="s">
        <v>6170</v>
      </c>
      <c r="B1790">
        <v>72</v>
      </c>
      <c r="C1790" t="s">
        <v>32</v>
      </c>
      <c r="D1790" t="s">
        <v>83</v>
      </c>
      <c r="E1790" t="s">
        <v>64</v>
      </c>
      <c r="F1790" s="1">
        <v>44441</v>
      </c>
      <c r="G1790" t="s">
        <v>3559</v>
      </c>
      <c r="H1790" t="s">
        <v>3560</v>
      </c>
      <c r="I1790" t="s">
        <v>57</v>
      </c>
      <c r="J1790">
        <v>7459</v>
      </c>
      <c r="K1790">
        <v>333</v>
      </c>
      <c r="L1790" t="s">
        <v>29</v>
      </c>
      <c r="M1790" s="1">
        <v>44471</v>
      </c>
      <c r="N1790" t="s">
        <v>30</v>
      </c>
      <c r="O1790" t="s">
        <v>23</v>
      </c>
      <c r="P1790" t="str">
        <f t="shared" si="598"/>
        <v>P1789</v>
      </c>
      <c r="Q1790" t="str">
        <f t="shared" si="594"/>
        <v>Cardiology</v>
      </c>
      <c r="R1790">
        <f t="shared" si="595"/>
        <v>30</v>
      </c>
      <c r="S1790" t="str">
        <f t="shared" ca="1" si="599"/>
        <v>No</v>
      </c>
      <c r="T1790" t="str">
        <f t="shared" ca="1" si="600"/>
        <v>Critical</v>
      </c>
      <c r="U1790" t="str">
        <f t="shared" ca="1" si="601"/>
        <v>Emergency</v>
      </c>
      <c r="V1790" t="str">
        <f t="shared" si="602"/>
        <v>BED1789</v>
      </c>
      <c r="W1790" t="str">
        <f t="shared" ca="1" si="603"/>
        <v>ICU</v>
      </c>
      <c r="X1790" t="str">
        <f t="shared" si="604"/>
        <v>NUR039</v>
      </c>
      <c r="Y1790" t="str">
        <f t="shared" ca="1" si="605"/>
        <v>Morning</v>
      </c>
      <c r="Z1790" t="str">
        <f t="shared" ca="1" si="606"/>
        <v>Ventilator</v>
      </c>
      <c r="AA1790" t="str">
        <f t="shared" ca="1" si="607"/>
        <v>Maintenance</v>
      </c>
      <c r="AB1790" t="str">
        <f t="shared" ca="1" si="608"/>
        <v>Paid</v>
      </c>
      <c r="AC1790" t="str">
        <f t="shared" ca="1" si="609"/>
        <v>Debit Card</v>
      </c>
      <c r="AD1790" t="str">
        <f t="shared" ca="1" si="610"/>
        <v>No</v>
      </c>
      <c r="AE1790" t="str">
        <f t="shared" ca="1" si="611"/>
        <v>Yes</v>
      </c>
      <c r="AF1790" t="str">
        <f t="shared" ca="1" si="612"/>
        <v>Under Observation</v>
      </c>
      <c r="AG1790" t="str">
        <f t="shared" ca="1" si="613"/>
        <v>Northeast</v>
      </c>
      <c r="AH1790" t="str">
        <f t="shared" si="596"/>
        <v>September</v>
      </c>
      <c r="AI1790">
        <f t="shared" si="597"/>
        <v>2021</v>
      </c>
      <c r="AJ1790" t="str">
        <f t="shared" ca="1" si="614"/>
        <v>Occupied</v>
      </c>
      <c r="AK1790">
        <f t="shared" ca="1" si="615"/>
        <v>2</v>
      </c>
    </row>
    <row r="1791" spans="1:37" x14ac:dyDescent="0.3">
      <c r="A1791" t="s">
        <v>6171</v>
      </c>
      <c r="B1791">
        <v>58</v>
      </c>
      <c r="C1791" t="s">
        <v>15</v>
      </c>
      <c r="D1791" t="s">
        <v>44</v>
      </c>
      <c r="E1791" t="s">
        <v>17</v>
      </c>
      <c r="F1791" s="1">
        <v>44240</v>
      </c>
      <c r="G1791" t="s">
        <v>3561</v>
      </c>
      <c r="H1791" t="s">
        <v>3562</v>
      </c>
      <c r="I1791" t="s">
        <v>51</v>
      </c>
      <c r="J1791">
        <v>28442</v>
      </c>
      <c r="K1791">
        <v>463</v>
      </c>
      <c r="L1791" t="s">
        <v>21</v>
      </c>
      <c r="M1791" s="1">
        <v>44257</v>
      </c>
      <c r="N1791" t="s">
        <v>30</v>
      </c>
      <c r="O1791" t="s">
        <v>43</v>
      </c>
      <c r="P1791" t="str">
        <f t="shared" si="598"/>
        <v>P1790</v>
      </c>
      <c r="Q1791" t="str">
        <f t="shared" si="594"/>
        <v>Oncology</v>
      </c>
      <c r="R1791">
        <f t="shared" si="595"/>
        <v>17</v>
      </c>
      <c r="S1791" t="str">
        <f t="shared" ca="1" si="599"/>
        <v>No</v>
      </c>
      <c r="T1791" t="str">
        <f t="shared" ca="1" si="600"/>
        <v>Moderate</v>
      </c>
      <c r="U1791" t="str">
        <f t="shared" ca="1" si="601"/>
        <v>Private Ward</v>
      </c>
      <c r="V1791" t="str">
        <f t="shared" si="602"/>
        <v>BED1790</v>
      </c>
      <c r="W1791" t="str">
        <f t="shared" ca="1" si="603"/>
        <v>Private</v>
      </c>
      <c r="X1791" t="str">
        <f t="shared" si="604"/>
        <v>NUR040</v>
      </c>
      <c r="Y1791" t="str">
        <f t="shared" ca="1" si="605"/>
        <v>Morning</v>
      </c>
      <c r="Z1791" t="str">
        <f t="shared" ca="1" si="606"/>
        <v>X-Ray</v>
      </c>
      <c r="AA1791" t="str">
        <f t="shared" ca="1" si="607"/>
        <v>Available</v>
      </c>
      <c r="AB1791" t="str">
        <f t="shared" ca="1" si="608"/>
        <v>Partially Paid</v>
      </c>
      <c r="AC1791" t="str">
        <f t="shared" ca="1" si="609"/>
        <v>Credit Card</v>
      </c>
      <c r="AD1791" t="str">
        <f t="shared" ca="1" si="610"/>
        <v>No</v>
      </c>
      <c r="AE1791" t="str">
        <f t="shared" ca="1" si="611"/>
        <v>Yes</v>
      </c>
      <c r="AF1791" t="str">
        <f t="shared" ca="1" si="612"/>
        <v>Under Observation</v>
      </c>
      <c r="AG1791" t="str">
        <f t="shared" ca="1" si="613"/>
        <v>Southwest</v>
      </c>
      <c r="AH1791" t="str">
        <f t="shared" si="596"/>
        <v>February</v>
      </c>
      <c r="AI1791">
        <f t="shared" si="597"/>
        <v>2021</v>
      </c>
      <c r="AJ1791" t="str">
        <f t="shared" ca="1" si="614"/>
        <v>Occupied</v>
      </c>
      <c r="AK1791">
        <f t="shared" ca="1" si="615"/>
        <v>4</v>
      </c>
    </row>
    <row r="1792" spans="1:37" x14ac:dyDescent="0.3">
      <c r="A1792" t="s">
        <v>6172</v>
      </c>
      <c r="B1792">
        <v>69</v>
      </c>
      <c r="C1792" t="s">
        <v>32</v>
      </c>
      <c r="D1792" t="s">
        <v>52</v>
      </c>
      <c r="E1792" t="s">
        <v>39</v>
      </c>
      <c r="F1792" s="1">
        <v>44628</v>
      </c>
      <c r="G1792" t="s">
        <v>3563</v>
      </c>
      <c r="H1792" t="s">
        <v>3564</v>
      </c>
      <c r="I1792" t="s">
        <v>36</v>
      </c>
      <c r="J1792">
        <v>28181</v>
      </c>
      <c r="K1792">
        <v>380</v>
      </c>
      <c r="L1792" t="s">
        <v>42</v>
      </c>
      <c r="M1792" s="1">
        <v>44655</v>
      </c>
      <c r="N1792" t="s">
        <v>30</v>
      </c>
      <c r="O1792" t="s">
        <v>43</v>
      </c>
      <c r="P1792" t="str">
        <f t="shared" si="598"/>
        <v>P1791</v>
      </c>
      <c r="Q1792" t="str">
        <f t="shared" si="594"/>
        <v>Endocrinology</v>
      </c>
      <c r="R1792">
        <f t="shared" si="595"/>
        <v>27</v>
      </c>
      <c r="S1792" t="str">
        <f t="shared" ca="1" si="599"/>
        <v>No</v>
      </c>
      <c r="T1792" t="str">
        <f t="shared" ca="1" si="600"/>
        <v>Moderate</v>
      </c>
      <c r="U1792" t="str">
        <f t="shared" ca="1" si="601"/>
        <v>Emergency</v>
      </c>
      <c r="V1792" t="str">
        <f t="shared" si="602"/>
        <v>BED1791</v>
      </c>
      <c r="W1792" t="str">
        <f t="shared" ca="1" si="603"/>
        <v>Semi-Private</v>
      </c>
      <c r="X1792" t="str">
        <f t="shared" si="604"/>
        <v>NUR041</v>
      </c>
      <c r="Y1792" t="str">
        <f t="shared" ca="1" si="605"/>
        <v>Night</v>
      </c>
      <c r="Z1792" t="str">
        <f t="shared" ca="1" si="606"/>
        <v>X-Ray</v>
      </c>
      <c r="AA1792" t="str">
        <f t="shared" ca="1" si="607"/>
        <v>Available</v>
      </c>
      <c r="AB1792" t="str">
        <f t="shared" ca="1" si="608"/>
        <v>Paid</v>
      </c>
      <c r="AC1792" t="str">
        <f t="shared" ca="1" si="609"/>
        <v>Credit Card</v>
      </c>
      <c r="AD1792" t="str">
        <f t="shared" ca="1" si="610"/>
        <v>Yes</v>
      </c>
      <c r="AE1792" t="str">
        <f t="shared" ca="1" si="611"/>
        <v>No</v>
      </c>
      <c r="AF1792" t="str">
        <f t="shared" ca="1" si="612"/>
        <v>Under Observation</v>
      </c>
      <c r="AG1792" t="str">
        <f t="shared" ca="1" si="613"/>
        <v>Southeast</v>
      </c>
      <c r="AH1792" t="str">
        <f t="shared" si="596"/>
        <v>March</v>
      </c>
      <c r="AI1792">
        <f t="shared" si="597"/>
        <v>2022</v>
      </c>
      <c r="AJ1792" t="str">
        <f t="shared" ca="1" si="614"/>
        <v>Occupied</v>
      </c>
      <c r="AK1792">
        <f t="shared" ca="1" si="615"/>
        <v>4</v>
      </c>
    </row>
    <row r="1793" spans="1:37" x14ac:dyDescent="0.3">
      <c r="A1793" t="s">
        <v>6173</v>
      </c>
      <c r="B1793">
        <v>77</v>
      </c>
      <c r="C1793" t="s">
        <v>32</v>
      </c>
      <c r="D1793" t="s">
        <v>83</v>
      </c>
      <c r="E1793" t="s">
        <v>39</v>
      </c>
      <c r="F1793" s="1">
        <v>44034</v>
      </c>
      <c r="G1793" t="s">
        <v>3565</v>
      </c>
      <c r="H1793" t="s">
        <v>3566</v>
      </c>
      <c r="I1793" t="s">
        <v>20</v>
      </c>
      <c r="J1793">
        <v>38314</v>
      </c>
      <c r="K1793">
        <v>247</v>
      </c>
      <c r="L1793" t="s">
        <v>29</v>
      </c>
      <c r="M1793" s="1">
        <v>44053</v>
      </c>
      <c r="N1793" t="s">
        <v>37</v>
      </c>
      <c r="O1793" t="s">
        <v>31</v>
      </c>
      <c r="P1793" t="str">
        <f t="shared" si="598"/>
        <v>P1792</v>
      </c>
      <c r="Q1793" t="str">
        <f t="shared" si="594"/>
        <v>Endocrinology</v>
      </c>
      <c r="R1793">
        <f t="shared" si="595"/>
        <v>19</v>
      </c>
      <c r="S1793" t="str">
        <f t="shared" ca="1" si="599"/>
        <v>No</v>
      </c>
      <c r="T1793" t="str">
        <f t="shared" ca="1" si="600"/>
        <v>Mild</v>
      </c>
      <c r="U1793" t="str">
        <f t="shared" ca="1" si="601"/>
        <v>ICU</v>
      </c>
      <c r="V1793" t="str">
        <f t="shared" si="602"/>
        <v>BED1792</v>
      </c>
      <c r="W1793" t="str">
        <f t="shared" ca="1" si="603"/>
        <v>Semi-Private</v>
      </c>
      <c r="X1793" t="str">
        <f t="shared" si="604"/>
        <v>NUR042</v>
      </c>
      <c r="Y1793" t="str">
        <f t="shared" ca="1" si="605"/>
        <v>Evening</v>
      </c>
      <c r="Z1793" t="str">
        <f t="shared" ca="1" si="606"/>
        <v>Ventilator</v>
      </c>
      <c r="AA1793" t="str">
        <f t="shared" ca="1" si="607"/>
        <v>Maintenance</v>
      </c>
      <c r="AB1793" t="str">
        <f t="shared" ca="1" si="608"/>
        <v>Paid</v>
      </c>
      <c r="AC1793" t="str">
        <f t="shared" ca="1" si="609"/>
        <v>Insurance</v>
      </c>
      <c r="AD1793" t="str">
        <f t="shared" ca="1" si="610"/>
        <v>No</v>
      </c>
      <c r="AE1793" t="str">
        <f t="shared" ca="1" si="611"/>
        <v>No</v>
      </c>
      <c r="AF1793" t="str">
        <f t="shared" ca="1" si="612"/>
        <v>Under Observation</v>
      </c>
      <c r="AG1793" t="str">
        <f t="shared" ca="1" si="613"/>
        <v>West Coast</v>
      </c>
      <c r="AH1793" t="str">
        <f t="shared" si="596"/>
        <v>July</v>
      </c>
      <c r="AI1793">
        <f t="shared" si="597"/>
        <v>2020</v>
      </c>
      <c r="AJ1793" t="str">
        <f t="shared" ca="1" si="614"/>
        <v>Occupied</v>
      </c>
      <c r="AK1793">
        <f t="shared" ca="1" si="615"/>
        <v>1</v>
      </c>
    </row>
    <row r="1794" spans="1:37" x14ac:dyDescent="0.3">
      <c r="A1794" t="s">
        <v>6174</v>
      </c>
      <c r="B1794">
        <v>18</v>
      </c>
      <c r="C1794" t="s">
        <v>15</v>
      </c>
      <c r="D1794" t="s">
        <v>98</v>
      </c>
      <c r="E1794" t="s">
        <v>17</v>
      </c>
      <c r="F1794" s="1">
        <v>44913</v>
      </c>
      <c r="G1794" t="s">
        <v>3567</v>
      </c>
      <c r="H1794" t="s">
        <v>3568</v>
      </c>
      <c r="I1794" t="s">
        <v>28</v>
      </c>
      <c r="J1794">
        <v>10707</v>
      </c>
      <c r="K1794">
        <v>357</v>
      </c>
      <c r="L1794" t="s">
        <v>29</v>
      </c>
      <c r="M1794" s="1">
        <v>44940</v>
      </c>
      <c r="N1794" t="s">
        <v>47</v>
      </c>
      <c r="O1794" t="s">
        <v>23</v>
      </c>
      <c r="P1794" t="str">
        <f t="shared" si="598"/>
        <v>P1793</v>
      </c>
      <c r="Q1794" t="str">
        <f t="shared" ref="Q1794:Q1857" si="616">IF(E1794="Cancer","Oncology",IF(E1794="Obesity","Nutrition",IF(E1794="Diabetes","Endocrinology",IF(E1794="Asthma","Pulmonology",IF(E1794="Arthritis","Orthopedics",IF(E1794="Hypertension","Cardiology","General Medicine"))))))</f>
        <v>Oncology</v>
      </c>
      <c r="R1794">
        <f t="shared" ref="R1794:R1857" si="617">M1794-F1794</f>
        <v>27</v>
      </c>
      <c r="S1794" t="str">
        <f t="shared" ca="1" si="599"/>
        <v>No</v>
      </c>
      <c r="T1794" t="str">
        <f t="shared" ca="1" si="600"/>
        <v>Severe</v>
      </c>
      <c r="U1794" t="str">
        <f t="shared" ca="1" si="601"/>
        <v>ICU</v>
      </c>
      <c r="V1794" t="str">
        <f t="shared" si="602"/>
        <v>BED1793</v>
      </c>
      <c r="W1794" t="str">
        <f t="shared" ca="1" si="603"/>
        <v>ICU</v>
      </c>
      <c r="X1794" t="str">
        <f t="shared" si="604"/>
        <v>NUR043</v>
      </c>
      <c r="Y1794" t="str">
        <f t="shared" ca="1" si="605"/>
        <v>Night</v>
      </c>
      <c r="Z1794" t="str">
        <f t="shared" ca="1" si="606"/>
        <v>MRI Scanner</v>
      </c>
      <c r="AA1794" t="str">
        <f t="shared" ca="1" si="607"/>
        <v>In Use</v>
      </c>
      <c r="AB1794" t="str">
        <f t="shared" ca="1" si="608"/>
        <v>Partially Paid</v>
      </c>
      <c r="AC1794" t="str">
        <f t="shared" ca="1" si="609"/>
        <v>Credit Card</v>
      </c>
      <c r="AD1794" t="str">
        <f t="shared" ca="1" si="610"/>
        <v>No</v>
      </c>
      <c r="AE1794" t="str">
        <f t="shared" ca="1" si="611"/>
        <v>No</v>
      </c>
      <c r="AF1794" t="str">
        <f t="shared" ca="1" si="612"/>
        <v>Transferred</v>
      </c>
      <c r="AG1794" t="str">
        <f t="shared" ca="1" si="613"/>
        <v>Midwest</v>
      </c>
      <c r="AH1794" t="str">
        <f t="shared" ref="AH1794:AH1857" si="618">TEXT(F1794,"MMMM")</f>
        <v>December</v>
      </c>
      <c r="AI1794">
        <f t="shared" ref="AI1794:AI1857" si="619">YEAR(F1794)</f>
        <v>2022</v>
      </c>
      <c r="AJ1794" t="str">
        <f t="shared" ca="1" si="614"/>
        <v>Occupied</v>
      </c>
      <c r="AK1794">
        <f t="shared" ca="1" si="615"/>
        <v>1</v>
      </c>
    </row>
    <row r="1795" spans="1:37" x14ac:dyDescent="0.3">
      <c r="A1795" t="s">
        <v>6175</v>
      </c>
      <c r="B1795">
        <v>83</v>
      </c>
      <c r="C1795" t="s">
        <v>32</v>
      </c>
      <c r="D1795" t="s">
        <v>98</v>
      </c>
      <c r="E1795" t="s">
        <v>39</v>
      </c>
      <c r="F1795" s="1">
        <v>44779</v>
      </c>
      <c r="G1795" t="s">
        <v>3569</v>
      </c>
      <c r="H1795" t="s">
        <v>3570</v>
      </c>
      <c r="I1795" t="s">
        <v>36</v>
      </c>
      <c r="J1795">
        <v>39004</v>
      </c>
      <c r="K1795">
        <v>201</v>
      </c>
      <c r="L1795" t="s">
        <v>29</v>
      </c>
      <c r="M1795" s="1">
        <v>44800</v>
      </c>
      <c r="N1795" t="s">
        <v>47</v>
      </c>
      <c r="O1795" t="s">
        <v>23</v>
      </c>
      <c r="P1795" t="str">
        <f t="shared" ref="P1795:P1858" si="620">"P"&amp;TEXT(ROW()-1,"0000")</f>
        <v>P1794</v>
      </c>
      <c r="Q1795" t="str">
        <f t="shared" si="616"/>
        <v>Endocrinology</v>
      </c>
      <c r="R1795">
        <f t="shared" si="617"/>
        <v>21</v>
      </c>
      <c r="S1795" t="str">
        <f t="shared" ref="S1795:S1858" ca="1" si="621">IF(RAND()&lt;0.1,"Yes","No")</f>
        <v>No</v>
      </c>
      <c r="T1795" t="str">
        <f t="shared" ref="T1795:T1858" ca="1" si="622">CHOOSE(RANDBETWEEN(1,4),"Mild","Moderate","Severe","Critical")</f>
        <v>Critical</v>
      </c>
      <c r="U1795" t="str">
        <f t="shared" ref="U1795:U1858" ca="1" si="623">CHOOSE(RANDBETWEEN(1,5),"General Ward","ICU","Emergency","Private Ward","Semi-Private")</f>
        <v>Emergency</v>
      </c>
      <c r="V1795" t="str">
        <f t="shared" ref="V1795:V1858" si="624">"BED"&amp;TEXT(ROW()-1,"0000")</f>
        <v>BED1794</v>
      </c>
      <c r="W1795" t="str">
        <f t="shared" ref="W1795:W1858" ca="1" si="625">CHOOSE(RANDBETWEEN(1,4),"General","Private","Semi-Private","ICU")</f>
        <v>General</v>
      </c>
      <c r="X1795" t="str">
        <f t="shared" ref="X1795:X1858" si="626">"NUR"&amp;TEXT(MOD(ROW()-2,50)+1,"000")</f>
        <v>NUR044</v>
      </c>
      <c r="Y1795" t="str">
        <f t="shared" ref="Y1795:Y1858" ca="1" si="627">CHOOSE(RANDBETWEEN(1,3),"Morning","Evening","Night")</f>
        <v>Evening</v>
      </c>
      <c r="Z1795" t="str">
        <f t="shared" ref="Z1795:Z1858" ca="1" si="628">CHOOSE(RANDBETWEEN(1,6),"MRI Scanner","CT Scanner","Ventilator","X-Ray","ECG Machine","Ultrasound")</f>
        <v>X-Ray</v>
      </c>
      <c r="AA1795" t="str">
        <f t="shared" ref="AA1795:AA1858" ca="1" si="629">CHOOSE(RANDBETWEEN(1,3),"Available","In Use","Maintenance")</f>
        <v>Available</v>
      </c>
      <c r="AB1795" t="str">
        <f t="shared" ref="AB1795:AB1858" ca="1" si="630">CHOOSE(RANDBETWEEN(1,3),"Paid","Pending","Partially Paid")</f>
        <v>Partially Paid</v>
      </c>
      <c r="AC1795" t="str">
        <f t="shared" ref="AC1795:AC1858" ca="1" si="631">CHOOSE(RANDBETWEEN(1,5),"Cash","Credit Card","Debit Card","Insurance","Bank Transfer")</f>
        <v>Debit Card</v>
      </c>
      <c r="AD1795" t="str">
        <f t="shared" ref="AD1795:AD1858" ca="1" si="632">IF(RAND()&lt;0.2,"Yes","No")</f>
        <v>Yes</v>
      </c>
      <c r="AE1795" t="str">
        <f t="shared" ref="AE1795:AE1858" ca="1" si="633">IF(RAND()&lt;0.15,"Yes","No")</f>
        <v>Yes</v>
      </c>
      <c r="AF1795" t="str">
        <f t="shared" ref="AF1795:AF1858" ca="1" si="634">CHOOSE(RANDBETWEEN(1,3),"Recovered","Transferred","Under Observation")</f>
        <v>Under Observation</v>
      </c>
      <c r="AG1795" t="str">
        <f t="shared" ref="AG1795:AG1858" ca="1" si="635">CHOOSE(RANDBETWEEN(1,5),"Northeast","Southeast","Midwest","Southwest","West Coast")</f>
        <v>West Coast</v>
      </c>
      <c r="AH1795" t="str">
        <f t="shared" si="618"/>
        <v>August</v>
      </c>
      <c r="AI1795">
        <f t="shared" si="619"/>
        <v>2022</v>
      </c>
      <c r="AJ1795" t="str">
        <f t="shared" ref="AJ1795:AJ1858" ca="1" si="636">IF(RANDBETWEEN(1,100)&lt;=80,"Occupied","Vacant")</f>
        <v>Occupied</v>
      </c>
      <c r="AK1795">
        <f t="shared" ref="AK1795:AK1858" ca="1" si="637">CHOOSE(RANDBETWEEN(1,3),1,2,4)</f>
        <v>4</v>
      </c>
    </row>
    <row r="1796" spans="1:37" x14ac:dyDescent="0.3">
      <c r="A1796" t="s">
        <v>6176</v>
      </c>
      <c r="B1796">
        <v>65</v>
      </c>
      <c r="C1796" t="s">
        <v>32</v>
      </c>
      <c r="D1796" t="s">
        <v>38</v>
      </c>
      <c r="E1796" t="s">
        <v>48</v>
      </c>
      <c r="F1796" s="1">
        <v>43656</v>
      </c>
      <c r="G1796" t="s">
        <v>3571</v>
      </c>
      <c r="H1796" t="s">
        <v>3572</v>
      </c>
      <c r="I1796" t="s">
        <v>20</v>
      </c>
      <c r="J1796">
        <v>6445</v>
      </c>
      <c r="K1796">
        <v>453</v>
      </c>
      <c r="L1796" t="s">
        <v>29</v>
      </c>
      <c r="M1796" s="1">
        <v>43676</v>
      </c>
      <c r="N1796" t="s">
        <v>30</v>
      </c>
      <c r="O1796" t="s">
        <v>23</v>
      </c>
      <c r="P1796" t="str">
        <f t="shared" si="620"/>
        <v>P1795</v>
      </c>
      <c r="Q1796" t="str">
        <f t="shared" si="616"/>
        <v>Pulmonology</v>
      </c>
      <c r="R1796">
        <f t="shared" si="617"/>
        <v>20</v>
      </c>
      <c r="S1796" t="str">
        <f t="shared" ca="1" si="621"/>
        <v>No</v>
      </c>
      <c r="T1796" t="str">
        <f t="shared" ca="1" si="622"/>
        <v>Critical</v>
      </c>
      <c r="U1796" t="str">
        <f t="shared" ca="1" si="623"/>
        <v>Emergency</v>
      </c>
      <c r="V1796" t="str">
        <f t="shared" si="624"/>
        <v>BED1795</v>
      </c>
      <c r="W1796" t="str">
        <f t="shared" ca="1" si="625"/>
        <v>General</v>
      </c>
      <c r="X1796" t="str">
        <f t="shared" si="626"/>
        <v>NUR045</v>
      </c>
      <c r="Y1796" t="str">
        <f t="shared" ca="1" si="627"/>
        <v>Morning</v>
      </c>
      <c r="Z1796" t="str">
        <f t="shared" ca="1" si="628"/>
        <v>Ultrasound</v>
      </c>
      <c r="AA1796" t="str">
        <f t="shared" ca="1" si="629"/>
        <v>In Use</v>
      </c>
      <c r="AB1796" t="str">
        <f t="shared" ca="1" si="630"/>
        <v>Pending</v>
      </c>
      <c r="AC1796" t="str">
        <f t="shared" ca="1" si="631"/>
        <v>Bank Transfer</v>
      </c>
      <c r="AD1796" t="str">
        <f t="shared" ca="1" si="632"/>
        <v>Yes</v>
      </c>
      <c r="AE1796" t="str">
        <f t="shared" ca="1" si="633"/>
        <v>No</v>
      </c>
      <c r="AF1796" t="str">
        <f t="shared" ca="1" si="634"/>
        <v>Transferred</v>
      </c>
      <c r="AG1796" t="str">
        <f t="shared" ca="1" si="635"/>
        <v>Southeast</v>
      </c>
      <c r="AH1796" t="str">
        <f t="shared" si="618"/>
        <v>July</v>
      </c>
      <c r="AI1796">
        <f t="shared" si="619"/>
        <v>2019</v>
      </c>
      <c r="AJ1796" t="str">
        <f t="shared" ca="1" si="636"/>
        <v>Occupied</v>
      </c>
      <c r="AK1796">
        <f t="shared" ca="1" si="637"/>
        <v>2</v>
      </c>
    </row>
    <row r="1797" spans="1:37" x14ac:dyDescent="0.3">
      <c r="A1797" t="s">
        <v>6177</v>
      </c>
      <c r="B1797">
        <v>54</v>
      </c>
      <c r="C1797" t="s">
        <v>32</v>
      </c>
      <c r="D1797" t="s">
        <v>33</v>
      </c>
      <c r="E1797" t="s">
        <v>39</v>
      </c>
      <c r="F1797" s="1">
        <v>43784</v>
      </c>
      <c r="G1797" t="s">
        <v>3573</v>
      </c>
      <c r="H1797" t="s">
        <v>3574</v>
      </c>
      <c r="I1797" t="s">
        <v>57</v>
      </c>
      <c r="J1797">
        <v>9960</v>
      </c>
      <c r="K1797">
        <v>418</v>
      </c>
      <c r="L1797" t="s">
        <v>29</v>
      </c>
      <c r="M1797" s="1">
        <v>43801</v>
      </c>
      <c r="N1797" t="s">
        <v>30</v>
      </c>
      <c r="O1797" t="s">
        <v>31</v>
      </c>
      <c r="P1797" t="str">
        <f t="shared" si="620"/>
        <v>P1796</v>
      </c>
      <c r="Q1797" t="str">
        <f t="shared" si="616"/>
        <v>Endocrinology</v>
      </c>
      <c r="R1797">
        <f t="shared" si="617"/>
        <v>17</v>
      </c>
      <c r="S1797" t="str">
        <f t="shared" ca="1" si="621"/>
        <v>No</v>
      </c>
      <c r="T1797" t="str">
        <f t="shared" ca="1" si="622"/>
        <v>Mild</v>
      </c>
      <c r="U1797" t="str">
        <f t="shared" ca="1" si="623"/>
        <v>Semi-Private</v>
      </c>
      <c r="V1797" t="str">
        <f t="shared" si="624"/>
        <v>BED1796</v>
      </c>
      <c r="W1797" t="str">
        <f t="shared" ca="1" si="625"/>
        <v>Private</v>
      </c>
      <c r="X1797" t="str">
        <f t="shared" si="626"/>
        <v>NUR046</v>
      </c>
      <c r="Y1797" t="str">
        <f t="shared" ca="1" si="627"/>
        <v>Night</v>
      </c>
      <c r="Z1797" t="str">
        <f t="shared" ca="1" si="628"/>
        <v>CT Scanner</v>
      </c>
      <c r="AA1797" t="str">
        <f t="shared" ca="1" si="629"/>
        <v>Maintenance</v>
      </c>
      <c r="AB1797" t="str">
        <f t="shared" ca="1" si="630"/>
        <v>Pending</v>
      </c>
      <c r="AC1797" t="str">
        <f t="shared" ca="1" si="631"/>
        <v>Bank Transfer</v>
      </c>
      <c r="AD1797" t="str">
        <f t="shared" ca="1" si="632"/>
        <v>No</v>
      </c>
      <c r="AE1797" t="str">
        <f t="shared" ca="1" si="633"/>
        <v>No</v>
      </c>
      <c r="AF1797" t="str">
        <f t="shared" ca="1" si="634"/>
        <v>Recovered</v>
      </c>
      <c r="AG1797" t="str">
        <f t="shared" ca="1" si="635"/>
        <v>Midwest</v>
      </c>
      <c r="AH1797" t="str">
        <f t="shared" si="618"/>
        <v>November</v>
      </c>
      <c r="AI1797">
        <f t="shared" si="619"/>
        <v>2019</v>
      </c>
      <c r="AJ1797" t="str">
        <f t="shared" ca="1" si="636"/>
        <v>Occupied</v>
      </c>
      <c r="AK1797">
        <f t="shared" ca="1" si="637"/>
        <v>2</v>
      </c>
    </row>
    <row r="1798" spans="1:37" x14ac:dyDescent="0.3">
      <c r="A1798" t="s">
        <v>6178</v>
      </c>
      <c r="B1798">
        <v>35</v>
      </c>
      <c r="C1798" t="s">
        <v>15</v>
      </c>
      <c r="D1798" t="s">
        <v>52</v>
      </c>
      <c r="E1798" t="s">
        <v>64</v>
      </c>
      <c r="F1798" s="1">
        <v>44952</v>
      </c>
      <c r="G1798" t="s">
        <v>3575</v>
      </c>
      <c r="H1798" t="s">
        <v>3576</v>
      </c>
      <c r="I1798" t="s">
        <v>51</v>
      </c>
      <c r="J1798">
        <v>37054</v>
      </c>
      <c r="K1798">
        <v>378</v>
      </c>
      <c r="L1798" t="s">
        <v>21</v>
      </c>
      <c r="M1798" s="1">
        <v>44965</v>
      </c>
      <c r="N1798" t="s">
        <v>67</v>
      </c>
      <c r="O1798" t="s">
        <v>23</v>
      </c>
      <c r="P1798" t="str">
        <f t="shared" si="620"/>
        <v>P1797</v>
      </c>
      <c r="Q1798" t="str">
        <f t="shared" si="616"/>
        <v>Cardiology</v>
      </c>
      <c r="R1798">
        <f t="shared" si="617"/>
        <v>13</v>
      </c>
      <c r="S1798" t="str">
        <f t="shared" ca="1" si="621"/>
        <v>No</v>
      </c>
      <c r="T1798" t="str">
        <f t="shared" ca="1" si="622"/>
        <v>Severe</v>
      </c>
      <c r="U1798" t="str">
        <f t="shared" ca="1" si="623"/>
        <v>General Ward</v>
      </c>
      <c r="V1798" t="str">
        <f t="shared" si="624"/>
        <v>BED1797</v>
      </c>
      <c r="W1798" t="str">
        <f t="shared" ca="1" si="625"/>
        <v>Private</v>
      </c>
      <c r="X1798" t="str">
        <f t="shared" si="626"/>
        <v>NUR047</v>
      </c>
      <c r="Y1798" t="str">
        <f t="shared" ca="1" si="627"/>
        <v>Morning</v>
      </c>
      <c r="Z1798" t="str">
        <f t="shared" ca="1" si="628"/>
        <v>MRI Scanner</v>
      </c>
      <c r="AA1798" t="str">
        <f t="shared" ca="1" si="629"/>
        <v>Available</v>
      </c>
      <c r="AB1798" t="str">
        <f t="shared" ca="1" si="630"/>
        <v>Paid</v>
      </c>
      <c r="AC1798" t="str">
        <f t="shared" ca="1" si="631"/>
        <v>Debit Card</v>
      </c>
      <c r="AD1798" t="str">
        <f t="shared" ca="1" si="632"/>
        <v>No</v>
      </c>
      <c r="AE1798" t="str">
        <f t="shared" ca="1" si="633"/>
        <v>No</v>
      </c>
      <c r="AF1798" t="str">
        <f t="shared" ca="1" si="634"/>
        <v>Under Observation</v>
      </c>
      <c r="AG1798" t="str">
        <f t="shared" ca="1" si="635"/>
        <v>Midwest</v>
      </c>
      <c r="AH1798" t="str">
        <f t="shared" si="618"/>
        <v>January</v>
      </c>
      <c r="AI1798">
        <f t="shared" si="619"/>
        <v>2023</v>
      </c>
      <c r="AJ1798" t="str">
        <f t="shared" ca="1" si="636"/>
        <v>Occupied</v>
      </c>
      <c r="AK1798">
        <f t="shared" ca="1" si="637"/>
        <v>2</v>
      </c>
    </row>
    <row r="1799" spans="1:37" x14ac:dyDescent="0.3">
      <c r="A1799" t="s">
        <v>6179</v>
      </c>
      <c r="B1799">
        <v>48</v>
      </c>
      <c r="C1799" t="s">
        <v>15</v>
      </c>
      <c r="D1799" t="s">
        <v>38</v>
      </c>
      <c r="E1799" t="s">
        <v>48</v>
      </c>
      <c r="F1799" s="1">
        <v>44263</v>
      </c>
      <c r="G1799" t="s">
        <v>3577</v>
      </c>
      <c r="H1799" t="s">
        <v>3578</v>
      </c>
      <c r="I1799" t="s">
        <v>28</v>
      </c>
      <c r="J1799">
        <v>40274</v>
      </c>
      <c r="K1799">
        <v>109</v>
      </c>
      <c r="L1799" t="s">
        <v>21</v>
      </c>
      <c r="M1799" s="1">
        <v>44275</v>
      </c>
      <c r="N1799" t="s">
        <v>37</v>
      </c>
      <c r="O1799" t="s">
        <v>31</v>
      </c>
      <c r="P1799" t="str">
        <f t="shared" si="620"/>
        <v>P1798</v>
      </c>
      <c r="Q1799" t="str">
        <f t="shared" si="616"/>
        <v>Pulmonology</v>
      </c>
      <c r="R1799">
        <f t="shared" si="617"/>
        <v>12</v>
      </c>
      <c r="S1799" t="str">
        <f t="shared" ca="1" si="621"/>
        <v>No</v>
      </c>
      <c r="T1799" t="str">
        <f t="shared" ca="1" si="622"/>
        <v>Critical</v>
      </c>
      <c r="U1799" t="str">
        <f t="shared" ca="1" si="623"/>
        <v>General Ward</v>
      </c>
      <c r="V1799" t="str">
        <f t="shared" si="624"/>
        <v>BED1798</v>
      </c>
      <c r="W1799" t="str">
        <f t="shared" ca="1" si="625"/>
        <v>General</v>
      </c>
      <c r="X1799" t="str">
        <f t="shared" si="626"/>
        <v>NUR048</v>
      </c>
      <c r="Y1799" t="str">
        <f t="shared" ca="1" si="627"/>
        <v>Night</v>
      </c>
      <c r="Z1799" t="str">
        <f t="shared" ca="1" si="628"/>
        <v>ECG Machine</v>
      </c>
      <c r="AA1799" t="str">
        <f t="shared" ca="1" si="629"/>
        <v>Available</v>
      </c>
      <c r="AB1799" t="str">
        <f t="shared" ca="1" si="630"/>
        <v>Pending</v>
      </c>
      <c r="AC1799" t="str">
        <f t="shared" ca="1" si="631"/>
        <v>Bank Transfer</v>
      </c>
      <c r="AD1799" t="str">
        <f t="shared" ca="1" si="632"/>
        <v>No</v>
      </c>
      <c r="AE1799" t="str">
        <f t="shared" ca="1" si="633"/>
        <v>No</v>
      </c>
      <c r="AF1799" t="str">
        <f t="shared" ca="1" si="634"/>
        <v>Under Observation</v>
      </c>
      <c r="AG1799" t="str">
        <f t="shared" ca="1" si="635"/>
        <v>West Coast</v>
      </c>
      <c r="AH1799" t="str">
        <f t="shared" si="618"/>
        <v>March</v>
      </c>
      <c r="AI1799">
        <f t="shared" si="619"/>
        <v>2021</v>
      </c>
      <c r="AJ1799" t="str">
        <f t="shared" ca="1" si="636"/>
        <v>Occupied</v>
      </c>
      <c r="AK1799">
        <f t="shared" ca="1" si="637"/>
        <v>1</v>
      </c>
    </row>
    <row r="1800" spans="1:37" x14ac:dyDescent="0.3">
      <c r="A1800" t="s">
        <v>6180</v>
      </c>
      <c r="B1800">
        <v>34</v>
      </c>
      <c r="C1800" t="s">
        <v>32</v>
      </c>
      <c r="D1800" t="s">
        <v>24</v>
      </c>
      <c r="E1800" t="s">
        <v>25</v>
      </c>
      <c r="F1800" s="1">
        <v>44219</v>
      </c>
      <c r="G1800" t="s">
        <v>3579</v>
      </c>
      <c r="H1800" t="s">
        <v>3580</v>
      </c>
      <c r="I1800" t="s">
        <v>20</v>
      </c>
      <c r="J1800">
        <v>33437</v>
      </c>
      <c r="K1800">
        <v>156</v>
      </c>
      <c r="L1800" t="s">
        <v>29</v>
      </c>
      <c r="M1800" s="1">
        <v>44246</v>
      </c>
      <c r="N1800" t="s">
        <v>22</v>
      </c>
      <c r="O1800" t="s">
        <v>23</v>
      </c>
      <c r="P1800" t="str">
        <f t="shared" si="620"/>
        <v>P1799</v>
      </c>
      <c r="Q1800" t="str">
        <f t="shared" si="616"/>
        <v>Nutrition</v>
      </c>
      <c r="R1800">
        <f t="shared" si="617"/>
        <v>27</v>
      </c>
      <c r="S1800" t="str">
        <f t="shared" ca="1" si="621"/>
        <v>No</v>
      </c>
      <c r="T1800" t="str">
        <f t="shared" ca="1" si="622"/>
        <v>Mild</v>
      </c>
      <c r="U1800" t="str">
        <f t="shared" ca="1" si="623"/>
        <v>ICU</v>
      </c>
      <c r="V1800" t="str">
        <f t="shared" si="624"/>
        <v>BED1799</v>
      </c>
      <c r="W1800" t="str">
        <f t="shared" ca="1" si="625"/>
        <v>General</v>
      </c>
      <c r="X1800" t="str">
        <f t="shared" si="626"/>
        <v>NUR049</v>
      </c>
      <c r="Y1800" t="str">
        <f t="shared" ca="1" si="627"/>
        <v>Evening</v>
      </c>
      <c r="Z1800" t="str">
        <f t="shared" ca="1" si="628"/>
        <v>Ultrasound</v>
      </c>
      <c r="AA1800" t="str">
        <f t="shared" ca="1" si="629"/>
        <v>Available</v>
      </c>
      <c r="AB1800" t="str">
        <f t="shared" ca="1" si="630"/>
        <v>Partially Paid</v>
      </c>
      <c r="AC1800" t="str">
        <f t="shared" ca="1" si="631"/>
        <v>Credit Card</v>
      </c>
      <c r="AD1800" t="str">
        <f t="shared" ca="1" si="632"/>
        <v>No</v>
      </c>
      <c r="AE1800" t="str">
        <f t="shared" ca="1" si="633"/>
        <v>No</v>
      </c>
      <c r="AF1800" t="str">
        <f t="shared" ca="1" si="634"/>
        <v>Recovered</v>
      </c>
      <c r="AG1800" t="str">
        <f t="shared" ca="1" si="635"/>
        <v>Southeast</v>
      </c>
      <c r="AH1800" t="str">
        <f t="shared" si="618"/>
        <v>January</v>
      </c>
      <c r="AI1800">
        <f t="shared" si="619"/>
        <v>2021</v>
      </c>
      <c r="AJ1800" t="str">
        <f t="shared" ca="1" si="636"/>
        <v>Occupied</v>
      </c>
      <c r="AK1800">
        <f t="shared" ca="1" si="637"/>
        <v>1</v>
      </c>
    </row>
    <row r="1801" spans="1:37" x14ac:dyDescent="0.3">
      <c r="A1801" t="s">
        <v>6181</v>
      </c>
      <c r="B1801">
        <v>64</v>
      </c>
      <c r="C1801" t="s">
        <v>32</v>
      </c>
      <c r="D1801" t="s">
        <v>52</v>
      </c>
      <c r="E1801" t="s">
        <v>64</v>
      </c>
      <c r="F1801" s="1">
        <v>44679</v>
      </c>
      <c r="G1801" t="s">
        <v>3581</v>
      </c>
      <c r="H1801" t="s">
        <v>3582</v>
      </c>
      <c r="I1801" t="s">
        <v>20</v>
      </c>
      <c r="J1801">
        <v>38939</v>
      </c>
      <c r="K1801">
        <v>361</v>
      </c>
      <c r="L1801" t="s">
        <v>42</v>
      </c>
      <c r="M1801" s="1">
        <v>44702</v>
      </c>
      <c r="N1801" t="s">
        <v>67</v>
      </c>
      <c r="O1801" t="s">
        <v>23</v>
      </c>
      <c r="P1801" t="str">
        <f t="shared" si="620"/>
        <v>P1800</v>
      </c>
      <c r="Q1801" t="str">
        <f t="shared" si="616"/>
        <v>Cardiology</v>
      </c>
      <c r="R1801">
        <f t="shared" si="617"/>
        <v>23</v>
      </c>
      <c r="S1801" t="str">
        <f t="shared" ca="1" si="621"/>
        <v>No</v>
      </c>
      <c r="T1801" t="str">
        <f t="shared" ca="1" si="622"/>
        <v>Critical</v>
      </c>
      <c r="U1801" t="str">
        <f t="shared" ca="1" si="623"/>
        <v>ICU</v>
      </c>
      <c r="V1801" t="str">
        <f t="shared" si="624"/>
        <v>BED1800</v>
      </c>
      <c r="W1801" t="str">
        <f t="shared" ca="1" si="625"/>
        <v>Private</v>
      </c>
      <c r="X1801" t="str">
        <f t="shared" si="626"/>
        <v>NUR050</v>
      </c>
      <c r="Y1801" t="str">
        <f t="shared" ca="1" si="627"/>
        <v>Evening</v>
      </c>
      <c r="Z1801" t="str">
        <f t="shared" ca="1" si="628"/>
        <v>Ventilator</v>
      </c>
      <c r="AA1801" t="str">
        <f t="shared" ca="1" si="629"/>
        <v>In Use</v>
      </c>
      <c r="AB1801" t="str">
        <f t="shared" ca="1" si="630"/>
        <v>Partially Paid</v>
      </c>
      <c r="AC1801" t="str">
        <f t="shared" ca="1" si="631"/>
        <v>Bank Transfer</v>
      </c>
      <c r="AD1801" t="str">
        <f t="shared" ca="1" si="632"/>
        <v>Yes</v>
      </c>
      <c r="AE1801" t="str">
        <f t="shared" ca="1" si="633"/>
        <v>No</v>
      </c>
      <c r="AF1801" t="str">
        <f t="shared" ca="1" si="634"/>
        <v>Transferred</v>
      </c>
      <c r="AG1801" t="str">
        <f t="shared" ca="1" si="635"/>
        <v>West Coast</v>
      </c>
      <c r="AH1801" t="str">
        <f t="shared" si="618"/>
        <v>April</v>
      </c>
      <c r="AI1801">
        <f t="shared" si="619"/>
        <v>2022</v>
      </c>
      <c r="AJ1801" t="str">
        <f t="shared" ca="1" si="636"/>
        <v>Occupied</v>
      </c>
      <c r="AK1801">
        <f t="shared" ca="1" si="637"/>
        <v>4</v>
      </c>
    </row>
    <row r="1802" spans="1:37" x14ac:dyDescent="0.3">
      <c r="A1802" t="s">
        <v>6182</v>
      </c>
      <c r="B1802">
        <v>79</v>
      </c>
      <c r="C1802" t="s">
        <v>15</v>
      </c>
      <c r="D1802" t="s">
        <v>38</v>
      </c>
      <c r="E1802" t="s">
        <v>39</v>
      </c>
      <c r="F1802" s="1">
        <v>44512</v>
      </c>
      <c r="G1802" t="s">
        <v>3583</v>
      </c>
      <c r="H1802" t="s">
        <v>3584</v>
      </c>
      <c r="I1802" t="s">
        <v>51</v>
      </c>
      <c r="J1802">
        <v>40861</v>
      </c>
      <c r="K1802">
        <v>310</v>
      </c>
      <c r="L1802" t="s">
        <v>29</v>
      </c>
      <c r="M1802" s="1">
        <v>44518</v>
      </c>
      <c r="N1802" t="s">
        <v>30</v>
      </c>
      <c r="O1802" t="s">
        <v>31</v>
      </c>
      <c r="P1802" t="str">
        <f t="shared" si="620"/>
        <v>P1801</v>
      </c>
      <c r="Q1802" t="str">
        <f t="shared" si="616"/>
        <v>Endocrinology</v>
      </c>
      <c r="R1802">
        <f t="shared" si="617"/>
        <v>6</v>
      </c>
      <c r="S1802" t="str">
        <f t="shared" ca="1" si="621"/>
        <v>No</v>
      </c>
      <c r="T1802" t="str">
        <f t="shared" ca="1" si="622"/>
        <v>Mild</v>
      </c>
      <c r="U1802" t="str">
        <f t="shared" ca="1" si="623"/>
        <v>Private Ward</v>
      </c>
      <c r="V1802" t="str">
        <f t="shared" si="624"/>
        <v>BED1801</v>
      </c>
      <c r="W1802" t="str">
        <f t="shared" ca="1" si="625"/>
        <v>General</v>
      </c>
      <c r="X1802" t="str">
        <f t="shared" si="626"/>
        <v>NUR001</v>
      </c>
      <c r="Y1802" t="str">
        <f t="shared" ca="1" si="627"/>
        <v>Night</v>
      </c>
      <c r="Z1802" t="str">
        <f t="shared" ca="1" si="628"/>
        <v>Ultrasound</v>
      </c>
      <c r="AA1802" t="str">
        <f t="shared" ca="1" si="629"/>
        <v>In Use</v>
      </c>
      <c r="AB1802" t="str">
        <f t="shared" ca="1" si="630"/>
        <v>Partially Paid</v>
      </c>
      <c r="AC1802" t="str">
        <f t="shared" ca="1" si="631"/>
        <v>Cash</v>
      </c>
      <c r="AD1802" t="str">
        <f t="shared" ca="1" si="632"/>
        <v>No</v>
      </c>
      <c r="AE1802" t="str">
        <f t="shared" ca="1" si="633"/>
        <v>No</v>
      </c>
      <c r="AF1802" t="str">
        <f t="shared" ca="1" si="634"/>
        <v>Transferred</v>
      </c>
      <c r="AG1802" t="str">
        <f t="shared" ca="1" si="635"/>
        <v>Northeast</v>
      </c>
      <c r="AH1802" t="str">
        <f t="shared" si="618"/>
        <v>November</v>
      </c>
      <c r="AI1802">
        <f t="shared" si="619"/>
        <v>2021</v>
      </c>
      <c r="AJ1802" t="str">
        <f t="shared" ca="1" si="636"/>
        <v>Occupied</v>
      </c>
      <c r="AK1802">
        <f t="shared" ca="1" si="637"/>
        <v>1</v>
      </c>
    </row>
    <row r="1803" spans="1:37" x14ac:dyDescent="0.3">
      <c r="A1803" t="s">
        <v>6183</v>
      </c>
      <c r="B1803">
        <v>79</v>
      </c>
      <c r="C1803" t="s">
        <v>32</v>
      </c>
      <c r="D1803" t="s">
        <v>83</v>
      </c>
      <c r="E1803" t="s">
        <v>39</v>
      </c>
      <c r="F1803" s="1">
        <v>44209</v>
      </c>
      <c r="G1803" t="s">
        <v>3585</v>
      </c>
      <c r="H1803" t="s">
        <v>3586</v>
      </c>
      <c r="I1803" t="s">
        <v>28</v>
      </c>
      <c r="J1803">
        <v>26217</v>
      </c>
      <c r="K1803">
        <v>380</v>
      </c>
      <c r="L1803" t="s">
        <v>21</v>
      </c>
      <c r="M1803" s="1">
        <v>44222</v>
      </c>
      <c r="N1803" t="s">
        <v>30</v>
      </c>
      <c r="O1803" t="s">
        <v>43</v>
      </c>
      <c r="P1803" t="str">
        <f t="shared" si="620"/>
        <v>P1802</v>
      </c>
      <c r="Q1803" t="str">
        <f t="shared" si="616"/>
        <v>Endocrinology</v>
      </c>
      <c r="R1803">
        <f t="shared" si="617"/>
        <v>13</v>
      </c>
      <c r="S1803" t="str">
        <f t="shared" ca="1" si="621"/>
        <v>No</v>
      </c>
      <c r="T1803" t="str">
        <f t="shared" ca="1" si="622"/>
        <v>Critical</v>
      </c>
      <c r="U1803" t="str">
        <f t="shared" ca="1" si="623"/>
        <v>Private Ward</v>
      </c>
      <c r="V1803" t="str">
        <f t="shared" si="624"/>
        <v>BED1802</v>
      </c>
      <c r="W1803" t="str">
        <f t="shared" ca="1" si="625"/>
        <v>Semi-Private</v>
      </c>
      <c r="X1803" t="str">
        <f t="shared" si="626"/>
        <v>NUR002</v>
      </c>
      <c r="Y1803" t="str">
        <f t="shared" ca="1" si="627"/>
        <v>Evening</v>
      </c>
      <c r="Z1803" t="str">
        <f t="shared" ca="1" si="628"/>
        <v>ECG Machine</v>
      </c>
      <c r="AA1803" t="str">
        <f t="shared" ca="1" si="629"/>
        <v>Maintenance</v>
      </c>
      <c r="AB1803" t="str">
        <f t="shared" ca="1" si="630"/>
        <v>Paid</v>
      </c>
      <c r="AC1803" t="str">
        <f t="shared" ca="1" si="631"/>
        <v>Credit Card</v>
      </c>
      <c r="AD1803" t="str">
        <f t="shared" ca="1" si="632"/>
        <v>No</v>
      </c>
      <c r="AE1803" t="str">
        <f t="shared" ca="1" si="633"/>
        <v>No</v>
      </c>
      <c r="AF1803" t="str">
        <f t="shared" ca="1" si="634"/>
        <v>Under Observation</v>
      </c>
      <c r="AG1803" t="str">
        <f t="shared" ca="1" si="635"/>
        <v>Northeast</v>
      </c>
      <c r="AH1803" t="str">
        <f t="shared" si="618"/>
        <v>January</v>
      </c>
      <c r="AI1803">
        <f t="shared" si="619"/>
        <v>2021</v>
      </c>
      <c r="AJ1803" t="str">
        <f t="shared" ca="1" si="636"/>
        <v>Occupied</v>
      </c>
      <c r="AK1803">
        <f t="shared" ca="1" si="637"/>
        <v>4</v>
      </c>
    </row>
    <row r="1804" spans="1:37" x14ac:dyDescent="0.3">
      <c r="A1804" t="s">
        <v>6184</v>
      </c>
      <c r="B1804">
        <v>41</v>
      </c>
      <c r="C1804" t="s">
        <v>15</v>
      </c>
      <c r="D1804" t="s">
        <v>33</v>
      </c>
      <c r="E1804" t="s">
        <v>39</v>
      </c>
      <c r="F1804" s="1">
        <v>44067</v>
      </c>
      <c r="G1804" t="s">
        <v>3587</v>
      </c>
      <c r="H1804" t="s">
        <v>3588</v>
      </c>
      <c r="I1804" t="s">
        <v>28</v>
      </c>
      <c r="J1804">
        <v>37519</v>
      </c>
      <c r="K1804">
        <v>238</v>
      </c>
      <c r="L1804" t="s">
        <v>42</v>
      </c>
      <c r="M1804" s="1">
        <v>44071</v>
      </c>
      <c r="N1804" t="s">
        <v>67</v>
      </c>
      <c r="O1804" t="s">
        <v>23</v>
      </c>
      <c r="P1804" t="str">
        <f t="shared" si="620"/>
        <v>P1803</v>
      </c>
      <c r="Q1804" t="str">
        <f t="shared" si="616"/>
        <v>Endocrinology</v>
      </c>
      <c r="R1804">
        <f t="shared" si="617"/>
        <v>4</v>
      </c>
      <c r="S1804" t="str">
        <f t="shared" ca="1" si="621"/>
        <v>No</v>
      </c>
      <c r="T1804" t="str">
        <f t="shared" ca="1" si="622"/>
        <v>Moderate</v>
      </c>
      <c r="U1804" t="str">
        <f t="shared" ca="1" si="623"/>
        <v>ICU</v>
      </c>
      <c r="V1804" t="str">
        <f t="shared" si="624"/>
        <v>BED1803</v>
      </c>
      <c r="W1804" t="str">
        <f t="shared" ca="1" si="625"/>
        <v>ICU</v>
      </c>
      <c r="X1804" t="str">
        <f t="shared" si="626"/>
        <v>NUR003</v>
      </c>
      <c r="Y1804" t="str">
        <f t="shared" ca="1" si="627"/>
        <v>Morning</v>
      </c>
      <c r="Z1804" t="str">
        <f t="shared" ca="1" si="628"/>
        <v>Ultrasound</v>
      </c>
      <c r="AA1804" t="str">
        <f t="shared" ca="1" si="629"/>
        <v>Maintenance</v>
      </c>
      <c r="AB1804" t="str">
        <f t="shared" ca="1" si="630"/>
        <v>Paid</v>
      </c>
      <c r="AC1804" t="str">
        <f t="shared" ca="1" si="631"/>
        <v>Bank Transfer</v>
      </c>
      <c r="AD1804" t="str">
        <f t="shared" ca="1" si="632"/>
        <v>No</v>
      </c>
      <c r="AE1804" t="str">
        <f t="shared" ca="1" si="633"/>
        <v>No</v>
      </c>
      <c r="AF1804" t="str">
        <f t="shared" ca="1" si="634"/>
        <v>Transferred</v>
      </c>
      <c r="AG1804" t="str">
        <f t="shared" ca="1" si="635"/>
        <v>Southwest</v>
      </c>
      <c r="AH1804" t="str">
        <f t="shared" si="618"/>
        <v>August</v>
      </c>
      <c r="AI1804">
        <f t="shared" si="619"/>
        <v>2020</v>
      </c>
      <c r="AJ1804" t="str">
        <f t="shared" ca="1" si="636"/>
        <v>Occupied</v>
      </c>
      <c r="AK1804">
        <f t="shared" ca="1" si="637"/>
        <v>1</v>
      </c>
    </row>
    <row r="1805" spans="1:37" x14ac:dyDescent="0.3">
      <c r="A1805" t="s">
        <v>6185</v>
      </c>
      <c r="B1805">
        <v>21</v>
      </c>
      <c r="C1805" t="s">
        <v>32</v>
      </c>
      <c r="D1805" t="s">
        <v>16</v>
      </c>
      <c r="E1805" t="s">
        <v>64</v>
      </c>
      <c r="F1805" s="1">
        <v>44231</v>
      </c>
      <c r="G1805" t="s">
        <v>3589</v>
      </c>
      <c r="H1805" t="s">
        <v>3590</v>
      </c>
      <c r="I1805" t="s">
        <v>57</v>
      </c>
      <c r="J1805">
        <v>36755</v>
      </c>
      <c r="K1805">
        <v>126</v>
      </c>
      <c r="L1805" t="s">
        <v>21</v>
      </c>
      <c r="M1805" s="1">
        <v>44244</v>
      </c>
      <c r="N1805" t="s">
        <v>30</v>
      </c>
      <c r="O1805" t="s">
        <v>23</v>
      </c>
      <c r="P1805" t="str">
        <f t="shared" si="620"/>
        <v>P1804</v>
      </c>
      <c r="Q1805" t="str">
        <f t="shared" si="616"/>
        <v>Cardiology</v>
      </c>
      <c r="R1805">
        <f t="shared" si="617"/>
        <v>13</v>
      </c>
      <c r="S1805" t="str">
        <f t="shared" ca="1" si="621"/>
        <v>No</v>
      </c>
      <c r="T1805" t="str">
        <f t="shared" ca="1" si="622"/>
        <v>Severe</v>
      </c>
      <c r="U1805" t="str">
        <f t="shared" ca="1" si="623"/>
        <v>General Ward</v>
      </c>
      <c r="V1805" t="str">
        <f t="shared" si="624"/>
        <v>BED1804</v>
      </c>
      <c r="W1805" t="str">
        <f t="shared" ca="1" si="625"/>
        <v>General</v>
      </c>
      <c r="X1805" t="str">
        <f t="shared" si="626"/>
        <v>NUR004</v>
      </c>
      <c r="Y1805" t="str">
        <f t="shared" ca="1" si="627"/>
        <v>Night</v>
      </c>
      <c r="Z1805" t="str">
        <f t="shared" ca="1" si="628"/>
        <v>MRI Scanner</v>
      </c>
      <c r="AA1805" t="str">
        <f t="shared" ca="1" si="629"/>
        <v>Available</v>
      </c>
      <c r="AB1805" t="str">
        <f t="shared" ca="1" si="630"/>
        <v>Paid</v>
      </c>
      <c r="AC1805" t="str">
        <f t="shared" ca="1" si="631"/>
        <v>Bank Transfer</v>
      </c>
      <c r="AD1805" t="str">
        <f t="shared" ca="1" si="632"/>
        <v>Yes</v>
      </c>
      <c r="AE1805" t="str">
        <f t="shared" ca="1" si="633"/>
        <v>Yes</v>
      </c>
      <c r="AF1805" t="str">
        <f t="shared" ca="1" si="634"/>
        <v>Recovered</v>
      </c>
      <c r="AG1805" t="str">
        <f t="shared" ca="1" si="635"/>
        <v>West Coast</v>
      </c>
      <c r="AH1805" t="str">
        <f t="shared" si="618"/>
        <v>February</v>
      </c>
      <c r="AI1805">
        <f t="shared" si="619"/>
        <v>2021</v>
      </c>
      <c r="AJ1805" t="str">
        <f t="shared" ca="1" si="636"/>
        <v>Occupied</v>
      </c>
      <c r="AK1805">
        <f t="shared" ca="1" si="637"/>
        <v>4</v>
      </c>
    </row>
    <row r="1806" spans="1:37" x14ac:dyDescent="0.3">
      <c r="A1806" t="s">
        <v>6186</v>
      </c>
      <c r="B1806">
        <v>41</v>
      </c>
      <c r="C1806" t="s">
        <v>15</v>
      </c>
      <c r="D1806" t="s">
        <v>83</v>
      </c>
      <c r="E1806" t="s">
        <v>39</v>
      </c>
      <c r="F1806" s="1">
        <v>45334</v>
      </c>
      <c r="G1806" t="s">
        <v>3591</v>
      </c>
      <c r="H1806" t="s">
        <v>3592</v>
      </c>
      <c r="I1806" t="s">
        <v>28</v>
      </c>
      <c r="J1806">
        <v>25261</v>
      </c>
      <c r="K1806">
        <v>104</v>
      </c>
      <c r="L1806" t="s">
        <v>42</v>
      </c>
      <c r="M1806" s="1">
        <v>45339</v>
      </c>
      <c r="N1806" t="s">
        <v>67</v>
      </c>
      <c r="O1806" t="s">
        <v>23</v>
      </c>
      <c r="P1806" t="str">
        <f t="shared" si="620"/>
        <v>P1805</v>
      </c>
      <c r="Q1806" t="str">
        <f t="shared" si="616"/>
        <v>Endocrinology</v>
      </c>
      <c r="R1806">
        <f t="shared" si="617"/>
        <v>5</v>
      </c>
      <c r="S1806" t="str">
        <f t="shared" ca="1" si="621"/>
        <v>Yes</v>
      </c>
      <c r="T1806" t="str">
        <f t="shared" ca="1" si="622"/>
        <v>Critical</v>
      </c>
      <c r="U1806" t="str">
        <f t="shared" ca="1" si="623"/>
        <v>Private Ward</v>
      </c>
      <c r="V1806" t="str">
        <f t="shared" si="624"/>
        <v>BED1805</v>
      </c>
      <c r="W1806" t="str">
        <f t="shared" ca="1" si="625"/>
        <v>ICU</v>
      </c>
      <c r="X1806" t="str">
        <f t="shared" si="626"/>
        <v>NUR005</v>
      </c>
      <c r="Y1806" t="str">
        <f t="shared" ca="1" si="627"/>
        <v>Night</v>
      </c>
      <c r="Z1806" t="str">
        <f t="shared" ca="1" si="628"/>
        <v>X-Ray</v>
      </c>
      <c r="AA1806" t="str">
        <f t="shared" ca="1" si="629"/>
        <v>Maintenance</v>
      </c>
      <c r="AB1806" t="str">
        <f t="shared" ca="1" si="630"/>
        <v>Paid</v>
      </c>
      <c r="AC1806" t="str">
        <f t="shared" ca="1" si="631"/>
        <v>Debit Card</v>
      </c>
      <c r="AD1806" t="str">
        <f t="shared" ca="1" si="632"/>
        <v>No</v>
      </c>
      <c r="AE1806" t="str">
        <f t="shared" ca="1" si="633"/>
        <v>No</v>
      </c>
      <c r="AF1806" t="str">
        <f t="shared" ca="1" si="634"/>
        <v>Under Observation</v>
      </c>
      <c r="AG1806" t="str">
        <f t="shared" ca="1" si="635"/>
        <v>West Coast</v>
      </c>
      <c r="AH1806" t="str">
        <f t="shared" si="618"/>
        <v>February</v>
      </c>
      <c r="AI1806">
        <f t="shared" si="619"/>
        <v>2024</v>
      </c>
      <c r="AJ1806" t="str">
        <f t="shared" ca="1" si="636"/>
        <v>Occupied</v>
      </c>
      <c r="AK1806">
        <f t="shared" ca="1" si="637"/>
        <v>2</v>
      </c>
    </row>
    <row r="1807" spans="1:37" x14ac:dyDescent="0.3">
      <c r="A1807" t="s">
        <v>6187</v>
      </c>
      <c r="B1807">
        <v>47</v>
      </c>
      <c r="C1807" t="s">
        <v>15</v>
      </c>
      <c r="D1807" t="s">
        <v>44</v>
      </c>
      <c r="E1807" t="s">
        <v>64</v>
      </c>
      <c r="F1807" s="1">
        <v>44431</v>
      </c>
      <c r="G1807" t="s">
        <v>3593</v>
      </c>
      <c r="H1807" t="s">
        <v>3594</v>
      </c>
      <c r="I1807" t="s">
        <v>51</v>
      </c>
      <c r="J1807">
        <v>13325</v>
      </c>
      <c r="K1807">
        <v>370</v>
      </c>
      <c r="L1807" t="s">
        <v>29</v>
      </c>
      <c r="M1807" s="1">
        <v>44440</v>
      </c>
      <c r="N1807" t="s">
        <v>67</v>
      </c>
      <c r="O1807" t="s">
        <v>43</v>
      </c>
      <c r="P1807" t="str">
        <f t="shared" si="620"/>
        <v>P1806</v>
      </c>
      <c r="Q1807" t="str">
        <f t="shared" si="616"/>
        <v>Cardiology</v>
      </c>
      <c r="R1807">
        <f t="shared" si="617"/>
        <v>9</v>
      </c>
      <c r="S1807" t="str">
        <f t="shared" ca="1" si="621"/>
        <v>No</v>
      </c>
      <c r="T1807" t="str">
        <f t="shared" ca="1" si="622"/>
        <v>Moderate</v>
      </c>
      <c r="U1807" t="str">
        <f t="shared" ca="1" si="623"/>
        <v>General Ward</v>
      </c>
      <c r="V1807" t="str">
        <f t="shared" si="624"/>
        <v>BED1806</v>
      </c>
      <c r="W1807" t="str">
        <f t="shared" ca="1" si="625"/>
        <v>General</v>
      </c>
      <c r="X1807" t="str">
        <f t="shared" si="626"/>
        <v>NUR006</v>
      </c>
      <c r="Y1807" t="str">
        <f t="shared" ca="1" si="627"/>
        <v>Night</v>
      </c>
      <c r="Z1807" t="str">
        <f t="shared" ca="1" si="628"/>
        <v>X-Ray</v>
      </c>
      <c r="AA1807" t="str">
        <f t="shared" ca="1" si="629"/>
        <v>Maintenance</v>
      </c>
      <c r="AB1807" t="str">
        <f t="shared" ca="1" si="630"/>
        <v>Paid</v>
      </c>
      <c r="AC1807" t="str">
        <f t="shared" ca="1" si="631"/>
        <v>Bank Transfer</v>
      </c>
      <c r="AD1807" t="str">
        <f t="shared" ca="1" si="632"/>
        <v>No</v>
      </c>
      <c r="AE1807" t="str">
        <f t="shared" ca="1" si="633"/>
        <v>Yes</v>
      </c>
      <c r="AF1807" t="str">
        <f t="shared" ca="1" si="634"/>
        <v>Under Observation</v>
      </c>
      <c r="AG1807" t="str">
        <f t="shared" ca="1" si="635"/>
        <v>West Coast</v>
      </c>
      <c r="AH1807" t="str">
        <f t="shared" si="618"/>
        <v>August</v>
      </c>
      <c r="AI1807">
        <f t="shared" si="619"/>
        <v>2021</v>
      </c>
      <c r="AJ1807" t="str">
        <f t="shared" ca="1" si="636"/>
        <v>Occupied</v>
      </c>
      <c r="AK1807">
        <f t="shared" ca="1" si="637"/>
        <v>4</v>
      </c>
    </row>
    <row r="1808" spans="1:37" x14ac:dyDescent="0.3">
      <c r="A1808" t="s">
        <v>4766</v>
      </c>
      <c r="B1808">
        <v>30</v>
      </c>
      <c r="C1808" t="s">
        <v>15</v>
      </c>
      <c r="D1808" t="s">
        <v>24</v>
      </c>
      <c r="E1808" t="s">
        <v>48</v>
      </c>
      <c r="F1808" s="1">
        <v>45286</v>
      </c>
      <c r="G1808" t="s">
        <v>3595</v>
      </c>
      <c r="H1808" t="s">
        <v>3596</v>
      </c>
      <c r="I1808" t="s">
        <v>20</v>
      </c>
      <c r="J1808">
        <v>5333</v>
      </c>
      <c r="K1808">
        <v>477</v>
      </c>
      <c r="L1808" t="s">
        <v>21</v>
      </c>
      <c r="M1808" s="1">
        <v>45289</v>
      </c>
      <c r="N1808" t="s">
        <v>47</v>
      </c>
      <c r="O1808" t="s">
        <v>43</v>
      </c>
      <c r="P1808" t="str">
        <f t="shared" si="620"/>
        <v>P1807</v>
      </c>
      <c r="Q1808" t="str">
        <f t="shared" si="616"/>
        <v>Pulmonology</v>
      </c>
      <c r="R1808">
        <f t="shared" si="617"/>
        <v>3</v>
      </c>
      <c r="S1808" t="str">
        <f t="shared" ca="1" si="621"/>
        <v>No</v>
      </c>
      <c r="T1808" t="str">
        <f t="shared" ca="1" si="622"/>
        <v>Critical</v>
      </c>
      <c r="U1808" t="str">
        <f t="shared" ca="1" si="623"/>
        <v>General Ward</v>
      </c>
      <c r="V1808" t="str">
        <f t="shared" si="624"/>
        <v>BED1807</v>
      </c>
      <c r="W1808" t="str">
        <f t="shared" ca="1" si="625"/>
        <v>Semi-Private</v>
      </c>
      <c r="X1808" t="str">
        <f t="shared" si="626"/>
        <v>NUR007</v>
      </c>
      <c r="Y1808" t="str">
        <f t="shared" ca="1" si="627"/>
        <v>Night</v>
      </c>
      <c r="Z1808" t="str">
        <f t="shared" ca="1" si="628"/>
        <v>Ventilator</v>
      </c>
      <c r="AA1808" t="str">
        <f t="shared" ca="1" si="629"/>
        <v>In Use</v>
      </c>
      <c r="AB1808" t="str">
        <f t="shared" ca="1" si="630"/>
        <v>Partially Paid</v>
      </c>
      <c r="AC1808" t="str">
        <f t="shared" ca="1" si="631"/>
        <v>Bank Transfer</v>
      </c>
      <c r="AD1808" t="str">
        <f t="shared" ca="1" si="632"/>
        <v>No</v>
      </c>
      <c r="AE1808" t="str">
        <f t="shared" ca="1" si="633"/>
        <v>No</v>
      </c>
      <c r="AF1808" t="str">
        <f t="shared" ca="1" si="634"/>
        <v>Recovered</v>
      </c>
      <c r="AG1808" t="str">
        <f t="shared" ca="1" si="635"/>
        <v>Southeast</v>
      </c>
      <c r="AH1808" t="str">
        <f t="shared" si="618"/>
        <v>December</v>
      </c>
      <c r="AI1808">
        <f t="shared" si="619"/>
        <v>2023</v>
      </c>
      <c r="AJ1808" t="str">
        <f t="shared" ca="1" si="636"/>
        <v>Occupied</v>
      </c>
      <c r="AK1808">
        <f t="shared" ca="1" si="637"/>
        <v>1</v>
      </c>
    </row>
    <row r="1809" spans="1:37" x14ac:dyDescent="0.3">
      <c r="A1809" t="s">
        <v>6188</v>
      </c>
      <c r="B1809">
        <v>33</v>
      </c>
      <c r="C1809" t="s">
        <v>32</v>
      </c>
      <c r="D1809" t="s">
        <v>16</v>
      </c>
      <c r="E1809" t="s">
        <v>17</v>
      </c>
      <c r="F1809" s="1">
        <v>43634</v>
      </c>
      <c r="G1809" t="s">
        <v>3597</v>
      </c>
      <c r="H1809" t="s">
        <v>3598</v>
      </c>
      <c r="I1809" t="s">
        <v>20</v>
      </c>
      <c r="J1809">
        <v>22318</v>
      </c>
      <c r="K1809">
        <v>335</v>
      </c>
      <c r="L1809" t="s">
        <v>29</v>
      </c>
      <c r="M1809" s="1">
        <v>43639</v>
      </c>
      <c r="N1809" t="s">
        <v>67</v>
      </c>
      <c r="O1809" t="s">
        <v>31</v>
      </c>
      <c r="P1809" t="str">
        <f t="shared" si="620"/>
        <v>P1808</v>
      </c>
      <c r="Q1809" t="str">
        <f t="shared" si="616"/>
        <v>Oncology</v>
      </c>
      <c r="R1809">
        <f t="shared" si="617"/>
        <v>5</v>
      </c>
      <c r="S1809" t="str">
        <f t="shared" ca="1" si="621"/>
        <v>No</v>
      </c>
      <c r="T1809" t="str">
        <f t="shared" ca="1" si="622"/>
        <v>Critical</v>
      </c>
      <c r="U1809" t="str">
        <f t="shared" ca="1" si="623"/>
        <v>Semi-Private</v>
      </c>
      <c r="V1809" t="str">
        <f t="shared" si="624"/>
        <v>BED1808</v>
      </c>
      <c r="W1809" t="str">
        <f t="shared" ca="1" si="625"/>
        <v>Private</v>
      </c>
      <c r="X1809" t="str">
        <f t="shared" si="626"/>
        <v>NUR008</v>
      </c>
      <c r="Y1809" t="str">
        <f t="shared" ca="1" si="627"/>
        <v>Morning</v>
      </c>
      <c r="Z1809" t="str">
        <f t="shared" ca="1" si="628"/>
        <v>MRI Scanner</v>
      </c>
      <c r="AA1809" t="str">
        <f t="shared" ca="1" si="629"/>
        <v>Available</v>
      </c>
      <c r="AB1809" t="str">
        <f t="shared" ca="1" si="630"/>
        <v>Pending</v>
      </c>
      <c r="AC1809" t="str">
        <f t="shared" ca="1" si="631"/>
        <v>Credit Card</v>
      </c>
      <c r="AD1809" t="str">
        <f t="shared" ca="1" si="632"/>
        <v>No</v>
      </c>
      <c r="AE1809" t="str">
        <f t="shared" ca="1" si="633"/>
        <v>No</v>
      </c>
      <c r="AF1809" t="str">
        <f t="shared" ca="1" si="634"/>
        <v>Recovered</v>
      </c>
      <c r="AG1809" t="str">
        <f t="shared" ca="1" si="635"/>
        <v>Southeast</v>
      </c>
      <c r="AH1809" t="str">
        <f t="shared" si="618"/>
        <v>June</v>
      </c>
      <c r="AI1809">
        <f t="shared" si="619"/>
        <v>2019</v>
      </c>
      <c r="AJ1809" t="str">
        <f t="shared" ca="1" si="636"/>
        <v>Vacant</v>
      </c>
      <c r="AK1809">
        <f t="shared" ca="1" si="637"/>
        <v>2</v>
      </c>
    </row>
    <row r="1810" spans="1:37" x14ac:dyDescent="0.3">
      <c r="A1810" t="s">
        <v>6189</v>
      </c>
      <c r="B1810">
        <v>76</v>
      </c>
      <c r="C1810" t="s">
        <v>32</v>
      </c>
      <c r="D1810" t="s">
        <v>24</v>
      </c>
      <c r="E1810" t="s">
        <v>17</v>
      </c>
      <c r="F1810" s="1">
        <v>44004</v>
      </c>
      <c r="G1810" t="s">
        <v>3599</v>
      </c>
      <c r="H1810" t="s">
        <v>3600</v>
      </c>
      <c r="I1810" t="s">
        <v>20</v>
      </c>
      <c r="J1810">
        <v>43687</v>
      </c>
      <c r="K1810">
        <v>420</v>
      </c>
      <c r="L1810" t="s">
        <v>42</v>
      </c>
      <c r="M1810" s="1">
        <v>44024</v>
      </c>
      <c r="N1810" t="s">
        <v>30</v>
      </c>
      <c r="O1810" t="s">
        <v>23</v>
      </c>
      <c r="P1810" t="str">
        <f t="shared" si="620"/>
        <v>P1809</v>
      </c>
      <c r="Q1810" t="str">
        <f t="shared" si="616"/>
        <v>Oncology</v>
      </c>
      <c r="R1810">
        <f t="shared" si="617"/>
        <v>20</v>
      </c>
      <c r="S1810" t="str">
        <f t="shared" ca="1" si="621"/>
        <v>Yes</v>
      </c>
      <c r="T1810" t="str">
        <f t="shared" ca="1" si="622"/>
        <v>Mild</v>
      </c>
      <c r="U1810" t="str">
        <f t="shared" ca="1" si="623"/>
        <v>Private Ward</v>
      </c>
      <c r="V1810" t="str">
        <f t="shared" si="624"/>
        <v>BED1809</v>
      </c>
      <c r="W1810" t="str">
        <f t="shared" ca="1" si="625"/>
        <v>General</v>
      </c>
      <c r="X1810" t="str">
        <f t="shared" si="626"/>
        <v>NUR009</v>
      </c>
      <c r="Y1810" t="str">
        <f t="shared" ca="1" si="627"/>
        <v>Night</v>
      </c>
      <c r="Z1810" t="str">
        <f t="shared" ca="1" si="628"/>
        <v>X-Ray</v>
      </c>
      <c r="AA1810" t="str">
        <f t="shared" ca="1" si="629"/>
        <v>Available</v>
      </c>
      <c r="AB1810" t="str">
        <f t="shared" ca="1" si="630"/>
        <v>Pending</v>
      </c>
      <c r="AC1810" t="str">
        <f t="shared" ca="1" si="631"/>
        <v>Insurance</v>
      </c>
      <c r="AD1810" t="str">
        <f t="shared" ca="1" si="632"/>
        <v>No</v>
      </c>
      <c r="AE1810" t="str">
        <f t="shared" ca="1" si="633"/>
        <v>Yes</v>
      </c>
      <c r="AF1810" t="str">
        <f t="shared" ca="1" si="634"/>
        <v>Under Observation</v>
      </c>
      <c r="AG1810" t="str">
        <f t="shared" ca="1" si="635"/>
        <v>Northeast</v>
      </c>
      <c r="AH1810" t="str">
        <f t="shared" si="618"/>
        <v>June</v>
      </c>
      <c r="AI1810">
        <f t="shared" si="619"/>
        <v>2020</v>
      </c>
      <c r="AJ1810" t="str">
        <f t="shared" ca="1" si="636"/>
        <v>Occupied</v>
      </c>
      <c r="AK1810">
        <f t="shared" ca="1" si="637"/>
        <v>2</v>
      </c>
    </row>
    <row r="1811" spans="1:37" x14ac:dyDescent="0.3">
      <c r="A1811" t="s">
        <v>6190</v>
      </c>
      <c r="B1811">
        <v>79</v>
      </c>
      <c r="C1811" t="s">
        <v>15</v>
      </c>
      <c r="D1811" t="s">
        <v>52</v>
      </c>
      <c r="E1811" t="s">
        <v>39</v>
      </c>
      <c r="F1811" s="1">
        <v>43924</v>
      </c>
      <c r="G1811" t="s">
        <v>3601</v>
      </c>
      <c r="H1811" t="s">
        <v>3602</v>
      </c>
      <c r="I1811" t="s">
        <v>57</v>
      </c>
      <c r="J1811">
        <v>9275</v>
      </c>
      <c r="K1811">
        <v>313</v>
      </c>
      <c r="L1811" t="s">
        <v>29</v>
      </c>
      <c r="M1811" s="1">
        <v>43947</v>
      </c>
      <c r="N1811" t="s">
        <v>47</v>
      </c>
      <c r="O1811" t="s">
        <v>23</v>
      </c>
      <c r="P1811" t="str">
        <f t="shared" si="620"/>
        <v>P1810</v>
      </c>
      <c r="Q1811" t="str">
        <f t="shared" si="616"/>
        <v>Endocrinology</v>
      </c>
      <c r="R1811">
        <f t="shared" si="617"/>
        <v>23</v>
      </c>
      <c r="S1811" t="str">
        <f t="shared" ca="1" si="621"/>
        <v>No</v>
      </c>
      <c r="T1811" t="str">
        <f t="shared" ca="1" si="622"/>
        <v>Moderate</v>
      </c>
      <c r="U1811" t="str">
        <f t="shared" ca="1" si="623"/>
        <v>ICU</v>
      </c>
      <c r="V1811" t="str">
        <f t="shared" si="624"/>
        <v>BED1810</v>
      </c>
      <c r="W1811" t="str">
        <f t="shared" ca="1" si="625"/>
        <v>Private</v>
      </c>
      <c r="X1811" t="str">
        <f t="shared" si="626"/>
        <v>NUR010</v>
      </c>
      <c r="Y1811" t="str">
        <f t="shared" ca="1" si="627"/>
        <v>Evening</v>
      </c>
      <c r="Z1811" t="str">
        <f t="shared" ca="1" si="628"/>
        <v>X-Ray</v>
      </c>
      <c r="AA1811" t="str">
        <f t="shared" ca="1" si="629"/>
        <v>Maintenance</v>
      </c>
      <c r="AB1811" t="str">
        <f t="shared" ca="1" si="630"/>
        <v>Paid</v>
      </c>
      <c r="AC1811" t="str">
        <f t="shared" ca="1" si="631"/>
        <v>Bank Transfer</v>
      </c>
      <c r="AD1811" t="str">
        <f t="shared" ca="1" si="632"/>
        <v>No</v>
      </c>
      <c r="AE1811" t="str">
        <f t="shared" ca="1" si="633"/>
        <v>Yes</v>
      </c>
      <c r="AF1811" t="str">
        <f t="shared" ca="1" si="634"/>
        <v>Transferred</v>
      </c>
      <c r="AG1811" t="str">
        <f t="shared" ca="1" si="635"/>
        <v>West Coast</v>
      </c>
      <c r="AH1811" t="str">
        <f t="shared" si="618"/>
        <v>April</v>
      </c>
      <c r="AI1811">
        <f t="shared" si="619"/>
        <v>2020</v>
      </c>
      <c r="AJ1811" t="str">
        <f t="shared" ca="1" si="636"/>
        <v>Occupied</v>
      </c>
      <c r="AK1811">
        <f t="shared" ca="1" si="637"/>
        <v>1</v>
      </c>
    </row>
    <row r="1812" spans="1:37" x14ac:dyDescent="0.3">
      <c r="A1812" t="s">
        <v>6191</v>
      </c>
      <c r="B1812">
        <v>54</v>
      </c>
      <c r="C1812" t="s">
        <v>32</v>
      </c>
      <c r="D1812" t="s">
        <v>52</v>
      </c>
      <c r="E1812" t="s">
        <v>39</v>
      </c>
      <c r="F1812" s="1">
        <v>44773</v>
      </c>
      <c r="G1812" t="s">
        <v>3603</v>
      </c>
      <c r="H1812" t="s">
        <v>3604</v>
      </c>
      <c r="I1812" t="s">
        <v>36</v>
      </c>
      <c r="J1812">
        <v>7198</v>
      </c>
      <c r="K1812">
        <v>322</v>
      </c>
      <c r="L1812" t="s">
        <v>21</v>
      </c>
      <c r="M1812" s="1">
        <v>44775</v>
      </c>
      <c r="N1812" t="s">
        <v>30</v>
      </c>
      <c r="O1812" t="s">
        <v>43</v>
      </c>
      <c r="P1812" t="str">
        <f t="shared" si="620"/>
        <v>P1811</v>
      </c>
      <c r="Q1812" t="str">
        <f t="shared" si="616"/>
        <v>Endocrinology</v>
      </c>
      <c r="R1812">
        <f t="shared" si="617"/>
        <v>2</v>
      </c>
      <c r="S1812" t="str">
        <f t="shared" ca="1" si="621"/>
        <v>No</v>
      </c>
      <c r="T1812" t="str">
        <f t="shared" ca="1" si="622"/>
        <v>Mild</v>
      </c>
      <c r="U1812" t="str">
        <f t="shared" ca="1" si="623"/>
        <v>Semi-Private</v>
      </c>
      <c r="V1812" t="str">
        <f t="shared" si="624"/>
        <v>BED1811</v>
      </c>
      <c r="W1812" t="str">
        <f t="shared" ca="1" si="625"/>
        <v>Private</v>
      </c>
      <c r="X1812" t="str">
        <f t="shared" si="626"/>
        <v>NUR011</v>
      </c>
      <c r="Y1812" t="str">
        <f t="shared" ca="1" si="627"/>
        <v>Morning</v>
      </c>
      <c r="Z1812" t="str">
        <f t="shared" ca="1" si="628"/>
        <v>CT Scanner</v>
      </c>
      <c r="AA1812" t="str">
        <f t="shared" ca="1" si="629"/>
        <v>Maintenance</v>
      </c>
      <c r="AB1812" t="str">
        <f t="shared" ca="1" si="630"/>
        <v>Pending</v>
      </c>
      <c r="AC1812" t="str">
        <f t="shared" ca="1" si="631"/>
        <v>Cash</v>
      </c>
      <c r="AD1812" t="str">
        <f t="shared" ca="1" si="632"/>
        <v>No</v>
      </c>
      <c r="AE1812" t="str">
        <f t="shared" ca="1" si="633"/>
        <v>No</v>
      </c>
      <c r="AF1812" t="str">
        <f t="shared" ca="1" si="634"/>
        <v>Transferred</v>
      </c>
      <c r="AG1812" t="str">
        <f t="shared" ca="1" si="635"/>
        <v>Northeast</v>
      </c>
      <c r="AH1812" t="str">
        <f t="shared" si="618"/>
        <v>July</v>
      </c>
      <c r="AI1812">
        <f t="shared" si="619"/>
        <v>2022</v>
      </c>
      <c r="AJ1812" t="str">
        <f t="shared" ca="1" si="636"/>
        <v>Occupied</v>
      </c>
      <c r="AK1812">
        <f t="shared" ca="1" si="637"/>
        <v>4</v>
      </c>
    </row>
    <row r="1813" spans="1:37" x14ac:dyDescent="0.3">
      <c r="A1813" t="s">
        <v>6192</v>
      </c>
      <c r="B1813">
        <v>82</v>
      </c>
      <c r="C1813" t="s">
        <v>15</v>
      </c>
      <c r="D1813" t="s">
        <v>24</v>
      </c>
      <c r="E1813" t="s">
        <v>25</v>
      </c>
      <c r="F1813" s="1">
        <v>44470</v>
      </c>
      <c r="G1813" t="s">
        <v>3605</v>
      </c>
      <c r="H1813" t="s">
        <v>3606</v>
      </c>
      <c r="I1813" t="s">
        <v>51</v>
      </c>
      <c r="J1813">
        <v>26379</v>
      </c>
      <c r="K1813">
        <v>255</v>
      </c>
      <c r="L1813" t="s">
        <v>29</v>
      </c>
      <c r="M1813" s="1">
        <v>44498</v>
      </c>
      <c r="N1813" t="s">
        <v>22</v>
      </c>
      <c r="O1813" t="s">
        <v>23</v>
      </c>
      <c r="P1813" t="str">
        <f t="shared" si="620"/>
        <v>P1812</v>
      </c>
      <c r="Q1813" t="str">
        <f t="shared" si="616"/>
        <v>Nutrition</v>
      </c>
      <c r="R1813">
        <f t="shared" si="617"/>
        <v>28</v>
      </c>
      <c r="S1813" t="str">
        <f t="shared" ca="1" si="621"/>
        <v>No</v>
      </c>
      <c r="T1813" t="str">
        <f t="shared" ca="1" si="622"/>
        <v>Critical</v>
      </c>
      <c r="U1813" t="str">
        <f t="shared" ca="1" si="623"/>
        <v>Semi-Private</v>
      </c>
      <c r="V1813" t="str">
        <f t="shared" si="624"/>
        <v>BED1812</v>
      </c>
      <c r="W1813" t="str">
        <f t="shared" ca="1" si="625"/>
        <v>Private</v>
      </c>
      <c r="X1813" t="str">
        <f t="shared" si="626"/>
        <v>NUR012</v>
      </c>
      <c r="Y1813" t="str">
        <f t="shared" ca="1" si="627"/>
        <v>Evening</v>
      </c>
      <c r="Z1813" t="str">
        <f t="shared" ca="1" si="628"/>
        <v>MRI Scanner</v>
      </c>
      <c r="AA1813" t="str">
        <f t="shared" ca="1" si="629"/>
        <v>In Use</v>
      </c>
      <c r="AB1813" t="str">
        <f t="shared" ca="1" si="630"/>
        <v>Pending</v>
      </c>
      <c r="AC1813" t="str">
        <f t="shared" ca="1" si="631"/>
        <v>Cash</v>
      </c>
      <c r="AD1813" t="str">
        <f t="shared" ca="1" si="632"/>
        <v>No</v>
      </c>
      <c r="AE1813" t="str">
        <f t="shared" ca="1" si="633"/>
        <v>No</v>
      </c>
      <c r="AF1813" t="str">
        <f t="shared" ca="1" si="634"/>
        <v>Recovered</v>
      </c>
      <c r="AG1813" t="str">
        <f t="shared" ca="1" si="635"/>
        <v>West Coast</v>
      </c>
      <c r="AH1813" t="str">
        <f t="shared" si="618"/>
        <v>October</v>
      </c>
      <c r="AI1813">
        <f t="shared" si="619"/>
        <v>2021</v>
      </c>
      <c r="AJ1813" t="str">
        <f t="shared" ca="1" si="636"/>
        <v>Occupied</v>
      </c>
      <c r="AK1813">
        <f t="shared" ca="1" si="637"/>
        <v>1</v>
      </c>
    </row>
    <row r="1814" spans="1:37" x14ac:dyDescent="0.3">
      <c r="A1814" t="s">
        <v>6193</v>
      </c>
      <c r="B1814">
        <v>80</v>
      </c>
      <c r="C1814" t="s">
        <v>32</v>
      </c>
      <c r="D1814" t="s">
        <v>52</v>
      </c>
      <c r="E1814" t="s">
        <v>25</v>
      </c>
      <c r="F1814" s="1">
        <v>44087</v>
      </c>
      <c r="G1814" t="s">
        <v>3607</v>
      </c>
      <c r="H1814" t="s">
        <v>3608</v>
      </c>
      <c r="I1814" t="s">
        <v>28</v>
      </c>
      <c r="J1814">
        <v>4845</v>
      </c>
      <c r="K1814">
        <v>205</v>
      </c>
      <c r="L1814" t="s">
        <v>42</v>
      </c>
      <c r="M1814" s="1">
        <v>44110</v>
      </c>
      <c r="N1814" t="s">
        <v>30</v>
      </c>
      <c r="O1814" t="s">
        <v>31</v>
      </c>
      <c r="P1814" t="str">
        <f t="shared" si="620"/>
        <v>P1813</v>
      </c>
      <c r="Q1814" t="str">
        <f t="shared" si="616"/>
        <v>Nutrition</v>
      </c>
      <c r="R1814">
        <f t="shared" si="617"/>
        <v>23</v>
      </c>
      <c r="S1814" t="str">
        <f t="shared" ca="1" si="621"/>
        <v>No</v>
      </c>
      <c r="T1814" t="str">
        <f t="shared" ca="1" si="622"/>
        <v>Moderate</v>
      </c>
      <c r="U1814" t="str">
        <f t="shared" ca="1" si="623"/>
        <v>General Ward</v>
      </c>
      <c r="V1814" t="str">
        <f t="shared" si="624"/>
        <v>BED1813</v>
      </c>
      <c r="W1814" t="str">
        <f t="shared" ca="1" si="625"/>
        <v>General</v>
      </c>
      <c r="X1814" t="str">
        <f t="shared" si="626"/>
        <v>NUR013</v>
      </c>
      <c r="Y1814" t="str">
        <f t="shared" ca="1" si="627"/>
        <v>Morning</v>
      </c>
      <c r="Z1814" t="str">
        <f t="shared" ca="1" si="628"/>
        <v>Ultrasound</v>
      </c>
      <c r="AA1814" t="str">
        <f t="shared" ca="1" si="629"/>
        <v>Available</v>
      </c>
      <c r="AB1814" t="str">
        <f t="shared" ca="1" si="630"/>
        <v>Pending</v>
      </c>
      <c r="AC1814" t="str">
        <f t="shared" ca="1" si="631"/>
        <v>Cash</v>
      </c>
      <c r="AD1814" t="str">
        <f t="shared" ca="1" si="632"/>
        <v>No</v>
      </c>
      <c r="AE1814" t="str">
        <f t="shared" ca="1" si="633"/>
        <v>No</v>
      </c>
      <c r="AF1814" t="str">
        <f t="shared" ca="1" si="634"/>
        <v>Under Observation</v>
      </c>
      <c r="AG1814" t="str">
        <f t="shared" ca="1" si="635"/>
        <v>Southwest</v>
      </c>
      <c r="AH1814" t="str">
        <f t="shared" si="618"/>
        <v>September</v>
      </c>
      <c r="AI1814">
        <f t="shared" si="619"/>
        <v>2020</v>
      </c>
      <c r="AJ1814" t="str">
        <f t="shared" ca="1" si="636"/>
        <v>Occupied</v>
      </c>
      <c r="AK1814">
        <f t="shared" ca="1" si="637"/>
        <v>1</v>
      </c>
    </row>
    <row r="1815" spans="1:37" x14ac:dyDescent="0.3">
      <c r="A1815" t="s">
        <v>6194</v>
      </c>
      <c r="B1815">
        <v>51</v>
      </c>
      <c r="C1815" t="s">
        <v>32</v>
      </c>
      <c r="D1815" t="s">
        <v>83</v>
      </c>
      <c r="E1815" t="s">
        <v>25</v>
      </c>
      <c r="F1815" s="1">
        <v>45241</v>
      </c>
      <c r="G1815" t="s">
        <v>3609</v>
      </c>
      <c r="H1815" t="s">
        <v>3610</v>
      </c>
      <c r="I1815" t="s">
        <v>51</v>
      </c>
      <c r="J1815">
        <v>28949</v>
      </c>
      <c r="K1815">
        <v>245</v>
      </c>
      <c r="L1815" t="s">
        <v>29</v>
      </c>
      <c r="M1815" s="1">
        <v>45269</v>
      </c>
      <c r="N1815" t="s">
        <v>67</v>
      </c>
      <c r="O1815" t="s">
        <v>31</v>
      </c>
      <c r="P1815" t="str">
        <f t="shared" si="620"/>
        <v>P1814</v>
      </c>
      <c r="Q1815" t="str">
        <f t="shared" si="616"/>
        <v>Nutrition</v>
      </c>
      <c r="R1815">
        <f t="shared" si="617"/>
        <v>28</v>
      </c>
      <c r="S1815" t="str">
        <f t="shared" ca="1" si="621"/>
        <v>No</v>
      </c>
      <c r="T1815" t="str">
        <f t="shared" ca="1" si="622"/>
        <v>Critical</v>
      </c>
      <c r="U1815" t="str">
        <f t="shared" ca="1" si="623"/>
        <v>General Ward</v>
      </c>
      <c r="V1815" t="str">
        <f t="shared" si="624"/>
        <v>BED1814</v>
      </c>
      <c r="W1815" t="str">
        <f t="shared" ca="1" si="625"/>
        <v>Semi-Private</v>
      </c>
      <c r="X1815" t="str">
        <f t="shared" si="626"/>
        <v>NUR014</v>
      </c>
      <c r="Y1815" t="str">
        <f t="shared" ca="1" si="627"/>
        <v>Evening</v>
      </c>
      <c r="Z1815" t="str">
        <f t="shared" ca="1" si="628"/>
        <v>X-Ray</v>
      </c>
      <c r="AA1815" t="str">
        <f t="shared" ca="1" si="629"/>
        <v>Available</v>
      </c>
      <c r="AB1815" t="str">
        <f t="shared" ca="1" si="630"/>
        <v>Pending</v>
      </c>
      <c r="AC1815" t="str">
        <f t="shared" ca="1" si="631"/>
        <v>Debit Card</v>
      </c>
      <c r="AD1815" t="str">
        <f t="shared" ca="1" si="632"/>
        <v>No</v>
      </c>
      <c r="AE1815" t="str">
        <f t="shared" ca="1" si="633"/>
        <v>No</v>
      </c>
      <c r="AF1815" t="str">
        <f t="shared" ca="1" si="634"/>
        <v>Under Observation</v>
      </c>
      <c r="AG1815" t="str">
        <f t="shared" ca="1" si="635"/>
        <v>Northeast</v>
      </c>
      <c r="AH1815" t="str">
        <f t="shared" si="618"/>
        <v>November</v>
      </c>
      <c r="AI1815">
        <f t="shared" si="619"/>
        <v>2023</v>
      </c>
      <c r="AJ1815" t="str">
        <f t="shared" ca="1" si="636"/>
        <v>Occupied</v>
      </c>
      <c r="AK1815">
        <f t="shared" ca="1" si="637"/>
        <v>1</v>
      </c>
    </row>
    <row r="1816" spans="1:37" x14ac:dyDescent="0.3">
      <c r="A1816" t="s">
        <v>6195</v>
      </c>
      <c r="B1816">
        <v>79</v>
      </c>
      <c r="C1816" t="s">
        <v>32</v>
      </c>
      <c r="D1816" t="s">
        <v>24</v>
      </c>
      <c r="E1816" t="s">
        <v>17</v>
      </c>
      <c r="F1816" s="1">
        <v>44336</v>
      </c>
      <c r="G1816" t="s">
        <v>3611</v>
      </c>
      <c r="H1816" t="s">
        <v>3612</v>
      </c>
      <c r="I1816" t="s">
        <v>51</v>
      </c>
      <c r="J1816">
        <v>40313</v>
      </c>
      <c r="K1816">
        <v>184</v>
      </c>
      <c r="L1816" t="s">
        <v>42</v>
      </c>
      <c r="M1816" s="1">
        <v>44339</v>
      </c>
      <c r="N1816" t="s">
        <v>47</v>
      </c>
      <c r="O1816" t="s">
        <v>31</v>
      </c>
      <c r="P1816" t="str">
        <f t="shared" si="620"/>
        <v>P1815</v>
      </c>
      <c r="Q1816" t="str">
        <f t="shared" si="616"/>
        <v>Oncology</v>
      </c>
      <c r="R1816">
        <f t="shared" si="617"/>
        <v>3</v>
      </c>
      <c r="S1816" t="str">
        <f t="shared" ca="1" si="621"/>
        <v>No</v>
      </c>
      <c r="T1816" t="str">
        <f t="shared" ca="1" si="622"/>
        <v>Critical</v>
      </c>
      <c r="U1816" t="str">
        <f t="shared" ca="1" si="623"/>
        <v>Private Ward</v>
      </c>
      <c r="V1816" t="str">
        <f t="shared" si="624"/>
        <v>BED1815</v>
      </c>
      <c r="W1816" t="str">
        <f t="shared" ca="1" si="625"/>
        <v>Semi-Private</v>
      </c>
      <c r="X1816" t="str">
        <f t="shared" si="626"/>
        <v>NUR015</v>
      </c>
      <c r="Y1816" t="str">
        <f t="shared" ca="1" si="627"/>
        <v>Evening</v>
      </c>
      <c r="Z1816" t="str">
        <f t="shared" ca="1" si="628"/>
        <v>X-Ray</v>
      </c>
      <c r="AA1816" t="str">
        <f t="shared" ca="1" si="629"/>
        <v>In Use</v>
      </c>
      <c r="AB1816" t="str">
        <f t="shared" ca="1" si="630"/>
        <v>Partially Paid</v>
      </c>
      <c r="AC1816" t="str">
        <f t="shared" ca="1" si="631"/>
        <v>Credit Card</v>
      </c>
      <c r="AD1816" t="str">
        <f t="shared" ca="1" si="632"/>
        <v>Yes</v>
      </c>
      <c r="AE1816" t="str">
        <f t="shared" ca="1" si="633"/>
        <v>Yes</v>
      </c>
      <c r="AF1816" t="str">
        <f t="shared" ca="1" si="634"/>
        <v>Under Observation</v>
      </c>
      <c r="AG1816" t="str">
        <f t="shared" ca="1" si="635"/>
        <v>Southeast</v>
      </c>
      <c r="AH1816" t="str">
        <f t="shared" si="618"/>
        <v>May</v>
      </c>
      <c r="AI1816">
        <f t="shared" si="619"/>
        <v>2021</v>
      </c>
      <c r="AJ1816" t="str">
        <f t="shared" ca="1" si="636"/>
        <v>Occupied</v>
      </c>
      <c r="AK1816">
        <f t="shared" ca="1" si="637"/>
        <v>1</v>
      </c>
    </row>
    <row r="1817" spans="1:37" x14ac:dyDescent="0.3">
      <c r="A1817" t="s">
        <v>6196</v>
      </c>
      <c r="B1817">
        <v>27</v>
      </c>
      <c r="C1817" t="s">
        <v>32</v>
      </c>
      <c r="D1817" t="s">
        <v>16</v>
      </c>
      <c r="E1817" t="s">
        <v>76</v>
      </c>
      <c r="F1817" s="1">
        <v>44429</v>
      </c>
      <c r="G1817" t="s">
        <v>3613</v>
      </c>
      <c r="H1817" t="s">
        <v>3614</v>
      </c>
      <c r="I1817" t="s">
        <v>51</v>
      </c>
      <c r="J1817">
        <v>48116</v>
      </c>
      <c r="K1817">
        <v>481</v>
      </c>
      <c r="L1817" t="s">
        <v>29</v>
      </c>
      <c r="M1817" s="1">
        <v>44443</v>
      </c>
      <c r="N1817" t="s">
        <v>67</v>
      </c>
      <c r="O1817" t="s">
        <v>43</v>
      </c>
      <c r="P1817" t="str">
        <f t="shared" si="620"/>
        <v>P1816</v>
      </c>
      <c r="Q1817" t="str">
        <f t="shared" si="616"/>
        <v>Orthopedics</v>
      </c>
      <c r="R1817">
        <f t="shared" si="617"/>
        <v>14</v>
      </c>
      <c r="S1817" t="str">
        <f t="shared" ca="1" si="621"/>
        <v>No</v>
      </c>
      <c r="T1817" t="str">
        <f t="shared" ca="1" si="622"/>
        <v>Severe</v>
      </c>
      <c r="U1817" t="str">
        <f t="shared" ca="1" si="623"/>
        <v>Semi-Private</v>
      </c>
      <c r="V1817" t="str">
        <f t="shared" si="624"/>
        <v>BED1816</v>
      </c>
      <c r="W1817" t="str">
        <f t="shared" ca="1" si="625"/>
        <v>Semi-Private</v>
      </c>
      <c r="X1817" t="str">
        <f t="shared" si="626"/>
        <v>NUR016</v>
      </c>
      <c r="Y1817" t="str">
        <f t="shared" ca="1" si="627"/>
        <v>Morning</v>
      </c>
      <c r="Z1817" t="str">
        <f t="shared" ca="1" si="628"/>
        <v>ECG Machine</v>
      </c>
      <c r="AA1817" t="str">
        <f t="shared" ca="1" si="629"/>
        <v>Available</v>
      </c>
      <c r="AB1817" t="str">
        <f t="shared" ca="1" si="630"/>
        <v>Partially Paid</v>
      </c>
      <c r="AC1817" t="str">
        <f t="shared" ca="1" si="631"/>
        <v>Credit Card</v>
      </c>
      <c r="AD1817" t="str">
        <f t="shared" ca="1" si="632"/>
        <v>No</v>
      </c>
      <c r="AE1817" t="str">
        <f t="shared" ca="1" si="633"/>
        <v>Yes</v>
      </c>
      <c r="AF1817" t="str">
        <f t="shared" ca="1" si="634"/>
        <v>Transferred</v>
      </c>
      <c r="AG1817" t="str">
        <f t="shared" ca="1" si="635"/>
        <v>West Coast</v>
      </c>
      <c r="AH1817" t="str">
        <f t="shared" si="618"/>
        <v>August</v>
      </c>
      <c r="AI1817">
        <f t="shared" si="619"/>
        <v>2021</v>
      </c>
      <c r="AJ1817" t="str">
        <f t="shared" ca="1" si="636"/>
        <v>Occupied</v>
      </c>
      <c r="AK1817">
        <f t="shared" ca="1" si="637"/>
        <v>2</v>
      </c>
    </row>
    <row r="1818" spans="1:37" x14ac:dyDescent="0.3">
      <c r="A1818" t="s">
        <v>6197</v>
      </c>
      <c r="B1818">
        <v>84</v>
      </c>
      <c r="C1818" t="s">
        <v>32</v>
      </c>
      <c r="D1818" t="s">
        <v>38</v>
      </c>
      <c r="E1818" t="s">
        <v>48</v>
      </c>
      <c r="F1818" s="1">
        <v>44300</v>
      </c>
      <c r="G1818" t="s">
        <v>3615</v>
      </c>
      <c r="H1818" t="s">
        <v>3616</v>
      </c>
      <c r="I1818" t="s">
        <v>51</v>
      </c>
      <c r="J1818">
        <v>17012</v>
      </c>
      <c r="K1818">
        <v>372</v>
      </c>
      <c r="L1818" t="s">
        <v>42</v>
      </c>
      <c r="M1818" s="1">
        <v>44304</v>
      </c>
      <c r="N1818" t="s">
        <v>67</v>
      </c>
      <c r="O1818" t="s">
        <v>43</v>
      </c>
      <c r="P1818" t="str">
        <f t="shared" si="620"/>
        <v>P1817</v>
      </c>
      <c r="Q1818" t="str">
        <f t="shared" si="616"/>
        <v>Pulmonology</v>
      </c>
      <c r="R1818">
        <f t="shared" si="617"/>
        <v>4</v>
      </c>
      <c r="S1818" t="str">
        <f t="shared" ca="1" si="621"/>
        <v>No</v>
      </c>
      <c r="T1818" t="str">
        <f t="shared" ca="1" si="622"/>
        <v>Severe</v>
      </c>
      <c r="U1818" t="str">
        <f t="shared" ca="1" si="623"/>
        <v>Private Ward</v>
      </c>
      <c r="V1818" t="str">
        <f t="shared" si="624"/>
        <v>BED1817</v>
      </c>
      <c r="W1818" t="str">
        <f t="shared" ca="1" si="625"/>
        <v>ICU</v>
      </c>
      <c r="X1818" t="str">
        <f t="shared" si="626"/>
        <v>NUR017</v>
      </c>
      <c r="Y1818" t="str">
        <f t="shared" ca="1" si="627"/>
        <v>Evening</v>
      </c>
      <c r="Z1818" t="str">
        <f t="shared" ca="1" si="628"/>
        <v>CT Scanner</v>
      </c>
      <c r="AA1818" t="str">
        <f t="shared" ca="1" si="629"/>
        <v>Maintenance</v>
      </c>
      <c r="AB1818" t="str">
        <f t="shared" ca="1" si="630"/>
        <v>Pending</v>
      </c>
      <c r="AC1818" t="str">
        <f t="shared" ca="1" si="631"/>
        <v>Cash</v>
      </c>
      <c r="AD1818" t="str">
        <f t="shared" ca="1" si="632"/>
        <v>No</v>
      </c>
      <c r="AE1818" t="str">
        <f t="shared" ca="1" si="633"/>
        <v>No</v>
      </c>
      <c r="AF1818" t="str">
        <f t="shared" ca="1" si="634"/>
        <v>Recovered</v>
      </c>
      <c r="AG1818" t="str">
        <f t="shared" ca="1" si="635"/>
        <v>Southwest</v>
      </c>
      <c r="AH1818" t="str">
        <f t="shared" si="618"/>
        <v>April</v>
      </c>
      <c r="AI1818">
        <f t="shared" si="619"/>
        <v>2021</v>
      </c>
      <c r="AJ1818" t="str">
        <f t="shared" ca="1" si="636"/>
        <v>Occupied</v>
      </c>
      <c r="AK1818">
        <f t="shared" ca="1" si="637"/>
        <v>4</v>
      </c>
    </row>
    <row r="1819" spans="1:37" x14ac:dyDescent="0.3">
      <c r="A1819" t="s">
        <v>6198</v>
      </c>
      <c r="B1819">
        <v>77</v>
      </c>
      <c r="C1819" t="s">
        <v>32</v>
      </c>
      <c r="D1819" t="s">
        <v>83</v>
      </c>
      <c r="E1819" t="s">
        <v>76</v>
      </c>
      <c r="F1819" s="1">
        <v>45385</v>
      </c>
      <c r="G1819" t="s">
        <v>3617</v>
      </c>
      <c r="H1819" t="s">
        <v>3618</v>
      </c>
      <c r="I1819" t="s">
        <v>36</v>
      </c>
      <c r="J1819">
        <v>41515</v>
      </c>
      <c r="K1819">
        <v>487</v>
      </c>
      <c r="L1819" t="s">
        <v>21</v>
      </c>
      <c r="M1819" s="1">
        <v>45388</v>
      </c>
      <c r="N1819" t="s">
        <v>37</v>
      </c>
      <c r="O1819" t="s">
        <v>31</v>
      </c>
      <c r="P1819" t="str">
        <f t="shared" si="620"/>
        <v>P1818</v>
      </c>
      <c r="Q1819" t="str">
        <f t="shared" si="616"/>
        <v>Orthopedics</v>
      </c>
      <c r="R1819">
        <f t="shared" si="617"/>
        <v>3</v>
      </c>
      <c r="S1819" t="str">
        <f t="shared" ca="1" si="621"/>
        <v>No</v>
      </c>
      <c r="T1819" t="str">
        <f t="shared" ca="1" si="622"/>
        <v>Severe</v>
      </c>
      <c r="U1819" t="str">
        <f t="shared" ca="1" si="623"/>
        <v>General Ward</v>
      </c>
      <c r="V1819" t="str">
        <f t="shared" si="624"/>
        <v>BED1818</v>
      </c>
      <c r="W1819" t="str">
        <f t="shared" ca="1" si="625"/>
        <v>General</v>
      </c>
      <c r="X1819" t="str">
        <f t="shared" si="626"/>
        <v>NUR018</v>
      </c>
      <c r="Y1819" t="str">
        <f t="shared" ca="1" si="627"/>
        <v>Morning</v>
      </c>
      <c r="Z1819" t="str">
        <f t="shared" ca="1" si="628"/>
        <v>Ventilator</v>
      </c>
      <c r="AA1819" t="str">
        <f t="shared" ca="1" si="629"/>
        <v>Available</v>
      </c>
      <c r="AB1819" t="str">
        <f t="shared" ca="1" si="630"/>
        <v>Partially Paid</v>
      </c>
      <c r="AC1819" t="str">
        <f t="shared" ca="1" si="631"/>
        <v>Debit Card</v>
      </c>
      <c r="AD1819" t="str">
        <f t="shared" ca="1" si="632"/>
        <v>No</v>
      </c>
      <c r="AE1819" t="str">
        <f t="shared" ca="1" si="633"/>
        <v>No</v>
      </c>
      <c r="AF1819" t="str">
        <f t="shared" ca="1" si="634"/>
        <v>Transferred</v>
      </c>
      <c r="AG1819" t="str">
        <f t="shared" ca="1" si="635"/>
        <v>Northeast</v>
      </c>
      <c r="AH1819" t="str">
        <f t="shared" si="618"/>
        <v>April</v>
      </c>
      <c r="AI1819">
        <f t="shared" si="619"/>
        <v>2024</v>
      </c>
      <c r="AJ1819" t="str">
        <f t="shared" ca="1" si="636"/>
        <v>Occupied</v>
      </c>
      <c r="AK1819">
        <f t="shared" ca="1" si="637"/>
        <v>4</v>
      </c>
    </row>
    <row r="1820" spans="1:37" x14ac:dyDescent="0.3">
      <c r="A1820" t="s">
        <v>4221</v>
      </c>
      <c r="B1820">
        <v>51</v>
      </c>
      <c r="C1820" t="s">
        <v>32</v>
      </c>
      <c r="D1820" t="s">
        <v>24</v>
      </c>
      <c r="E1820" t="s">
        <v>48</v>
      </c>
      <c r="F1820" s="1">
        <v>45136</v>
      </c>
      <c r="G1820" t="s">
        <v>3619</v>
      </c>
      <c r="H1820" t="s">
        <v>2070</v>
      </c>
      <c r="I1820" t="s">
        <v>57</v>
      </c>
      <c r="J1820">
        <v>28148</v>
      </c>
      <c r="K1820">
        <v>241</v>
      </c>
      <c r="L1820" t="s">
        <v>21</v>
      </c>
      <c r="M1820" s="1">
        <v>45157</v>
      </c>
      <c r="N1820" t="s">
        <v>22</v>
      </c>
      <c r="O1820" t="s">
        <v>43</v>
      </c>
      <c r="P1820" t="str">
        <f t="shared" si="620"/>
        <v>P1819</v>
      </c>
      <c r="Q1820" t="str">
        <f t="shared" si="616"/>
        <v>Pulmonology</v>
      </c>
      <c r="R1820">
        <f t="shared" si="617"/>
        <v>21</v>
      </c>
      <c r="S1820" t="str">
        <f t="shared" ca="1" si="621"/>
        <v>No</v>
      </c>
      <c r="T1820" t="str">
        <f t="shared" ca="1" si="622"/>
        <v>Critical</v>
      </c>
      <c r="U1820" t="str">
        <f t="shared" ca="1" si="623"/>
        <v>Emergency</v>
      </c>
      <c r="V1820" t="str">
        <f t="shared" si="624"/>
        <v>BED1819</v>
      </c>
      <c r="W1820" t="str">
        <f t="shared" ca="1" si="625"/>
        <v>Private</v>
      </c>
      <c r="X1820" t="str">
        <f t="shared" si="626"/>
        <v>NUR019</v>
      </c>
      <c r="Y1820" t="str">
        <f t="shared" ca="1" si="627"/>
        <v>Night</v>
      </c>
      <c r="Z1820" t="str">
        <f t="shared" ca="1" si="628"/>
        <v>CT Scanner</v>
      </c>
      <c r="AA1820" t="str">
        <f t="shared" ca="1" si="629"/>
        <v>Available</v>
      </c>
      <c r="AB1820" t="str">
        <f t="shared" ca="1" si="630"/>
        <v>Partially Paid</v>
      </c>
      <c r="AC1820" t="str">
        <f t="shared" ca="1" si="631"/>
        <v>Credit Card</v>
      </c>
      <c r="AD1820" t="str">
        <f t="shared" ca="1" si="632"/>
        <v>Yes</v>
      </c>
      <c r="AE1820" t="str">
        <f t="shared" ca="1" si="633"/>
        <v>No</v>
      </c>
      <c r="AF1820" t="str">
        <f t="shared" ca="1" si="634"/>
        <v>Transferred</v>
      </c>
      <c r="AG1820" t="str">
        <f t="shared" ca="1" si="635"/>
        <v>Midwest</v>
      </c>
      <c r="AH1820" t="str">
        <f t="shared" si="618"/>
        <v>July</v>
      </c>
      <c r="AI1820">
        <f t="shared" si="619"/>
        <v>2023</v>
      </c>
      <c r="AJ1820" t="str">
        <f t="shared" ca="1" si="636"/>
        <v>Vacant</v>
      </c>
      <c r="AK1820">
        <f t="shared" ca="1" si="637"/>
        <v>1</v>
      </c>
    </row>
    <row r="1821" spans="1:37" x14ac:dyDescent="0.3">
      <c r="A1821" t="s">
        <v>6199</v>
      </c>
      <c r="B1821">
        <v>27</v>
      </c>
      <c r="C1821" t="s">
        <v>32</v>
      </c>
      <c r="D1821" t="s">
        <v>33</v>
      </c>
      <c r="E1821" t="s">
        <v>39</v>
      </c>
      <c r="F1821" s="1">
        <v>44118</v>
      </c>
      <c r="G1821" t="s">
        <v>3620</v>
      </c>
      <c r="H1821" t="s">
        <v>3621</v>
      </c>
      <c r="I1821" t="s">
        <v>36</v>
      </c>
      <c r="J1821">
        <v>13244</v>
      </c>
      <c r="K1821">
        <v>145</v>
      </c>
      <c r="L1821" t="s">
        <v>42</v>
      </c>
      <c r="M1821" s="1">
        <v>44134</v>
      </c>
      <c r="N1821" t="s">
        <v>37</v>
      </c>
      <c r="O1821" t="s">
        <v>23</v>
      </c>
      <c r="P1821" t="str">
        <f t="shared" si="620"/>
        <v>P1820</v>
      </c>
      <c r="Q1821" t="str">
        <f t="shared" si="616"/>
        <v>Endocrinology</v>
      </c>
      <c r="R1821">
        <f t="shared" si="617"/>
        <v>16</v>
      </c>
      <c r="S1821" t="str">
        <f t="shared" ca="1" si="621"/>
        <v>No</v>
      </c>
      <c r="T1821" t="str">
        <f t="shared" ca="1" si="622"/>
        <v>Severe</v>
      </c>
      <c r="U1821" t="str">
        <f t="shared" ca="1" si="623"/>
        <v>Semi-Private</v>
      </c>
      <c r="V1821" t="str">
        <f t="shared" si="624"/>
        <v>BED1820</v>
      </c>
      <c r="W1821" t="str">
        <f t="shared" ca="1" si="625"/>
        <v>Semi-Private</v>
      </c>
      <c r="X1821" t="str">
        <f t="shared" si="626"/>
        <v>NUR020</v>
      </c>
      <c r="Y1821" t="str">
        <f t="shared" ca="1" si="627"/>
        <v>Evening</v>
      </c>
      <c r="Z1821" t="str">
        <f t="shared" ca="1" si="628"/>
        <v>Ultrasound</v>
      </c>
      <c r="AA1821" t="str">
        <f t="shared" ca="1" si="629"/>
        <v>Maintenance</v>
      </c>
      <c r="AB1821" t="str">
        <f t="shared" ca="1" si="630"/>
        <v>Pending</v>
      </c>
      <c r="AC1821" t="str">
        <f t="shared" ca="1" si="631"/>
        <v>Cash</v>
      </c>
      <c r="AD1821" t="str">
        <f t="shared" ca="1" si="632"/>
        <v>No</v>
      </c>
      <c r="AE1821" t="str">
        <f t="shared" ca="1" si="633"/>
        <v>No</v>
      </c>
      <c r="AF1821" t="str">
        <f t="shared" ca="1" si="634"/>
        <v>Transferred</v>
      </c>
      <c r="AG1821" t="str">
        <f t="shared" ca="1" si="635"/>
        <v>Southeast</v>
      </c>
      <c r="AH1821" t="str">
        <f t="shared" si="618"/>
        <v>October</v>
      </c>
      <c r="AI1821">
        <f t="shared" si="619"/>
        <v>2020</v>
      </c>
      <c r="AJ1821" t="str">
        <f t="shared" ca="1" si="636"/>
        <v>Vacant</v>
      </c>
      <c r="AK1821">
        <f t="shared" ca="1" si="637"/>
        <v>4</v>
      </c>
    </row>
    <row r="1822" spans="1:37" x14ac:dyDescent="0.3">
      <c r="A1822" t="s">
        <v>6200</v>
      </c>
      <c r="B1822">
        <v>45</v>
      </c>
      <c r="C1822" t="s">
        <v>32</v>
      </c>
      <c r="D1822" t="s">
        <v>38</v>
      </c>
      <c r="E1822" t="s">
        <v>17</v>
      </c>
      <c r="F1822" s="1">
        <v>45089</v>
      </c>
      <c r="G1822" t="s">
        <v>3622</v>
      </c>
      <c r="H1822" t="s">
        <v>3623</v>
      </c>
      <c r="I1822" t="s">
        <v>20</v>
      </c>
      <c r="J1822">
        <v>12449</v>
      </c>
      <c r="K1822">
        <v>198</v>
      </c>
      <c r="L1822" t="s">
        <v>42</v>
      </c>
      <c r="M1822" s="1">
        <v>45096</v>
      </c>
      <c r="N1822" t="s">
        <v>22</v>
      </c>
      <c r="O1822" t="s">
        <v>23</v>
      </c>
      <c r="P1822" t="str">
        <f t="shared" si="620"/>
        <v>P1821</v>
      </c>
      <c r="Q1822" t="str">
        <f t="shared" si="616"/>
        <v>Oncology</v>
      </c>
      <c r="R1822">
        <f t="shared" si="617"/>
        <v>7</v>
      </c>
      <c r="S1822" t="str">
        <f t="shared" ca="1" si="621"/>
        <v>No</v>
      </c>
      <c r="T1822" t="str">
        <f t="shared" ca="1" si="622"/>
        <v>Critical</v>
      </c>
      <c r="U1822" t="str">
        <f t="shared" ca="1" si="623"/>
        <v>Emergency</v>
      </c>
      <c r="V1822" t="str">
        <f t="shared" si="624"/>
        <v>BED1821</v>
      </c>
      <c r="W1822" t="str">
        <f t="shared" ca="1" si="625"/>
        <v>General</v>
      </c>
      <c r="X1822" t="str">
        <f t="shared" si="626"/>
        <v>NUR021</v>
      </c>
      <c r="Y1822" t="str">
        <f t="shared" ca="1" si="627"/>
        <v>Night</v>
      </c>
      <c r="Z1822" t="str">
        <f t="shared" ca="1" si="628"/>
        <v>Ventilator</v>
      </c>
      <c r="AA1822" t="str">
        <f t="shared" ca="1" si="629"/>
        <v>Available</v>
      </c>
      <c r="AB1822" t="str">
        <f t="shared" ca="1" si="630"/>
        <v>Paid</v>
      </c>
      <c r="AC1822" t="str">
        <f t="shared" ca="1" si="631"/>
        <v>Bank Transfer</v>
      </c>
      <c r="AD1822" t="str">
        <f t="shared" ca="1" si="632"/>
        <v>No</v>
      </c>
      <c r="AE1822" t="str">
        <f t="shared" ca="1" si="633"/>
        <v>No</v>
      </c>
      <c r="AF1822" t="str">
        <f t="shared" ca="1" si="634"/>
        <v>Transferred</v>
      </c>
      <c r="AG1822" t="str">
        <f t="shared" ca="1" si="635"/>
        <v>Northeast</v>
      </c>
      <c r="AH1822" t="str">
        <f t="shared" si="618"/>
        <v>June</v>
      </c>
      <c r="AI1822">
        <f t="shared" si="619"/>
        <v>2023</v>
      </c>
      <c r="AJ1822" t="str">
        <f t="shared" ca="1" si="636"/>
        <v>Occupied</v>
      </c>
      <c r="AK1822">
        <f t="shared" ca="1" si="637"/>
        <v>2</v>
      </c>
    </row>
    <row r="1823" spans="1:37" x14ac:dyDescent="0.3">
      <c r="A1823" t="s">
        <v>6201</v>
      </c>
      <c r="B1823">
        <v>65</v>
      </c>
      <c r="C1823" t="s">
        <v>32</v>
      </c>
      <c r="D1823" t="s">
        <v>98</v>
      </c>
      <c r="E1823" t="s">
        <v>64</v>
      </c>
      <c r="F1823" s="1">
        <v>44439</v>
      </c>
      <c r="G1823" t="s">
        <v>3624</v>
      </c>
      <c r="H1823" t="s">
        <v>3625</v>
      </c>
      <c r="I1823" t="s">
        <v>20</v>
      </c>
      <c r="J1823">
        <v>6904</v>
      </c>
      <c r="K1823">
        <v>355</v>
      </c>
      <c r="L1823" t="s">
        <v>29</v>
      </c>
      <c r="M1823" s="1">
        <v>44450</v>
      </c>
      <c r="N1823" t="s">
        <v>30</v>
      </c>
      <c r="O1823" t="s">
        <v>31</v>
      </c>
      <c r="P1823" t="str">
        <f t="shared" si="620"/>
        <v>P1822</v>
      </c>
      <c r="Q1823" t="str">
        <f t="shared" si="616"/>
        <v>Cardiology</v>
      </c>
      <c r="R1823">
        <f t="shared" si="617"/>
        <v>11</v>
      </c>
      <c r="S1823" t="str">
        <f t="shared" ca="1" si="621"/>
        <v>No</v>
      </c>
      <c r="T1823" t="str">
        <f t="shared" ca="1" si="622"/>
        <v>Moderate</v>
      </c>
      <c r="U1823" t="str">
        <f t="shared" ca="1" si="623"/>
        <v>Private Ward</v>
      </c>
      <c r="V1823" t="str">
        <f t="shared" si="624"/>
        <v>BED1822</v>
      </c>
      <c r="W1823" t="str">
        <f t="shared" ca="1" si="625"/>
        <v>Semi-Private</v>
      </c>
      <c r="X1823" t="str">
        <f t="shared" si="626"/>
        <v>NUR022</v>
      </c>
      <c r="Y1823" t="str">
        <f t="shared" ca="1" si="627"/>
        <v>Morning</v>
      </c>
      <c r="Z1823" t="str">
        <f t="shared" ca="1" si="628"/>
        <v>X-Ray</v>
      </c>
      <c r="AA1823" t="str">
        <f t="shared" ca="1" si="629"/>
        <v>Available</v>
      </c>
      <c r="AB1823" t="str">
        <f t="shared" ca="1" si="630"/>
        <v>Pending</v>
      </c>
      <c r="AC1823" t="str">
        <f t="shared" ca="1" si="631"/>
        <v>Cash</v>
      </c>
      <c r="AD1823" t="str">
        <f t="shared" ca="1" si="632"/>
        <v>No</v>
      </c>
      <c r="AE1823" t="str">
        <f t="shared" ca="1" si="633"/>
        <v>Yes</v>
      </c>
      <c r="AF1823" t="str">
        <f t="shared" ca="1" si="634"/>
        <v>Transferred</v>
      </c>
      <c r="AG1823" t="str">
        <f t="shared" ca="1" si="635"/>
        <v>Southwest</v>
      </c>
      <c r="AH1823" t="str">
        <f t="shared" si="618"/>
        <v>August</v>
      </c>
      <c r="AI1823">
        <f t="shared" si="619"/>
        <v>2021</v>
      </c>
      <c r="AJ1823" t="str">
        <f t="shared" ca="1" si="636"/>
        <v>Occupied</v>
      </c>
      <c r="AK1823">
        <f t="shared" ca="1" si="637"/>
        <v>1</v>
      </c>
    </row>
    <row r="1824" spans="1:37" x14ac:dyDescent="0.3">
      <c r="A1824" t="s">
        <v>6202</v>
      </c>
      <c r="B1824">
        <v>36</v>
      </c>
      <c r="C1824" t="s">
        <v>32</v>
      </c>
      <c r="D1824" t="s">
        <v>44</v>
      </c>
      <c r="E1824" t="s">
        <v>25</v>
      </c>
      <c r="F1824" s="1">
        <v>43782</v>
      </c>
      <c r="G1824" t="s">
        <v>3626</v>
      </c>
      <c r="H1824" t="s">
        <v>3627</v>
      </c>
      <c r="I1824" t="s">
        <v>51</v>
      </c>
      <c r="J1824">
        <v>42472</v>
      </c>
      <c r="K1824">
        <v>157</v>
      </c>
      <c r="L1824" t="s">
        <v>42</v>
      </c>
      <c r="M1824" s="1">
        <v>43808</v>
      </c>
      <c r="N1824" t="s">
        <v>47</v>
      </c>
      <c r="O1824" t="s">
        <v>31</v>
      </c>
      <c r="P1824" t="str">
        <f t="shared" si="620"/>
        <v>P1823</v>
      </c>
      <c r="Q1824" t="str">
        <f t="shared" si="616"/>
        <v>Nutrition</v>
      </c>
      <c r="R1824">
        <f t="shared" si="617"/>
        <v>26</v>
      </c>
      <c r="S1824" t="str">
        <f t="shared" ca="1" si="621"/>
        <v>No</v>
      </c>
      <c r="T1824" t="str">
        <f t="shared" ca="1" si="622"/>
        <v>Mild</v>
      </c>
      <c r="U1824" t="str">
        <f t="shared" ca="1" si="623"/>
        <v>Private Ward</v>
      </c>
      <c r="V1824" t="str">
        <f t="shared" si="624"/>
        <v>BED1823</v>
      </c>
      <c r="W1824" t="str">
        <f t="shared" ca="1" si="625"/>
        <v>Semi-Private</v>
      </c>
      <c r="X1824" t="str">
        <f t="shared" si="626"/>
        <v>NUR023</v>
      </c>
      <c r="Y1824" t="str">
        <f t="shared" ca="1" si="627"/>
        <v>Evening</v>
      </c>
      <c r="Z1824" t="str">
        <f t="shared" ca="1" si="628"/>
        <v>Ventilator</v>
      </c>
      <c r="AA1824" t="str">
        <f t="shared" ca="1" si="629"/>
        <v>In Use</v>
      </c>
      <c r="AB1824" t="str">
        <f t="shared" ca="1" si="630"/>
        <v>Partially Paid</v>
      </c>
      <c r="AC1824" t="str">
        <f t="shared" ca="1" si="631"/>
        <v>Insurance</v>
      </c>
      <c r="AD1824" t="str">
        <f t="shared" ca="1" si="632"/>
        <v>No</v>
      </c>
      <c r="AE1824" t="str">
        <f t="shared" ca="1" si="633"/>
        <v>No</v>
      </c>
      <c r="AF1824" t="str">
        <f t="shared" ca="1" si="634"/>
        <v>Recovered</v>
      </c>
      <c r="AG1824" t="str">
        <f t="shared" ca="1" si="635"/>
        <v>Southwest</v>
      </c>
      <c r="AH1824" t="str">
        <f t="shared" si="618"/>
        <v>November</v>
      </c>
      <c r="AI1824">
        <f t="shared" si="619"/>
        <v>2019</v>
      </c>
      <c r="AJ1824" t="str">
        <f t="shared" ca="1" si="636"/>
        <v>Occupied</v>
      </c>
      <c r="AK1824">
        <f t="shared" ca="1" si="637"/>
        <v>2</v>
      </c>
    </row>
    <row r="1825" spans="1:37" x14ac:dyDescent="0.3">
      <c r="A1825" t="s">
        <v>6203</v>
      </c>
      <c r="B1825">
        <v>66</v>
      </c>
      <c r="C1825" t="s">
        <v>15</v>
      </c>
      <c r="D1825" t="s">
        <v>16</v>
      </c>
      <c r="E1825" t="s">
        <v>17</v>
      </c>
      <c r="F1825" s="1">
        <v>44691</v>
      </c>
      <c r="G1825" t="s">
        <v>3628</v>
      </c>
      <c r="H1825" t="s">
        <v>3629</v>
      </c>
      <c r="I1825" t="s">
        <v>51</v>
      </c>
      <c r="J1825">
        <v>21306</v>
      </c>
      <c r="K1825">
        <v>407</v>
      </c>
      <c r="L1825" t="s">
        <v>29</v>
      </c>
      <c r="M1825" s="1">
        <v>44716</v>
      </c>
      <c r="N1825" t="s">
        <v>37</v>
      </c>
      <c r="O1825" t="s">
        <v>43</v>
      </c>
      <c r="P1825" t="str">
        <f t="shared" si="620"/>
        <v>P1824</v>
      </c>
      <c r="Q1825" t="str">
        <f t="shared" si="616"/>
        <v>Oncology</v>
      </c>
      <c r="R1825">
        <f t="shared" si="617"/>
        <v>25</v>
      </c>
      <c r="S1825" t="str">
        <f t="shared" ca="1" si="621"/>
        <v>No</v>
      </c>
      <c r="T1825" t="str">
        <f t="shared" ca="1" si="622"/>
        <v>Critical</v>
      </c>
      <c r="U1825" t="str">
        <f t="shared" ca="1" si="623"/>
        <v>ICU</v>
      </c>
      <c r="V1825" t="str">
        <f t="shared" si="624"/>
        <v>BED1824</v>
      </c>
      <c r="W1825" t="str">
        <f t="shared" ca="1" si="625"/>
        <v>ICU</v>
      </c>
      <c r="X1825" t="str">
        <f t="shared" si="626"/>
        <v>NUR024</v>
      </c>
      <c r="Y1825" t="str">
        <f t="shared" ca="1" si="627"/>
        <v>Evening</v>
      </c>
      <c r="Z1825" t="str">
        <f t="shared" ca="1" si="628"/>
        <v>ECG Machine</v>
      </c>
      <c r="AA1825" t="str">
        <f t="shared" ca="1" si="629"/>
        <v>In Use</v>
      </c>
      <c r="AB1825" t="str">
        <f t="shared" ca="1" si="630"/>
        <v>Pending</v>
      </c>
      <c r="AC1825" t="str">
        <f t="shared" ca="1" si="631"/>
        <v>Insurance</v>
      </c>
      <c r="AD1825" t="str">
        <f t="shared" ca="1" si="632"/>
        <v>No</v>
      </c>
      <c r="AE1825" t="str">
        <f t="shared" ca="1" si="633"/>
        <v>No</v>
      </c>
      <c r="AF1825" t="str">
        <f t="shared" ca="1" si="634"/>
        <v>Transferred</v>
      </c>
      <c r="AG1825" t="str">
        <f t="shared" ca="1" si="635"/>
        <v>Northeast</v>
      </c>
      <c r="AH1825" t="str">
        <f t="shared" si="618"/>
        <v>May</v>
      </c>
      <c r="AI1825">
        <f t="shared" si="619"/>
        <v>2022</v>
      </c>
      <c r="AJ1825" t="str">
        <f t="shared" ca="1" si="636"/>
        <v>Occupied</v>
      </c>
      <c r="AK1825">
        <f t="shared" ca="1" si="637"/>
        <v>1</v>
      </c>
    </row>
    <row r="1826" spans="1:37" x14ac:dyDescent="0.3">
      <c r="A1826" t="s">
        <v>6204</v>
      </c>
      <c r="B1826">
        <v>77</v>
      </c>
      <c r="C1826" t="s">
        <v>15</v>
      </c>
      <c r="D1826" t="s">
        <v>44</v>
      </c>
      <c r="E1826" t="s">
        <v>39</v>
      </c>
      <c r="F1826" s="1">
        <v>44772</v>
      </c>
      <c r="G1826" t="s">
        <v>3630</v>
      </c>
      <c r="H1826" t="s">
        <v>3631</v>
      </c>
      <c r="I1826" t="s">
        <v>20</v>
      </c>
      <c r="J1826">
        <v>20826</v>
      </c>
      <c r="K1826">
        <v>298</v>
      </c>
      <c r="L1826" t="s">
        <v>42</v>
      </c>
      <c r="M1826" s="1">
        <v>44777</v>
      </c>
      <c r="N1826" t="s">
        <v>47</v>
      </c>
      <c r="O1826" t="s">
        <v>43</v>
      </c>
      <c r="P1826" t="str">
        <f t="shared" si="620"/>
        <v>P1825</v>
      </c>
      <c r="Q1826" t="str">
        <f t="shared" si="616"/>
        <v>Endocrinology</v>
      </c>
      <c r="R1826">
        <f t="shared" si="617"/>
        <v>5</v>
      </c>
      <c r="S1826" t="str">
        <f t="shared" ca="1" si="621"/>
        <v>No</v>
      </c>
      <c r="T1826" t="str">
        <f t="shared" ca="1" si="622"/>
        <v>Moderate</v>
      </c>
      <c r="U1826" t="str">
        <f t="shared" ca="1" si="623"/>
        <v>ICU</v>
      </c>
      <c r="V1826" t="str">
        <f t="shared" si="624"/>
        <v>BED1825</v>
      </c>
      <c r="W1826" t="str">
        <f t="shared" ca="1" si="625"/>
        <v>General</v>
      </c>
      <c r="X1826" t="str">
        <f t="shared" si="626"/>
        <v>NUR025</v>
      </c>
      <c r="Y1826" t="str">
        <f t="shared" ca="1" si="627"/>
        <v>Night</v>
      </c>
      <c r="Z1826" t="str">
        <f t="shared" ca="1" si="628"/>
        <v>ECG Machine</v>
      </c>
      <c r="AA1826" t="str">
        <f t="shared" ca="1" si="629"/>
        <v>Maintenance</v>
      </c>
      <c r="AB1826" t="str">
        <f t="shared" ca="1" si="630"/>
        <v>Paid</v>
      </c>
      <c r="AC1826" t="str">
        <f t="shared" ca="1" si="631"/>
        <v>Credit Card</v>
      </c>
      <c r="AD1826" t="str">
        <f t="shared" ca="1" si="632"/>
        <v>No</v>
      </c>
      <c r="AE1826" t="str">
        <f t="shared" ca="1" si="633"/>
        <v>No</v>
      </c>
      <c r="AF1826" t="str">
        <f t="shared" ca="1" si="634"/>
        <v>Recovered</v>
      </c>
      <c r="AG1826" t="str">
        <f t="shared" ca="1" si="635"/>
        <v>Southeast</v>
      </c>
      <c r="AH1826" t="str">
        <f t="shared" si="618"/>
        <v>July</v>
      </c>
      <c r="AI1826">
        <f t="shared" si="619"/>
        <v>2022</v>
      </c>
      <c r="AJ1826" t="str">
        <f t="shared" ca="1" si="636"/>
        <v>Occupied</v>
      </c>
      <c r="AK1826">
        <f t="shared" ca="1" si="637"/>
        <v>4</v>
      </c>
    </row>
    <row r="1827" spans="1:37" x14ac:dyDescent="0.3">
      <c r="A1827" t="s">
        <v>6205</v>
      </c>
      <c r="B1827">
        <v>39</v>
      </c>
      <c r="C1827" t="s">
        <v>15</v>
      </c>
      <c r="D1827" t="s">
        <v>44</v>
      </c>
      <c r="E1827" t="s">
        <v>48</v>
      </c>
      <c r="F1827" s="1">
        <v>43674</v>
      </c>
      <c r="G1827" t="s">
        <v>3632</v>
      </c>
      <c r="H1827" t="s">
        <v>3633</v>
      </c>
      <c r="I1827" t="s">
        <v>36</v>
      </c>
      <c r="J1827">
        <v>43664</v>
      </c>
      <c r="K1827">
        <v>104</v>
      </c>
      <c r="L1827" t="s">
        <v>21</v>
      </c>
      <c r="M1827" s="1">
        <v>43679</v>
      </c>
      <c r="N1827" t="s">
        <v>22</v>
      </c>
      <c r="O1827" t="s">
        <v>43</v>
      </c>
      <c r="P1827" t="str">
        <f t="shared" si="620"/>
        <v>P1826</v>
      </c>
      <c r="Q1827" t="str">
        <f t="shared" si="616"/>
        <v>Pulmonology</v>
      </c>
      <c r="R1827">
        <f t="shared" si="617"/>
        <v>5</v>
      </c>
      <c r="S1827" t="str">
        <f t="shared" ca="1" si="621"/>
        <v>Yes</v>
      </c>
      <c r="T1827" t="str">
        <f t="shared" ca="1" si="622"/>
        <v>Severe</v>
      </c>
      <c r="U1827" t="str">
        <f t="shared" ca="1" si="623"/>
        <v>General Ward</v>
      </c>
      <c r="V1827" t="str">
        <f t="shared" si="624"/>
        <v>BED1826</v>
      </c>
      <c r="W1827" t="str">
        <f t="shared" ca="1" si="625"/>
        <v>Private</v>
      </c>
      <c r="X1827" t="str">
        <f t="shared" si="626"/>
        <v>NUR026</v>
      </c>
      <c r="Y1827" t="str">
        <f t="shared" ca="1" si="627"/>
        <v>Morning</v>
      </c>
      <c r="Z1827" t="str">
        <f t="shared" ca="1" si="628"/>
        <v>X-Ray</v>
      </c>
      <c r="AA1827" t="str">
        <f t="shared" ca="1" si="629"/>
        <v>In Use</v>
      </c>
      <c r="AB1827" t="str">
        <f t="shared" ca="1" si="630"/>
        <v>Paid</v>
      </c>
      <c r="AC1827" t="str">
        <f t="shared" ca="1" si="631"/>
        <v>Debit Card</v>
      </c>
      <c r="AD1827" t="str">
        <f t="shared" ca="1" si="632"/>
        <v>No</v>
      </c>
      <c r="AE1827" t="str">
        <f t="shared" ca="1" si="633"/>
        <v>Yes</v>
      </c>
      <c r="AF1827" t="str">
        <f t="shared" ca="1" si="634"/>
        <v>Under Observation</v>
      </c>
      <c r="AG1827" t="str">
        <f t="shared" ca="1" si="635"/>
        <v>Southwest</v>
      </c>
      <c r="AH1827" t="str">
        <f t="shared" si="618"/>
        <v>July</v>
      </c>
      <c r="AI1827">
        <f t="shared" si="619"/>
        <v>2019</v>
      </c>
      <c r="AJ1827" t="str">
        <f t="shared" ca="1" si="636"/>
        <v>Occupied</v>
      </c>
      <c r="AK1827">
        <f t="shared" ca="1" si="637"/>
        <v>4</v>
      </c>
    </row>
    <row r="1828" spans="1:37" x14ac:dyDescent="0.3">
      <c r="A1828" t="s">
        <v>6206</v>
      </c>
      <c r="B1828">
        <v>55</v>
      </c>
      <c r="C1828" t="s">
        <v>15</v>
      </c>
      <c r="D1828" t="s">
        <v>16</v>
      </c>
      <c r="E1828" t="s">
        <v>76</v>
      </c>
      <c r="F1828" s="1">
        <v>44691</v>
      </c>
      <c r="G1828" t="s">
        <v>3634</v>
      </c>
      <c r="H1828" t="s">
        <v>3635</v>
      </c>
      <c r="I1828" t="s">
        <v>51</v>
      </c>
      <c r="J1828">
        <v>28479</v>
      </c>
      <c r="K1828">
        <v>109</v>
      </c>
      <c r="L1828" t="s">
        <v>29</v>
      </c>
      <c r="M1828" s="1">
        <v>44693</v>
      </c>
      <c r="N1828" t="s">
        <v>22</v>
      </c>
      <c r="O1828" t="s">
        <v>23</v>
      </c>
      <c r="P1828" t="str">
        <f t="shared" si="620"/>
        <v>P1827</v>
      </c>
      <c r="Q1828" t="str">
        <f t="shared" si="616"/>
        <v>Orthopedics</v>
      </c>
      <c r="R1828">
        <f t="shared" si="617"/>
        <v>2</v>
      </c>
      <c r="S1828" t="str">
        <f t="shared" ca="1" si="621"/>
        <v>No</v>
      </c>
      <c r="T1828" t="str">
        <f t="shared" ca="1" si="622"/>
        <v>Mild</v>
      </c>
      <c r="U1828" t="str">
        <f t="shared" ca="1" si="623"/>
        <v>Semi-Private</v>
      </c>
      <c r="V1828" t="str">
        <f t="shared" si="624"/>
        <v>BED1827</v>
      </c>
      <c r="W1828" t="str">
        <f t="shared" ca="1" si="625"/>
        <v>Semi-Private</v>
      </c>
      <c r="X1828" t="str">
        <f t="shared" si="626"/>
        <v>NUR027</v>
      </c>
      <c r="Y1828" t="str">
        <f t="shared" ca="1" si="627"/>
        <v>Morning</v>
      </c>
      <c r="Z1828" t="str">
        <f t="shared" ca="1" si="628"/>
        <v>X-Ray</v>
      </c>
      <c r="AA1828" t="str">
        <f t="shared" ca="1" si="629"/>
        <v>Available</v>
      </c>
      <c r="AB1828" t="str">
        <f t="shared" ca="1" si="630"/>
        <v>Paid</v>
      </c>
      <c r="AC1828" t="str">
        <f t="shared" ca="1" si="631"/>
        <v>Insurance</v>
      </c>
      <c r="AD1828" t="str">
        <f t="shared" ca="1" si="632"/>
        <v>Yes</v>
      </c>
      <c r="AE1828" t="str">
        <f t="shared" ca="1" si="633"/>
        <v>Yes</v>
      </c>
      <c r="AF1828" t="str">
        <f t="shared" ca="1" si="634"/>
        <v>Under Observation</v>
      </c>
      <c r="AG1828" t="str">
        <f t="shared" ca="1" si="635"/>
        <v>Southwest</v>
      </c>
      <c r="AH1828" t="str">
        <f t="shared" si="618"/>
        <v>May</v>
      </c>
      <c r="AI1828">
        <f t="shared" si="619"/>
        <v>2022</v>
      </c>
      <c r="AJ1828" t="str">
        <f t="shared" ca="1" si="636"/>
        <v>Occupied</v>
      </c>
      <c r="AK1828">
        <f t="shared" ca="1" si="637"/>
        <v>2</v>
      </c>
    </row>
    <row r="1829" spans="1:37" x14ac:dyDescent="0.3">
      <c r="A1829" t="s">
        <v>6207</v>
      </c>
      <c r="B1829">
        <v>53</v>
      </c>
      <c r="C1829" t="s">
        <v>32</v>
      </c>
      <c r="D1829" t="s">
        <v>24</v>
      </c>
      <c r="E1829" t="s">
        <v>17</v>
      </c>
      <c r="F1829" s="1">
        <v>44961</v>
      </c>
      <c r="G1829" t="s">
        <v>3636</v>
      </c>
      <c r="H1829" t="s">
        <v>3637</v>
      </c>
      <c r="I1829" t="s">
        <v>28</v>
      </c>
      <c r="J1829">
        <v>13092</v>
      </c>
      <c r="K1829">
        <v>317</v>
      </c>
      <c r="L1829" t="s">
        <v>42</v>
      </c>
      <c r="M1829" s="1">
        <v>44985</v>
      </c>
      <c r="N1829" t="s">
        <v>47</v>
      </c>
      <c r="O1829" t="s">
        <v>43</v>
      </c>
      <c r="P1829" t="str">
        <f t="shared" si="620"/>
        <v>P1828</v>
      </c>
      <c r="Q1829" t="str">
        <f t="shared" si="616"/>
        <v>Oncology</v>
      </c>
      <c r="R1829">
        <f t="shared" si="617"/>
        <v>24</v>
      </c>
      <c r="S1829" t="str">
        <f t="shared" ca="1" si="621"/>
        <v>No</v>
      </c>
      <c r="T1829" t="str">
        <f t="shared" ca="1" si="622"/>
        <v>Mild</v>
      </c>
      <c r="U1829" t="str">
        <f t="shared" ca="1" si="623"/>
        <v>Emergency</v>
      </c>
      <c r="V1829" t="str">
        <f t="shared" si="624"/>
        <v>BED1828</v>
      </c>
      <c r="W1829" t="str">
        <f t="shared" ca="1" si="625"/>
        <v>Semi-Private</v>
      </c>
      <c r="X1829" t="str">
        <f t="shared" si="626"/>
        <v>NUR028</v>
      </c>
      <c r="Y1829" t="str">
        <f t="shared" ca="1" si="627"/>
        <v>Morning</v>
      </c>
      <c r="Z1829" t="str">
        <f t="shared" ca="1" si="628"/>
        <v>Ventilator</v>
      </c>
      <c r="AA1829" t="str">
        <f t="shared" ca="1" si="629"/>
        <v>Maintenance</v>
      </c>
      <c r="AB1829" t="str">
        <f t="shared" ca="1" si="630"/>
        <v>Paid</v>
      </c>
      <c r="AC1829" t="str">
        <f t="shared" ca="1" si="631"/>
        <v>Debit Card</v>
      </c>
      <c r="AD1829" t="str">
        <f t="shared" ca="1" si="632"/>
        <v>No</v>
      </c>
      <c r="AE1829" t="str">
        <f t="shared" ca="1" si="633"/>
        <v>No</v>
      </c>
      <c r="AF1829" t="str">
        <f t="shared" ca="1" si="634"/>
        <v>Transferred</v>
      </c>
      <c r="AG1829" t="str">
        <f t="shared" ca="1" si="635"/>
        <v>Southwest</v>
      </c>
      <c r="AH1829" t="str">
        <f t="shared" si="618"/>
        <v>February</v>
      </c>
      <c r="AI1829">
        <f t="shared" si="619"/>
        <v>2023</v>
      </c>
      <c r="AJ1829" t="str">
        <f t="shared" ca="1" si="636"/>
        <v>Occupied</v>
      </c>
      <c r="AK1829">
        <f t="shared" ca="1" si="637"/>
        <v>1</v>
      </c>
    </row>
    <row r="1830" spans="1:37" x14ac:dyDescent="0.3">
      <c r="A1830" t="s">
        <v>6208</v>
      </c>
      <c r="B1830">
        <v>45</v>
      </c>
      <c r="C1830" t="s">
        <v>32</v>
      </c>
      <c r="D1830" t="s">
        <v>52</v>
      </c>
      <c r="E1830" t="s">
        <v>17</v>
      </c>
      <c r="F1830" s="1">
        <v>44118</v>
      </c>
      <c r="G1830" t="s">
        <v>3638</v>
      </c>
      <c r="H1830" t="s">
        <v>3639</v>
      </c>
      <c r="I1830" t="s">
        <v>28</v>
      </c>
      <c r="J1830">
        <v>5165</v>
      </c>
      <c r="K1830">
        <v>457</v>
      </c>
      <c r="L1830" t="s">
        <v>42</v>
      </c>
      <c r="M1830" s="1">
        <v>44141</v>
      </c>
      <c r="N1830" t="s">
        <v>47</v>
      </c>
      <c r="O1830" t="s">
        <v>43</v>
      </c>
      <c r="P1830" t="str">
        <f t="shared" si="620"/>
        <v>P1829</v>
      </c>
      <c r="Q1830" t="str">
        <f t="shared" si="616"/>
        <v>Oncology</v>
      </c>
      <c r="R1830">
        <f t="shared" si="617"/>
        <v>23</v>
      </c>
      <c r="S1830" t="str">
        <f t="shared" ca="1" si="621"/>
        <v>No</v>
      </c>
      <c r="T1830" t="str">
        <f t="shared" ca="1" si="622"/>
        <v>Mild</v>
      </c>
      <c r="U1830" t="str">
        <f t="shared" ca="1" si="623"/>
        <v>General Ward</v>
      </c>
      <c r="V1830" t="str">
        <f t="shared" si="624"/>
        <v>BED1829</v>
      </c>
      <c r="W1830" t="str">
        <f t="shared" ca="1" si="625"/>
        <v>General</v>
      </c>
      <c r="X1830" t="str">
        <f t="shared" si="626"/>
        <v>NUR029</v>
      </c>
      <c r="Y1830" t="str">
        <f t="shared" ca="1" si="627"/>
        <v>Morning</v>
      </c>
      <c r="Z1830" t="str">
        <f t="shared" ca="1" si="628"/>
        <v>Ultrasound</v>
      </c>
      <c r="AA1830" t="str">
        <f t="shared" ca="1" si="629"/>
        <v>Available</v>
      </c>
      <c r="AB1830" t="str">
        <f t="shared" ca="1" si="630"/>
        <v>Paid</v>
      </c>
      <c r="AC1830" t="str">
        <f t="shared" ca="1" si="631"/>
        <v>Bank Transfer</v>
      </c>
      <c r="AD1830" t="str">
        <f t="shared" ca="1" si="632"/>
        <v>No</v>
      </c>
      <c r="AE1830" t="str">
        <f t="shared" ca="1" si="633"/>
        <v>No</v>
      </c>
      <c r="AF1830" t="str">
        <f t="shared" ca="1" si="634"/>
        <v>Transferred</v>
      </c>
      <c r="AG1830" t="str">
        <f t="shared" ca="1" si="635"/>
        <v>Midwest</v>
      </c>
      <c r="AH1830" t="str">
        <f t="shared" si="618"/>
        <v>October</v>
      </c>
      <c r="AI1830">
        <f t="shared" si="619"/>
        <v>2020</v>
      </c>
      <c r="AJ1830" t="str">
        <f t="shared" ca="1" si="636"/>
        <v>Occupied</v>
      </c>
      <c r="AK1830">
        <f t="shared" ca="1" si="637"/>
        <v>2</v>
      </c>
    </row>
    <row r="1831" spans="1:37" x14ac:dyDescent="0.3">
      <c r="A1831" t="s">
        <v>6209</v>
      </c>
      <c r="B1831">
        <v>25</v>
      </c>
      <c r="C1831" t="s">
        <v>15</v>
      </c>
      <c r="D1831" t="s">
        <v>33</v>
      </c>
      <c r="E1831" t="s">
        <v>39</v>
      </c>
      <c r="F1831" s="1">
        <v>45373</v>
      </c>
      <c r="G1831" t="s">
        <v>3640</v>
      </c>
      <c r="H1831" t="s">
        <v>3641</v>
      </c>
      <c r="I1831" t="s">
        <v>20</v>
      </c>
      <c r="J1831">
        <v>20762</v>
      </c>
      <c r="K1831">
        <v>442</v>
      </c>
      <c r="L1831" t="s">
        <v>29</v>
      </c>
      <c r="M1831" s="1">
        <v>45396</v>
      </c>
      <c r="N1831" t="s">
        <v>30</v>
      </c>
      <c r="O1831" t="s">
        <v>43</v>
      </c>
      <c r="P1831" t="str">
        <f t="shared" si="620"/>
        <v>P1830</v>
      </c>
      <c r="Q1831" t="str">
        <f t="shared" si="616"/>
        <v>Endocrinology</v>
      </c>
      <c r="R1831">
        <f t="shared" si="617"/>
        <v>23</v>
      </c>
      <c r="S1831" t="str">
        <f t="shared" ca="1" si="621"/>
        <v>No</v>
      </c>
      <c r="T1831" t="str">
        <f t="shared" ca="1" si="622"/>
        <v>Critical</v>
      </c>
      <c r="U1831" t="str">
        <f t="shared" ca="1" si="623"/>
        <v>Semi-Private</v>
      </c>
      <c r="V1831" t="str">
        <f t="shared" si="624"/>
        <v>BED1830</v>
      </c>
      <c r="W1831" t="str">
        <f t="shared" ca="1" si="625"/>
        <v>ICU</v>
      </c>
      <c r="X1831" t="str">
        <f t="shared" si="626"/>
        <v>NUR030</v>
      </c>
      <c r="Y1831" t="str">
        <f t="shared" ca="1" si="627"/>
        <v>Night</v>
      </c>
      <c r="Z1831" t="str">
        <f t="shared" ca="1" si="628"/>
        <v>ECG Machine</v>
      </c>
      <c r="AA1831" t="str">
        <f t="shared" ca="1" si="629"/>
        <v>Maintenance</v>
      </c>
      <c r="AB1831" t="str">
        <f t="shared" ca="1" si="630"/>
        <v>Pending</v>
      </c>
      <c r="AC1831" t="str">
        <f t="shared" ca="1" si="631"/>
        <v>Credit Card</v>
      </c>
      <c r="AD1831" t="str">
        <f t="shared" ca="1" si="632"/>
        <v>Yes</v>
      </c>
      <c r="AE1831" t="str">
        <f t="shared" ca="1" si="633"/>
        <v>No</v>
      </c>
      <c r="AF1831" t="str">
        <f t="shared" ca="1" si="634"/>
        <v>Recovered</v>
      </c>
      <c r="AG1831" t="str">
        <f t="shared" ca="1" si="635"/>
        <v>Southeast</v>
      </c>
      <c r="AH1831" t="str">
        <f t="shared" si="618"/>
        <v>March</v>
      </c>
      <c r="AI1831">
        <f t="shared" si="619"/>
        <v>2024</v>
      </c>
      <c r="AJ1831" t="str">
        <f t="shared" ca="1" si="636"/>
        <v>Occupied</v>
      </c>
      <c r="AK1831">
        <f t="shared" ca="1" si="637"/>
        <v>1</v>
      </c>
    </row>
    <row r="1832" spans="1:37" x14ac:dyDescent="0.3">
      <c r="A1832" t="s">
        <v>6210</v>
      </c>
      <c r="B1832">
        <v>78</v>
      </c>
      <c r="C1832" t="s">
        <v>32</v>
      </c>
      <c r="D1832" t="s">
        <v>33</v>
      </c>
      <c r="E1832" t="s">
        <v>76</v>
      </c>
      <c r="F1832" s="1">
        <v>44550</v>
      </c>
      <c r="G1832" t="s">
        <v>3642</v>
      </c>
      <c r="H1832" t="s">
        <v>3643</v>
      </c>
      <c r="I1832" t="s">
        <v>20</v>
      </c>
      <c r="J1832">
        <v>35543</v>
      </c>
      <c r="K1832">
        <v>384</v>
      </c>
      <c r="L1832" t="s">
        <v>42</v>
      </c>
      <c r="M1832" s="1">
        <v>44552</v>
      </c>
      <c r="N1832" t="s">
        <v>67</v>
      </c>
      <c r="O1832" t="s">
        <v>43</v>
      </c>
      <c r="P1832" t="str">
        <f t="shared" si="620"/>
        <v>P1831</v>
      </c>
      <c r="Q1832" t="str">
        <f t="shared" si="616"/>
        <v>Orthopedics</v>
      </c>
      <c r="R1832">
        <f t="shared" si="617"/>
        <v>2</v>
      </c>
      <c r="S1832" t="str">
        <f t="shared" ca="1" si="621"/>
        <v>No</v>
      </c>
      <c r="T1832" t="str">
        <f t="shared" ca="1" si="622"/>
        <v>Critical</v>
      </c>
      <c r="U1832" t="str">
        <f t="shared" ca="1" si="623"/>
        <v>General Ward</v>
      </c>
      <c r="V1832" t="str">
        <f t="shared" si="624"/>
        <v>BED1831</v>
      </c>
      <c r="W1832" t="str">
        <f t="shared" ca="1" si="625"/>
        <v>ICU</v>
      </c>
      <c r="X1832" t="str">
        <f t="shared" si="626"/>
        <v>NUR031</v>
      </c>
      <c r="Y1832" t="str">
        <f t="shared" ca="1" si="627"/>
        <v>Morning</v>
      </c>
      <c r="Z1832" t="str">
        <f t="shared" ca="1" si="628"/>
        <v>X-Ray</v>
      </c>
      <c r="AA1832" t="str">
        <f t="shared" ca="1" si="629"/>
        <v>Available</v>
      </c>
      <c r="AB1832" t="str">
        <f t="shared" ca="1" si="630"/>
        <v>Partially Paid</v>
      </c>
      <c r="AC1832" t="str">
        <f t="shared" ca="1" si="631"/>
        <v>Credit Card</v>
      </c>
      <c r="AD1832" t="str">
        <f t="shared" ca="1" si="632"/>
        <v>No</v>
      </c>
      <c r="AE1832" t="str">
        <f t="shared" ca="1" si="633"/>
        <v>No</v>
      </c>
      <c r="AF1832" t="str">
        <f t="shared" ca="1" si="634"/>
        <v>Transferred</v>
      </c>
      <c r="AG1832" t="str">
        <f t="shared" ca="1" si="635"/>
        <v>Midwest</v>
      </c>
      <c r="AH1832" t="str">
        <f t="shared" si="618"/>
        <v>December</v>
      </c>
      <c r="AI1832">
        <f t="shared" si="619"/>
        <v>2021</v>
      </c>
      <c r="AJ1832" t="str">
        <f t="shared" ca="1" si="636"/>
        <v>Occupied</v>
      </c>
      <c r="AK1832">
        <f t="shared" ca="1" si="637"/>
        <v>1</v>
      </c>
    </row>
    <row r="1833" spans="1:37" x14ac:dyDescent="0.3">
      <c r="A1833" t="s">
        <v>6211</v>
      </c>
      <c r="B1833">
        <v>76</v>
      </c>
      <c r="C1833" t="s">
        <v>15</v>
      </c>
      <c r="D1833" t="s">
        <v>52</v>
      </c>
      <c r="E1833" t="s">
        <v>76</v>
      </c>
      <c r="F1833" s="1">
        <v>43911</v>
      </c>
      <c r="G1833" t="s">
        <v>3644</v>
      </c>
      <c r="H1833" t="s">
        <v>3645</v>
      </c>
      <c r="I1833" t="s">
        <v>20</v>
      </c>
      <c r="J1833">
        <v>36334</v>
      </c>
      <c r="K1833">
        <v>151</v>
      </c>
      <c r="L1833" t="s">
        <v>21</v>
      </c>
      <c r="M1833" s="1">
        <v>43941</v>
      </c>
      <c r="N1833" t="s">
        <v>67</v>
      </c>
      <c r="O1833" t="s">
        <v>43</v>
      </c>
      <c r="P1833" t="str">
        <f t="shared" si="620"/>
        <v>P1832</v>
      </c>
      <c r="Q1833" t="str">
        <f t="shared" si="616"/>
        <v>Orthopedics</v>
      </c>
      <c r="R1833">
        <f t="shared" si="617"/>
        <v>30</v>
      </c>
      <c r="S1833" t="str">
        <f t="shared" ca="1" si="621"/>
        <v>No</v>
      </c>
      <c r="T1833" t="str">
        <f t="shared" ca="1" si="622"/>
        <v>Critical</v>
      </c>
      <c r="U1833" t="str">
        <f t="shared" ca="1" si="623"/>
        <v>Emergency</v>
      </c>
      <c r="V1833" t="str">
        <f t="shared" si="624"/>
        <v>BED1832</v>
      </c>
      <c r="W1833" t="str">
        <f t="shared" ca="1" si="625"/>
        <v>General</v>
      </c>
      <c r="X1833" t="str">
        <f t="shared" si="626"/>
        <v>NUR032</v>
      </c>
      <c r="Y1833" t="str">
        <f t="shared" ca="1" si="627"/>
        <v>Morning</v>
      </c>
      <c r="Z1833" t="str">
        <f t="shared" ca="1" si="628"/>
        <v>Ultrasound</v>
      </c>
      <c r="AA1833" t="str">
        <f t="shared" ca="1" si="629"/>
        <v>In Use</v>
      </c>
      <c r="AB1833" t="str">
        <f t="shared" ca="1" si="630"/>
        <v>Partially Paid</v>
      </c>
      <c r="AC1833" t="str">
        <f t="shared" ca="1" si="631"/>
        <v>Cash</v>
      </c>
      <c r="AD1833" t="str">
        <f t="shared" ca="1" si="632"/>
        <v>No</v>
      </c>
      <c r="AE1833" t="str">
        <f t="shared" ca="1" si="633"/>
        <v>No</v>
      </c>
      <c r="AF1833" t="str">
        <f t="shared" ca="1" si="634"/>
        <v>Transferred</v>
      </c>
      <c r="AG1833" t="str">
        <f t="shared" ca="1" si="635"/>
        <v>Southeast</v>
      </c>
      <c r="AH1833" t="str">
        <f t="shared" si="618"/>
        <v>March</v>
      </c>
      <c r="AI1833">
        <f t="shared" si="619"/>
        <v>2020</v>
      </c>
      <c r="AJ1833" t="str">
        <f t="shared" ca="1" si="636"/>
        <v>Occupied</v>
      </c>
      <c r="AK1833">
        <f t="shared" ca="1" si="637"/>
        <v>1</v>
      </c>
    </row>
    <row r="1834" spans="1:37" x14ac:dyDescent="0.3">
      <c r="A1834" t="s">
        <v>6212</v>
      </c>
      <c r="B1834">
        <v>84</v>
      </c>
      <c r="C1834" t="s">
        <v>32</v>
      </c>
      <c r="D1834" t="s">
        <v>52</v>
      </c>
      <c r="E1834" t="s">
        <v>48</v>
      </c>
      <c r="F1834" s="1">
        <v>44981</v>
      </c>
      <c r="G1834" t="s">
        <v>3646</v>
      </c>
      <c r="H1834" t="s">
        <v>3647</v>
      </c>
      <c r="I1834" t="s">
        <v>36</v>
      </c>
      <c r="J1834">
        <v>22991</v>
      </c>
      <c r="K1834">
        <v>388</v>
      </c>
      <c r="L1834" t="s">
        <v>42</v>
      </c>
      <c r="M1834" s="1">
        <v>44988</v>
      </c>
      <c r="N1834" t="s">
        <v>37</v>
      </c>
      <c r="O1834" t="s">
        <v>43</v>
      </c>
      <c r="P1834" t="str">
        <f t="shared" si="620"/>
        <v>P1833</v>
      </c>
      <c r="Q1834" t="str">
        <f t="shared" si="616"/>
        <v>Pulmonology</v>
      </c>
      <c r="R1834">
        <f t="shared" si="617"/>
        <v>7</v>
      </c>
      <c r="S1834" t="str">
        <f t="shared" ca="1" si="621"/>
        <v>No</v>
      </c>
      <c r="T1834" t="str">
        <f t="shared" ca="1" si="622"/>
        <v>Mild</v>
      </c>
      <c r="U1834" t="str">
        <f t="shared" ca="1" si="623"/>
        <v>Private Ward</v>
      </c>
      <c r="V1834" t="str">
        <f t="shared" si="624"/>
        <v>BED1833</v>
      </c>
      <c r="W1834" t="str">
        <f t="shared" ca="1" si="625"/>
        <v>Private</v>
      </c>
      <c r="X1834" t="str">
        <f t="shared" si="626"/>
        <v>NUR033</v>
      </c>
      <c r="Y1834" t="str">
        <f t="shared" ca="1" si="627"/>
        <v>Evening</v>
      </c>
      <c r="Z1834" t="str">
        <f t="shared" ca="1" si="628"/>
        <v>Ultrasound</v>
      </c>
      <c r="AA1834" t="str">
        <f t="shared" ca="1" si="629"/>
        <v>In Use</v>
      </c>
      <c r="AB1834" t="str">
        <f t="shared" ca="1" si="630"/>
        <v>Partially Paid</v>
      </c>
      <c r="AC1834" t="str">
        <f t="shared" ca="1" si="631"/>
        <v>Insurance</v>
      </c>
      <c r="AD1834" t="str">
        <f t="shared" ca="1" si="632"/>
        <v>No</v>
      </c>
      <c r="AE1834" t="str">
        <f t="shared" ca="1" si="633"/>
        <v>No</v>
      </c>
      <c r="AF1834" t="str">
        <f t="shared" ca="1" si="634"/>
        <v>Transferred</v>
      </c>
      <c r="AG1834" t="str">
        <f t="shared" ca="1" si="635"/>
        <v>West Coast</v>
      </c>
      <c r="AH1834" t="str">
        <f t="shared" si="618"/>
        <v>February</v>
      </c>
      <c r="AI1834">
        <f t="shared" si="619"/>
        <v>2023</v>
      </c>
      <c r="AJ1834" t="str">
        <f t="shared" ca="1" si="636"/>
        <v>Occupied</v>
      </c>
      <c r="AK1834">
        <f t="shared" ca="1" si="637"/>
        <v>1</v>
      </c>
    </row>
    <row r="1835" spans="1:37" x14ac:dyDescent="0.3">
      <c r="A1835" t="s">
        <v>6213</v>
      </c>
      <c r="B1835">
        <v>52</v>
      </c>
      <c r="C1835" t="s">
        <v>15</v>
      </c>
      <c r="D1835" t="s">
        <v>52</v>
      </c>
      <c r="E1835" t="s">
        <v>39</v>
      </c>
      <c r="F1835" s="1">
        <v>44847</v>
      </c>
      <c r="G1835" t="s">
        <v>3648</v>
      </c>
      <c r="H1835" t="s">
        <v>3649</v>
      </c>
      <c r="I1835" t="s">
        <v>57</v>
      </c>
      <c r="J1835">
        <v>4241</v>
      </c>
      <c r="K1835">
        <v>200</v>
      </c>
      <c r="L1835" t="s">
        <v>29</v>
      </c>
      <c r="M1835" s="1">
        <v>44859</v>
      </c>
      <c r="N1835" t="s">
        <v>22</v>
      </c>
      <c r="O1835" t="s">
        <v>43</v>
      </c>
      <c r="P1835" t="str">
        <f t="shared" si="620"/>
        <v>P1834</v>
      </c>
      <c r="Q1835" t="str">
        <f t="shared" si="616"/>
        <v>Endocrinology</v>
      </c>
      <c r="R1835">
        <f t="shared" si="617"/>
        <v>12</v>
      </c>
      <c r="S1835" t="str">
        <f t="shared" ca="1" si="621"/>
        <v>No</v>
      </c>
      <c r="T1835" t="str">
        <f t="shared" ca="1" si="622"/>
        <v>Critical</v>
      </c>
      <c r="U1835" t="str">
        <f t="shared" ca="1" si="623"/>
        <v>ICU</v>
      </c>
      <c r="V1835" t="str">
        <f t="shared" si="624"/>
        <v>BED1834</v>
      </c>
      <c r="W1835" t="str">
        <f t="shared" ca="1" si="625"/>
        <v>ICU</v>
      </c>
      <c r="X1835" t="str">
        <f t="shared" si="626"/>
        <v>NUR034</v>
      </c>
      <c r="Y1835" t="str">
        <f t="shared" ca="1" si="627"/>
        <v>Evening</v>
      </c>
      <c r="Z1835" t="str">
        <f t="shared" ca="1" si="628"/>
        <v>CT Scanner</v>
      </c>
      <c r="AA1835" t="str">
        <f t="shared" ca="1" si="629"/>
        <v>Available</v>
      </c>
      <c r="AB1835" t="str">
        <f t="shared" ca="1" si="630"/>
        <v>Partially Paid</v>
      </c>
      <c r="AC1835" t="str">
        <f t="shared" ca="1" si="631"/>
        <v>Credit Card</v>
      </c>
      <c r="AD1835" t="str">
        <f t="shared" ca="1" si="632"/>
        <v>No</v>
      </c>
      <c r="AE1835" t="str">
        <f t="shared" ca="1" si="633"/>
        <v>No</v>
      </c>
      <c r="AF1835" t="str">
        <f t="shared" ca="1" si="634"/>
        <v>Under Observation</v>
      </c>
      <c r="AG1835" t="str">
        <f t="shared" ca="1" si="635"/>
        <v>West Coast</v>
      </c>
      <c r="AH1835" t="str">
        <f t="shared" si="618"/>
        <v>October</v>
      </c>
      <c r="AI1835">
        <f t="shared" si="619"/>
        <v>2022</v>
      </c>
      <c r="AJ1835" t="str">
        <f t="shared" ca="1" si="636"/>
        <v>Vacant</v>
      </c>
      <c r="AK1835">
        <f t="shared" ca="1" si="637"/>
        <v>1</v>
      </c>
    </row>
    <row r="1836" spans="1:37" x14ac:dyDescent="0.3">
      <c r="A1836" t="s">
        <v>6214</v>
      </c>
      <c r="B1836">
        <v>59</v>
      </c>
      <c r="C1836" t="s">
        <v>15</v>
      </c>
      <c r="D1836" t="s">
        <v>16</v>
      </c>
      <c r="E1836" t="s">
        <v>76</v>
      </c>
      <c r="F1836" s="1">
        <v>44770</v>
      </c>
      <c r="G1836" t="s">
        <v>3650</v>
      </c>
      <c r="H1836" t="s">
        <v>3651</v>
      </c>
      <c r="I1836" t="s">
        <v>36</v>
      </c>
      <c r="J1836">
        <v>49</v>
      </c>
      <c r="K1836">
        <v>140</v>
      </c>
      <c r="L1836" t="s">
        <v>21</v>
      </c>
      <c r="M1836" s="1">
        <v>44786</v>
      </c>
      <c r="N1836" t="s">
        <v>67</v>
      </c>
      <c r="O1836" t="s">
        <v>43</v>
      </c>
      <c r="P1836" t="str">
        <f t="shared" si="620"/>
        <v>P1835</v>
      </c>
      <c r="Q1836" t="str">
        <f t="shared" si="616"/>
        <v>Orthopedics</v>
      </c>
      <c r="R1836">
        <f t="shared" si="617"/>
        <v>16</v>
      </c>
      <c r="S1836" t="str">
        <f t="shared" ca="1" si="621"/>
        <v>No</v>
      </c>
      <c r="T1836" t="str">
        <f t="shared" ca="1" si="622"/>
        <v>Severe</v>
      </c>
      <c r="U1836" t="str">
        <f t="shared" ca="1" si="623"/>
        <v>ICU</v>
      </c>
      <c r="V1836" t="str">
        <f t="shared" si="624"/>
        <v>BED1835</v>
      </c>
      <c r="W1836" t="str">
        <f t="shared" ca="1" si="625"/>
        <v>Semi-Private</v>
      </c>
      <c r="X1836" t="str">
        <f t="shared" si="626"/>
        <v>NUR035</v>
      </c>
      <c r="Y1836" t="str">
        <f t="shared" ca="1" si="627"/>
        <v>Night</v>
      </c>
      <c r="Z1836" t="str">
        <f t="shared" ca="1" si="628"/>
        <v>Ventilator</v>
      </c>
      <c r="AA1836" t="str">
        <f t="shared" ca="1" si="629"/>
        <v>Available</v>
      </c>
      <c r="AB1836" t="str">
        <f t="shared" ca="1" si="630"/>
        <v>Pending</v>
      </c>
      <c r="AC1836" t="str">
        <f t="shared" ca="1" si="631"/>
        <v>Bank Transfer</v>
      </c>
      <c r="AD1836" t="str">
        <f t="shared" ca="1" si="632"/>
        <v>No</v>
      </c>
      <c r="AE1836" t="str">
        <f t="shared" ca="1" si="633"/>
        <v>No</v>
      </c>
      <c r="AF1836" t="str">
        <f t="shared" ca="1" si="634"/>
        <v>Under Observation</v>
      </c>
      <c r="AG1836" t="str">
        <f t="shared" ca="1" si="635"/>
        <v>Midwest</v>
      </c>
      <c r="AH1836" t="str">
        <f t="shared" si="618"/>
        <v>July</v>
      </c>
      <c r="AI1836">
        <f t="shared" si="619"/>
        <v>2022</v>
      </c>
      <c r="AJ1836" t="str">
        <f t="shared" ca="1" si="636"/>
        <v>Occupied</v>
      </c>
      <c r="AK1836">
        <f t="shared" ca="1" si="637"/>
        <v>2</v>
      </c>
    </row>
    <row r="1837" spans="1:37" x14ac:dyDescent="0.3">
      <c r="A1837" t="s">
        <v>2073</v>
      </c>
      <c r="B1837">
        <v>47</v>
      </c>
      <c r="C1837" t="s">
        <v>32</v>
      </c>
      <c r="D1837" t="s">
        <v>24</v>
      </c>
      <c r="E1837" t="s">
        <v>17</v>
      </c>
      <c r="F1837" s="1">
        <v>43926</v>
      </c>
      <c r="G1837" t="s">
        <v>3652</v>
      </c>
      <c r="H1837" t="s">
        <v>3653</v>
      </c>
      <c r="I1837" t="s">
        <v>57</v>
      </c>
      <c r="J1837">
        <v>48848</v>
      </c>
      <c r="K1837">
        <v>130</v>
      </c>
      <c r="L1837" t="s">
        <v>42</v>
      </c>
      <c r="M1837" s="1">
        <v>43928</v>
      </c>
      <c r="N1837" t="s">
        <v>30</v>
      </c>
      <c r="O1837" t="s">
        <v>31</v>
      </c>
      <c r="P1837" t="str">
        <f t="shared" si="620"/>
        <v>P1836</v>
      </c>
      <c r="Q1837" t="str">
        <f t="shared" si="616"/>
        <v>Oncology</v>
      </c>
      <c r="R1837">
        <f t="shared" si="617"/>
        <v>2</v>
      </c>
      <c r="S1837" t="str">
        <f t="shared" ca="1" si="621"/>
        <v>Yes</v>
      </c>
      <c r="T1837" t="str">
        <f t="shared" ca="1" si="622"/>
        <v>Severe</v>
      </c>
      <c r="U1837" t="str">
        <f t="shared" ca="1" si="623"/>
        <v>Private Ward</v>
      </c>
      <c r="V1837" t="str">
        <f t="shared" si="624"/>
        <v>BED1836</v>
      </c>
      <c r="W1837" t="str">
        <f t="shared" ca="1" si="625"/>
        <v>ICU</v>
      </c>
      <c r="X1837" t="str">
        <f t="shared" si="626"/>
        <v>NUR036</v>
      </c>
      <c r="Y1837" t="str">
        <f t="shared" ca="1" si="627"/>
        <v>Evening</v>
      </c>
      <c r="Z1837" t="str">
        <f t="shared" ca="1" si="628"/>
        <v>ECG Machine</v>
      </c>
      <c r="AA1837" t="str">
        <f t="shared" ca="1" si="629"/>
        <v>Available</v>
      </c>
      <c r="AB1837" t="str">
        <f t="shared" ca="1" si="630"/>
        <v>Partially Paid</v>
      </c>
      <c r="AC1837" t="str">
        <f t="shared" ca="1" si="631"/>
        <v>Debit Card</v>
      </c>
      <c r="AD1837" t="str">
        <f t="shared" ca="1" si="632"/>
        <v>No</v>
      </c>
      <c r="AE1837" t="str">
        <f t="shared" ca="1" si="633"/>
        <v>No</v>
      </c>
      <c r="AF1837" t="str">
        <f t="shared" ca="1" si="634"/>
        <v>Transferred</v>
      </c>
      <c r="AG1837" t="str">
        <f t="shared" ca="1" si="635"/>
        <v>Southwest</v>
      </c>
      <c r="AH1837" t="str">
        <f t="shared" si="618"/>
        <v>April</v>
      </c>
      <c r="AI1837">
        <f t="shared" si="619"/>
        <v>2020</v>
      </c>
      <c r="AJ1837" t="str">
        <f t="shared" ca="1" si="636"/>
        <v>Occupied</v>
      </c>
      <c r="AK1837">
        <f t="shared" ca="1" si="637"/>
        <v>4</v>
      </c>
    </row>
    <row r="1838" spans="1:37" x14ac:dyDescent="0.3">
      <c r="A1838" t="s">
        <v>6215</v>
      </c>
      <c r="B1838">
        <v>85</v>
      </c>
      <c r="C1838" t="s">
        <v>15</v>
      </c>
      <c r="D1838" t="s">
        <v>38</v>
      </c>
      <c r="E1838" t="s">
        <v>64</v>
      </c>
      <c r="F1838" s="1">
        <v>44536</v>
      </c>
      <c r="G1838" t="s">
        <v>3654</v>
      </c>
      <c r="H1838" t="s">
        <v>3655</v>
      </c>
      <c r="I1838" t="s">
        <v>51</v>
      </c>
      <c r="J1838">
        <v>1077</v>
      </c>
      <c r="K1838">
        <v>221</v>
      </c>
      <c r="L1838" t="s">
        <v>29</v>
      </c>
      <c r="M1838" s="1">
        <v>44560</v>
      </c>
      <c r="N1838" t="s">
        <v>67</v>
      </c>
      <c r="O1838" t="s">
        <v>43</v>
      </c>
      <c r="P1838" t="str">
        <f t="shared" si="620"/>
        <v>P1837</v>
      </c>
      <c r="Q1838" t="str">
        <f t="shared" si="616"/>
        <v>Cardiology</v>
      </c>
      <c r="R1838">
        <f t="shared" si="617"/>
        <v>24</v>
      </c>
      <c r="S1838" t="str">
        <f t="shared" ca="1" si="621"/>
        <v>No</v>
      </c>
      <c r="T1838" t="str">
        <f t="shared" ca="1" si="622"/>
        <v>Moderate</v>
      </c>
      <c r="U1838" t="str">
        <f t="shared" ca="1" si="623"/>
        <v>ICU</v>
      </c>
      <c r="V1838" t="str">
        <f t="shared" si="624"/>
        <v>BED1837</v>
      </c>
      <c r="W1838" t="str">
        <f t="shared" ca="1" si="625"/>
        <v>ICU</v>
      </c>
      <c r="X1838" t="str">
        <f t="shared" si="626"/>
        <v>NUR037</v>
      </c>
      <c r="Y1838" t="str">
        <f t="shared" ca="1" si="627"/>
        <v>Evening</v>
      </c>
      <c r="Z1838" t="str">
        <f t="shared" ca="1" si="628"/>
        <v>X-Ray</v>
      </c>
      <c r="AA1838" t="str">
        <f t="shared" ca="1" si="629"/>
        <v>In Use</v>
      </c>
      <c r="AB1838" t="str">
        <f t="shared" ca="1" si="630"/>
        <v>Partially Paid</v>
      </c>
      <c r="AC1838" t="str">
        <f t="shared" ca="1" si="631"/>
        <v>Insurance</v>
      </c>
      <c r="AD1838" t="str">
        <f t="shared" ca="1" si="632"/>
        <v>No</v>
      </c>
      <c r="AE1838" t="str">
        <f t="shared" ca="1" si="633"/>
        <v>No</v>
      </c>
      <c r="AF1838" t="str">
        <f t="shared" ca="1" si="634"/>
        <v>Recovered</v>
      </c>
      <c r="AG1838" t="str">
        <f t="shared" ca="1" si="635"/>
        <v>Northeast</v>
      </c>
      <c r="AH1838" t="str">
        <f t="shared" si="618"/>
        <v>December</v>
      </c>
      <c r="AI1838">
        <f t="shared" si="619"/>
        <v>2021</v>
      </c>
      <c r="AJ1838" t="str">
        <f t="shared" ca="1" si="636"/>
        <v>Occupied</v>
      </c>
      <c r="AK1838">
        <f t="shared" ca="1" si="637"/>
        <v>4</v>
      </c>
    </row>
    <row r="1839" spans="1:37" x14ac:dyDescent="0.3">
      <c r="A1839" t="s">
        <v>6216</v>
      </c>
      <c r="B1839">
        <v>29</v>
      </c>
      <c r="C1839" t="s">
        <v>15</v>
      </c>
      <c r="D1839" t="s">
        <v>98</v>
      </c>
      <c r="E1839" t="s">
        <v>39</v>
      </c>
      <c r="F1839" s="1">
        <v>45313</v>
      </c>
      <c r="G1839" t="s">
        <v>3656</v>
      </c>
      <c r="H1839" t="s">
        <v>3657</v>
      </c>
      <c r="I1839" t="s">
        <v>36</v>
      </c>
      <c r="J1839">
        <v>47906</v>
      </c>
      <c r="K1839">
        <v>379</v>
      </c>
      <c r="L1839" t="s">
        <v>29</v>
      </c>
      <c r="M1839" s="1">
        <v>45316</v>
      </c>
      <c r="N1839" t="s">
        <v>47</v>
      </c>
      <c r="O1839" t="s">
        <v>31</v>
      </c>
      <c r="P1839" t="str">
        <f t="shared" si="620"/>
        <v>P1838</v>
      </c>
      <c r="Q1839" t="str">
        <f t="shared" si="616"/>
        <v>Endocrinology</v>
      </c>
      <c r="R1839">
        <f t="shared" si="617"/>
        <v>3</v>
      </c>
      <c r="S1839" t="str">
        <f t="shared" ca="1" si="621"/>
        <v>No</v>
      </c>
      <c r="T1839" t="str">
        <f t="shared" ca="1" si="622"/>
        <v>Critical</v>
      </c>
      <c r="U1839" t="str">
        <f t="shared" ca="1" si="623"/>
        <v>Private Ward</v>
      </c>
      <c r="V1839" t="str">
        <f t="shared" si="624"/>
        <v>BED1838</v>
      </c>
      <c r="W1839" t="str">
        <f t="shared" ca="1" si="625"/>
        <v>ICU</v>
      </c>
      <c r="X1839" t="str">
        <f t="shared" si="626"/>
        <v>NUR038</v>
      </c>
      <c r="Y1839" t="str">
        <f t="shared" ca="1" si="627"/>
        <v>Evening</v>
      </c>
      <c r="Z1839" t="str">
        <f t="shared" ca="1" si="628"/>
        <v>ECG Machine</v>
      </c>
      <c r="AA1839" t="str">
        <f t="shared" ca="1" si="629"/>
        <v>Available</v>
      </c>
      <c r="AB1839" t="str">
        <f t="shared" ca="1" si="630"/>
        <v>Paid</v>
      </c>
      <c r="AC1839" t="str">
        <f t="shared" ca="1" si="631"/>
        <v>Credit Card</v>
      </c>
      <c r="AD1839" t="str">
        <f t="shared" ca="1" si="632"/>
        <v>No</v>
      </c>
      <c r="AE1839" t="str">
        <f t="shared" ca="1" si="633"/>
        <v>No</v>
      </c>
      <c r="AF1839" t="str">
        <f t="shared" ca="1" si="634"/>
        <v>Transferred</v>
      </c>
      <c r="AG1839" t="str">
        <f t="shared" ca="1" si="635"/>
        <v>West Coast</v>
      </c>
      <c r="AH1839" t="str">
        <f t="shared" si="618"/>
        <v>January</v>
      </c>
      <c r="AI1839">
        <f t="shared" si="619"/>
        <v>2024</v>
      </c>
      <c r="AJ1839" t="str">
        <f t="shared" ca="1" si="636"/>
        <v>Occupied</v>
      </c>
      <c r="AK1839">
        <f t="shared" ca="1" si="637"/>
        <v>1</v>
      </c>
    </row>
    <row r="1840" spans="1:37" x14ac:dyDescent="0.3">
      <c r="A1840" t="s">
        <v>6217</v>
      </c>
      <c r="B1840">
        <v>85</v>
      </c>
      <c r="C1840" t="s">
        <v>15</v>
      </c>
      <c r="D1840" t="s">
        <v>38</v>
      </c>
      <c r="E1840" t="s">
        <v>17</v>
      </c>
      <c r="F1840" s="1">
        <v>43621</v>
      </c>
      <c r="G1840" t="s">
        <v>3658</v>
      </c>
      <c r="H1840" t="s">
        <v>3659</v>
      </c>
      <c r="I1840" t="s">
        <v>51</v>
      </c>
      <c r="J1840">
        <v>25098</v>
      </c>
      <c r="K1840">
        <v>363</v>
      </c>
      <c r="L1840" t="s">
        <v>29</v>
      </c>
      <c r="M1840" s="1">
        <v>43651</v>
      </c>
      <c r="N1840" t="s">
        <v>47</v>
      </c>
      <c r="O1840" t="s">
        <v>31</v>
      </c>
      <c r="P1840" t="str">
        <f t="shared" si="620"/>
        <v>P1839</v>
      </c>
      <c r="Q1840" t="str">
        <f t="shared" si="616"/>
        <v>Oncology</v>
      </c>
      <c r="R1840">
        <f t="shared" si="617"/>
        <v>30</v>
      </c>
      <c r="S1840" t="str">
        <f t="shared" ca="1" si="621"/>
        <v>No</v>
      </c>
      <c r="T1840" t="str">
        <f t="shared" ca="1" si="622"/>
        <v>Critical</v>
      </c>
      <c r="U1840" t="str">
        <f t="shared" ca="1" si="623"/>
        <v>Private Ward</v>
      </c>
      <c r="V1840" t="str">
        <f t="shared" si="624"/>
        <v>BED1839</v>
      </c>
      <c r="W1840" t="str">
        <f t="shared" ca="1" si="625"/>
        <v>Private</v>
      </c>
      <c r="X1840" t="str">
        <f t="shared" si="626"/>
        <v>NUR039</v>
      </c>
      <c r="Y1840" t="str">
        <f t="shared" ca="1" si="627"/>
        <v>Morning</v>
      </c>
      <c r="Z1840" t="str">
        <f t="shared" ca="1" si="628"/>
        <v>MRI Scanner</v>
      </c>
      <c r="AA1840" t="str">
        <f t="shared" ca="1" si="629"/>
        <v>Maintenance</v>
      </c>
      <c r="AB1840" t="str">
        <f t="shared" ca="1" si="630"/>
        <v>Partially Paid</v>
      </c>
      <c r="AC1840" t="str">
        <f t="shared" ca="1" si="631"/>
        <v>Insurance</v>
      </c>
      <c r="AD1840" t="str">
        <f t="shared" ca="1" si="632"/>
        <v>No</v>
      </c>
      <c r="AE1840" t="str">
        <f t="shared" ca="1" si="633"/>
        <v>No</v>
      </c>
      <c r="AF1840" t="str">
        <f t="shared" ca="1" si="634"/>
        <v>Under Observation</v>
      </c>
      <c r="AG1840" t="str">
        <f t="shared" ca="1" si="635"/>
        <v>Southeast</v>
      </c>
      <c r="AH1840" t="str">
        <f t="shared" si="618"/>
        <v>June</v>
      </c>
      <c r="AI1840">
        <f t="shared" si="619"/>
        <v>2019</v>
      </c>
      <c r="AJ1840" t="str">
        <f t="shared" ca="1" si="636"/>
        <v>Vacant</v>
      </c>
      <c r="AK1840">
        <f t="shared" ca="1" si="637"/>
        <v>4</v>
      </c>
    </row>
    <row r="1841" spans="1:37" x14ac:dyDescent="0.3">
      <c r="A1841" t="s">
        <v>6218</v>
      </c>
      <c r="B1841">
        <v>26</v>
      </c>
      <c r="C1841" t="s">
        <v>32</v>
      </c>
      <c r="D1841" t="s">
        <v>38</v>
      </c>
      <c r="E1841" t="s">
        <v>39</v>
      </c>
      <c r="F1841" s="1">
        <v>43641</v>
      </c>
      <c r="G1841" t="s">
        <v>3660</v>
      </c>
      <c r="H1841" t="s">
        <v>3661</v>
      </c>
      <c r="I1841" t="s">
        <v>36</v>
      </c>
      <c r="J1841">
        <v>15860</v>
      </c>
      <c r="K1841">
        <v>112</v>
      </c>
      <c r="L1841" t="s">
        <v>42</v>
      </c>
      <c r="M1841" s="1">
        <v>43668</v>
      </c>
      <c r="N1841" t="s">
        <v>37</v>
      </c>
      <c r="O1841" t="s">
        <v>43</v>
      </c>
      <c r="P1841" t="str">
        <f t="shared" si="620"/>
        <v>P1840</v>
      </c>
      <c r="Q1841" t="str">
        <f t="shared" si="616"/>
        <v>Endocrinology</v>
      </c>
      <c r="R1841">
        <f t="shared" si="617"/>
        <v>27</v>
      </c>
      <c r="S1841" t="str">
        <f t="shared" ca="1" si="621"/>
        <v>Yes</v>
      </c>
      <c r="T1841" t="str">
        <f t="shared" ca="1" si="622"/>
        <v>Mild</v>
      </c>
      <c r="U1841" t="str">
        <f t="shared" ca="1" si="623"/>
        <v>Private Ward</v>
      </c>
      <c r="V1841" t="str">
        <f t="shared" si="624"/>
        <v>BED1840</v>
      </c>
      <c r="W1841" t="str">
        <f t="shared" ca="1" si="625"/>
        <v>Semi-Private</v>
      </c>
      <c r="X1841" t="str">
        <f t="shared" si="626"/>
        <v>NUR040</v>
      </c>
      <c r="Y1841" t="str">
        <f t="shared" ca="1" si="627"/>
        <v>Morning</v>
      </c>
      <c r="Z1841" t="str">
        <f t="shared" ca="1" si="628"/>
        <v>MRI Scanner</v>
      </c>
      <c r="AA1841" t="str">
        <f t="shared" ca="1" si="629"/>
        <v>In Use</v>
      </c>
      <c r="AB1841" t="str">
        <f t="shared" ca="1" si="630"/>
        <v>Partially Paid</v>
      </c>
      <c r="AC1841" t="str">
        <f t="shared" ca="1" si="631"/>
        <v>Insurance</v>
      </c>
      <c r="AD1841" t="str">
        <f t="shared" ca="1" si="632"/>
        <v>No</v>
      </c>
      <c r="AE1841" t="str">
        <f t="shared" ca="1" si="633"/>
        <v>Yes</v>
      </c>
      <c r="AF1841" t="str">
        <f t="shared" ca="1" si="634"/>
        <v>Transferred</v>
      </c>
      <c r="AG1841" t="str">
        <f t="shared" ca="1" si="635"/>
        <v>Northeast</v>
      </c>
      <c r="AH1841" t="str">
        <f t="shared" si="618"/>
        <v>June</v>
      </c>
      <c r="AI1841">
        <f t="shared" si="619"/>
        <v>2019</v>
      </c>
      <c r="AJ1841" t="str">
        <f t="shared" ca="1" si="636"/>
        <v>Occupied</v>
      </c>
      <c r="AK1841">
        <f t="shared" ca="1" si="637"/>
        <v>2</v>
      </c>
    </row>
    <row r="1842" spans="1:37" x14ac:dyDescent="0.3">
      <c r="A1842" t="s">
        <v>6219</v>
      </c>
      <c r="B1842">
        <v>35</v>
      </c>
      <c r="C1842" t="s">
        <v>32</v>
      </c>
      <c r="D1842" t="s">
        <v>52</v>
      </c>
      <c r="E1842" t="s">
        <v>25</v>
      </c>
      <c r="F1842" s="1">
        <v>45230</v>
      </c>
      <c r="G1842" t="s">
        <v>3662</v>
      </c>
      <c r="H1842" t="s">
        <v>3663</v>
      </c>
      <c r="I1842" t="s">
        <v>36</v>
      </c>
      <c r="J1842">
        <v>25443</v>
      </c>
      <c r="K1842">
        <v>188</v>
      </c>
      <c r="L1842" t="s">
        <v>29</v>
      </c>
      <c r="M1842" s="1">
        <v>45235</v>
      </c>
      <c r="N1842" t="s">
        <v>47</v>
      </c>
      <c r="O1842" t="s">
        <v>23</v>
      </c>
      <c r="P1842" t="str">
        <f t="shared" si="620"/>
        <v>P1841</v>
      </c>
      <c r="Q1842" t="str">
        <f t="shared" si="616"/>
        <v>Nutrition</v>
      </c>
      <c r="R1842">
        <f t="shared" si="617"/>
        <v>5</v>
      </c>
      <c r="S1842" t="str">
        <f t="shared" ca="1" si="621"/>
        <v>No</v>
      </c>
      <c r="T1842" t="str">
        <f t="shared" ca="1" si="622"/>
        <v>Critical</v>
      </c>
      <c r="U1842" t="str">
        <f t="shared" ca="1" si="623"/>
        <v>General Ward</v>
      </c>
      <c r="V1842" t="str">
        <f t="shared" si="624"/>
        <v>BED1841</v>
      </c>
      <c r="W1842" t="str">
        <f t="shared" ca="1" si="625"/>
        <v>Semi-Private</v>
      </c>
      <c r="X1842" t="str">
        <f t="shared" si="626"/>
        <v>NUR041</v>
      </c>
      <c r="Y1842" t="str">
        <f t="shared" ca="1" si="627"/>
        <v>Evening</v>
      </c>
      <c r="Z1842" t="str">
        <f t="shared" ca="1" si="628"/>
        <v>MRI Scanner</v>
      </c>
      <c r="AA1842" t="str">
        <f t="shared" ca="1" si="629"/>
        <v>In Use</v>
      </c>
      <c r="AB1842" t="str">
        <f t="shared" ca="1" si="630"/>
        <v>Pending</v>
      </c>
      <c r="AC1842" t="str">
        <f t="shared" ca="1" si="631"/>
        <v>Cash</v>
      </c>
      <c r="AD1842" t="str">
        <f t="shared" ca="1" si="632"/>
        <v>Yes</v>
      </c>
      <c r="AE1842" t="str">
        <f t="shared" ca="1" si="633"/>
        <v>No</v>
      </c>
      <c r="AF1842" t="str">
        <f t="shared" ca="1" si="634"/>
        <v>Recovered</v>
      </c>
      <c r="AG1842" t="str">
        <f t="shared" ca="1" si="635"/>
        <v>Midwest</v>
      </c>
      <c r="AH1842" t="str">
        <f t="shared" si="618"/>
        <v>October</v>
      </c>
      <c r="AI1842">
        <f t="shared" si="619"/>
        <v>2023</v>
      </c>
      <c r="AJ1842" t="str">
        <f t="shared" ca="1" si="636"/>
        <v>Occupied</v>
      </c>
      <c r="AK1842">
        <f t="shared" ca="1" si="637"/>
        <v>1</v>
      </c>
    </row>
    <row r="1843" spans="1:37" x14ac:dyDescent="0.3">
      <c r="A1843" t="s">
        <v>6220</v>
      </c>
      <c r="B1843">
        <v>48</v>
      </c>
      <c r="C1843" t="s">
        <v>32</v>
      </c>
      <c r="D1843" t="s">
        <v>98</v>
      </c>
      <c r="E1843" t="s">
        <v>64</v>
      </c>
      <c r="F1843" s="1">
        <v>45390</v>
      </c>
      <c r="G1843" t="s">
        <v>3664</v>
      </c>
      <c r="H1843" t="s">
        <v>3665</v>
      </c>
      <c r="I1843" t="s">
        <v>20</v>
      </c>
      <c r="J1843">
        <v>37989</v>
      </c>
      <c r="K1843">
        <v>203</v>
      </c>
      <c r="L1843" t="s">
        <v>42</v>
      </c>
      <c r="M1843" s="1">
        <v>45419</v>
      </c>
      <c r="N1843" t="s">
        <v>37</v>
      </c>
      <c r="O1843" t="s">
        <v>31</v>
      </c>
      <c r="P1843" t="str">
        <f t="shared" si="620"/>
        <v>P1842</v>
      </c>
      <c r="Q1843" t="str">
        <f t="shared" si="616"/>
        <v>Cardiology</v>
      </c>
      <c r="R1843">
        <f t="shared" si="617"/>
        <v>29</v>
      </c>
      <c r="S1843" t="str">
        <f t="shared" ca="1" si="621"/>
        <v>Yes</v>
      </c>
      <c r="T1843" t="str">
        <f t="shared" ca="1" si="622"/>
        <v>Moderate</v>
      </c>
      <c r="U1843" t="str">
        <f t="shared" ca="1" si="623"/>
        <v>Emergency</v>
      </c>
      <c r="V1843" t="str">
        <f t="shared" si="624"/>
        <v>BED1842</v>
      </c>
      <c r="W1843" t="str">
        <f t="shared" ca="1" si="625"/>
        <v>ICU</v>
      </c>
      <c r="X1843" t="str">
        <f t="shared" si="626"/>
        <v>NUR042</v>
      </c>
      <c r="Y1843" t="str">
        <f t="shared" ca="1" si="627"/>
        <v>Evening</v>
      </c>
      <c r="Z1843" t="str">
        <f t="shared" ca="1" si="628"/>
        <v>X-Ray</v>
      </c>
      <c r="AA1843" t="str">
        <f t="shared" ca="1" si="629"/>
        <v>Available</v>
      </c>
      <c r="AB1843" t="str">
        <f t="shared" ca="1" si="630"/>
        <v>Partially Paid</v>
      </c>
      <c r="AC1843" t="str">
        <f t="shared" ca="1" si="631"/>
        <v>Credit Card</v>
      </c>
      <c r="AD1843" t="str">
        <f t="shared" ca="1" si="632"/>
        <v>No</v>
      </c>
      <c r="AE1843" t="str">
        <f t="shared" ca="1" si="633"/>
        <v>Yes</v>
      </c>
      <c r="AF1843" t="str">
        <f t="shared" ca="1" si="634"/>
        <v>Under Observation</v>
      </c>
      <c r="AG1843" t="str">
        <f t="shared" ca="1" si="635"/>
        <v>West Coast</v>
      </c>
      <c r="AH1843" t="str">
        <f t="shared" si="618"/>
        <v>April</v>
      </c>
      <c r="AI1843">
        <f t="shared" si="619"/>
        <v>2024</v>
      </c>
      <c r="AJ1843" t="str">
        <f t="shared" ca="1" si="636"/>
        <v>Occupied</v>
      </c>
      <c r="AK1843">
        <f t="shared" ca="1" si="637"/>
        <v>2</v>
      </c>
    </row>
    <row r="1844" spans="1:37" x14ac:dyDescent="0.3">
      <c r="A1844" t="s">
        <v>2616</v>
      </c>
      <c r="B1844">
        <v>21</v>
      </c>
      <c r="C1844" t="s">
        <v>15</v>
      </c>
      <c r="D1844" t="s">
        <v>98</v>
      </c>
      <c r="E1844" t="s">
        <v>64</v>
      </c>
      <c r="F1844" s="1">
        <v>45044</v>
      </c>
      <c r="G1844" t="s">
        <v>3666</v>
      </c>
      <c r="H1844" t="s">
        <v>3667</v>
      </c>
      <c r="I1844" t="s">
        <v>51</v>
      </c>
      <c r="J1844">
        <v>671</v>
      </c>
      <c r="K1844">
        <v>267</v>
      </c>
      <c r="L1844" t="s">
        <v>21</v>
      </c>
      <c r="M1844" s="1">
        <v>45058</v>
      </c>
      <c r="N1844" t="s">
        <v>37</v>
      </c>
      <c r="O1844" t="s">
        <v>31</v>
      </c>
      <c r="P1844" t="str">
        <f t="shared" si="620"/>
        <v>P1843</v>
      </c>
      <c r="Q1844" t="str">
        <f t="shared" si="616"/>
        <v>Cardiology</v>
      </c>
      <c r="R1844">
        <f t="shared" si="617"/>
        <v>14</v>
      </c>
      <c r="S1844" t="str">
        <f t="shared" ca="1" si="621"/>
        <v>No</v>
      </c>
      <c r="T1844" t="str">
        <f t="shared" ca="1" si="622"/>
        <v>Critical</v>
      </c>
      <c r="U1844" t="str">
        <f t="shared" ca="1" si="623"/>
        <v>General Ward</v>
      </c>
      <c r="V1844" t="str">
        <f t="shared" si="624"/>
        <v>BED1843</v>
      </c>
      <c r="W1844" t="str">
        <f t="shared" ca="1" si="625"/>
        <v>General</v>
      </c>
      <c r="X1844" t="str">
        <f t="shared" si="626"/>
        <v>NUR043</v>
      </c>
      <c r="Y1844" t="str">
        <f t="shared" ca="1" si="627"/>
        <v>Night</v>
      </c>
      <c r="Z1844" t="str">
        <f t="shared" ca="1" si="628"/>
        <v>CT Scanner</v>
      </c>
      <c r="AA1844" t="str">
        <f t="shared" ca="1" si="629"/>
        <v>Maintenance</v>
      </c>
      <c r="AB1844" t="str">
        <f t="shared" ca="1" si="630"/>
        <v>Pending</v>
      </c>
      <c r="AC1844" t="str">
        <f t="shared" ca="1" si="631"/>
        <v>Credit Card</v>
      </c>
      <c r="AD1844" t="str">
        <f t="shared" ca="1" si="632"/>
        <v>No</v>
      </c>
      <c r="AE1844" t="str">
        <f t="shared" ca="1" si="633"/>
        <v>No</v>
      </c>
      <c r="AF1844" t="str">
        <f t="shared" ca="1" si="634"/>
        <v>Recovered</v>
      </c>
      <c r="AG1844" t="str">
        <f t="shared" ca="1" si="635"/>
        <v>Southeast</v>
      </c>
      <c r="AH1844" t="str">
        <f t="shared" si="618"/>
        <v>April</v>
      </c>
      <c r="AI1844">
        <f t="shared" si="619"/>
        <v>2023</v>
      </c>
      <c r="AJ1844" t="str">
        <f t="shared" ca="1" si="636"/>
        <v>Occupied</v>
      </c>
      <c r="AK1844">
        <f t="shared" ca="1" si="637"/>
        <v>4</v>
      </c>
    </row>
    <row r="1845" spans="1:37" x14ac:dyDescent="0.3">
      <c r="A1845" t="s">
        <v>6221</v>
      </c>
      <c r="B1845">
        <v>80</v>
      </c>
      <c r="C1845" t="s">
        <v>32</v>
      </c>
      <c r="D1845" t="s">
        <v>83</v>
      </c>
      <c r="E1845" t="s">
        <v>64</v>
      </c>
      <c r="F1845" s="1">
        <v>44675</v>
      </c>
      <c r="G1845" t="s">
        <v>3668</v>
      </c>
      <c r="H1845" t="s">
        <v>3669</v>
      </c>
      <c r="I1845" t="s">
        <v>36</v>
      </c>
      <c r="J1845">
        <v>15103</v>
      </c>
      <c r="K1845">
        <v>453</v>
      </c>
      <c r="L1845" t="s">
        <v>42</v>
      </c>
      <c r="M1845" s="1">
        <v>44685</v>
      </c>
      <c r="N1845" t="s">
        <v>47</v>
      </c>
      <c r="O1845" t="s">
        <v>43</v>
      </c>
      <c r="P1845" t="str">
        <f t="shared" si="620"/>
        <v>P1844</v>
      </c>
      <c r="Q1845" t="str">
        <f t="shared" si="616"/>
        <v>Cardiology</v>
      </c>
      <c r="R1845">
        <f t="shared" si="617"/>
        <v>10</v>
      </c>
      <c r="S1845" t="str">
        <f t="shared" ca="1" si="621"/>
        <v>No</v>
      </c>
      <c r="T1845" t="str">
        <f t="shared" ca="1" si="622"/>
        <v>Critical</v>
      </c>
      <c r="U1845" t="str">
        <f t="shared" ca="1" si="623"/>
        <v>Private Ward</v>
      </c>
      <c r="V1845" t="str">
        <f t="shared" si="624"/>
        <v>BED1844</v>
      </c>
      <c r="W1845" t="str">
        <f t="shared" ca="1" si="625"/>
        <v>ICU</v>
      </c>
      <c r="X1845" t="str">
        <f t="shared" si="626"/>
        <v>NUR044</v>
      </c>
      <c r="Y1845" t="str">
        <f t="shared" ca="1" si="627"/>
        <v>Night</v>
      </c>
      <c r="Z1845" t="str">
        <f t="shared" ca="1" si="628"/>
        <v>MRI Scanner</v>
      </c>
      <c r="AA1845" t="str">
        <f t="shared" ca="1" si="629"/>
        <v>Available</v>
      </c>
      <c r="AB1845" t="str">
        <f t="shared" ca="1" si="630"/>
        <v>Pending</v>
      </c>
      <c r="AC1845" t="str">
        <f t="shared" ca="1" si="631"/>
        <v>Insurance</v>
      </c>
      <c r="AD1845" t="str">
        <f t="shared" ca="1" si="632"/>
        <v>No</v>
      </c>
      <c r="AE1845" t="str">
        <f t="shared" ca="1" si="633"/>
        <v>No</v>
      </c>
      <c r="AF1845" t="str">
        <f t="shared" ca="1" si="634"/>
        <v>Recovered</v>
      </c>
      <c r="AG1845" t="str">
        <f t="shared" ca="1" si="635"/>
        <v>West Coast</v>
      </c>
      <c r="AH1845" t="str">
        <f t="shared" si="618"/>
        <v>April</v>
      </c>
      <c r="AI1845">
        <f t="shared" si="619"/>
        <v>2022</v>
      </c>
      <c r="AJ1845" t="str">
        <f t="shared" ca="1" si="636"/>
        <v>Occupied</v>
      </c>
      <c r="AK1845">
        <f t="shared" ca="1" si="637"/>
        <v>4</v>
      </c>
    </row>
    <row r="1846" spans="1:37" x14ac:dyDescent="0.3">
      <c r="A1846" t="s">
        <v>6222</v>
      </c>
      <c r="B1846">
        <v>79</v>
      </c>
      <c r="C1846" t="s">
        <v>15</v>
      </c>
      <c r="D1846" t="s">
        <v>33</v>
      </c>
      <c r="E1846" t="s">
        <v>25</v>
      </c>
      <c r="F1846" s="1">
        <v>44502</v>
      </c>
      <c r="G1846" t="s">
        <v>3670</v>
      </c>
      <c r="H1846" t="s">
        <v>3671</v>
      </c>
      <c r="I1846" t="s">
        <v>28</v>
      </c>
      <c r="J1846">
        <v>19641</v>
      </c>
      <c r="K1846">
        <v>142</v>
      </c>
      <c r="L1846" t="s">
        <v>29</v>
      </c>
      <c r="M1846" s="1">
        <v>44504</v>
      </c>
      <c r="N1846" t="s">
        <v>67</v>
      </c>
      <c r="O1846" t="s">
        <v>23</v>
      </c>
      <c r="P1846" t="str">
        <f t="shared" si="620"/>
        <v>P1845</v>
      </c>
      <c r="Q1846" t="str">
        <f t="shared" si="616"/>
        <v>Nutrition</v>
      </c>
      <c r="R1846">
        <f t="shared" si="617"/>
        <v>2</v>
      </c>
      <c r="S1846" t="str">
        <f t="shared" ca="1" si="621"/>
        <v>No</v>
      </c>
      <c r="T1846" t="str">
        <f t="shared" ca="1" si="622"/>
        <v>Moderate</v>
      </c>
      <c r="U1846" t="str">
        <f t="shared" ca="1" si="623"/>
        <v>General Ward</v>
      </c>
      <c r="V1846" t="str">
        <f t="shared" si="624"/>
        <v>BED1845</v>
      </c>
      <c r="W1846" t="str">
        <f t="shared" ca="1" si="625"/>
        <v>ICU</v>
      </c>
      <c r="X1846" t="str">
        <f t="shared" si="626"/>
        <v>NUR045</v>
      </c>
      <c r="Y1846" t="str">
        <f t="shared" ca="1" si="627"/>
        <v>Evening</v>
      </c>
      <c r="Z1846" t="str">
        <f t="shared" ca="1" si="628"/>
        <v>X-Ray</v>
      </c>
      <c r="AA1846" t="str">
        <f t="shared" ca="1" si="629"/>
        <v>In Use</v>
      </c>
      <c r="AB1846" t="str">
        <f t="shared" ca="1" si="630"/>
        <v>Pending</v>
      </c>
      <c r="AC1846" t="str">
        <f t="shared" ca="1" si="631"/>
        <v>Bank Transfer</v>
      </c>
      <c r="AD1846" t="str">
        <f t="shared" ca="1" si="632"/>
        <v>No</v>
      </c>
      <c r="AE1846" t="str">
        <f t="shared" ca="1" si="633"/>
        <v>No</v>
      </c>
      <c r="AF1846" t="str">
        <f t="shared" ca="1" si="634"/>
        <v>Under Observation</v>
      </c>
      <c r="AG1846" t="str">
        <f t="shared" ca="1" si="635"/>
        <v>Southwest</v>
      </c>
      <c r="AH1846" t="str">
        <f t="shared" si="618"/>
        <v>November</v>
      </c>
      <c r="AI1846">
        <f t="shared" si="619"/>
        <v>2021</v>
      </c>
      <c r="AJ1846" t="str">
        <f t="shared" ca="1" si="636"/>
        <v>Occupied</v>
      </c>
      <c r="AK1846">
        <f t="shared" ca="1" si="637"/>
        <v>2</v>
      </c>
    </row>
    <row r="1847" spans="1:37" x14ac:dyDescent="0.3">
      <c r="A1847" t="s">
        <v>6223</v>
      </c>
      <c r="B1847">
        <v>20</v>
      </c>
      <c r="C1847" t="s">
        <v>15</v>
      </c>
      <c r="D1847" t="s">
        <v>52</v>
      </c>
      <c r="E1847" t="s">
        <v>17</v>
      </c>
      <c r="F1847" s="1">
        <v>43596</v>
      </c>
      <c r="G1847" t="s">
        <v>3672</v>
      </c>
      <c r="H1847" t="s">
        <v>3673</v>
      </c>
      <c r="I1847" t="s">
        <v>36</v>
      </c>
      <c r="J1847">
        <v>35777</v>
      </c>
      <c r="K1847">
        <v>313</v>
      </c>
      <c r="L1847" t="s">
        <v>21</v>
      </c>
      <c r="M1847" s="1">
        <v>43597</v>
      </c>
      <c r="N1847" t="s">
        <v>67</v>
      </c>
      <c r="O1847" t="s">
        <v>43</v>
      </c>
      <c r="P1847" t="str">
        <f t="shared" si="620"/>
        <v>P1846</v>
      </c>
      <c r="Q1847" t="str">
        <f t="shared" si="616"/>
        <v>Oncology</v>
      </c>
      <c r="R1847">
        <f t="shared" si="617"/>
        <v>1</v>
      </c>
      <c r="S1847" t="str">
        <f t="shared" ca="1" si="621"/>
        <v>No</v>
      </c>
      <c r="T1847" t="str">
        <f t="shared" ca="1" si="622"/>
        <v>Critical</v>
      </c>
      <c r="U1847" t="str">
        <f t="shared" ca="1" si="623"/>
        <v>General Ward</v>
      </c>
      <c r="V1847" t="str">
        <f t="shared" si="624"/>
        <v>BED1846</v>
      </c>
      <c r="W1847" t="str">
        <f t="shared" ca="1" si="625"/>
        <v>General</v>
      </c>
      <c r="X1847" t="str">
        <f t="shared" si="626"/>
        <v>NUR046</v>
      </c>
      <c r="Y1847" t="str">
        <f t="shared" ca="1" si="627"/>
        <v>Morning</v>
      </c>
      <c r="Z1847" t="str">
        <f t="shared" ca="1" si="628"/>
        <v>Ventilator</v>
      </c>
      <c r="AA1847" t="str">
        <f t="shared" ca="1" si="629"/>
        <v>Available</v>
      </c>
      <c r="AB1847" t="str">
        <f t="shared" ca="1" si="630"/>
        <v>Partially Paid</v>
      </c>
      <c r="AC1847" t="str">
        <f t="shared" ca="1" si="631"/>
        <v>Credit Card</v>
      </c>
      <c r="AD1847" t="str">
        <f t="shared" ca="1" si="632"/>
        <v>No</v>
      </c>
      <c r="AE1847" t="str">
        <f t="shared" ca="1" si="633"/>
        <v>No</v>
      </c>
      <c r="AF1847" t="str">
        <f t="shared" ca="1" si="634"/>
        <v>Recovered</v>
      </c>
      <c r="AG1847" t="str">
        <f t="shared" ca="1" si="635"/>
        <v>West Coast</v>
      </c>
      <c r="AH1847" t="str">
        <f t="shared" si="618"/>
        <v>May</v>
      </c>
      <c r="AI1847">
        <f t="shared" si="619"/>
        <v>2019</v>
      </c>
      <c r="AJ1847" t="str">
        <f t="shared" ca="1" si="636"/>
        <v>Occupied</v>
      </c>
      <c r="AK1847">
        <f t="shared" ca="1" si="637"/>
        <v>1</v>
      </c>
    </row>
    <row r="1848" spans="1:37" x14ac:dyDescent="0.3">
      <c r="A1848" t="s">
        <v>6224</v>
      </c>
      <c r="B1848">
        <v>73</v>
      </c>
      <c r="C1848" t="s">
        <v>15</v>
      </c>
      <c r="D1848" t="s">
        <v>52</v>
      </c>
      <c r="E1848" t="s">
        <v>64</v>
      </c>
      <c r="F1848" s="1">
        <v>44530</v>
      </c>
      <c r="G1848" t="s">
        <v>3674</v>
      </c>
      <c r="H1848" t="s">
        <v>3675</v>
      </c>
      <c r="I1848" t="s">
        <v>36</v>
      </c>
      <c r="J1848">
        <v>40841</v>
      </c>
      <c r="K1848">
        <v>302</v>
      </c>
      <c r="L1848" t="s">
        <v>21</v>
      </c>
      <c r="M1848" s="1">
        <v>44531</v>
      </c>
      <c r="N1848" t="s">
        <v>47</v>
      </c>
      <c r="O1848" t="s">
        <v>43</v>
      </c>
      <c r="P1848" t="str">
        <f t="shared" si="620"/>
        <v>P1847</v>
      </c>
      <c r="Q1848" t="str">
        <f t="shared" si="616"/>
        <v>Cardiology</v>
      </c>
      <c r="R1848">
        <f t="shared" si="617"/>
        <v>1</v>
      </c>
      <c r="S1848" t="str">
        <f t="shared" ca="1" si="621"/>
        <v>No</v>
      </c>
      <c r="T1848" t="str">
        <f t="shared" ca="1" si="622"/>
        <v>Mild</v>
      </c>
      <c r="U1848" t="str">
        <f t="shared" ca="1" si="623"/>
        <v>General Ward</v>
      </c>
      <c r="V1848" t="str">
        <f t="shared" si="624"/>
        <v>BED1847</v>
      </c>
      <c r="W1848" t="str">
        <f t="shared" ca="1" si="625"/>
        <v>Private</v>
      </c>
      <c r="X1848" t="str">
        <f t="shared" si="626"/>
        <v>NUR047</v>
      </c>
      <c r="Y1848" t="str">
        <f t="shared" ca="1" si="627"/>
        <v>Morning</v>
      </c>
      <c r="Z1848" t="str">
        <f t="shared" ca="1" si="628"/>
        <v>Ventilator</v>
      </c>
      <c r="AA1848" t="str">
        <f t="shared" ca="1" si="629"/>
        <v>Available</v>
      </c>
      <c r="AB1848" t="str">
        <f t="shared" ca="1" si="630"/>
        <v>Pending</v>
      </c>
      <c r="AC1848" t="str">
        <f t="shared" ca="1" si="631"/>
        <v>Bank Transfer</v>
      </c>
      <c r="AD1848" t="str">
        <f t="shared" ca="1" si="632"/>
        <v>No</v>
      </c>
      <c r="AE1848" t="str">
        <f t="shared" ca="1" si="633"/>
        <v>No</v>
      </c>
      <c r="AF1848" t="str">
        <f t="shared" ca="1" si="634"/>
        <v>Recovered</v>
      </c>
      <c r="AG1848" t="str">
        <f t="shared" ca="1" si="635"/>
        <v>Southwest</v>
      </c>
      <c r="AH1848" t="str">
        <f t="shared" si="618"/>
        <v>November</v>
      </c>
      <c r="AI1848">
        <f t="shared" si="619"/>
        <v>2021</v>
      </c>
      <c r="AJ1848" t="str">
        <f t="shared" ca="1" si="636"/>
        <v>Occupied</v>
      </c>
      <c r="AK1848">
        <f t="shared" ca="1" si="637"/>
        <v>1</v>
      </c>
    </row>
    <row r="1849" spans="1:37" x14ac:dyDescent="0.3">
      <c r="A1849" t="s">
        <v>6225</v>
      </c>
      <c r="B1849">
        <v>50</v>
      </c>
      <c r="C1849" t="s">
        <v>32</v>
      </c>
      <c r="D1849" t="s">
        <v>16</v>
      </c>
      <c r="E1849" t="s">
        <v>64</v>
      </c>
      <c r="F1849" s="1">
        <v>45220</v>
      </c>
      <c r="G1849" t="s">
        <v>3676</v>
      </c>
      <c r="H1849" t="s">
        <v>3677</v>
      </c>
      <c r="I1849" t="s">
        <v>20</v>
      </c>
      <c r="J1849">
        <v>701</v>
      </c>
      <c r="K1849">
        <v>481</v>
      </c>
      <c r="L1849" t="s">
        <v>21</v>
      </c>
      <c r="M1849" s="1">
        <v>45223</v>
      </c>
      <c r="N1849" t="s">
        <v>37</v>
      </c>
      <c r="O1849" t="s">
        <v>23</v>
      </c>
      <c r="P1849" t="str">
        <f t="shared" si="620"/>
        <v>P1848</v>
      </c>
      <c r="Q1849" t="str">
        <f t="shared" si="616"/>
        <v>Cardiology</v>
      </c>
      <c r="R1849">
        <f t="shared" si="617"/>
        <v>3</v>
      </c>
      <c r="S1849" t="str">
        <f t="shared" ca="1" si="621"/>
        <v>No</v>
      </c>
      <c r="T1849" t="str">
        <f t="shared" ca="1" si="622"/>
        <v>Moderate</v>
      </c>
      <c r="U1849" t="str">
        <f t="shared" ca="1" si="623"/>
        <v>Semi-Private</v>
      </c>
      <c r="V1849" t="str">
        <f t="shared" si="624"/>
        <v>BED1848</v>
      </c>
      <c r="W1849" t="str">
        <f t="shared" ca="1" si="625"/>
        <v>Semi-Private</v>
      </c>
      <c r="X1849" t="str">
        <f t="shared" si="626"/>
        <v>NUR048</v>
      </c>
      <c r="Y1849" t="str">
        <f t="shared" ca="1" si="627"/>
        <v>Night</v>
      </c>
      <c r="Z1849" t="str">
        <f t="shared" ca="1" si="628"/>
        <v>Ventilator</v>
      </c>
      <c r="AA1849" t="str">
        <f t="shared" ca="1" si="629"/>
        <v>Maintenance</v>
      </c>
      <c r="AB1849" t="str">
        <f t="shared" ca="1" si="630"/>
        <v>Partially Paid</v>
      </c>
      <c r="AC1849" t="str">
        <f t="shared" ca="1" si="631"/>
        <v>Bank Transfer</v>
      </c>
      <c r="AD1849" t="str">
        <f t="shared" ca="1" si="632"/>
        <v>No</v>
      </c>
      <c r="AE1849" t="str">
        <f t="shared" ca="1" si="633"/>
        <v>Yes</v>
      </c>
      <c r="AF1849" t="str">
        <f t="shared" ca="1" si="634"/>
        <v>Recovered</v>
      </c>
      <c r="AG1849" t="str">
        <f t="shared" ca="1" si="635"/>
        <v>Southeast</v>
      </c>
      <c r="AH1849" t="str">
        <f t="shared" si="618"/>
        <v>October</v>
      </c>
      <c r="AI1849">
        <f t="shared" si="619"/>
        <v>2023</v>
      </c>
      <c r="AJ1849" t="str">
        <f t="shared" ca="1" si="636"/>
        <v>Occupied</v>
      </c>
      <c r="AK1849">
        <f t="shared" ca="1" si="637"/>
        <v>1</v>
      </c>
    </row>
    <row r="1850" spans="1:37" x14ac:dyDescent="0.3">
      <c r="A1850" t="s">
        <v>6226</v>
      </c>
      <c r="B1850">
        <v>66</v>
      </c>
      <c r="C1850" t="s">
        <v>32</v>
      </c>
      <c r="D1850" t="s">
        <v>33</v>
      </c>
      <c r="E1850" t="s">
        <v>76</v>
      </c>
      <c r="F1850" s="1">
        <v>44542</v>
      </c>
      <c r="G1850" t="s">
        <v>3678</v>
      </c>
      <c r="H1850" t="s">
        <v>3679</v>
      </c>
      <c r="I1850" t="s">
        <v>57</v>
      </c>
      <c r="J1850">
        <v>50404</v>
      </c>
      <c r="K1850">
        <v>375</v>
      </c>
      <c r="L1850" t="s">
        <v>42</v>
      </c>
      <c r="M1850" s="1">
        <v>44558</v>
      </c>
      <c r="N1850" t="s">
        <v>37</v>
      </c>
      <c r="O1850" t="s">
        <v>23</v>
      </c>
      <c r="P1850" t="str">
        <f t="shared" si="620"/>
        <v>P1849</v>
      </c>
      <c r="Q1850" t="str">
        <f t="shared" si="616"/>
        <v>Orthopedics</v>
      </c>
      <c r="R1850">
        <f t="shared" si="617"/>
        <v>16</v>
      </c>
      <c r="S1850" t="str">
        <f t="shared" ca="1" si="621"/>
        <v>No</v>
      </c>
      <c r="T1850" t="str">
        <f t="shared" ca="1" si="622"/>
        <v>Moderate</v>
      </c>
      <c r="U1850" t="str">
        <f t="shared" ca="1" si="623"/>
        <v>Semi-Private</v>
      </c>
      <c r="V1850" t="str">
        <f t="shared" si="624"/>
        <v>BED1849</v>
      </c>
      <c r="W1850" t="str">
        <f t="shared" ca="1" si="625"/>
        <v>Semi-Private</v>
      </c>
      <c r="X1850" t="str">
        <f t="shared" si="626"/>
        <v>NUR049</v>
      </c>
      <c r="Y1850" t="str">
        <f t="shared" ca="1" si="627"/>
        <v>Night</v>
      </c>
      <c r="Z1850" t="str">
        <f t="shared" ca="1" si="628"/>
        <v>Ventilator</v>
      </c>
      <c r="AA1850" t="str">
        <f t="shared" ca="1" si="629"/>
        <v>Available</v>
      </c>
      <c r="AB1850" t="str">
        <f t="shared" ca="1" si="630"/>
        <v>Pending</v>
      </c>
      <c r="AC1850" t="str">
        <f t="shared" ca="1" si="631"/>
        <v>Cash</v>
      </c>
      <c r="AD1850" t="str">
        <f t="shared" ca="1" si="632"/>
        <v>No</v>
      </c>
      <c r="AE1850" t="str">
        <f t="shared" ca="1" si="633"/>
        <v>No</v>
      </c>
      <c r="AF1850" t="str">
        <f t="shared" ca="1" si="634"/>
        <v>Under Observation</v>
      </c>
      <c r="AG1850" t="str">
        <f t="shared" ca="1" si="635"/>
        <v>Southwest</v>
      </c>
      <c r="AH1850" t="str">
        <f t="shared" si="618"/>
        <v>December</v>
      </c>
      <c r="AI1850">
        <f t="shared" si="619"/>
        <v>2021</v>
      </c>
      <c r="AJ1850" t="str">
        <f t="shared" ca="1" si="636"/>
        <v>Occupied</v>
      </c>
      <c r="AK1850">
        <f t="shared" ca="1" si="637"/>
        <v>2</v>
      </c>
    </row>
    <row r="1851" spans="1:37" x14ac:dyDescent="0.3">
      <c r="A1851" t="s">
        <v>6227</v>
      </c>
      <c r="B1851">
        <v>36</v>
      </c>
      <c r="C1851" t="s">
        <v>15</v>
      </c>
      <c r="D1851" t="s">
        <v>24</v>
      </c>
      <c r="E1851" t="s">
        <v>39</v>
      </c>
      <c r="F1851" s="1">
        <v>44146</v>
      </c>
      <c r="G1851" t="s">
        <v>491</v>
      </c>
      <c r="H1851" t="s">
        <v>3680</v>
      </c>
      <c r="I1851" t="s">
        <v>36</v>
      </c>
      <c r="J1851">
        <v>6918</v>
      </c>
      <c r="K1851">
        <v>212</v>
      </c>
      <c r="L1851" t="s">
        <v>21</v>
      </c>
      <c r="M1851" s="1">
        <v>44164</v>
      </c>
      <c r="N1851" t="s">
        <v>30</v>
      </c>
      <c r="O1851" t="s">
        <v>31</v>
      </c>
      <c r="P1851" t="str">
        <f t="shared" si="620"/>
        <v>P1850</v>
      </c>
      <c r="Q1851" t="str">
        <f t="shared" si="616"/>
        <v>Endocrinology</v>
      </c>
      <c r="R1851">
        <f t="shared" si="617"/>
        <v>18</v>
      </c>
      <c r="S1851" t="str">
        <f t="shared" ca="1" si="621"/>
        <v>No</v>
      </c>
      <c r="T1851" t="str">
        <f t="shared" ca="1" si="622"/>
        <v>Mild</v>
      </c>
      <c r="U1851" t="str">
        <f t="shared" ca="1" si="623"/>
        <v>Private Ward</v>
      </c>
      <c r="V1851" t="str">
        <f t="shared" si="624"/>
        <v>BED1850</v>
      </c>
      <c r="W1851" t="str">
        <f t="shared" ca="1" si="625"/>
        <v>Private</v>
      </c>
      <c r="X1851" t="str">
        <f t="shared" si="626"/>
        <v>NUR050</v>
      </c>
      <c r="Y1851" t="str">
        <f t="shared" ca="1" si="627"/>
        <v>Morning</v>
      </c>
      <c r="Z1851" t="str">
        <f t="shared" ca="1" si="628"/>
        <v>Ultrasound</v>
      </c>
      <c r="AA1851" t="str">
        <f t="shared" ca="1" si="629"/>
        <v>In Use</v>
      </c>
      <c r="AB1851" t="str">
        <f t="shared" ca="1" si="630"/>
        <v>Pending</v>
      </c>
      <c r="AC1851" t="str">
        <f t="shared" ca="1" si="631"/>
        <v>Cash</v>
      </c>
      <c r="AD1851" t="str">
        <f t="shared" ca="1" si="632"/>
        <v>No</v>
      </c>
      <c r="AE1851" t="str">
        <f t="shared" ca="1" si="633"/>
        <v>No</v>
      </c>
      <c r="AF1851" t="str">
        <f t="shared" ca="1" si="634"/>
        <v>Recovered</v>
      </c>
      <c r="AG1851" t="str">
        <f t="shared" ca="1" si="635"/>
        <v>Midwest</v>
      </c>
      <c r="AH1851" t="str">
        <f t="shared" si="618"/>
        <v>November</v>
      </c>
      <c r="AI1851">
        <f t="shared" si="619"/>
        <v>2020</v>
      </c>
      <c r="AJ1851" t="str">
        <f t="shared" ca="1" si="636"/>
        <v>Occupied</v>
      </c>
      <c r="AK1851">
        <f t="shared" ca="1" si="637"/>
        <v>4</v>
      </c>
    </row>
    <row r="1852" spans="1:37" x14ac:dyDescent="0.3">
      <c r="A1852" t="s">
        <v>6228</v>
      </c>
      <c r="B1852">
        <v>62</v>
      </c>
      <c r="C1852" t="s">
        <v>32</v>
      </c>
      <c r="D1852" t="s">
        <v>52</v>
      </c>
      <c r="E1852" t="s">
        <v>39</v>
      </c>
      <c r="F1852" s="1">
        <v>45228</v>
      </c>
      <c r="G1852" t="s">
        <v>3681</v>
      </c>
      <c r="H1852" t="s">
        <v>3682</v>
      </c>
      <c r="I1852" t="s">
        <v>20</v>
      </c>
      <c r="J1852">
        <v>34012</v>
      </c>
      <c r="K1852">
        <v>200</v>
      </c>
      <c r="L1852" t="s">
        <v>21</v>
      </c>
      <c r="M1852" s="1">
        <v>45242</v>
      </c>
      <c r="N1852" t="s">
        <v>67</v>
      </c>
      <c r="O1852" t="s">
        <v>43</v>
      </c>
      <c r="P1852" t="str">
        <f t="shared" si="620"/>
        <v>P1851</v>
      </c>
      <c r="Q1852" t="str">
        <f t="shared" si="616"/>
        <v>Endocrinology</v>
      </c>
      <c r="R1852">
        <f t="shared" si="617"/>
        <v>14</v>
      </c>
      <c r="S1852" t="str">
        <f t="shared" ca="1" si="621"/>
        <v>No</v>
      </c>
      <c r="T1852" t="str">
        <f t="shared" ca="1" si="622"/>
        <v>Critical</v>
      </c>
      <c r="U1852" t="str">
        <f t="shared" ca="1" si="623"/>
        <v>Private Ward</v>
      </c>
      <c r="V1852" t="str">
        <f t="shared" si="624"/>
        <v>BED1851</v>
      </c>
      <c r="W1852" t="str">
        <f t="shared" ca="1" si="625"/>
        <v>Private</v>
      </c>
      <c r="X1852" t="str">
        <f t="shared" si="626"/>
        <v>NUR001</v>
      </c>
      <c r="Y1852" t="str">
        <f t="shared" ca="1" si="627"/>
        <v>Night</v>
      </c>
      <c r="Z1852" t="str">
        <f t="shared" ca="1" si="628"/>
        <v>X-Ray</v>
      </c>
      <c r="AA1852" t="str">
        <f t="shared" ca="1" si="629"/>
        <v>Available</v>
      </c>
      <c r="AB1852" t="str">
        <f t="shared" ca="1" si="630"/>
        <v>Pending</v>
      </c>
      <c r="AC1852" t="str">
        <f t="shared" ca="1" si="631"/>
        <v>Debit Card</v>
      </c>
      <c r="AD1852" t="str">
        <f t="shared" ca="1" si="632"/>
        <v>No</v>
      </c>
      <c r="AE1852" t="str">
        <f t="shared" ca="1" si="633"/>
        <v>No</v>
      </c>
      <c r="AF1852" t="str">
        <f t="shared" ca="1" si="634"/>
        <v>Recovered</v>
      </c>
      <c r="AG1852" t="str">
        <f t="shared" ca="1" si="635"/>
        <v>Southwest</v>
      </c>
      <c r="AH1852" t="str">
        <f t="shared" si="618"/>
        <v>October</v>
      </c>
      <c r="AI1852">
        <f t="shared" si="619"/>
        <v>2023</v>
      </c>
      <c r="AJ1852" t="str">
        <f t="shared" ca="1" si="636"/>
        <v>Occupied</v>
      </c>
      <c r="AK1852">
        <f t="shared" ca="1" si="637"/>
        <v>4</v>
      </c>
    </row>
    <row r="1853" spans="1:37" x14ac:dyDescent="0.3">
      <c r="A1853" t="s">
        <v>6229</v>
      </c>
      <c r="B1853">
        <v>21</v>
      </c>
      <c r="C1853" t="s">
        <v>15</v>
      </c>
      <c r="D1853" t="s">
        <v>83</v>
      </c>
      <c r="E1853" t="s">
        <v>39</v>
      </c>
      <c r="F1853" s="1">
        <v>45329</v>
      </c>
      <c r="G1853" t="s">
        <v>3683</v>
      </c>
      <c r="H1853" t="s">
        <v>3684</v>
      </c>
      <c r="I1853" t="s">
        <v>51</v>
      </c>
      <c r="J1853">
        <v>46773</v>
      </c>
      <c r="K1853">
        <v>128</v>
      </c>
      <c r="L1853" t="s">
        <v>21</v>
      </c>
      <c r="M1853" s="1">
        <v>45338</v>
      </c>
      <c r="N1853" t="s">
        <v>47</v>
      </c>
      <c r="O1853" t="s">
        <v>31</v>
      </c>
      <c r="P1853" t="str">
        <f t="shared" si="620"/>
        <v>P1852</v>
      </c>
      <c r="Q1853" t="str">
        <f t="shared" si="616"/>
        <v>Endocrinology</v>
      </c>
      <c r="R1853">
        <f t="shared" si="617"/>
        <v>9</v>
      </c>
      <c r="S1853" t="str">
        <f t="shared" ca="1" si="621"/>
        <v>No</v>
      </c>
      <c r="T1853" t="str">
        <f t="shared" ca="1" si="622"/>
        <v>Severe</v>
      </c>
      <c r="U1853" t="str">
        <f t="shared" ca="1" si="623"/>
        <v>General Ward</v>
      </c>
      <c r="V1853" t="str">
        <f t="shared" si="624"/>
        <v>BED1852</v>
      </c>
      <c r="W1853" t="str">
        <f t="shared" ca="1" si="625"/>
        <v>Semi-Private</v>
      </c>
      <c r="X1853" t="str">
        <f t="shared" si="626"/>
        <v>NUR002</v>
      </c>
      <c r="Y1853" t="str">
        <f t="shared" ca="1" si="627"/>
        <v>Morning</v>
      </c>
      <c r="Z1853" t="str">
        <f t="shared" ca="1" si="628"/>
        <v>Ultrasound</v>
      </c>
      <c r="AA1853" t="str">
        <f t="shared" ca="1" si="629"/>
        <v>In Use</v>
      </c>
      <c r="AB1853" t="str">
        <f t="shared" ca="1" si="630"/>
        <v>Partially Paid</v>
      </c>
      <c r="AC1853" t="str">
        <f t="shared" ca="1" si="631"/>
        <v>Cash</v>
      </c>
      <c r="AD1853" t="str">
        <f t="shared" ca="1" si="632"/>
        <v>Yes</v>
      </c>
      <c r="AE1853" t="str">
        <f t="shared" ca="1" si="633"/>
        <v>No</v>
      </c>
      <c r="AF1853" t="str">
        <f t="shared" ca="1" si="634"/>
        <v>Recovered</v>
      </c>
      <c r="AG1853" t="str">
        <f t="shared" ca="1" si="635"/>
        <v>Southeast</v>
      </c>
      <c r="AH1853" t="str">
        <f t="shared" si="618"/>
        <v>February</v>
      </c>
      <c r="AI1853">
        <f t="shared" si="619"/>
        <v>2024</v>
      </c>
      <c r="AJ1853" t="str">
        <f t="shared" ca="1" si="636"/>
        <v>Occupied</v>
      </c>
      <c r="AK1853">
        <f t="shared" ca="1" si="637"/>
        <v>2</v>
      </c>
    </row>
    <row r="1854" spans="1:37" x14ac:dyDescent="0.3">
      <c r="A1854" t="s">
        <v>6230</v>
      </c>
      <c r="B1854">
        <v>36</v>
      </c>
      <c r="C1854" t="s">
        <v>15</v>
      </c>
      <c r="D1854" t="s">
        <v>98</v>
      </c>
      <c r="E1854" t="s">
        <v>39</v>
      </c>
      <c r="F1854" s="1">
        <v>44727</v>
      </c>
      <c r="G1854" t="s">
        <v>3685</v>
      </c>
      <c r="H1854" t="s">
        <v>3686</v>
      </c>
      <c r="I1854" t="s">
        <v>36</v>
      </c>
      <c r="J1854">
        <v>36080</v>
      </c>
      <c r="K1854">
        <v>282</v>
      </c>
      <c r="L1854" t="s">
        <v>21</v>
      </c>
      <c r="M1854" s="1">
        <v>44748</v>
      </c>
      <c r="N1854" t="s">
        <v>47</v>
      </c>
      <c r="O1854" t="s">
        <v>43</v>
      </c>
      <c r="P1854" t="str">
        <f t="shared" si="620"/>
        <v>P1853</v>
      </c>
      <c r="Q1854" t="str">
        <f t="shared" si="616"/>
        <v>Endocrinology</v>
      </c>
      <c r="R1854">
        <f t="shared" si="617"/>
        <v>21</v>
      </c>
      <c r="S1854" t="str">
        <f t="shared" ca="1" si="621"/>
        <v>No</v>
      </c>
      <c r="T1854" t="str">
        <f t="shared" ca="1" si="622"/>
        <v>Moderate</v>
      </c>
      <c r="U1854" t="str">
        <f t="shared" ca="1" si="623"/>
        <v>Semi-Private</v>
      </c>
      <c r="V1854" t="str">
        <f t="shared" si="624"/>
        <v>BED1853</v>
      </c>
      <c r="W1854" t="str">
        <f t="shared" ca="1" si="625"/>
        <v>ICU</v>
      </c>
      <c r="X1854" t="str">
        <f t="shared" si="626"/>
        <v>NUR003</v>
      </c>
      <c r="Y1854" t="str">
        <f t="shared" ca="1" si="627"/>
        <v>Night</v>
      </c>
      <c r="Z1854" t="str">
        <f t="shared" ca="1" si="628"/>
        <v>Ventilator</v>
      </c>
      <c r="AA1854" t="str">
        <f t="shared" ca="1" si="629"/>
        <v>Maintenance</v>
      </c>
      <c r="AB1854" t="str">
        <f t="shared" ca="1" si="630"/>
        <v>Partially Paid</v>
      </c>
      <c r="AC1854" t="str">
        <f t="shared" ca="1" si="631"/>
        <v>Bank Transfer</v>
      </c>
      <c r="AD1854" t="str">
        <f t="shared" ca="1" si="632"/>
        <v>Yes</v>
      </c>
      <c r="AE1854" t="str">
        <f t="shared" ca="1" si="633"/>
        <v>No</v>
      </c>
      <c r="AF1854" t="str">
        <f t="shared" ca="1" si="634"/>
        <v>Recovered</v>
      </c>
      <c r="AG1854" t="str">
        <f t="shared" ca="1" si="635"/>
        <v>Southeast</v>
      </c>
      <c r="AH1854" t="str">
        <f t="shared" si="618"/>
        <v>June</v>
      </c>
      <c r="AI1854">
        <f t="shared" si="619"/>
        <v>2022</v>
      </c>
      <c r="AJ1854" t="str">
        <f t="shared" ca="1" si="636"/>
        <v>Occupied</v>
      </c>
      <c r="AK1854">
        <f t="shared" ca="1" si="637"/>
        <v>1</v>
      </c>
    </row>
    <row r="1855" spans="1:37" x14ac:dyDescent="0.3">
      <c r="A1855" t="s">
        <v>1899</v>
      </c>
      <c r="B1855">
        <v>36</v>
      </c>
      <c r="C1855" t="s">
        <v>32</v>
      </c>
      <c r="D1855" t="s">
        <v>33</v>
      </c>
      <c r="E1855" t="s">
        <v>39</v>
      </c>
      <c r="F1855" s="1">
        <v>44485</v>
      </c>
      <c r="G1855" t="s">
        <v>3687</v>
      </c>
      <c r="H1855" t="s">
        <v>3688</v>
      </c>
      <c r="I1855" t="s">
        <v>36</v>
      </c>
      <c r="J1855">
        <v>8797</v>
      </c>
      <c r="K1855">
        <v>424</v>
      </c>
      <c r="L1855" t="s">
        <v>42</v>
      </c>
      <c r="M1855" s="1">
        <v>44508</v>
      </c>
      <c r="N1855" t="s">
        <v>37</v>
      </c>
      <c r="O1855" t="s">
        <v>31</v>
      </c>
      <c r="P1855" t="str">
        <f t="shared" si="620"/>
        <v>P1854</v>
      </c>
      <c r="Q1855" t="str">
        <f t="shared" si="616"/>
        <v>Endocrinology</v>
      </c>
      <c r="R1855">
        <f t="shared" si="617"/>
        <v>23</v>
      </c>
      <c r="S1855" t="str">
        <f t="shared" ca="1" si="621"/>
        <v>No</v>
      </c>
      <c r="T1855" t="str">
        <f t="shared" ca="1" si="622"/>
        <v>Severe</v>
      </c>
      <c r="U1855" t="str">
        <f t="shared" ca="1" si="623"/>
        <v>Semi-Private</v>
      </c>
      <c r="V1855" t="str">
        <f t="shared" si="624"/>
        <v>BED1854</v>
      </c>
      <c r="W1855" t="str">
        <f t="shared" ca="1" si="625"/>
        <v>ICU</v>
      </c>
      <c r="X1855" t="str">
        <f t="shared" si="626"/>
        <v>NUR004</v>
      </c>
      <c r="Y1855" t="str">
        <f t="shared" ca="1" si="627"/>
        <v>Night</v>
      </c>
      <c r="Z1855" t="str">
        <f t="shared" ca="1" si="628"/>
        <v>CT Scanner</v>
      </c>
      <c r="AA1855" t="str">
        <f t="shared" ca="1" si="629"/>
        <v>In Use</v>
      </c>
      <c r="AB1855" t="str">
        <f t="shared" ca="1" si="630"/>
        <v>Paid</v>
      </c>
      <c r="AC1855" t="str">
        <f t="shared" ca="1" si="631"/>
        <v>Cash</v>
      </c>
      <c r="AD1855" t="str">
        <f t="shared" ca="1" si="632"/>
        <v>No</v>
      </c>
      <c r="AE1855" t="str">
        <f t="shared" ca="1" si="633"/>
        <v>No</v>
      </c>
      <c r="AF1855" t="str">
        <f t="shared" ca="1" si="634"/>
        <v>Under Observation</v>
      </c>
      <c r="AG1855" t="str">
        <f t="shared" ca="1" si="635"/>
        <v>Southeast</v>
      </c>
      <c r="AH1855" t="str">
        <f t="shared" si="618"/>
        <v>October</v>
      </c>
      <c r="AI1855">
        <f t="shared" si="619"/>
        <v>2021</v>
      </c>
      <c r="AJ1855" t="str">
        <f t="shared" ca="1" si="636"/>
        <v>Occupied</v>
      </c>
      <c r="AK1855">
        <f t="shared" ca="1" si="637"/>
        <v>2</v>
      </c>
    </row>
    <row r="1856" spans="1:37" x14ac:dyDescent="0.3">
      <c r="A1856" t="s">
        <v>6231</v>
      </c>
      <c r="B1856">
        <v>85</v>
      </c>
      <c r="C1856" t="s">
        <v>15</v>
      </c>
      <c r="D1856" t="s">
        <v>98</v>
      </c>
      <c r="E1856" t="s">
        <v>64</v>
      </c>
      <c r="F1856" s="1">
        <v>44112</v>
      </c>
      <c r="G1856" t="s">
        <v>3689</v>
      </c>
      <c r="H1856" t="s">
        <v>3690</v>
      </c>
      <c r="I1856" t="s">
        <v>20</v>
      </c>
      <c r="J1856">
        <v>23502</v>
      </c>
      <c r="K1856">
        <v>104</v>
      </c>
      <c r="L1856" t="s">
        <v>21</v>
      </c>
      <c r="M1856" s="1">
        <v>44142</v>
      </c>
      <c r="N1856" t="s">
        <v>22</v>
      </c>
      <c r="O1856" t="s">
        <v>23</v>
      </c>
      <c r="P1856" t="str">
        <f t="shared" si="620"/>
        <v>P1855</v>
      </c>
      <c r="Q1856" t="str">
        <f t="shared" si="616"/>
        <v>Cardiology</v>
      </c>
      <c r="R1856">
        <f t="shared" si="617"/>
        <v>30</v>
      </c>
      <c r="S1856" t="str">
        <f t="shared" ca="1" si="621"/>
        <v>No</v>
      </c>
      <c r="T1856" t="str">
        <f t="shared" ca="1" si="622"/>
        <v>Mild</v>
      </c>
      <c r="U1856" t="str">
        <f t="shared" ca="1" si="623"/>
        <v>Emergency</v>
      </c>
      <c r="V1856" t="str">
        <f t="shared" si="624"/>
        <v>BED1855</v>
      </c>
      <c r="W1856" t="str">
        <f t="shared" ca="1" si="625"/>
        <v>Private</v>
      </c>
      <c r="X1856" t="str">
        <f t="shared" si="626"/>
        <v>NUR005</v>
      </c>
      <c r="Y1856" t="str">
        <f t="shared" ca="1" si="627"/>
        <v>Morning</v>
      </c>
      <c r="Z1856" t="str">
        <f t="shared" ca="1" si="628"/>
        <v>Ultrasound</v>
      </c>
      <c r="AA1856" t="str">
        <f t="shared" ca="1" si="629"/>
        <v>Maintenance</v>
      </c>
      <c r="AB1856" t="str">
        <f t="shared" ca="1" si="630"/>
        <v>Partially Paid</v>
      </c>
      <c r="AC1856" t="str">
        <f t="shared" ca="1" si="631"/>
        <v>Debit Card</v>
      </c>
      <c r="AD1856" t="str">
        <f t="shared" ca="1" si="632"/>
        <v>No</v>
      </c>
      <c r="AE1856" t="str">
        <f t="shared" ca="1" si="633"/>
        <v>No</v>
      </c>
      <c r="AF1856" t="str">
        <f t="shared" ca="1" si="634"/>
        <v>Under Observation</v>
      </c>
      <c r="AG1856" t="str">
        <f t="shared" ca="1" si="635"/>
        <v>Southeast</v>
      </c>
      <c r="AH1856" t="str">
        <f t="shared" si="618"/>
        <v>October</v>
      </c>
      <c r="AI1856">
        <f t="shared" si="619"/>
        <v>2020</v>
      </c>
      <c r="AJ1856" t="str">
        <f t="shared" ca="1" si="636"/>
        <v>Occupied</v>
      </c>
      <c r="AK1856">
        <f t="shared" ca="1" si="637"/>
        <v>1</v>
      </c>
    </row>
    <row r="1857" spans="1:37" x14ac:dyDescent="0.3">
      <c r="A1857" t="s">
        <v>6232</v>
      </c>
      <c r="B1857">
        <v>26</v>
      </c>
      <c r="C1857" t="s">
        <v>32</v>
      </c>
      <c r="D1857" t="s">
        <v>52</v>
      </c>
      <c r="E1857" t="s">
        <v>17</v>
      </c>
      <c r="F1857" s="1">
        <v>44783</v>
      </c>
      <c r="G1857" t="s">
        <v>3691</v>
      </c>
      <c r="H1857" t="s">
        <v>3692</v>
      </c>
      <c r="I1857" t="s">
        <v>51</v>
      </c>
      <c r="J1857">
        <v>15483</v>
      </c>
      <c r="K1857">
        <v>137</v>
      </c>
      <c r="L1857" t="s">
        <v>42</v>
      </c>
      <c r="M1857" s="1">
        <v>44803</v>
      </c>
      <c r="N1857" t="s">
        <v>22</v>
      </c>
      <c r="O1857" t="s">
        <v>23</v>
      </c>
      <c r="P1857" t="str">
        <f t="shared" si="620"/>
        <v>P1856</v>
      </c>
      <c r="Q1857" t="str">
        <f t="shared" si="616"/>
        <v>Oncology</v>
      </c>
      <c r="R1857">
        <f t="shared" si="617"/>
        <v>20</v>
      </c>
      <c r="S1857" t="str">
        <f t="shared" ca="1" si="621"/>
        <v>No</v>
      </c>
      <c r="T1857" t="str">
        <f t="shared" ca="1" si="622"/>
        <v>Severe</v>
      </c>
      <c r="U1857" t="str">
        <f t="shared" ca="1" si="623"/>
        <v>ICU</v>
      </c>
      <c r="V1857" t="str">
        <f t="shared" si="624"/>
        <v>BED1856</v>
      </c>
      <c r="W1857" t="str">
        <f t="shared" ca="1" si="625"/>
        <v>General</v>
      </c>
      <c r="X1857" t="str">
        <f t="shared" si="626"/>
        <v>NUR006</v>
      </c>
      <c r="Y1857" t="str">
        <f t="shared" ca="1" si="627"/>
        <v>Morning</v>
      </c>
      <c r="Z1857" t="str">
        <f t="shared" ca="1" si="628"/>
        <v>ECG Machine</v>
      </c>
      <c r="AA1857" t="str">
        <f t="shared" ca="1" si="629"/>
        <v>Available</v>
      </c>
      <c r="AB1857" t="str">
        <f t="shared" ca="1" si="630"/>
        <v>Paid</v>
      </c>
      <c r="AC1857" t="str">
        <f t="shared" ca="1" si="631"/>
        <v>Cash</v>
      </c>
      <c r="AD1857" t="str">
        <f t="shared" ca="1" si="632"/>
        <v>No</v>
      </c>
      <c r="AE1857" t="str">
        <f t="shared" ca="1" si="633"/>
        <v>No</v>
      </c>
      <c r="AF1857" t="str">
        <f t="shared" ca="1" si="634"/>
        <v>Transferred</v>
      </c>
      <c r="AG1857" t="str">
        <f t="shared" ca="1" si="635"/>
        <v>Southeast</v>
      </c>
      <c r="AH1857" t="str">
        <f t="shared" si="618"/>
        <v>August</v>
      </c>
      <c r="AI1857">
        <f t="shared" si="619"/>
        <v>2022</v>
      </c>
      <c r="AJ1857" t="str">
        <f t="shared" ca="1" si="636"/>
        <v>Occupied</v>
      </c>
      <c r="AK1857">
        <f t="shared" ca="1" si="637"/>
        <v>1</v>
      </c>
    </row>
    <row r="1858" spans="1:37" x14ac:dyDescent="0.3">
      <c r="A1858" t="s">
        <v>6233</v>
      </c>
      <c r="B1858">
        <v>75</v>
      </c>
      <c r="C1858" t="s">
        <v>32</v>
      </c>
      <c r="D1858" t="s">
        <v>16</v>
      </c>
      <c r="E1858" t="s">
        <v>64</v>
      </c>
      <c r="F1858" s="1">
        <v>43784</v>
      </c>
      <c r="G1858" t="s">
        <v>3693</v>
      </c>
      <c r="H1858" t="s">
        <v>3694</v>
      </c>
      <c r="I1858" t="s">
        <v>28</v>
      </c>
      <c r="J1858">
        <v>18683</v>
      </c>
      <c r="K1858">
        <v>332</v>
      </c>
      <c r="L1858" t="s">
        <v>29</v>
      </c>
      <c r="M1858" s="1">
        <v>43809</v>
      </c>
      <c r="N1858" t="s">
        <v>47</v>
      </c>
      <c r="O1858" t="s">
        <v>23</v>
      </c>
      <c r="P1858" t="str">
        <f t="shared" si="620"/>
        <v>P1857</v>
      </c>
      <c r="Q1858" t="str">
        <f t="shared" ref="Q1858:Q1921" si="638">IF(E1858="Cancer","Oncology",IF(E1858="Obesity","Nutrition",IF(E1858="Diabetes","Endocrinology",IF(E1858="Asthma","Pulmonology",IF(E1858="Arthritis","Orthopedics",IF(E1858="Hypertension","Cardiology","General Medicine"))))))</f>
        <v>Cardiology</v>
      </c>
      <c r="R1858">
        <f t="shared" ref="R1858:R1921" si="639">M1858-F1858</f>
        <v>25</v>
      </c>
      <c r="S1858" t="str">
        <f t="shared" ca="1" si="621"/>
        <v>No</v>
      </c>
      <c r="T1858" t="str">
        <f t="shared" ca="1" si="622"/>
        <v>Mild</v>
      </c>
      <c r="U1858" t="str">
        <f t="shared" ca="1" si="623"/>
        <v>Semi-Private</v>
      </c>
      <c r="V1858" t="str">
        <f t="shared" si="624"/>
        <v>BED1857</v>
      </c>
      <c r="W1858" t="str">
        <f t="shared" ca="1" si="625"/>
        <v>General</v>
      </c>
      <c r="X1858" t="str">
        <f t="shared" si="626"/>
        <v>NUR007</v>
      </c>
      <c r="Y1858" t="str">
        <f t="shared" ca="1" si="627"/>
        <v>Morning</v>
      </c>
      <c r="Z1858" t="str">
        <f t="shared" ca="1" si="628"/>
        <v>MRI Scanner</v>
      </c>
      <c r="AA1858" t="str">
        <f t="shared" ca="1" si="629"/>
        <v>Maintenance</v>
      </c>
      <c r="AB1858" t="str">
        <f t="shared" ca="1" si="630"/>
        <v>Partially Paid</v>
      </c>
      <c r="AC1858" t="str">
        <f t="shared" ca="1" si="631"/>
        <v>Debit Card</v>
      </c>
      <c r="AD1858" t="str">
        <f t="shared" ca="1" si="632"/>
        <v>Yes</v>
      </c>
      <c r="AE1858" t="str">
        <f t="shared" ca="1" si="633"/>
        <v>No</v>
      </c>
      <c r="AF1858" t="str">
        <f t="shared" ca="1" si="634"/>
        <v>Under Observation</v>
      </c>
      <c r="AG1858" t="str">
        <f t="shared" ca="1" si="635"/>
        <v>Northeast</v>
      </c>
      <c r="AH1858" t="str">
        <f t="shared" ref="AH1858:AH1921" si="640">TEXT(F1858,"MMMM")</f>
        <v>November</v>
      </c>
      <c r="AI1858">
        <f t="shared" ref="AI1858:AI1921" si="641">YEAR(F1858)</f>
        <v>2019</v>
      </c>
      <c r="AJ1858" t="str">
        <f t="shared" ca="1" si="636"/>
        <v>Occupied</v>
      </c>
      <c r="AK1858">
        <f t="shared" ca="1" si="637"/>
        <v>2</v>
      </c>
    </row>
    <row r="1859" spans="1:37" x14ac:dyDescent="0.3">
      <c r="A1859" t="s">
        <v>6234</v>
      </c>
      <c r="B1859">
        <v>28</v>
      </c>
      <c r="C1859" t="s">
        <v>32</v>
      </c>
      <c r="D1859" t="s">
        <v>33</v>
      </c>
      <c r="E1859" t="s">
        <v>76</v>
      </c>
      <c r="F1859" s="1">
        <v>43983</v>
      </c>
      <c r="G1859" t="s">
        <v>3695</v>
      </c>
      <c r="H1859" t="s">
        <v>3696</v>
      </c>
      <c r="I1859" t="s">
        <v>57</v>
      </c>
      <c r="J1859">
        <v>43119</v>
      </c>
      <c r="K1859">
        <v>266</v>
      </c>
      <c r="L1859" t="s">
        <v>29</v>
      </c>
      <c r="M1859" s="1">
        <v>43987</v>
      </c>
      <c r="N1859" t="s">
        <v>22</v>
      </c>
      <c r="O1859" t="s">
        <v>23</v>
      </c>
      <c r="P1859" t="str">
        <f t="shared" ref="P1859:P1922" si="642">"P"&amp;TEXT(ROW()-1,"0000")</f>
        <v>P1858</v>
      </c>
      <c r="Q1859" t="str">
        <f t="shared" si="638"/>
        <v>Orthopedics</v>
      </c>
      <c r="R1859">
        <f t="shared" si="639"/>
        <v>4</v>
      </c>
      <c r="S1859" t="str">
        <f t="shared" ref="S1859:S1922" ca="1" si="643">IF(RAND()&lt;0.1,"Yes","No")</f>
        <v>No</v>
      </c>
      <c r="T1859" t="str">
        <f t="shared" ref="T1859:T1922" ca="1" si="644">CHOOSE(RANDBETWEEN(1,4),"Mild","Moderate","Severe","Critical")</f>
        <v>Critical</v>
      </c>
      <c r="U1859" t="str">
        <f t="shared" ref="U1859:U1922" ca="1" si="645">CHOOSE(RANDBETWEEN(1,5),"General Ward","ICU","Emergency","Private Ward","Semi-Private")</f>
        <v>General Ward</v>
      </c>
      <c r="V1859" t="str">
        <f t="shared" ref="V1859:V1922" si="646">"BED"&amp;TEXT(ROW()-1,"0000")</f>
        <v>BED1858</v>
      </c>
      <c r="W1859" t="str">
        <f t="shared" ref="W1859:W1922" ca="1" si="647">CHOOSE(RANDBETWEEN(1,4),"General","Private","Semi-Private","ICU")</f>
        <v>General</v>
      </c>
      <c r="X1859" t="str">
        <f t="shared" ref="X1859:X1922" si="648">"NUR"&amp;TEXT(MOD(ROW()-2,50)+1,"000")</f>
        <v>NUR008</v>
      </c>
      <c r="Y1859" t="str">
        <f t="shared" ref="Y1859:Y1922" ca="1" si="649">CHOOSE(RANDBETWEEN(1,3),"Morning","Evening","Night")</f>
        <v>Evening</v>
      </c>
      <c r="Z1859" t="str">
        <f t="shared" ref="Z1859:Z1922" ca="1" si="650">CHOOSE(RANDBETWEEN(1,6),"MRI Scanner","CT Scanner","Ventilator","X-Ray","ECG Machine","Ultrasound")</f>
        <v>Ventilator</v>
      </c>
      <c r="AA1859" t="str">
        <f t="shared" ref="AA1859:AA1922" ca="1" si="651">CHOOSE(RANDBETWEEN(1,3),"Available","In Use","Maintenance")</f>
        <v>Available</v>
      </c>
      <c r="AB1859" t="str">
        <f t="shared" ref="AB1859:AB1922" ca="1" si="652">CHOOSE(RANDBETWEEN(1,3),"Paid","Pending","Partially Paid")</f>
        <v>Paid</v>
      </c>
      <c r="AC1859" t="str">
        <f t="shared" ref="AC1859:AC1922" ca="1" si="653">CHOOSE(RANDBETWEEN(1,5),"Cash","Credit Card","Debit Card","Insurance","Bank Transfer")</f>
        <v>Cash</v>
      </c>
      <c r="AD1859" t="str">
        <f t="shared" ref="AD1859:AD1922" ca="1" si="654">IF(RAND()&lt;0.2,"Yes","No")</f>
        <v>Yes</v>
      </c>
      <c r="AE1859" t="str">
        <f t="shared" ref="AE1859:AE1922" ca="1" si="655">IF(RAND()&lt;0.15,"Yes","No")</f>
        <v>No</v>
      </c>
      <c r="AF1859" t="str">
        <f t="shared" ref="AF1859:AF1922" ca="1" si="656">CHOOSE(RANDBETWEEN(1,3),"Recovered","Transferred","Under Observation")</f>
        <v>Transferred</v>
      </c>
      <c r="AG1859" t="str">
        <f t="shared" ref="AG1859:AG1922" ca="1" si="657">CHOOSE(RANDBETWEEN(1,5),"Northeast","Southeast","Midwest","Southwest","West Coast")</f>
        <v>Southwest</v>
      </c>
      <c r="AH1859" t="str">
        <f t="shared" si="640"/>
        <v>June</v>
      </c>
      <c r="AI1859">
        <f t="shared" si="641"/>
        <v>2020</v>
      </c>
      <c r="AJ1859" t="str">
        <f t="shared" ref="AJ1859:AJ1922" ca="1" si="658">IF(RANDBETWEEN(1,100)&lt;=80,"Occupied","Vacant")</f>
        <v>Occupied</v>
      </c>
      <c r="AK1859">
        <f t="shared" ref="AK1859:AK1922" ca="1" si="659">CHOOSE(RANDBETWEEN(1,3),1,2,4)</f>
        <v>4</v>
      </c>
    </row>
    <row r="1860" spans="1:37" x14ac:dyDescent="0.3">
      <c r="A1860" t="s">
        <v>6235</v>
      </c>
      <c r="B1860">
        <v>55</v>
      </c>
      <c r="C1860" t="s">
        <v>15</v>
      </c>
      <c r="D1860" t="s">
        <v>83</v>
      </c>
      <c r="E1860" t="s">
        <v>48</v>
      </c>
      <c r="F1860" s="1">
        <v>45299</v>
      </c>
      <c r="G1860" t="s">
        <v>3697</v>
      </c>
      <c r="H1860" t="s">
        <v>3698</v>
      </c>
      <c r="I1860" t="s">
        <v>51</v>
      </c>
      <c r="J1860">
        <v>33779</v>
      </c>
      <c r="K1860">
        <v>488</v>
      </c>
      <c r="L1860" t="s">
        <v>21</v>
      </c>
      <c r="M1860" s="1">
        <v>45300</v>
      </c>
      <c r="N1860" t="s">
        <v>47</v>
      </c>
      <c r="O1860" t="s">
        <v>23</v>
      </c>
      <c r="P1860" t="str">
        <f t="shared" si="642"/>
        <v>P1859</v>
      </c>
      <c r="Q1860" t="str">
        <f t="shared" si="638"/>
        <v>Pulmonology</v>
      </c>
      <c r="R1860">
        <f t="shared" si="639"/>
        <v>1</v>
      </c>
      <c r="S1860" t="str">
        <f t="shared" ca="1" si="643"/>
        <v>No</v>
      </c>
      <c r="T1860" t="str">
        <f t="shared" ca="1" si="644"/>
        <v>Moderate</v>
      </c>
      <c r="U1860" t="str">
        <f t="shared" ca="1" si="645"/>
        <v>Private Ward</v>
      </c>
      <c r="V1860" t="str">
        <f t="shared" si="646"/>
        <v>BED1859</v>
      </c>
      <c r="W1860" t="str">
        <f t="shared" ca="1" si="647"/>
        <v>General</v>
      </c>
      <c r="X1860" t="str">
        <f t="shared" si="648"/>
        <v>NUR009</v>
      </c>
      <c r="Y1860" t="str">
        <f t="shared" ca="1" si="649"/>
        <v>Night</v>
      </c>
      <c r="Z1860" t="str">
        <f t="shared" ca="1" si="650"/>
        <v>X-Ray</v>
      </c>
      <c r="AA1860" t="str">
        <f t="shared" ca="1" si="651"/>
        <v>Available</v>
      </c>
      <c r="AB1860" t="str">
        <f t="shared" ca="1" si="652"/>
        <v>Partially Paid</v>
      </c>
      <c r="AC1860" t="str">
        <f t="shared" ca="1" si="653"/>
        <v>Cash</v>
      </c>
      <c r="AD1860" t="str">
        <f t="shared" ca="1" si="654"/>
        <v>Yes</v>
      </c>
      <c r="AE1860" t="str">
        <f t="shared" ca="1" si="655"/>
        <v>No</v>
      </c>
      <c r="AF1860" t="str">
        <f t="shared" ca="1" si="656"/>
        <v>Recovered</v>
      </c>
      <c r="AG1860" t="str">
        <f t="shared" ca="1" si="657"/>
        <v>Southeast</v>
      </c>
      <c r="AH1860" t="str">
        <f t="shared" si="640"/>
        <v>January</v>
      </c>
      <c r="AI1860">
        <f t="shared" si="641"/>
        <v>2024</v>
      </c>
      <c r="AJ1860" t="str">
        <f t="shared" ca="1" si="658"/>
        <v>Occupied</v>
      </c>
      <c r="AK1860">
        <f t="shared" ca="1" si="659"/>
        <v>1</v>
      </c>
    </row>
    <row r="1861" spans="1:37" x14ac:dyDescent="0.3">
      <c r="A1861" t="s">
        <v>6236</v>
      </c>
      <c r="B1861">
        <v>32</v>
      </c>
      <c r="C1861" t="s">
        <v>32</v>
      </c>
      <c r="D1861" t="s">
        <v>24</v>
      </c>
      <c r="E1861" t="s">
        <v>76</v>
      </c>
      <c r="F1861" s="1">
        <v>45285</v>
      </c>
      <c r="G1861" t="s">
        <v>3699</v>
      </c>
      <c r="H1861" t="s">
        <v>3700</v>
      </c>
      <c r="I1861" t="s">
        <v>28</v>
      </c>
      <c r="J1861">
        <v>28320</v>
      </c>
      <c r="K1861">
        <v>227</v>
      </c>
      <c r="L1861" t="s">
        <v>42</v>
      </c>
      <c r="M1861" s="1">
        <v>45302</v>
      </c>
      <c r="N1861" t="s">
        <v>67</v>
      </c>
      <c r="O1861" t="s">
        <v>23</v>
      </c>
      <c r="P1861" t="str">
        <f t="shared" si="642"/>
        <v>P1860</v>
      </c>
      <c r="Q1861" t="str">
        <f t="shared" si="638"/>
        <v>Orthopedics</v>
      </c>
      <c r="R1861">
        <f t="shared" si="639"/>
        <v>17</v>
      </c>
      <c r="S1861" t="str">
        <f t="shared" ca="1" si="643"/>
        <v>No</v>
      </c>
      <c r="T1861" t="str">
        <f t="shared" ca="1" si="644"/>
        <v>Moderate</v>
      </c>
      <c r="U1861" t="str">
        <f t="shared" ca="1" si="645"/>
        <v>Emergency</v>
      </c>
      <c r="V1861" t="str">
        <f t="shared" si="646"/>
        <v>BED1860</v>
      </c>
      <c r="W1861" t="str">
        <f t="shared" ca="1" si="647"/>
        <v>ICU</v>
      </c>
      <c r="X1861" t="str">
        <f t="shared" si="648"/>
        <v>NUR010</v>
      </c>
      <c r="Y1861" t="str">
        <f t="shared" ca="1" si="649"/>
        <v>Night</v>
      </c>
      <c r="Z1861" t="str">
        <f t="shared" ca="1" si="650"/>
        <v>Ultrasound</v>
      </c>
      <c r="AA1861" t="str">
        <f t="shared" ca="1" si="651"/>
        <v>In Use</v>
      </c>
      <c r="AB1861" t="str">
        <f t="shared" ca="1" si="652"/>
        <v>Pending</v>
      </c>
      <c r="AC1861" t="str">
        <f t="shared" ca="1" si="653"/>
        <v>Bank Transfer</v>
      </c>
      <c r="AD1861" t="str">
        <f t="shared" ca="1" si="654"/>
        <v>No</v>
      </c>
      <c r="AE1861" t="str">
        <f t="shared" ca="1" si="655"/>
        <v>No</v>
      </c>
      <c r="AF1861" t="str">
        <f t="shared" ca="1" si="656"/>
        <v>Under Observation</v>
      </c>
      <c r="AG1861" t="str">
        <f t="shared" ca="1" si="657"/>
        <v>Midwest</v>
      </c>
      <c r="AH1861" t="str">
        <f t="shared" si="640"/>
        <v>December</v>
      </c>
      <c r="AI1861">
        <f t="shared" si="641"/>
        <v>2023</v>
      </c>
      <c r="AJ1861" t="str">
        <f t="shared" ca="1" si="658"/>
        <v>Occupied</v>
      </c>
      <c r="AK1861">
        <f t="shared" ca="1" si="659"/>
        <v>4</v>
      </c>
    </row>
    <row r="1862" spans="1:37" x14ac:dyDescent="0.3">
      <c r="A1862" t="s">
        <v>6237</v>
      </c>
      <c r="B1862">
        <v>19</v>
      </c>
      <c r="C1862" t="s">
        <v>15</v>
      </c>
      <c r="D1862" t="s">
        <v>98</v>
      </c>
      <c r="E1862" t="s">
        <v>48</v>
      </c>
      <c r="F1862" s="1">
        <v>44866</v>
      </c>
      <c r="G1862" t="s">
        <v>3701</v>
      </c>
      <c r="H1862" t="s">
        <v>3702</v>
      </c>
      <c r="I1862" t="s">
        <v>36</v>
      </c>
      <c r="J1862">
        <v>2914</v>
      </c>
      <c r="K1862">
        <v>119</v>
      </c>
      <c r="L1862" t="s">
        <v>42</v>
      </c>
      <c r="M1862" s="1">
        <v>44896</v>
      </c>
      <c r="N1862" t="s">
        <v>37</v>
      </c>
      <c r="O1862" t="s">
        <v>31</v>
      </c>
      <c r="P1862" t="str">
        <f t="shared" si="642"/>
        <v>P1861</v>
      </c>
      <c r="Q1862" t="str">
        <f t="shared" si="638"/>
        <v>Pulmonology</v>
      </c>
      <c r="R1862">
        <f t="shared" si="639"/>
        <v>30</v>
      </c>
      <c r="S1862" t="str">
        <f t="shared" ca="1" si="643"/>
        <v>No</v>
      </c>
      <c r="T1862" t="str">
        <f t="shared" ca="1" si="644"/>
        <v>Moderate</v>
      </c>
      <c r="U1862" t="str">
        <f t="shared" ca="1" si="645"/>
        <v>ICU</v>
      </c>
      <c r="V1862" t="str">
        <f t="shared" si="646"/>
        <v>BED1861</v>
      </c>
      <c r="W1862" t="str">
        <f t="shared" ca="1" si="647"/>
        <v>ICU</v>
      </c>
      <c r="X1862" t="str">
        <f t="shared" si="648"/>
        <v>NUR011</v>
      </c>
      <c r="Y1862" t="str">
        <f t="shared" ca="1" si="649"/>
        <v>Evening</v>
      </c>
      <c r="Z1862" t="str">
        <f t="shared" ca="1" si="650"/>
        <v>Ultrasound</v>
      </c>
      <c r="AA1862" t="str">
        <f t="shared" ca="1" si="651"/>
        <v>In Use</v>
      </c>
      <c r="AB1862" t="str">
        <f t="shared" ca="1" si="652"/>
        <v>Partially Paid</v>
      </c>
      <c r="AC1862" t="str">
        <f t="shared" ca="1" si="653"/>
        <v>Credit Card</v>
      </c>
      <c r="AD1862" t="str">
        <f t="shared" ca="1" si="654"/>
        <v>No</v>
      </c>
      <c r="AE1862" t="str">
        <f t="shared" ca="1" si="655"/>
        <v>No</v>
      </c>
      <c r="AF1862" t="str">
        <f t="shared" ca="1" si="656"/>
        <v>Under Observation</v>
      </c>
      <c r="AG1862" t="str">
        <f t="shared" ca="1" si="657"/>
        <v>Northeast</v>
      </c>
      <c r="AH1862" t="str">
        <f t="shared" si="640"/>
        <v>November</v>
      </c>
      <c r="AI1862">
        <f t="shared" si="641"/>
        <v>2022</v>
      </c>
      <c r="AJ1862" t="str">
        <f t="shared" ca="1" si="658"/>
        <v>Occupied</v>
      </c>
      <c r="AK1862">
        <f t="shared" ca="1" si="659"/>
        <v>1</v>
      </c>
    </row>
    <row r="1863" spans="1:37" x14ac:dyDescent="0.3">
      <c r="A1863" t="s">
        <v>6238</v>
      </c>
      <c r="B1863">
        <v>27</v>
      </c>
      <c r="C1863" t="s">
        <v>32</v>
      </c>
      <c r="D1863" t="s">
        <v>98</v>
      </c>
      <c r="E1863" t="s">
        <v>48</v>
      </c>
      <c r="F1863" s="1">
        <v>44744</v>
      </c>
      <c r="G1863" t="s">
        <v>3703</v>
      </c>
      <c r="H1863" t="s">
        <v>3704</v>
      </c>
      <c r="I1863" t="s">
        <v>51</v>
      </c>
      <c r="J1863">
        <v>7916</v>
      </c>
      <c r="K1863">
        <v>296</v>
      </c>
      <c r="L1863" t="s">
        <v>29</v>
      </c>
      <c r="M1863" s="1">
        <v>44753</v>
      </c>
      <c r="N1863" t="s">
        <v>47</v>
      </c>
      <c r="O1863" t="s">
        <v>23</v>
      </c>
      <c r="P1863" t="str">
        <f t="shared" si="642"/>
        <v>P1862</v>
      </c>
      <c r="Q1863" t="str">
        <f t="shared" si="638"/>
        <v>Pulmonology</v>
      </c>
      <c r="R1863">
        <f t="shared" si="639"/>
        <v>9</v>
      </c>
      <c r="S1863" t="str">
        <f t="shared" ca="1" si="643"/>
        <v>No</v>
      </c>
      <c r="T1863" t="str">
        <f t="shared" ca="1" si="644"/>
        <v>Severe</v>
      </c>
      <c r="U1863" t="str">
        <f t="shared" ca="1" si="645"/>
        <v>Private Ward</v>
      </c>
      <c r="V1863" t="str">
        <f t="shared" si="646"/>
        <v>BED1862</v>
      </c>
      <c r="W1863" t="str">
        <f t="shared" ca="1" si="647"/>
        <v>ICU</v>
      </c>
      <c r="X1863" t="str">
        <f t="shared" si="648"/>
        <v>NUR012</v>
      </c>
      <c r="Y1863" t="str">
        <f t="shared" ca="1" si="649"/>
        <v>Night</v>
      </c>
      <c r="Z1863" t="str">
        <f t="shared" ca="1" si="650"/>
        <v>X-Ray</v>
      </c>
      <c r="AA1863" t="str">
        <f t="shared" ca="1" si="651"/>
        <v>Maintenance</v>
      </c>
      <c r="AB1863" t="str">
        <f t="shared" ca="1" si="652"/>
        <v>Pending</v>
      </c>
      <c r="AC1863" t="str">
        <f t="shared" ca="1" si="653"/>
        <v>Debit Card</v>
      </c>
      <c r="AD1863" t="str">
        <f t="shared" ca="1" si="654"/>
        <v>Yes</v>
      </c>
      <c r="AE1863" t="str">
        <f t="shared" ca="1" si="655"/>
        <v>No</v>
      </c>
      <c r="AF1863" t="str">
        <f t="shared" ca="1" si="656"/>
        <v>Transferred</v>
      </c>
      <c r="AG1863" t="str">
        <f t="shared" ca="1" si="657"/>
        <v>Southeast</v>
      </c>
      <c r="AH1863" t="str">
        <f t="shared" si="640"/>
        <v>July</v>
      </c>
      <c r="AI1863">
        <f t="shared" si="641"/>
        <v>2022</v>
      </c>
      <c r="AJ1863" t="str">
        <f t="shared" ca="1" si="658"/>
        <v>Occupied</v>
      </c>
      <c r="AK1863">
        <f t="shared" ca="1" si="659"/>
        <v>4</v>
      </c>
    </row>
    <row r="1864" spans="1:37" x14ac:dyDescent="0.3">
      <c r="A1864" t="s">
        <v>6239</v>
      </c>
      <c r="B1864">
        <v>38</v>
      </c>
      <c r="C1864" t="s">
        <v>32</v>
      </c>
      <c r="D1864" t="s">
        <v>98</v>
      </c>
      <c r="E1864" t="s">
        <v>25</v>
      </c>
      <c r="F1864" s="1">
        <v>44538</v>
      </c>
      <c r="G1864" t="s">
        <v>3705</v>
      </c>
      <c r="H1864" t="s">
        <v>3706</v>
      </c>
      <c r="I1864" t="s">
        <v>36</v>
      </c>
      <c r="J1864">
        <v>30372</v>
      </c>
      <c r="K1864">
        <v>473</v>
      </c>
      <c r="L1864" t="s">
        <v>29</v>
      </c>
      <c r="M1864" s="1">
        <v>44544</v>
      </c>
      <c r="N1864" t="s">
        <v>22</v>
      </c>
      <c r="O1864" t="s">
        <v>23</v>
      </c>
      <c r="P1864" t="str">
        <f t="shared" si="642"/>
        <v>P1863</v>
      </c>
      <c r="Q1864" t="str">
        <f t="shared" si="638"/>
        <v>Nutrition</v>
      </c>
      <c r="R1864">
        <f t="shared" si="639"/>
        <v>6</v>
      </c>
      <c r="S1864" t="str">
        <f t="shared" ca="1" si="643"/>
        <v>No</v>
      </c>
      <c r="T1864" t="str">
        <f t="shared" ca="1" si="644"/>
        <v>Moderate</v>
      </c>
      <c r="U1864" t="str">
        <f t="shared" ca="1" si="645"/>
        <v>ICU</v>
      </c>
      <c r="V1864" t="str">
        <f t="shared" si="646"/>
        <v>BED1863</v>
      </c>
      <c r="W1864" t="str">
        <f t="shared" ca="1" si="647"/>
        <v>General</v>
      </c>
      <c r="X1864" t="str">
        <f t="shared" si="648"/>
        <v>NUR013</v>
      </c>
      <c r="Y1864" t="str">
        <f t="shared" ca="1" si="649"/>
        <v>Morning</v>
      </c>
      <c r="Z1864" t="str">
        <f t="shared" ca="1" si="650"/>
        <v>ECG Machine</v>
      </c>
      <c r="AA1864" t="str">
        <f t="shared" ca="1" si="651"/>
        <v>Available</v>
      </c>
      <c r="AB1864" t="str">
        <f t="shared" ca="1" si="652"/>
        <v>Pending</v>
      </c>
      <c r="AC1864" t="str">
        <f t="shared" ca="1" si="653"/>
        <v>Insurance</v>
      </c>
      <c r="AD1864" t="str">
        <f t="shared" ca="1" si="654"/>
        <v>No</v>
      </c>
      <c r="AE1864" t="str">
        <f t="shared" ca="1" si="655"/>
        <v>No</v>
      </c>
      <c r="AF1864" t="str">
        <f t="shared" ca="1" si="656"/>
        <v>Transferred</v>
      </c>
      <c r="AG1864" t="str">
        <f t="shared" ca="1" si="657"/>
        <v>Southwest</v>
      </c>
      <c r="AH1864" t="str">
        <f t="shared" si="640"/>
        <v>December</v>
      </c>
      <c r="AI1864">
        <f t="shared" si="641"/>
        <v>2021</v>
      </c>
      <c r="AJ1864" t="str">
        <f t="shared" ca="1" si="658"/>
        <v>Occupied</v>
      </c>
      <c r="AK1864">
        <f t="shared" ca="1" si="659"/>
        <v>4</v>
      </c>
    </row>
    <row r="1865" spans="1:37" x14ac:dyDescent="0.3">
      <c r="A1865" t="s">
        <v>6240</v>
      </c>
      <c r="B1865">
        <v>79</v>
      </c>
      <c r="C1865" t="s">
        <v>32</v>
      </c>
      <c r="D1865" t="s">
        <v>24</v>
      </c>
      <c r="E1865" t="s">
        <v>64</v>
      </c>
      <c r="F1865" s="1">
        <v>44583</v>
      </c>
      <c r="G1865" t="s">
        <v>3707</v>
      </c>
      <c r="H1865" t="s">
        <v>3708</v>
      </c>
      <c r="I1865" t="s">
        <v>20</v>
      </c>
      <c r="J1865">
        <v>45267</v>
      </c>
      <c r="K1865">
        <v>282</v>
      </c>
      <c r="L1865" t="s">
        <v>21</v>
      </c>
      <c r="M1865" s="1">
        <v>44608</v>
      </c>
      <c r="N1865" t="s">
        <v>37</v>
      </c>
      <c r="O1865" t="s">
        <v>23</v>
      </c>
      <c r="P1865" t="str">
        <f t="shared" si="642"/>
        <v>P1864</v>
      </c>
      <c r="Q1865" t="str">
        <f t="shared" si="638"/>
        <v>Cardiology</v>
      </c>
      <c r="R1865">
        <f t="shared" si="639"/>
        <v>25</v>
      </c>
      <c r="S1865" t="str">
        <f t="shared" ca="1" si="643"/>
        <v>No</v>
      </c>
      <c r="T1865" t="str">
        <f t="shared" ca="1" si="644"/>
        <v>Severe</v>
      </c>
      <c r="U1865" t="str">
        <f t="shared" ca="1" si="645"/>
        <v>Private Ward</v>
      </c>
      <c r="V1865" t="str">
        <f t="shared" si="646"/>
        <v>BED1864</v>
      </c>
      <c r="W1865" t="str">
        <f t="shared" ca="1" si="647"/>
        <v>Private</v>
      </c>
      <c r="X1865" t="str">
        <f t="shared" si="648"/>
        <v>NUR014</v>
      </c>
      <c r="Y1865" t="str">
        <f t="shared" ca="1" si="649"/>
        <v>Evening</v>
      </c>
      <c r="Z1865" t="str">
        <f t="shared" ca="1" si="650"/>
        <v>X-Ray</v>
      </c>
      <c r="AA1865" t="str">
        <f t="shared" ca="1" si="651"/>
        <v>Maintenance</v>
      </c>
      <c r="AB1865" t="str">
        <f t="shared" ca="1" si="652"/>
        <v>Paid</v>
      </c>
      <c r="AC1865" t="str">
        <f t="shared" ca="1" si="653"/>
        <v>Cash</v>
      </c>
      <c r="AD1865" t="str">
        <f t="shared" ca="1" si="654"/>
        <v>No</v>
      </c>
      <c r="AE1865" t="str">
        <f t="shared" ca="1" si="655"/>
        <v>No</v>
      </c>
      <c r="AF1865" t="str">
        <f t="shared" ca="1" si="656"/>
        <v>Recovered</v>
      </c>
      <c r="AG1865" t="str">
        <f t="shared" ca="1" si="657"/>
        <v>West Coast</v>
      </c>
      <c r="AH1865" t="str">
        <f t="shared" si="640"/>
        <v>January</v>
      </c>
      <c r="AI1865">
        <f t="shared" si="641"/>
        <v>2022</v>
      </c>
      <c r="AJ1865" t="str">
        <f t="shared" ca="1" si="658"/>
        <v>Occupied</v>
      </c>
      <c r="AK1865">
        <f t="shared" ca="1" si="659"/>
        <v>1</v>
      </c>
    </row>
    <row r="1866" spans="1:37" x14ac:dyDescent="0.3">
      <c r="A1866" t="s">
        <v>5980</v>
      </c>
      <c r="B1866">
        <v>80</v>
      </c>
      <c r="C1866" t="s">
        <v>32</v>
      </c>
      <c r="D1866" t="s">
        <v>52</v>
      </c>
      <c r="E1866" t="s">
        <v>64</v>
      </c>
      <c r="F1866" s="1">
        <v>43903</v>
      </c>
      <c r="G1866" t="s">
        <v>3709</v>
      </c>
      <c r="H1866" t="s">
        <v>3710</v>
      </c>
      <c r="I1866" t="s">
        <v>57</v>
      </c>
      <c r="J1866">
        <v>12638</v>
      </c>
      <c r="K1866">
        <v>486</v>
      </c>
      <c r="L1866" t="s">
        <v>29</v>
      </c>
      <c r="M1866" s="1">
        <v>43922</v>
      </c>
      <c r="N1866" t="s">
        <v>30</v>
      </c>
      <c r="O1866" t="s">
        <v>23</v>
      </c>
      <c r="P1866" t="str">
        <f t="shared" si="642"/>
        <v>P1865</v>
      </c>
      <c r="Q1866" t="str">
        <f t="shared" si="638"/>
        <v>Cardiology</v>
      </c>
      <c r="R1866">
        <f t="shared" si="639"/>
        <v>19</v>
      </c>
      <c r="S1866" t="str">
        <f t="shared" ca="1" si="643"/>
        <v>No</v>
      </c>
      <c r="T1866" t="str">
        <f t="shared" ca="1" si="644"/>
        <v>Mild</v>
      </c>
      <c r="U1866" t="str">
        <f t="shared" ca="1" si="645"/>
        <v>Emergency</v>
      </c>
      <c r="V1866" t="str">
        <f t="shared" si="646"/>
        <v>BED1865</v>
      </c>
      <c r="W1866" t="str">
        <f t="shared" ca="1" si="647"/>
        <v>Private</v>
      </c>
      <c r="X1866" t="str">
        <f t="shared" si="648"/>
        <v>NUR015</v>
      </c>
      <c r="Y1866" t="str">
        <f t="shared" ca="1" si="649"/>
        <v>Evening</v>
      </c>
      <c r="Z1866" t="str">
        <f t="shared" ca="1" si="650"/>
        <v>ECG Machine</v>
      </c>
      <c r="AA1866" t="str">
        <f t="shared" ca="1" si="651"/>
        <v>Maintenance</v>
      </c>
      <c r="AB1866" t="str">
        <f t="shared" ca="1" si="652"/>
        <v>Paid</v>
      </c>
      <c r="AC1866" t="str">
        <f t="shared" ca="1" si="653"/>
        <v>Cash</v>
      </c>
      <c r="AD1866" t="str">
        <f t="shared" ca="1" si="654"/>
        <v>Yes</v>
      </c>
      <c r="AE1866" t="str">
        <f t="shared" ca="1" si="655"/>
        <v>No</v>
      </c>
      <c r="AF1866" t="str">
        <f t="shared" ca="1" si="656"/>
        <v>Transferred</v>
      </c>
      <c r="AG1866" t="str">
        <f t="shared" ca="1" si="657"/>
        <v>Southeast</v>
      </c>
      <c r="AH1866" t="str">
        <f t="shared" si="640"/>
        <v>March</v>
      </c>
      <c r="AI1866">
        <f t="shared" si="641"/>
        <v>2020</v>
      </c>
      <c r="AJ1866" t="str">
        <f t="shared" ca="1" si="658"/>
        <v>Occupied</v>
      </c>
      <c r="AK1866">
        <f t="shared" ca="1" si="659"/>
        <v>4</v>
      </c>
    </row>
    <row r="1867" spans="1:37" x14ac:dyDescent="0.3">
      <c r="A1867" t="s">
        <v>6241</v>
      </c>
      <c r="B1867">
        <v>19</v>
      </c>
      <c r="C1867" t="s">
        <v>15</v>
      </c>
      <c r="D1867" t="s">
        <v>52</v>
      </c>
      <c r="E1867" t="s">
        <v>25</v>
      </c>
      <c r="F1867" s="1">
        <v>43680</v>
      </c>
      <c r="G1867" t="s">
        <v>3711</v>
      </c>
      <c r="H1867" t="s">
        <v>3712</v>
      </c>
      <c r="I1867" t="s">
        <v>57</v>
      </c>
      <c r="J1867">
        <v>30789</v>
      </c>
      <c r="K1867">
        <v>322</v>
      </c>
      <c r="L1867" t="s">
        <v>21</v>
      </c>
      <c r="M1867" s="1">
        <v>43692</v>
      </c>
      <c r="N1867" t="s">
        <v>30</v>
      </c>
      <c r="O1867" t="s">
        <v>43</v>
      </c>
      <c r="P1867" t="str">
        <f t="shared" si="642"/>
        <v>P1866</v>
      </c>
      <c r="Q1867" t="str">
        <f t="shared" si="638"/>
        <v>Nutrition</v>
      </c>
      <c r="R1867">
        <f t="shared" si="639"/>
        <v>12</v>
      </c>
      <c r="S1867" t="str">
        <f t="shared" ca="1" si="643"/>
        <v>Yes</v>
      </c>
      <c r="T1867" t="str">
        <f t="shared" ca="1" si="644"/>
        <v>Critical</v>
      </c>
      <c r="U1867" t="str">
        <f t="shared" ca="1" si="645"/>
        <v>General Ward</v>
      </c>
      <c r="V1867" t="str">
        <f t="shared" si="646"/>
        <v>BED1866</v>
      </c>
      <c r="W1867" t="str">
        <f t="shared" ca="1" si="647"/>
        <v>ICU</v>
      </c>
      <c r="X1867" t="str">
        <f t="shared" si="648"/>
        <v>NUR016</v>
      </c>
      <c r="Y1867" t="str">
        <f t="shared" ca="1" si="649"/>
        <v>Night</v>
      </c>
      <c r="Z1867" t="str">
        <f t="shared" ca="1" si="650"/>
        <v>Ventilator</v>
      </c>
      <c r="AA1867" t="str">
        <f t="shared" ca="1" si="651"/>
        <v>Maintenance</v>
      </c>
      <c r="AB1867" t="str">
        <f t="shared" ca="1" si="652"/>
        <v>Partially Paid</v>
      </c>
      <c r="AC1867" t="str">
        <f t="shared" ca="1" si="653"/>
        <v>Cash</v>
      </c>
      <c r="AD1867" t="str">
        <f t="shared" ca="1" si="654"/>
        <v>No</v>
      </c>
      <c r="AE1867" t="str">
        <f t="shared" ca="1" si="655"/>
        <v>No</v>
      </c>
      <c r="AF1867" t="str">
        <f t="shared" ca="1" si="656"/>
        <v>Recovered</v>
      </c>
      <c r="AG1867" t="str">
        <f t="shared" ca="1" si="657"/>
        <v>Southeast</v>
      </c>
      <c r="AH1867" t="str">
        <f t="shared" si="640"/>
        <v>August</v>
      </c>
      <c r="AI1867">
        <f t="shared" si="641"/>
        <v>2019</v>
      </c>
      <c r="AJ1867" t="str">
        <f t="shared" ca="1" si="658"/>
        <v>Occupied</v>
      </c>
      <c r="AK1867">
        <f t="shared" ca="1" si="659"/>
        <v>1</v>
      </c>
    </row>
    <row r="1868" spans="1:37" x14ac:dyDescent="0.3">
      <c r="A1868" t="s">
        <v>6242</v>
      </c>
      <c r="B1868">
        <v>61</v>
      </c>
      <c r="C1868" t="s">
        <v>32</v>
      </c>
      <c r="D1868" t="s">
        <v>52</v>
      </c>
      <c r="E1868" t="s">
        <v>25</v>
      </c>
      <c r="F1868" s="1">
        <v>43721</v>
      </c>
      <c r="G1868" t="s">
        <v>3713</v>
      </c>
      <c r="H1868" t="s">
        <v>3714</v>
      </c>
      <c r="I1868" t="s">
        <v>57</v>
      </c>
      <c r="J1868">
        <v>36557</v>
      </c>
      <c r="K1868">
        <v>224</v>
      </c>
      <c r="L1868" t="s">
        <v>29</v>
      </c>
      <c r="M1868" s="1">
        <v>43751</v>
      </c>
      <c r="N1868" t="s">
        <v>37</v>
      </c>
      <c r="O1868" t="s">
        <v>31</v>
      </c>
      <c r="P1868" t="str">
        <f t="shared" si="642"/>
        <v>P1867</v>
      </c>
      <c r="Q1868" t="str">
        <f t="shared" si="638"/>
        <v>Nutrition</v>
      </c>
      <c r="R1868">
        <f t="shared" si="639"/>
        <v>30</v>
      </c>
      <c r="S1868" t="str">
        <f t="shared" ca="1" si="643"/>
        <v>No</v>
      </c>
      <c r="T1868" t="str">
        <f t="shared" ca="1" si="644"/>
        <v>Moderate</v>
      </c>
      <c r="U1868" t="str">
        <f t="shared" ca="1" si="645"/>
        <v>Semi-Private</v>
      </c>
      <c r="V1868" t="str">
        <f t="shared" si="646"/>
        <v>BED1867</v>
      </c>
      <c r="W1868" t="str">
        <f t="shared" ca="1" si="647"/>
        <v>Semi-Private</v>
      </c>
      <c r="X1868" t="str">
        <f t="shared" si="648"/>
        <v>NUR017</v>
      </c>
      <c r="Y1868" t="str">
        <f t="shared" ca="1" si="649"/>
        <v>Evening</v>
      </c>
      <c r="Z1868" t="str">
        <f t="shared" ca="1" si="650"/>
        <v>Ultrasound</v>
      </c>
      <c r="AA1868" t="str">
        <f t="shared" ca="1" si="651"/>
        <v>Available</v>
      </c>
      <c r="AB1868" t="str">
        <f t="shared" ca="1" si="652"/>
        <v>Paid</v>
      </c>
      <c r="AC1868" t="str">
        <f t="shared" ca="1" si="653"/>
        <v>Debit Card</v>
      </c>
      <c r="AD1868" t="str">
        <f t="shared" ca="1" si="654"/>
        <v>No</v>
      </c>
      <c r="AE1868" t="str">
        <f t="shared" ca="1" si="655"/>
        <v>No</v>
      </c>
      <c r="AF1868" t="str">
        <f t="shared" ca="1" si="656"/>
        <v>Transferred</v>
      </c>
      <c r="AG1868" t="str">
        <f t="shared" ca="1" si="657"/>
        <v>Southeast</v>
      </c>
      <c r="AH1868" t="str">
        <f t="shared" si="640"/>
        <v>September</v>
      </c>
      <c r="AI1868">
        <f t="shared" si="641"/>
        <v>2019</v>
      </c>
      <c r="AJ1868" t="str">
        <f t="shared" ca="1" si="658"/>
        <v>Occupied</v>
      </c>
      <c r="AK1868">
        <f t="shared" ca="1" si="659"/>
        <v>1</v>
      </c>
    </row>
    <row r="1869" spans="1:37" x14ac:dyDescent="0.3">
      <c r="A1869" t="s">
        <v>6243</v>
      </c>
      <c r="B1869">
        <v>64</v>
      </c>
      <c r="C1869" t="s">
        <v>32</v>
      </c>
      <c r="D1869" t="s">
        <v>38</v>
      </c>
      <c r="E1869" t="s">
        <v>39</v>
      </c>
      <c r="F1869" s="1">
        <v>44188</v>
      </c>
      <c r="G1869" t="s">
        <v>1003</v>
      </c>
      <c r="H1869" t="s">
        <v>3715</v>
      </c>
      <c r="I1869" t="s">
        <v>51</v>
      </c>
      <c r="J1869">
        <v>15580</v>
      </c>
      <c r="K1869">
        <v>219</v>
      </c>
      <c r="L1869" t="s">
        <v>29</v>
      </c>
      <c r="M1869" s="1">
        <v>44199</v>
      </c>
      <c r="N1869" t="s">
        <v>37</v>
      </c>
      <c r="O1869" t="s">
        <v>23</v>
      </c>
      <c r="P1869" t="str">
        <f t="shared" si="642"/>
        <v>P1868</v>
      </c>
      <c r="Q1869" t="str">
        <f t="shared" si="638"/>
        <v>Endocrinology</v>
      </c>
      <c r="R1869">
        <f t="shared" si="639"/>
        <v>11</v>
      </c>
      <c r="S1869" t="str">
        <f t="shared" ca="1" si="643"/>
        <v>No</v>
      </c>
      <c r="T1869" t="str">
        <f t="shared" ca="1" si="644"/>
        <v>Mild</v>
      </c>
      <c r="U1869" t="str">
        <f t="shared" ca="1" si="645"/>
        <v>ICU</v>
      </c>
      <c r="V1869" t="str">
        <f t="shared" si="646"/>
        <v>BED1868</v>
      </c>
      <c r="W1869" t="str">
        <f t="shared" ca="1" si="647"/>
        <v>ICU</v>
      </c>
      <c r="X1869" t="str">
        <f t="shared" si="648"/>
        <v>NUR018</v>
      </c>
      <c r="Y1869" t="str">
        <f t="shared" ca="1" si="649"/>
        <v>Evening</v>
      </c>
      <c r="Z1869" t="str">
        <f t="shared" ca="1" si="650"/>
        <v>Ultrasound</v>
      </c>
      <c r="AA1869" t="str">
        <f t="shared" ca="1" si="651"/>
        <v>Available</v>
      </c>
      <c r="AB1869" t="str">
        <f t="shared" ca="1" si="652"/>
        <v>Partially Paid</v>
      </c>
      <c r="AC1869" t="str">
        <f t="shared" ca="1" si="653"/>
        <v>Credit Card</v>
      </c>
      <c r="AD1869" t="str">
        <f t="shared" ca="1" si="654"/>
        <v>No</v>
      </c>
      <c r="AE1869" t="str">
        <f t="shared" ca="1" si="655"/>
        <v>No</v>
      </c>
      <c r="AF1869" t="str">
        <f t="shared" ca="1" si="656"/>
        <v>Recovered</v>
      </c>
      <c r="AG1869" t="str">
        <f t="shared" ca="1" si="657"/>
        <v>Southwest</v>
      </c>
      <c r="AH1869" t="str">
        <f t="shared" si="640"/>
        <v>December</v>
      </c>
      <c r="AI1869">
        <f t="shared" si="641"/>
        <v>2020</v>
      </c>
      <c r="AJ1869" t="str">
        <f t="shared" ca="1" si="658"/>
        <v>Occupied</v>
      </c>
      <c r="AK1869">
        <f t="shared" ca="1" si="659"/>
        <v>4</v>
      </c>
    </row>
    <row r="1870" spans="1:37" x14ac:dyDescent="0.3">
      <c r="A1870" t="s">
        <v>6244</v>
      </c>
      <c r="B1870">
        <v>57</v>
      </c>
      <c r="C1870" t="s">
        <v>32</v>
      </c>
      <c r="D1870" t="s">
        <v>38</v>
      </c>
      <c r="E1870" t="s">
        <v>76</v>
      </c>
      <c r="F1870" s="1">
        <v>43652</v>
      </c>
      <c r="G1870" t="s">
        <v>3716</v>
      </c>
      <c r="H1870" t="s">
        <v>3717</v>
      </c>
      <c r="I1870" t="s">
        <v>28</v>
      </c>
      <c r="J1870">
        <v>29672</v>
      </c>
      <c r="K1870">
        <v>500</v>
      </c>
      <c r="L1870" t="s">
        <v>21</v>
      </c>
      <c r="M1870" s="1">
        <v>43670</v>
      </c>
      <c r="N1870" t="s">
        <v>67</v>
      </c>
      <c r="O1870" t="s">
        <v>43</v>
      </c>
      <c r="P1870" t="str">
        <f t="shared" si="642"/>
        <v>P1869</v>
      </c>
      <c r="Q1870" t="str">
        <f t="shared" si="638"/>
        <v>Orthopedics</v>
      </c>
      <c r="R1870">
        <f t="shared" si="639"/>
        <v>18</v>
      </c>
      <c r="S1870" t="str">
        <f t="shared" ca="1" si="643"/>
        <v>No</v>
      </c>
      <c r="T1870" t="str">
        <f t="shared" ca="1" si="644"/>
        <v>Mild</v>
      </c>
      <c r="U1870" t="str">
        <f t="shared" ca="1" si="645"/>
        <v>ICU</v>
      </c>
      <c r="V1870" t="str">
        <f t="shared" si="646"/>
        <v>BED1869</v>
      </c>
      <c r="W1870" t="str">
        <f t="shared" ca="1" si="647"/>
        <v>ICU</v>
      </c>
      <c r="X1870" t="str">
        <f t="shared" si="648"/>
        <v>NUR019</v>
      </c>
      <c r="Y1870" t="str">
        <f t="shared" ca="1" si="649"/>
        <v>Morning</v>
      </c>
      <c r="Z1870" t="str">
        <f t="shared" ca="1" si="650"/>
        <v>Ultrasound</v>
      </c>
      <c r="AA1870" t="str">
        <f t="shared" ca="1" si="651"/>
        <v>Available</v>
      </c>
      <c r="AB1870" t="str">
        <f t="shared" ca="1" si="652"/>
        <v>Partially Paid</v>
      </c>
      <c r="AC1870" t="str">
        <f t="shared" ca="1" si="653"/>
        <v>Debit Card</v>
      </c>
      <c r="AD1870" t="str">
        <f t="shared" ca="1" si="654"/>
        <v>Yes</v>
      </c>
      <c r="AE1870" t="str">
        <f t="shared" ca="1" si="655"/>
        <v>No</v>
      </c>
      <c r="AF1870" t="str">
        <f t="shared" ca="1" si="656"/>
        <v>Recovered</v>
      </c>
      <c r="AG1870" t="str">
        <f t="shared" ca="1" si="657"/>
        <v>Southwest</v>
      </c>
      <c r="AH1870" t="str">
        <f t="shared" si="640"/>
        <v>July</v>
      </c>
      <c r="AI1870">
        <f t="shared" si="641"/>
        <v>2019</v>
      </c>
      <c r="AJ1870" t="str">
        <f t="shared" ca="1" si="658"/>
        <v>Occupied</v>
      </c>
      <c r="AK1870">
        <f t="shared" ca="1" si="659"/>
        <v>2</v>
      </c>
    </row>
    <row r="1871" spans="1:37" x14ac:dyDescent="0.3">
      <c r="A1871" t="s">
        <v>6245</v>
      </c>
      <c r="B1871">
        <v>49</v>
      </c>
      <c r="C1871" t="s">
        <v>15</v>
      </c>
      <c r="D1871" t="s">
        <v>33</v>
      </c>
      <c r="E1871" t="s">
        <v>39</v>
      </c>
      <c r="F1871" s="1">
        <v>44210</v>
      </c>
      <c r="G1871" t="s">
        <v>3718</v>
      </c>
      <c r="H1871" t="s">
        <v>3719</v>
      </c>
      <c r="I1871" t="s">
        <v>28</v>
      </c>
      <c r="J1871">
        <v>20549</v>
      </c>
      <c r="K1871">
        <v>285</v>
      </c>
      <c r="L1871" t="s">
        <v>29</v>
      </c>
      <c r="M1871" s="1">
        <v>44226</v>
      </c>
      <c r="N1871" t="s">
        <v>67</v>
      </c>
      <c r="O1871" t="s">
        <v>23</v>
      </c>
      <c r="P1871" t="str">
        <f t="shared" si="642"/>
        <v>P1870</v>
      </c>
      <c r="Q1871" t="str">
        <f t="shared" si="638"/>
        <v>Endocrinology</v>
      </c>
      <c r="R1871">
        <f t="shared" si="639"/>
        <v>16</v>
      </c>
      <c r="S1871" t="str">
        <f t="shared" ca="1" si="643"/>
        <v>Yes</v>
      </c>
      <c r="T1871" t="str">
        <f t="shared" ca="1" si="644"/>
        <v>Moderate</v>
      </c>
      <c r="U1871" t="str">
        <f t="shared" ca="1" si="645"/>
        <v>ICU</v>
      </c>
      <c r="V1871" t="str">
        <f t="shared" si="646"/>
        <v>BED1870</v>
      </c>
      <c r="W1871" t="str">
        <f t="shared" ca="1" si="647"/>
        <v>Semi-Private</v>
      </c>
      <c r="X1871" t="str">
        <f t="shared" si="648"/>
        <v>NUR020</v>
      </c>
      <c r="Y1871" t="str">
        <f t="shared" ca="1" si="649"/>
        <v>Night</v>
      </c>
      <c r="Z1871" t="str">
        <f t="shared" ca="1" si="650"/>
        <v>MRI Scanner</v>
      </c>
      <c r="AA1871" t="str">
        <f t="shared" ca="1" si="651"/>
        <v>In Use</v>
      </c>
      <c r="AB1871" t="str">
        <f t="shared" ca="1" si="652"/>
        <v>Partially Paid</v>
      </c>
      <c r="AC1871" t="str">
        <f t="shared" ca="1" si="653"/>
        <v>Credit Card</v>
      </c>
      <c r="AD1871" t="str">
        <f t="shared" ca="1" si="654"/>
        <v>No</v>
      </c>
      <c r="AE1871" t="str">
        <f t="shared" ca="1" si="655"/>
        <v>No</v>
      </c>
      <c r="AF1871" t="str">
        <f t="shared" ca="1" si="656"/>
        <v>Under Observation</v>
      </c>
      <c r="AG1871" t="str">
        <f t="shared" ca="1" si="657"/>
        <v>Southwest</v>
      </c>
      <c r="AH1871" t="str">
        <f t="shared" si="640"/>
        <v>January</v>
      </c>
      <c r="AI1871">
        <f t="shared" si="641"/>
        <v>2021</v>
      </c>
      <c r="AJ1871" t="str">
        <f t="shared" ca="1" si="658"/>
        <v>Occupied</v>
      </c>
      <c r="AK1871">
        <f t="shared" ca="1" si="659"/>
        <v>1</v>
      </c>
    </row>
    <row r="1872" spans="1:37" x14ac:dyDescent="0.3">
      <c r="A1872" t="s">
        <v>6246</v>
      </c>
      <c r="B1872">
        <v>67</v>
      </c>
      <c r="C1872" t="s">
        <v>32</v>
      </c>
      <c r="D1872" t="s">
        <v>24</v>
      </c>
      <c r="E1872" t="s">
        <v>48</v>
      </c>
      <c r="F1872" s="1">
        <v>44045</v>
      </c>
      <c r="G1872" t="s">
        <v>3720</v>
      </c>
      <c r="H1872" t="s">
        <v>3721</v>
      </c>
      <c r="I1872" t="s">
        <v>28</v>
      </c>
      <c r="J1872">
        <v>48503</v>
      </c>
      <c r="K1872">
        <v>149</v>
      </c>
      <c r="L1872" t="s">
        <v>21</v>
      </c>
      <c r="M1872" s="1">
        <v>44060</v>
      </c>
      <c r="N1872" t="s">
        <v>30</v>
      </c>
      <c r="O1872" t="s">
        <v>31</v>
      </c>
      <c r="P1872" t="str">
        <f t="shared" si="642"/>
        <v>P1871</v>
      </c>
      <c r="Q1872" t="str">
        <f t="shared" si="638"/>
        <v>Pulmonology</v>
      </c>
      <c r="R1872">
        <f t="shared" si="639"/>
        <v>15</v>
      </c>
      <c r="S1872" t="str">
        <f t="shared" ca="1" si="643"/>
        <v>No</v>
      </c>
      <c r="T1872" t="str">
        <f t="shared" ca="1" si="644"/>
        <v>Mild</v>
      </c>
      <c r="U1872" t="str">
        <f t="shared" ca="1" si="645"/>
        <v>Semi-Private</v>
      </c>
      <c r="V1872" t="str">
        <f t="shared" si="646"/>
        <v>BED1871</v>
      </c>
      <c r="W1872" t="str">
        <f t="shared" ca="1" si="647"/>
        <v>Semi-Private</v>
      </c>
      <c r="X1872" t="str">
        <f t="shared" si="648"/>
        <v>NUR021</v>
      </c>
      <c r="Y1872" t="str">
        <f t="shared" ca="1" si="649"/>
        <v>Night</v>
      </c>
      <c r="Z1872" t="str">
        <f t="shared" ca="1" si="650"/>
        <v>MRI Scanner</v>
      </c>
      <c r="AA1872" t="str">
        <f t="shared" ca="1" si="651"/>
        <v>Available</v>
      </c>
      <c r="AB1872" t="str">
        <f t="shared" ca="1" si="652"/>
        <v>Partially Paid</v>
      </c>
      <c r="AC1872" t="str">
        <f t="shared" ca="1" si="653"/>
        <v>Insurance</v>
      </c>
      <c r="AD1872" t="str">
        <f t="shared" ca="1" si="654"/>
        <v>No</v>
      </c>
      <c r="AE1872" t="str">
        <f t="shared" ca="1" si="655"/>
        <v>No</v>
      </c>
      <c r="AF1872" t="str">
        <f t="shared" ca="1" si="656"/>
        <v>Under Observation</v>
      </c>
      <c r="AG1872" t="str">
        <f t="shared" ca="1" si="657"/>
        <v>Southwest</v>
      </c>
      <c r="AH1872" t="str">
        <f t="shared" si="640"/>
        <v>August</v>
      </c>
      <c r="AI1872">
        <f t="shared" si="641"/>
        <v>2020</v>
      </c>
      <c r="AJ1872" t="str">
        <f t="shared" ca="1" si="658"/>
        <v>Occupied</v>
      </c>
      <c r="AK1872">
        <f t="shared" ca="1" si="659"/>
        <v>2</v>
      </c>
    </row>
    <row r="1873" spans="1:37" x14ac:dyDescent="0.3">
      <c r="A1873" t="s">
        <v>6247</v>
      </c>
      <c r="B1873">
        <v>78</v>
      </c>
      <c r="C1873" t="s">
        <v>15</v>
      </c>
      <c r="D1873" t="s">
        <v>52</v>
      </c>
      <c r="E1873" t="s">
        <v>25</v>
      </c>
      <c r="F1873" s="1">
        <v>45200</v>
      </c>
      <c r="G1873" t="s">
        <v>3722</v>
      </c>
      <c r="H1873" t="s">
        <v>3723</v>
      </c>
      <c r="I1873" t="s">
        <v>51</v>
      </c>
      <c r="J1873">
        <v>22247</v>
      </c>
      <c r="K1873">
        <v>385</v>
      </c>
      <c r="L1873" t="s">
        <v>21</v>
      </c>
      <c r="M1873" s="1">
        <v>45212</v>
      </c>
      <c r="N1873" t="s">
        <v>47</v>
      </c>
      <c r="O1873" t="s">
        <v>23</v>
      </c>
      <c r="P1873" t="str">
        <f t="shared" si="642"/>
        <v>P1872</v>
      </c>
      <c r="Q1873" t="str">
        <f t="shared" si="638"/>
        <v>Nutrition</v>
      </c>
      <c r="R1873">
        <f t="shared" si="639"/>
        <v>12</v>
      </c>
      <c r="S1873" t="str">
        <f t="shared" ca="1" si="643"/>
        <v>No</v>
      </c>
      <c r="T1873" t="str">
        <f t="shared" ca="1" si="644"/>
        <v>Severe</v>
      </c>
      <c r="U1873" t="str">
        <f t="shared" ca="1" si="645"/>
        <v>ICU</v>
      </c>
      <c r="V1873" t="str">
        <f t="shared" si="646"/>
        <v>BED1872</v>
      </c>
      <c r="W1873" t="str">
        <f t="shared" ca="1" si="647"/>
        <v>Private</v>
      </c>
      <c r="X1873" t="str">
        <f t="shared" si="648"/>
        <v>NUR022</v>
      </c>
      <c r="Y1873" t="str">
        <f t="shared" ca="1" si="649"/>
        <v>Night</v>
      </c>
      <c r="Z1873" t="str">
        <f t="shared" ca="1" si="650"/>
        <v>X-Ray</v>
      </c>
      <c r="AA1873" t="str">
        <f t="shared" ca="1" si="651"/>
        <v>Maintenance</v>
      </c>
      <c r="AB1873" t="str">
        <f t="shared" ca="1" si="652"/>
        <v>Paid</v>
      </c>
      <c r="AC1873" t="str">
        <f t="shared" ca="1" si="653"/>
        <v>Cash</v>
      </c>
      <c r="AD1873" t="str">
        <f t="shared" ca="1" si="654"/>
        <v>No</v>
      </c>
      <c r="AE1873" t="str">
        <f t="shared" ca="1" si="655"/>
        <v>No</v>
      </c>
      <c r="AF1873" t="str">
        <f t="shared" ca="1" si="656"/>
        <v>Recovered</v>
      </c>
      <c r="AG1873" t="str">
        <f t="shared" ca="1" si="657"/>
        <v>West Coast</v>
      </c>
      <c r="AH1873" t="str">
        <f t="shared" si="640"/>
        <v>October</v>
      </c>
      <c r="AI1873">
        <f t="shared" si="641"/>
        <v>2023</v>
      </c>
      <c r="AJ1873" t="str">
        <f t="shared" ca="1" si="658"/>
        <v>Vacant</v>
      </c>
      <c r="AK1873">
        <f t="shared" ca="1" si="659"/>
        <v>4</v>
      </c>
    </row>
    <row r="1874" spans="1:37" x14ac:dyDescent="0.3">
      <c r="A1874" t="s">
        <v>6248</v>
      </c>
      <c r="B1874">
        <v>33</v>
      </c>
      <c r="C1874" t="s">
        <v>32</v>
      </c>
      <c r="D1874" t="s">
        <v>44</v>
      </c>
      <c r="E1874" t="s">
        <v>17</v>
      </c>
      <c r="F1874" s="1">
        <v>44784</v>
      </c>
      <c r="G1874" t="s">
        <v>3724</v>
      </c>
      <c r="H1874" t="s">
        <v>3725</v>
      </c>
      <c r="I1874" t="s">
        <v>20</v>
      </c>
      <c r="J1874">
        <v>37153</v>
      </c>
      <c r="K1874">
        <v>280</v>
      </c>
      <c r="L1874" t="s">
        <v>21</v>
      </c>
      <c r="M1874" s="1">
        <v>44813</v>
      </c>
      <c r="N1874" t="s">
        <v>37</v>
      </c>
      <c r="O1874" t="s">
        <v>43</v>
      </c>
      <c r="P1874" t="str">
        <f t="shared" si="642"/>
        <v>P1873</v>
      </c>
      <c r="Q1874" t="str">
        <f t="shared" si="638"/>
        <v>Oncology</v>
      </c>
      <c r="R1874">
        <f t="shared" si="639"/>
        <v>29</v>
      </c>
      <c r="S1874" t="str">
        <f t="shared" ca="1" si="643"/>
        <v>No</v>
      </c>
      <c r="T1874" t="str">
        <f t="shared" ca="1" si="644"/>
        <v>Mild</v>
      </c>
      <c r="U1874" t="str">
        <f t="shared" ca="1" si="645"/>
        <v>General Ward</v>
      </c>
      <c r="V1874" t="str">
        <f t="shared" si="646"/>
        <v>BED1873</v>
      </c>
      <c r="W1874" t="str">
        <f t="shared" ca="1" si="647"/>
        <v>ICU</v>
      </c>
      <c r="X1874" t="str">
        <f t="shared" si="648"/>
        <v>NUR023</v>
      </c>
      <c r="Y1874" t="str">
        <f t="shared" ca="1" si="649"/>
        <v>Evening</v>
      </c>
      <c r="Z1874" t="str">
        <f t="shared" ca="1" si="650"/>
        <v>ECG Machine</v>
      </c>
      <c r="AA1874" t="str">
        <f t="shared" ca="1" si="651"/>
        <v>Available</v>
      </c>
      <c r="AB1874" t="str">
        <f t="shared" ca="1" si="652"/>
        <v>Paid</v>
      </c>
      <c r="AC1874" t="str">
        <f t="shared" ca="1" si="653"/>
        <v>Debit Card</v>
      </c>
      <c r="AD1874" t="str">
        <f t="shared" ca="1" si="654"/>
        <v>No</v>
      </c>
      <c r="AE1874" t="str">
        <f t="shared" ca="1" si="655"/>
        <v>No</v>
      </c>
      <c r="AF1874" t="str">
        <f t="shared" ca="1" si="656"/>
        <v>Recovered</v>
      </c>
      <c r="AG1874" t="str">
        <f t="shared" ca="1" si="657"/>
        <v>West Coast</v>
      </c>
      <c r="AH1874" t="str">
        <f t="shared" si="640"/>
        <v>August</v>
      </c>
      <c r="AI1874">
        <f t="shared" si="641"/>
        <v>2022</v>
      </c>
      <c r="AJ1874" t="str">
        <f t="shared" ca="1" si="658"/>
        <v>Occupied</v>
      </c>
      <c r="AK1874">
        <f t="shared" ca="1" si="659"/>
        <v>2</v>
      </c>
    </row>
    <row r="1875" spans="1:37" x14ac:dyDescent="0.3">
      <c r="A1875" t="s">
        <v>6249</v>
      </c>
      <c r="B1875">
        <v>43</v>
      </c>
      <c r="C1875" t="s">
        <v>32</v>
      </c>
      <c r="D1875" t="s">
        <v>98</v>
      </c>
      <c r="E1875" t="s">
        <v>48</v>
      </c>
      <c r="F1875" s="1">
        <v>43963</v>
      </c>
      <c r="G1875" t="s">
        <v>3726</v>
      </c>
      <c r="H1875" t="s">
        <v>3727</v>
      </c>
      <c r="I1875" t="s">
        <v>36</v>
      </c>
      <c r="J1875">
        <v>18621</v>
      </c>
      <c r="K1875">
        <v>217</v>
      </c>
      <c r="L1875" t="s">
        <v>21</v>
      </c>
      <c r="M1875" s="1">
        <v>43975</v>
      </c>
      <c r="N1875" t="s">
        <v>67</v>
      </c>
      <c r="O1875" t="s">
        <v>23</v>
      </c>
      <c r="P1875" t="str">
        <f t="shared" si="642"/>
        <v>P1874</v>
      </c>
      <c r="Q1875" t="str">
        <f t="shared" si="638"/>
        <v>Pulmonology</v>
      </c>
      <c r="R1875">
        <f t="shared" si="639"/>
        <v>12</v>
      </c>
      <c r="S1875" t="str">
        <f t="shared" ca="1" si="643"/>
        <v>No</v>
      </c>
      <c r="T1875" t="str">
        <f t="shared" ca="1" si="644"/>
        <v>Moderate</v>
      </c>
      <c r="U1875" t="str">
        <f t="shared" ca="1" si="645"/>
        <v>General Ward</v>
      </c>
      <c r="V1875" t="str">
        <f t="shared" si="646"/>
        <v>BED1874</v>
      </c>
      <c r="W1875" t="str">
        <f t="shared" ca="1" si="647"/>
        <v>General</v>
      </c>
      <c r="X1875" t="str">
        <f t="shared" si="648"/>
        <v>NUR024</v>
      </c>
      <c r="Y1875" t="str">
        <f t="shared" ca="1" si="649"/>
        <v>Morning</v>
      </c>
      <c r="Z1875" t="str">
        <f t="shared" ca="1" si="650"/>
        <v>CT Scanner</v>
      </c>
      <c r="AA1875" t="str">
        <f t="shared" ca="1" si="651"/>
        <v>Available</v>
      </c>
      <c r="AB1875" t="str">
        <f t="shared" ca="1" si="652"/>
        <v>Partially Paid</v>
      </c>
      <c r="AC1875" t="str">
        <f t="shared" ca="1" si="653"/>
        <v>Debit Card</v>
      </c>
      <c r="AD1875" t="str">
        <f t="shared" ca="1" si="654"/>
        <v>Yes</v>
      </c>
      <c r="AE1875" t="str">
        <f t="shared" ca="1" si="655"/>
        <v>No</v>
      </c>
      <c r="AF1875" t="str">
        <f t="shared" ca="1" si="656"/>
        <v>Transferred</v>
      </c>
      <c r="AG1875" t="str">
        <f t="shared" ca="1" si="657"/>
        <v>Midwest</v>
      </c>
      <c r="AH1875" t="str">
        <f t="shared" si="640"/>
        <v>May</v>
      </c>
      <c r="AI1875">
        <f t="shared" si="641"/>
        <v>2020</v>
      </c>
      <c r="AJ1875" t="str">
        <f t="shared" ca="1" si="658"/>
        <v>Occupied</v>
      </c>
      <c r="AK1875">
        <f t="shared" ca="1" si="659"/>
        <v>1</v>
      </c>
    </row>
    <row r="1876" spans="1:37" x14ac:dyDescent="0.3">
      <c r="A1876" t="s">
        <v>6250</v>
      </c>
      <c r="B1876">
        <v>64</v>
      </c>
      <c r="C1876" t="s">
        <v>15</v>
      </c>
      <c r="D1876" t="s">
        <v>52</v>
      </c>
      <c r="E1876" t="s">
        <v>17</v>
      </c>
      <c r="F1876" s="1">
        <v>44001</v>
      </c>
      <c r="G1876" t="s">
        <v>3728</v>
      </c>
      <c r="H1876" t="s">
        <v>364</v>
      </c>
      <c r="I1876" t="s">
        <v>28</v>
      </c>
      <c r="J1876">
        <v>13261</v>
      </c>
      <c r="K1876">
        <v>344</v>
      </c>
      <c r="L1876" t="s">
        <v>21</v>
      </c>
      <c r="M1876" s="1">
        <v>44024</v>
      </c>
      <c r="N1876" t="s">
        <v>37</v>
      </c>
      <c r="O1876" t="s">
        <v>43</v>
      </c>
      <c r="P1876" t="str">
        <f t="shared" si="642"/>
        <v>P1875</v>
      </c>
      <c r="Q1876" t="str">
        <f t="shared" si="638"/>
        <v>Oncology</v>
      </c>
      <c r="R1876">
        <f t="shared" si="639"/>
        <v>23</v>
      </c>
      <c r="S1876" t="str">
        <f t="shared" ca="1" si="643"/>
        <v>No</v>
      </c>
      <c r="T1876" t="str">
        <f t="shared" ca="1" si="644"/>
        <v>Moderate</v>
      </c>
      <c r="U1876" t="str">
        <f t="shared" ca="1" si="645"/>
        <v>Private Ward</v>
      </c>
      <c r="V1876" t="str">
        <f t="shared" si="646"/>
        <v>BED1875</v>
      </c>
      <c r="W1876" t="str">
        <f t="shared" ca="1" si="647"/>
        <v>ICU</v>
      </c>
      <c r="X1876" t="str">
        <f t="shared" si="648"/>
        <v>NUR025</v>
      </c>
      <c r="Y1876" t="str">
        <f t="shared" ca="1" si="649"/>
        <v>Night</v>
      </c>
      <c r="Z1876" t="str">
        <f t="shared" ca="1" si="650"/>
        <v>CT Scanner</v>
      </c>
      <c r="AA1876" t="str">
        <f t="shared" ca="1" si="651"/>
        <v>Available</v>
      </c>
      <c r="AB1876" t="str">
        <f t="shared" ca="1" si="652"/>
        <v>Pending</v>
      </c>
      <c r="AC1876" t="str">
        <f t="shared" ca="1" si="653"/>
        <v>Bank Transfer</v>
      </c>
      <c r="AD1876" t="str">
        <f t="shared" ca="1" si="654"/>
        <v>No</v>
      </c>
      <c r="AE1876" t="str">
        <f t="shared" ca="1" si="655"/>
        <v>No</v>
      </c>
      <c r="AF1876" t="str">
        <f t="shared" ca="1" si="656"/>
        <v>Transferred</v>
      </c>
      <c r="AG1876" t="str">
        <f t="shared" ca="1" si="657"/>
        <v>Southwest</v>
      </c>
      <c r="AH1876" t="str">
        <f t="shared" si="640"/>
        <v>June</v>
      </c>
      <c r="AI1876">
        <f t="shared" si="641"/>
        <v>2020</v>
      </c>
      <c r="AJ1876" t="str">
        <f t="shared" ca="1" si="658"/>
        <v>Occupied</v>
      </c>
      <c r="AK1876">
        <f t="shared" ca="1" si="659"/>
        <v>4</v>
      </c>
    </row>
    <row r="1877" spans="1:37" x14ac:dyDescent="0.3">
      <c r="A1877" t="s">
        <v>6251</v>
      </c>
      <c r="B1877">
        <v>46</v>
      </c>
      <c r="C1877" t="s">
        <v>32</v>
      </c>
      <c r="D1877" t="s">
        <v>24</v>
      </c>
      <c r="E1877" t="s">
        <v>48</v>
      </c>
      <c r="F1877" s="1">
        <v>43719</v>
      </c>
      <c r="G1877" t="s">
        <v>3729</v>
      </c>
      <c r="H1877" t="s">
        <v>3730</v>
      </c>
      <c r="I1877" t="s">
        <v>20</v>
      </c>
      <c r="J1877">
        <v>10648</v>
      </c>
      <c r="K1877">
        <v>483</v>
      </c>
      <c r="L1877" t="s">
        <v>29</v>
      </c>
      <c r="M1877" s="1">
        <v>43726</v>
      </c>
      <c r="N1877" t="s">
        <v>67</v>
      </c>
      <c r="O1877" t="s">
        <v>23</v>
      </c>
      <c r="P1877" t="str">
        <f t="shared" si="642"/>
        <v>P1876</v>
      </c>
      <c r="Q1877" t="str">
        <f t="shared" si="638"/>
        <v>Pulmonology</v>
      </c>
      <c r="R1877">
        <f t="shared" si="639"/>
        <v>7</v>
      </c>
      <c r="S1877" t="str">
        <f t="shared" ca="1" si="643"/>
        <v>No</v>
      </c>
      <c r="T1877" t="str">
        <f t="shared" ca="1" si="644"/>
        <v>Moderate</v>
      </c>
      <c r="U1877" t="str">
        <f t="shared" ca="1" si="645"/>
        <v>Private Ward</v>
      </c>
      <c r="V1877" t="str">
        <f t="shared" si="646"/>
        <v>BED1876</v>
      </c>
      <c r="W1877" t="str">
        <f t="shared" ca="1" si="647"/>
        <v>General</v>
      </c>
      <c r="X1877" t="str">
        <f t="shared" si="648"/>
        <v>NUR026</v>
      </c>
      <c r="Y1877" t="str">
        <f t="shared" ca="1" si="649"/>
        <v>Evening</v>
      </c>
      <c r="Z1877" t="str">
        <f t="shared" ca="1" si="650"/>
        <v>MRI Scanner</v>
      </c>
      <c r="AA1877" t="str">
        <f t="shared" ca="1" si="651"/>
        <v>In Use</v>
      </c>
      <c r="AB1877" t="str">
        <f t="shared" ca="1" si="652"/>
        <v>Partially Paid</v>
      </c>
      <c r="AC1877" t="str">
        <f t="shared" ca="1" si="653"/>
        <v>Debit Card</v>
      </c>
      <c r="AD1877" t="str">
        <f t="shared" ca="1" si="654"/>
        <v>No</v>
      </c>
      <c r="AE1877" t="str">
        <f t="shared" ca="1" si="655"/>
        <v>No</v>
      </c>
      <c r="AF1877" t="str">
        <f t="shared" ca="1" si="656"/>
        <v>Recovered</v>
      </c>
      <c r="AG1877" t="str">
        <f t="shared" ca="1" si="657"/>
        <v>Midwest</v>
      </c>
      <c r="AH1877" t="str">
        <f t="shared" si="640"/>
        <v>September</v>
      </c>
      <c r="AI1877">
        <f t="shared" si="641"/>
        <v>2019</v>
      </c>
      <c r="AJ1877" t="str">
        <f t="shared" ca="1" si="658"/>
        <v>Occupied</v>
      </c>
      <c r="AK1877">
        <f t="shared" ca="1" si="659"/>
        <v>4</v>
      </c>
    </row>
    <row r="1878" spans="1:37" x14ac:dyDescent="0.3">
      <c r="A1878" t="s">
        <v>6252</v>
      </c>
      <c r="B1878">
        <v>33</v>
      </c>
      <c r="C1878" t="s">
        <v>32</v>
      </c>
      <c r="D1878" t="s">
        <v>38</v>
      </c>
      <c r="E1878" t="s">
        <v>48</v>
      </c>
      <c r="F1878" s="1">
        <v>44576</v>
      </c>
      <c r="G1878" t="s">
        <v>3731</v>
      </c>
      <c r="H1878" t="s">
        <v>3732</v>
      </c>
      <c r="I1878" t="s">
        <v>51</v>
      </c>
      <c r="J1878">
        <v>37629</v>
      </c>
      <c r="K1878">
        <v>387</v>
      </c>
      <c r="L1878" t="s">
        <v>29</v>
      </c>
      <c r="M1878" s="1">
        <v>44595</v>
      </c>
      <c r="N1878" t="s">
        <v>37</v>
      </c>
      <c r="O1878" t="s">
        <v>31</v>
      </c>
      <c r="P1878" t="str">
        <f t="shared" si="642"/>
        <v>P1877</v>
      </c>
      <c r="Q1878" t="str">
        <f t="shared" si="638"/>
        <v>Pulmonology</v>
      </c>
      <c r="R1878">
        <f t="shared" si="639"/>
        <v>19</v>
      </c>
      <c r="S1878" t="str">
        <f t="shared" ca="1" si="643"/>
        <v>No</v>
      </c>
      <c r="T1878" t="str">
        <f t="shared" ca="1" si="644"/>
        <v>Critical</v>
      </c>
      <c r="U1878" t="str">
        <f t="shared" ca="1" si="645"/>
        <v>Private Ward</v>
      </c>
      <c r="V1878" t="str">
        <f t="shared" si="646"/>
        <v>BED1877</v>
      </c>
      <c r="W1878" t="str">
        <f t="shared" ca="1" si="647"/>
        <v>Private</v>
      </c>
      <c r="X1878" t="str">
        <f t="shared" si="648"/>
        <v>NUR027</v>
      </c>
      <c r="Y1878" t="str">
        <f t="shared" ca="1" si="649"/>
        <v>Evening</v>
      </c>
      <c r="Z1878" t="str">
        <f t="shared" ca="1" si="650"/>
        <v>ECG Machine</v>
      </c>
      <c r="AA1878" t="str">
        <f t="shared" ca="1" si="651"/>
        <v>Maintenance</v>
      </c>
      <c r="AB1878" t="str">
        <f t="shared" ca="1" si="652"/>
        <v>Pending</v>
      </c>
      <c r="AC1878" t="str">
        <f t="shared" ca="1" si="653"/>
        <v>Cash</v>
      </c>
      <c r="AD1878" t="str">
        <f t="shared" ca="1" si="654"/>
        <v>No</v>
      </c>
      <c r="AE1878" t="str">
        <f t="shared" ca="1" si="655"/>
        <v>No</v>
      </c>
      <c r="AF1878" t="str">
        <f t="shared" ca="1" si="656"/>
        <v>Under Observation</v>
      </c>
      <c r="AG1878" t="str">
        <f t="shared" ca="1" si="657"/>
        <v>Northeast</v>
      </c>
      <c r="AH1878" t="str">
        <f t="shared" si="640"/>
        <v>January</v>
      </c>
      <c r="AI1878">
        <f t="shared" si="641"/>
        <v>2022</v>
      </c>
      <c r="AJ1878" t="str">
        <f t="shared" ca="1" si="658"/>
        <v>Occupied</v>
      </c>
      <c r="AK1878">
        <f t="shared" ca="1" si="659"/>
        <v>2</v>
      </c>
    </row>
    <row r="1879" spans="1:37" x14ac:dyDescent="0.3">
      <c r="A1879" t="s">
        <v>6253</v>
      </c>
      <c r="B1879">
        <v>19</v>
      </c>
      <c r="C1879" t="s">
        <v>32</v>
      </c>
      <c r="D1879" t="s">
        <v>33</v>
      </c>
      <c r="E1879" t="s">
        <v>39</v>
      </c>
      <c r="F1879" s="1">
        <v>44649</v>
      </c>
      <c r="G1879" t="s">
        <v>3733</v>
      </c>
      <c r="H1879" t="s">
        <v>3734</v>
      </c>
      <c r="I1879" t="s">
        <v>28</v>
      </c>
      <c r="J1879">
        <v>34092</v>
      </c>
      <c r="K1879">
        <v>358</v>
      </c>
      <c r="L1879" t="s">
        <v>21</v>
      </c>
      <c r="M1879" s="1">
        <v>44661</v>
      </c>
      <c r="N1879" t="s">
        <v>37</v>
      </c>
      <c r="O1879" t="s">
        <v>31</v>
      </c>
      <c r="P1879" t="str">
        <f t="shared" si="642"/>
        <v>P1878</v>
      </c>
      <c r="Q1879" t="str">
        <f t="shared" si="638"/>
        <v>Endocrinology</v>
      </c>
      <c r="R1879">
        <f t="shared" si="639"/>
        <v>12</v>
      </c>
      <c r="S1879" t="str">
        <f t="shared" ca="1" si="643"/>
        <v>No</v>
      </c>
      <c r="T1879" t="str">
        <f t="shared" ca="1" si="644"/>
        <v>Moderate</v>
      </c>
      <c r="U1879" t="str">
        <f t="shared" ca="1" si="645"/>
        <v>Emergency</v>
      </c>
      <c r="V1879" t="str">
        <f t="shared" si="646"/>
        <v>BED1878</v>
      </c>
      <c r="W1879" t="str">
        <f t="shared" ca="1" si="647"/>
        <v>Private</v>
      </c>
      <c r="X1879" t="str">
        <f t="shared" si="648"/>
        <v>NUR028</v>
      </c>
      <c r="Y1879" t="str">
        <f t="shared" ca="1" si="649"/>
        <v>Night</v>
      </c>
      <c r="Z1879" t="str">
        <f t="shared" ca="1" si="650"/>
        <v>MRI Scanner</v>
      </c>
      <c r="AA1879" t="str">
        <f t="shared" ca="1" si="651"/>
        <v>Maintenance</v>
      </c>
      <c r="AB1879" t="str">
        <f t="shared" ca="1" si="652"/>
        <v>Paid</v>
      </c>
      <c r="AC1879" t="str">
        <f t="shared" ca="1" si="653"/>
        <v>Bank Transfer</v>
      </c>
      <c r="AD1879" t="str">
        <f t="shared" ca="1" si="654"/>
        <v>Yes</v>
      </c>
      <c r="AE1879" t="str">
        <f t="shared" ca="1" si="655"/>
        <v>No</v>
      </c>
      <c r="AF1879" t="str">
        <f t="shared" ca="1" si="656"/>
        <v>Recovered</v>
      </c>
      <c r="AG1879" t="str">
        <f t="shared" ca="1" si="657"/>
        <v>Midwest</v>
      </c>
      <c r="AH1879" t="str">
        <f t="shared" si="640"/>
        <v>March</v>
      </c>
      <c r="AI1879">
        <f t="shared" si="641"/>
        <v>2022</v>
      </c>
      <c r="AJ1879" t="str">
        <f t="shared" ca="1" si="658"/>
        <v>Occupied</v>
      </c>
      <c r="AK1879">
        <f t="shared" ca="1" si="659"/>
        <v>4</v>
      </c>
    </row>
    <row r="1880" spans="1:37" x14ac:dyDescent="0.3">
      <c r="A1880" t="s">
        <v>6254</v>
      </c>
      <c r="B1880">
        <v>64</v>
      </c>
      <c r="C1880" t="s">
        <v>15</v>
      </c>
      <c r="D1880" t="s">
        <v>98</v>
      </c>
      <c r="E1880" t="s">
        <v>39</v>
      </c>
      <c r="F1880" s="1">
        <v>43773</v>
      </c>
      <c r="G1880" t="s">
        <v>3735</v>
      </c>
      <c r="H1880" t="s">
        <v>3736</v>
      </c>
      <c r="I1880" t="s">
        <v>28</v>
      </c>
      <c r="J1880">
        <v>10768</v>
      </c>
      <c r="K1880">
        <v>316</v>
      </c>
      <c r="L1880" t="s">
        <v>29</v>
      </c>
      <c r="M1880" s="1">
        <v>43795</v>
      </c>
      <c r="N1880" t="s">
        <v>30</v>
      </c>
      <c r="O1880" t="s">
        <v>43</v>
      </c>
      <c r="P1880" t="str">
        <f t="shared" si="642"/>
        <v>P1879</v>
      </c>
      <c r="Q1880" t="str">
        <f t="shared" si="638"/>
        <v>Endocrinology</v>
      </c>
      <c r="R1880">
        <f t="shared" si="639"/>
        <v>22</v>
      </c>
      <c r="S1880" t="str">
        <f t="shared" ca="1" si="643"/>
        <v>Yes</v>
      </c>
      <c r="T1880" t="str">
        <f t="shared" ca="1" si="644"/>
        <v>Moderate</v>
      </c>
      <c r="U1880" t="str">
        <f t="shared" ca="1" si="645"/>
        <v>ICU</v>
      </c>
      <c r="V1880" t="str">
        <f t="shared" si="646"/>
        <v>BED1879</v>
      </c>
      <c r="W1880" t="str">
        <f t="shared" ca="1" si="647"/>
        <v>Semi-Private</v>
      </c>
      <c r="X1880" t="str">
        <f t="shared" si="648"/>
        <v>NUR029</v>
      </c>
      <c r="Y1880" t="str">
        <f t="shared" ca="1" si="649"/>
        <v>Morning</v>
      </c>
      <c r="Z1880" t="str">
        <f t="shared" ca="1" si="650"/>
        <v>Ultrasound</v>
      </c>
      <c r="AA1880" t="str">
        <f t="shared" ca="1" si="651"/>
        <v>Available</v>
      </c>
      <c r="AB1880" t="str">
        <f t="shared" ca="1" si="652"/>
        <v>Partially Paid</v>
      </c>
      <c r="AC1880" t="str">
        <f t="shared" ca="1" si="653"/>
        <v>Cash</v>
      </c>
      <c r="AD1880" t="str">
        <f t="shared" ca="1" si="654"/>
        <v>Yes</v>
      </c>
      <c r="AE1880" t="str">
        <f t="shared" ca="1" si="655"/>
        <v>No</v>
      </c>
      <c r="AF1880" t="str">
        <f t="shared" ca="1" si="656"/>
        <v>Recovered</v>
      </c>
      <c r="AG1880" t="str">
        <f t="shared" ca="1" si="657"/>
        <v>Midwest</v>
      </c>
      <c r="AH1880" t="str">
        <f t="shared" si="640"/>
        <v>November</v>
      </c>
      <c r="AI1880">
        <f t="shared" si="641"/>
        <v>2019</v>
      </c>
      <c r="AJ1880" t="str">
        <f t="shared" ca="1" si="658"/>
        <v>Occupied</v>
      </c>
      <c r="AK1880">
        <f t="shared" ca="1" si="659"/>
        <v>4</v>
      </c>
    </row>
    <row r="1881" spans="1:37" x14ac:dyDescent="0.3">
      <c r="A1881" t="s">
        <v>6255</v>
      </c>
      <c r="B1881">
        <v>34</v>
      </c>
      <c r="C1881" t="s">
        <v>15</v>
      </c>
      <c r="D1881" t="s">
        <v>24</v>
      </c>
      <c r="E1881" t="s">
        <v>48</v>
      </c>
      <c r="F1881" s="1">
        <v>44862</v>
      </c>
      <c r="G1881" t="s">
        <v>3737</v>
      </c>
      <c r="H1881" t="s">
        <v>3738</v>
      </c>
      <c r="I1881" t="s">
        <v>57</v>
      </c>
      <c r="J1881">
        <v>44076</v>
      </c>
      <c r="K1881">
        <v>209</v>
      </c>
      <c r="L1881" t="s">
        <v>29</v>
      </c>
      <c r="M1881" s="1">
        <v>44868</v>
      </c>
      <c r="N1881" t="s">
        <v>67</v>
      </c>
      <c r="O1881" t="s">
        <v>31</v>
      </c>
      <c r="P1881" t="str">
        <f t="shared" si="642"/>
        <v>P1880</v>
      </c>
      <c r="Q1881" t="str">
        <f t="shared" si="638"/>
        <v>Pulmonology</v>
      </c>
      <c r="R1881">
        <f t="shared" si="639"/>
        <v>6</v>
      </c>
      <c r="S1881" t="str">
        <f t="shared" ca="1" si="643"/>
        <v>Yes</v>
      </c>
      <c r="T1881" t="str">
        <f t="shared" ca="1" si="644"/>
        <v>Critical</v>
      </c>
      <c r="U1881" t="str">
        <f t="shared" ca="1" si="645"/>
        <v>ICU</v>
      </c>
      <c r="V1881" t="str">
        <f t="shared" si="646"/>
        <v>BED1880</v>
      </c>
      <c r="W1881" t="str">
        <f t="shared" ca="1" si="647"/>
        <v>Semi-Private</v>
      </c>
      <c r="X1881" t="str">
        <f t="shared" si="648"/>
        <v>NUR030</v>
      </c>
      <c r="Y1881" t="str">
        <f t="shared" ca="1" si="649"/>
        <v>Morning</v>
      </c>
      <c r="Z1881" t="str">
        <f t="shared" ca="1" si="650"/>
        <v>Ventilator</v>
      </c>
      <c r="AA1881" t="str">
        <f t="shared" ca="1" si="651"/>
        <v>In Use</v>
      </c>
      <c r="AB1881" t="str">
        <f t="shared" ca="1" si="652"/>
        <v>Paid</v>
      </c>
      <c r="AC1881" t="str">
        <f t="shared" ca="1" si="653"/>
        <v>Insurance</v>
      </c>
      <c r="AD1881" t="str">
        <f t="shared" ca="1" si="654"/>
        <v>No</v>
      </c>
      <c r="AE1881" t="str">
        <f t="shared" ca="1" si="655"/>
        <v>No</v>
      </c>
      <c r="AF1881" t="str">
        <f t="shared" ca="1" si="656"/>
        <v>Under Observation</v>
      </c>
      <c r="AG1881" t="str">
        <f t="shared" ca="1" si="657"/>
        <v>Midwest</v>
      </c>
      <c r="AH1881" t="str">
        <f t="shared" si="640"/>
        <v>October</v>
      </c>
      <c r="AI1881">
        <f t="shared" si="641"/>
        <v>2022</v>
      </c>
      <c r="AJ1881" t="str">
        <f t="shared" ca="1" si="658"/>
        <v>Occupied</v>
      </c>
      <c r="AK1881">
        <f t="shared" ca="1" si="659"/>
        <v>4</v>
      </c>
    </row>
    <row r="1882" spans="1:37" x14ac:dyDescent="0.3">
      <c r="A1882" t="s">
        <v>6256</v>
      </c>
      <c r="B1882">
        <v>30</v>
      </c>
      <c r="C1882" t="s">
        <v>15</v>
      </c>
      <c r="D1882" t="s">
        <v>16</v>
      </c>
      <c r="E1882" t="s">
        <v>25</v>
      </c>
      <c r="F1882" s="1">
        <v>45063</v>
      </c>
      <c r="G1882" t="s">
        <v>3739</v>
      </c>
      <c r="H1882" t="s">
        <v>3740</v>
      </c>
      <c r="I1882" t="s">
        <v>20</v>
      </c>
      <c r="J1882">
        <v>15170</v>
      </c>
      <c r="K1882">
        <v>299</v>
      </c>
      <c r="L1882" t="s">
        <v>29</v>
      </c>
      <c r="M1882" s="1">
        <v>45085</v>
      </c>
      <c r="N1882" t="s">
        <v>47</v>
      </c>
      <c r="O1882" t="s">
        <v>43</v>
      </c>
      <c r="P1882" t="str">
        <f t="shared" si="642"/>
        <v>P1881</v>
      </c>
      <c r="Q1882" t="str">
        <f t="shared" si="638"/>
        <v>Nutrition</v>
      </c>
      <c r="R1882">
        <f t="shared" si="639"/>
        <v>22</v>
      </c>
      <c r="S1882" t="str">
        <f t="shared" ca="1" si="643"/>
        <v>No</v>
      </c>
      <c r="T1882" t="str">
        <f t="shared" ca="1" si="644"/>
        <v>Mild</v>
      </c>
      <c r="U1882" t="str">
        <f t="shared" ca="1" si="645"/>
        <v>General Ward</v>
      </c>
      <c r="V1882" t="str">
        <f t="shared" si="646"/>
        <v>BED1881</v>
      </c>
      <c r="W1882" t="str">
        <f t="shared" ca="1" si="647"/>
        <v>Semi-Private</v>
      </c>
      <c r="X1882" t="str">
        <f t="shared" si="648"/>
        <v>NUR031</v>
      </c>
      <c r="Y1882" t="str">
        <f t="shared" ca="1" si="649"/>
        <v>Morning</v>
      </c>
      <c r="Z1882" t="str">
        <f t="shared" ca="1" si="650"/>
        <v>ECG Machine</v>
      </c>
      <c r="AA1882" t="str">
        <f t="shared" ca="1" si="651"/>
        <v>Maintenance</v>
      </c>
      <c r="AB1882" t="str">
        <f t="shared" ca="1" si="652"/>
        <v>Paid</v>
      </c>
      <c r="AC1882" t="str">
        <f t="shared" ca="1" si="653"/>
        <v>Insurance</v>
      </c>
      <c r="AD1882" t="str">
        <f t="shared" ca="1" si="654"/>
        <v>No</v>
      </c>
      <c r="AE1882" t="str">
        <f t="shared" ca="1" si="655"/>
        <v>No</v>
      </c>
      <c r="AF1882" t="str">
        <f t="shared" ca="1" si="656"/>
        <v>Recovered</v>
      </c>
      <c r="AG1882" t="str">
        <f t="shared" ca="1" si="657"/>
        <v>Southeast</v>
      </c>
      <c r="AH1882" t="str">
        <f t="shared" si="640"/>
        <v>May</v>
      </c>
      <c r="AI1882">
        <f t="shared" si="641"/>
        <v>2023</v>
      </c>
      <c r="AJ1882" t="str">
        <f t="shared" ca="1" si="658"/>
        <v>Occupied</v>
      </c>
      <c r="AK1882">
        <f t="shared" ca="1" si="659"/>
        <v>1</v>
      </c>
    </row>
    <row r="1883" spans="1:37" x14ac:dyDescent="0.3">
      <c r="A1883" t="s">
        <v>6257</v>
      </c>
      <c r="B1883">
        <v>65</v>
      </c>
      <c r="C1883" t="s">
        <v>15</v>
      </c>
      <c r="D1883" t="s">
        <v>16</v>
      </c>
      <c r="E1883" t="s">
        <v>48</v>
      </c>
      <c r="F1883" s="1">
        <v>44210</v>
      </c>
      <c r="G1883" t="s">
        <v>2857</v>
      </c>
      <c r="H1883" t="s">
        <v>2143</v>
      </c>
      <c r="I1883" t="s">
        <v>57</v>
      </c>
      <c r="J1883">
        <v>7703</v>
      </c>
      <c r="K1883">
        <v>487</v>
      </c>
      <c r="L1883" t="s">
        <v>42</v>
      </c>
      <c r="M1883" s="1">
        <v>44236</v>
      </c>
      <c r="N1883" t="s">
        <v>67</v>
      </c>
      <c r="O1883" t="s">
        <v>31</v>
      </c>
      <c r="P1883" t="str">
        <f t="shared" si="642"/>
        <v>P1882</v>
      </c>
      <c r="Q1883" t="str">
        <f t="shared" si="638"/>
        <v>Pulmonology</v>
      </c>
      <c r="R1883">
        <f t="shared" si="639"/>
        <v>26</v>
      </c>
      <c r="S1883" t="str">
        <f t="shared" ca="1" si="643"/>
        <v>No</v>
      </c>
      <c r="T1883" t="str">
        <f t="shared" ca="1" si="644"/>
        <v>Mild</v>
      </c>
      <c r="U1883" t="str">
        <f t="shared" ca="1" si="645"/>
        <v>Semi-Private</v>
      </c>
      <c r="V1883" t="str">
        <f t="shared" si="646"/>
        <v>BED1882</v>
      </c>
      <c r="W1883" t="str">
        <f t="shared" ca="1" si="647"/>
        <v>Private</v>
      </c>
      <c r="X1883" t="str">
        <f t="shared" si="648"/>
        <v>NUR032</v>
      </c>
      <c r="Y1883" t="str">
        <f t="shared" ca="1" si="649"/>
        <v>Evening</v>
      </c>
      <c r="Z1883" t="str">
        <f t="shared" ca="1" si="650"/>
        <v>X-Ray</v>
      </c>
      <c r="AA1883" t="str">
        <f t="shared" ca="1" si="651"/>
        <v>Maintenance</v>
      </c>
      <c r="AB1883" t="str">
        <f t="shared" ca="1" si="652"/>
        <v>Pending</v>
      </c>
      <c r="AC1883" t="str">
        <f t="shared" ca="1" si="653"/>
        <v>Insurance</v>
      </c>
      <c r="AD1883" t="str">
        <f t="shared" ca="1" si="654"/>
        <v>Yes</v>
      </c>
      <c r="AE1883" t="str">
        <f t="shared" ca="1" si="655"/>
        <v>No</v>
      </c>
      <c r="AF1883" t="str">
        <f t="shared" ca="1" si="656"/>
        <v>Recovered</v>
      </c>
      <c r="AG1883" t="str">
        <f t="shared" ca="1" si="657"/>
        <v>Southwest</v>
      </c>
      <c r="AH1883" t="str">
        <f t="shared" si="640"/>
        <v>January</v>
      </c>
      <c r="AI1883">
        <f t="shared" si="641"/>
        <v>2021</v>
      </c>
      <c r="AJ1883" t="str">
        <f t="shared" ca="1" si="658"/>
        <v>Vacant</v>
      </c>
      <c r="AK1883">
        <f t="shared" ca="1" si="659"/>
        <v>4</v>
      </c>
    </row>
    <row r="1884" spans="1:37" x14ac:dyDescent="0.3">
      <c r="A1884" t="s">
        <v>6258</v>
      </c>
      <c r="B1884">
        <v>66</v>
      </c>
      <c r="C1884" t="s">
        <v>15</v>
      </c>
      <c r="D1884" t="s">
        <v>83</v>
      </c>
      <c r="E1884" t="s">
        <v>76</v>
      </c>
      <c r="F1884" s="1">
        <v>44925</v>
      </c>
      <c r="G1884" t="s">
        <v>3741</v>
      </c>
      <c r="H1884" t="s">
        <v>3742</v>
      </c>
      <c r="I1884" t="s">
        <v>20</v>
      </c>
      <c r="J1884">
        <v>24768</v>
      </c>
      <c r="K1884">
        <v>310</v>
      </c>
      <c r="L1884" t="s">
        <v>29</v>
      </c>
      <c r="M1884" s="1">
        <v>44941</v>
      </c>
      <c r="N1884" t="s">
        <v>22</v>
      </c>
      <c r="O1884" t="s">
        <v>31</v>
      </c>
      <c r="P1884" t="str">
        <f t="shared" si="642"/>
        <v>P1883</v>
      </c>
      <c r="Q1884" t="str">
        <f t="shared" si="638"/>
        <v>Orthopedics</v>
      </c>
      <c r="R1884">
        <f t="shared" si="639"/>
        <v>16</v>
      </c>
      <c r="S1884" t="str">
        <f t="shared" ca="1" si="643"/>
        <v>No</v>
      </c>
      <c r="T1884" t="str">
        <f t="shared" ca="1" si="644"/>
        <v>Severe</v>
      </c>
      <c r="U1884" t="str">
        <f t="shared" ca="1" si="645"/>
        <v>ICU</v>
      </c>
      <c r="V1884" t="str">
        <f t="shared" si="646"/>
        <v>BED1883</v>
      </c>
      <c r="W1884" t="str">
        <f t="shared" ca="1" si="647"/>
        <v>Semi-Private</v>
      </c>
      <c r="X1884" t="str">
        <f t="shared" si="648"/>
        <v>NUR033</v>
      </c>
      <c r="Y1884" t="str">
        <f t="shared" ca="1" si="649"/>
        <v>Evening</v>
      </c>
      <c r="Z1884" t="str">
        <f t="shared" ca="1" si="650"/>
        <v>Ventilator</v>
      </c>
      <c r="AA1884" t="str">
        <f t="shared" ca="1" si="651"/>
        <v>Available</v>
      </c>
      <c r="AB1884" t="str">
        <f t="shared" ca="1" si="652"/>
        <v>Paid</v>
      </c>
      <c r="AC1884" t="str">
        <f t="shared" ca="1" si="653"/>
        <v>Credit Card</v>
      </c>
      <c r="AD1884" t="str">
        <f t="shared" ca="1" si="654"/>
        <v>No</v>
      </c>
      <c r="AE1884" t="str">
        <f t="shared" ca="1" si="655"/>
        <v>No</v>
      </c>
      <c r="AF1884" t="str">
        <f t="shared" ca="1" si="656"/>
        <v>Under Observation</v>
      </c>
      <c r="AG1884" t="str">
        <f t="shared" ca="1" si="657"/>
        <v>Southwest</v>
      </c>
      <c r="AH1884" t="str">
        <f t="shared" si="640"/>
        <v>December</v>
      </c>
      <c r="AI1884">
        <f t="shared" si="641"/>
        <v>2022</v>
      </c>
      <c r="AJ1884" t="str">
        <f t="shared" ca="1" si="658"/>
        <v>Occupied</v>
      </c>
      <c r="AK1884">
        <f t="shared" ca="1" si="659"/>
        <v>2</v>
      </c>
    </row>
    <row r="1885" spans="1:37" x14ac:dyDescent="0.3">
      <c r="A1885" t="s">
        <v>6259</v>
      </c>
      <c r="B1885">
        <v>43</v>
      </c>
      <c r="C1885" t="s">
        <v>32</v>
      </c>
      <c r="D1885" t="s">
        <v>33</v>
      </c>
      <c r="E1885" t="s">
        <v>64</v>
      </c>
      <c r="F1885" s="1">
        <v>44482</v>
      </c>
      <c r="G1885" t="s">
        <v>3743</v>
      </c>
      <c r="H1885" t="s">
        <v>3744</v>
      </c>
      <c r="I1885" t="s">
        <v>57</v>
      </c>
      <c r="J1885">
        <v>672</v>
      </c>
      <c r="K1885">
        <v>310</v>
      </c>
      <c r="L1885" t="s">
        <v>21</v>
      </c>
      <c r="M1885" s="1">
        <v>44486</v>
      </c>
      <c r="N1885" t="s">
        <v>37</v>
      </c>
      <c r="O1885" t="s">
        <v>31</v>
      </c>
      <c r="P1885" t="str">
        <f t="shared" si="642"/>
        <v>P1884</v>
      </c>
      <c r="Q1885" t="str">
        <f t="shared" si="638"/>
        <v>Cardiology</v>
      </c>
      <c r="R1885">
        <f t="shared" si="639"/>
        <v>4</v>
      </c>
      <c r="S1885" t="str">
        <f t="shared" ca="1" si="643"/>
        <v>No</v>
      </c>
      <c r="T1885" t="str">
        <f t="shared" ca="1" si="644"/>
        <v>Critical</v>
      </c>
      <c r="U1885" t="str">
        <f t="shared" ca="1" si="645"/>
        <v>Private Ward</v>
      </c>
      <c r="V1885" t="str">
        <f t="shared" si="646"/>
        <v>BED1884</v>
      </c>
      <c r="W1885" t="str">
        <f t="shared" ca="1" si="647"/>
        <v>Private</v>
      </c>
      <c r="X1885" t="str">
        <f t="shared" si="648"/>
        <v>NUR034</v>
      </c>
      <c r="Y1885" t="str">
        <f t="shared" ca="1" si="649"/>
        <v>Evening</v>
      </c>
      <c r="Z1885" t="str">
        <f t="shared" ca="1" si="650"/>
        <v>X-Ray</v>
      </c>
      <c r="AA1885" t="str">
        <f t="shared" ca="1" si="651"/>
        <v>In Use</v>
      </c>
      <c r="AB1885" t="str">
        <f t="shared" ca="1" si="652"/>
        <v>Pending</v>
      </c>
      <c r="AC1885" t="str">
        <f t="shared" ca="1" si="653"/>
        <v>Debit Card</v>
      </c>
      <c r="AD1885" t="str">
        <f t="shared" ca="1" si="654"/>
        <v>No</v>
      </c>
      <c r="AE1885" t="str">
        <f t="shared" ca="1" si="655"/>
        <v>No</v>
      </c>
      <c r="AF1885" t="str">
        <f t="shared" ca="1" si="656"/>
        <v>Under Observation</v>
      </c>
      <c r="AG1885" t="str">
        <f t="shared" ca="1" si="657"/>
        <v>Northeast</v>
      </c>
      <c r="AH1885" t="str">
        <f t="shared" si="640"/>
        <v>October</v>
      </c>
      <c r="AI1885">
        <f t="shared" si="641"/>
        <v>2021</v>
      </c>
      <c r="AJ1885" t="str">
        <f t="shared" ca="1" si="658"/>
        <v>Occupied</v>
      </c>
      <c r="AK1885">
        <f t="shared" ca="1" si="659"/>
        <v>4</v>
      </c>
    </row>
    <row r="1886" spans="1:37" x14ac:dyDescent="0.3">
      <c r="A1886" t="s">
        <v>6260</v>
      </c>
      <c r="B1886">
        <v>37</v>
      </c>
      <c r="C1886" t="s">
        <v>32</v>
      </c>
      <c r="D1886" t="s">
        <v>52</v>
      </c>
      <c r="E1886" t="s">
        <v>64</v>
      </c>
      <c r="F1886" s="1">
        <v>44226</v>
      </c>
      <c r="G1886" t="s">
        <v>3745</v>
      </c>
      <c r="H1886" t="s">
        <v>3746</v>
      </c>
      <c r="I1886" t="s">
        <v>28</v>
      </c>
      <c r="J1886">
        <v>49553</v>
      </c>
      <c r="K1886">
        <v>206</v>
      </c>
      <c r="L1886" t="s">
        <v>29</v>
      </c>
      <c r="M1886" s="1">
        <v>44227</v>
      </c>
      <c r="N1886" t="s">
        <v>37</v>
      </c>
      <c r="O1886" t="s">
        <v>23</v>
      </c>
      <c r="P1886" t="str">
        <f t="shared" si="642"/>
        <v>P1885</v>
      </c>
      <c r="Q1886" t="str">
        <f t="shared" si="638"/>
        <v>Cardiology</v>
      </c>
      <c r="R1886">
        <f t="shared" si="639"/>
        <v>1</v>
      </c>
      <c r="S1886" t="str">
        <f t="shared" ca="1" si="643"/>
        <v>No</v>
      </c>
      <c r="T1886" t="str">
        <f t="shared" ca="1" si="644"/>
        <v>Mild</v>
      </c>
      <c r="U1886" t="str">
        <f t="shared" ca="1" si="645"/>
        <v>Semi-Private</v>
      </c>
      <c r="V1886" t="str">
        <f t="shared" si="646"/>
        <v>BED1885</v>
      </c>
      <c r="W1886" t="str">
        <f t="shared" ca="1" si="647"/>
        <v>Semi-Private</v>
      </c>
      <c r="X1886" t="str">
        <f t="shared" si="648"/>
        <v>NUR035</v>
      </c>
      <c r="Y1886" t="str">
        <f t="shared" ca="1" si="649"/>
        <v>Evening</v>
      </c>
      <c r="Z1886" t="str">
        <f t="shared" ca="1" si="650"/>
        <v>Ventilator</v>
      </c>
      <c r="AA1886" t="str">
        <f t="shared" ca="1" si="651"/>
        <v>Maintenance</v>
      </c>
      <c r="AB1886" t="str">
        <f t="shared" ca="1" si="652"/>
        <v>Partially Paid</v>
      </c>
      <c r="AC1886" t="str">
        <f t="shared" ca="1" si="653"/>
        <v>Debit Card</v>
      </c>
      <c r="AD1886" t="str">
        <f t="shared" ca="1" si="654"/>
        <v>No</v>
      </c>
      <c r="AE1886" t="str">
        <f t="shared" ca="1" si="655"/>
        <v>No</v>
      </c>
      <c r="AF1886" t="str">
        <f t="shared" ca="1" si="656"/>
        <v>Recovered</v>
      </c>
      <c r="AG1886" t="str">
        <f t="shared" ca="1" si="657"/>
        <v>West Coast</v>
      </c>
      <c r="AH1886" t="str">
        <f t="shared" si="640"/>
        <v>January</v>
      </c>
      <c r="AI1886">
        <f t="shared" si="641"/>
        <v>2021</v>
      </c>
      <c r="AJ1886" t="str">
        <f t="shared" ca="1" si="658"/>
        <v>Occupied</v>
      </c>
      <c r="AK1886">
        <f t="shared" ca="1" si="659"/>
        <v>2</v>
      </c>
    </row>
    <row r="1887" spans="1:37" x14ac:dyDescent="0.3">
      <c r="A1887" t="s">
        <v>6261</v>
      </c>
      <c r="B1887">
        <v>30</v>
      </c>
      <c r="C1887" t="s">
        <v>15</v>
      </c>
      <c r="D1887" t="s">
        <v>38</v>
      </c>
      <c r="E1887" t="s">
        <v>64</v>
      </c>
      <c r="F1887" s="1">
        <v>44368</v>
      </c>
      <c r="G1887" t="s">
        <v>3747</v>
      </c>
      <c r="H1887" t="s">
        <v>3748</v>
      </c>
      <c r="I1887" t="s">
        <v>51</v>
      </c>
      <c r="J1887">
        <v>28036</v>
      </c>
      <c r="K1887">
        <v>379</v>
      </c>
      <c r="L1887" t="s">
        <v>29</v>
      </c>
      <c r="M1887" s="1">
        <v>44396</v>
      </c>
      <c r="N1887" t="s">
        <v>47</v>
      </c>
      <c r="O1887" t="s">
        <v>23</v>
      </c>
      <c r="P1887" t="str">
        <f t="shared" si="642"/>
        <v>P1886</v>
      </c>
      <c r="Q1887" t="str">
        <f t="shared" si="638"/>
        <v>Cardiology</v>
      </c>
      <c r="R1887">
        <f t="shared" si="639"/>
        <v>28</v>
      </c>
      <c r="S1887" t="str">
        <f t="shared" ca="1" si="643"/>
        <v>No</v>
      </c>
      <c r="T1887" t="str">
        <f t="shared" ca="1" si="644"/>
        <v>Moderate</v>
      </c>
      <c r="U1887" t="str">
        <f t="shared" ca="1" si="645"/>
        <v>ICU</v>
      </c>
      <c r="V1887" t="str">
        <f t="shared" si="646"/>
        <v>BED1886</v>
      </c>
      <c r="W1887" t="str">
        <f t="shared" ca="1" si="647"/>
        <v>General</v>
      </c>
      <c r="X1887" t="str">
        <f t="shared" si="648"/>
        <v>NUR036</v>
      </c>
      <c r="Y1887" t="str">
        <f t="shared" ca="1" si="649"/>
        <v>Morning</v>
      </c>
      <c r="Z1887" t="str">
        <f t="shared" ca="1" si="650"/>
        <v>X-Ray</v>
      </c>
      <c r="AA1887" t="str">
        <f t="shared" ca="1" si="651"/>
        <v>Available</v>
      </c>
      <c r="AB1887" t="str">
        <f t="shared" ca="1" si="652"/>
        <v>Partially Paid</v>
      </c>
      <c r="AC1887" t="str">
        <f t="shared" ca="1" si="653"/>
        <v>Insurance</v>
      </c>
      <c r="AD1887" t="str">
        <f t="shared" ca="1" si="654"/>
        <v>Yes</v>
      </c>
      <c r="AE1887" t="str">
        <f t="shared" ca="1" si="655"/>
        <v>No</v>
      </c>
      <c r="AF1887" t="str">
        <f t="shared" ca="1" si="656"/>
        <v>Under Observation</v>
      </c>
      <c r="AG1887" t="str">
        <f t="shared" ca="1" si="657"/>
        <v>Southeast</v>
      </c>
      <c r="AH1887" t="str">
        <f t="shared" si="640"/>
        <v>June</v>
      </c>
      <c r="AI1887">
        <f t="shared" si="641"/>
        <v>2021</v>
      </c>
      <c r="AJ1887" t="str">
        <f t="shared" ca="1" si="658"/>
        <v>Vacant</v>
      </c>
      <c r="AK1887">
        <f t="shared" ca="1" si="659"/>
        <v>2</v>
      </c>
    </row>
    <row r="1888" spans="1:37" x14ac:dyDescent="0.3">
      <c r="A1888" t="s">
        <v>6262</v>
      </c>
      <c r="B1888">
        <v>84</v>
      </c>
      <c r="C1888" t="s">
        <v>32</v>
      </c>
      <c r="D1888" t="s">
        <v>52</v>
      </c>
      <c r="E1888" t="s">
        <v>76</v>
      </c>
      <c r="F1888" s="1">
        <v>43790</v>
      </c>
      <c r="G1888" t="s">
        <v>3749</v>
      </c>
      <c r="H1888" t="s">
        <v>3750</v>
      </c>
      <c r="I1888" t="s">
        <v>57</v>
      </c>
      <c r="J1888">
        <v>51060</v>
      </c>
      <c r="K1888">
        <v>227</v>
      </c>
      <c r="L1888" t="s">
        <v>29</v>
      </c>
      <c r="M1888" s="1">
        <v>43817</v>
      </c>
      <c r="N1888" t="s">
        <v>47</v>
      </c>
      <c r="O1888" t="s">
        <v>43</v>
      </c>
      <c r="P1888" t="str">
        <f t="shared" si="642"/>
        <v>P1887</v>
      </c>
      <c r="Q1888" t="str">
        <f t="shared" si="638"/>
        <v>Orthopedics</v>
      </c>
      <c r="R1888">
        <f t="shared" si="639"/>
        <v>27</v>
      </c>
      <c r="S1888" t="str">
        <f t="shared" ca="1" si="643"/>
        <v>No</v>
      </c>
      <c r="T1888" t="str">
        <f t="shared" ca="1" si="644"/>
        <v>Critical</v>
      </c>
      <c r="U1888" t="str">
        <f t="shared" ca="1" si="645"/>
        <v>ICU</v>
      </c>
      <c r="V1888" t="str">
        <f t="shared" si="646"/>
        <v>BED1887</v>
      </c>
      <c r="W1888" t="str">
        <f t="shared" ca="1" si="647"/>
        <v>Semi-Private</v>
      </c>
      <c r="X1888" t="str">
        <f t="shared" si="648"/>
        <v>NUR037</v>
      </c>
      <c r="Y1888" t="str">
        <f t="shared" ca="1" si="649"/>
        <v>Night</v>
      </c>
      <c r="Z1888" t="str">
        <f t="shared" ca="1" si="650"/>
        <v>X-Ray</v>
      </c>
      <c r="AA1888" t="str">
        <f t="shared" ca="1" si="651"/>
        <v>In Use</v>
      </c>
      <c r="AB1888" t="str">
        <f t="shared" ca="1" si="652"/>
        <v>Paid</v>
      </c>
      <c r="AC1888" t="str">
        <f t="shared" ca="1" si="653"/>
        <v>Bank Transfer</v>
      </c>
      <c r="AD1888" t="str">
        <f t="shared" ca="1" si="654"/>
        <v>Yes</v>
      </c>
      <c r="AE1888" t="str">
        <f t="shared" ca="1" si="655"/>
        <v>No</v>
      </c>
      <c r="AF1888" t="str">
        <f t="shared" ca="1" si="656"/>
        <v>Transferred</v>
      </c>
      <c r="AG1888" t="str">
        <f t="shared" ca="1" si="657"/>
        <v>Southeast</v>
      </c>
      <c r="AH1888" t="str">
        <f t="shared" si="640"/>
        <v>November</v>
      </c>
      <c r="AI1888">
        <f t="shared" si="641"/>
        <v>2019</v>
      </c>
      <c r="AJ1888" t="str">
        <f t="shared" ca="1" si="658"/>
        <v>Vacant</v>
      </c>
      <c r="AK1888">
        <f t="shared" ca="1" si="659"/>
        <v>1</v>
      </c>
    </row>
    <row r="1889" spans="1:37" x14ac:dyDescent="0.3">
      <c r="A1889" t="s">
        <v>6263</v>
      </c>
      <c r="B1889">
        <v>29</v>
      </c>
      <c r="C1889" t="s">
        <v>15</v>
      </c>
      <c r="D1889" t="s">
        <v>52</v>
      </c>
      <c r="E1889" t="s">
        <v>17</v>
      </c>
      <c r="F1889" s="1">
        <v>44692</v>
      </c>
      <c r="G1889" t="s">
        <v>3751</v>
      </c>
      <c r="H1889" t="s">
        <v>3752</v>
      </c>
      <c r="I1889" t="s">
        <v>28</v>
      </c>
      <c r="J1889">
        <v>19737</v>
      </c>
      <c r="K1889">
        <v>157</v>
      </c>
      <c r="L1889" t="s">
        <v>42</v>
      </c>
      <c r="M1889" s="1">
        <v>44715</v>
      </c>
      <c r="N1889" t="s">
        <v>30</v>
      </c>
      <c r="O1889" t="s">
        <v>23</v>
      </c>
      <c r="P1889" t="str">
        <f t="shared" si="642"/>
        <v>P1888</v>
      </c>
      <c r="Q1889" t="str">
        <f t="shared" si="638"/>
        <v>Oncology</v>
      </c>
      <c r="R1889">
        <f t="shared" si="639"/>
        <v>23</v>
      </c>
      <c r="S1889" t="str">
        <f t="shared" ca="1" si="643"/>
        <v>No</v>
      </c>
      <c r="T1889" t="str">
        <f t="shared" ca="1" si="644"/>
        <v>Moderate</v>
      </c>
      <c r="U1889" t="str">
        <f t="shared" ca="1" si="645"/>
        <v>Semi-Private</v>
      </c>
      <c r="V1889" t="str">
        <f t="shared" si="646"/>
        <v>BED1888</v>
      </c>
      <c r="W1889" t="str">
        <f t="shared" ca="1" si="647"/>
        <v>General</v>
      </c>
      <c r="X1889" t="str">
        <f t="shared" si="648"/>
        <v>NUR038</v>
      </c>
      <c r="Y1889" t="str">
        <f t="shared" ca="1" si="649"/>
        <v>Morning</v>
      </c>
      <c r="Z1889" t="str">
        <f t="shared" ca="1" si="650"/>
        <v>MRI Scanner</v>
      </c>
      <c r="AA1889" t="str">
        <f t="shared" ca="1" si="651"/>
        <v>Maintenance</v>
      </c>
      <c r="AB1889" t="str">
        <f t="shared" ca="1" si="652"/>
        <v>Pending</v>
      </c>
      <c r="AC1889" t="str">
        <f t="shared" ca="1" si="653"/>
        <v>Debit Card</v>
      </c>
      <c r="AD1889" t="str">
        <f t="shared" ca="1" si="654"/>
        <v>No</v>
      </c>
      <c r="AE1889" t="str">
        <f t="shared" ca="1" si="655"/>
        <v>No</v>
      </c>
      <c r="AF1889" t="str">
        <f t="shared" ca="1" si="656"/>
        <v>Recovered</v>
      </c>
      <c r="AG1889" t="str">
        <f t="shared" ca="1" si="657"/>
        <v>Southwest</v>
      </c>
      <c r="AH1889" t="str">
        <f t="shared" si="640"/>
        <v>May</v>
      </c>
      <c r="AI1889">
        <f t="shared" si="641"/>
        <v>2022</v>
      </c>
      <c r="AJ1889" t="str">
        <f t="shared" ca="1" si="658"/>
        <v>Occupied</v>
      </c>
      <c r="AK1889">
        <f t="shared" ca="1" si="659"/>
        <v>4</v>
      </c>
    </row>
    <row r="1890" spans="1:37" x14ac:dyDescent="0.3">
      <c r="A1890" t="s">
        <v>6264</v>
      </c>
      <c r="B1890">
        <v>66</v>
      </c>
      <c r="C1890" t="s">
        <v>32</v>
      </c>
      <c r="D1890" t="s">
        <v>16</v>
      </c>
      <c r="E1890" t="s">
        <v>39</v>
      </c>
      <c r="F1890" s="1">
        <v>44931</v>
      </c>
      <c r="G1890" t="s">
        <v>3753</v>
      </c>
      <c r="H1890" t="s">
        <v>3754</v>
      </c>
      <c r="I1890" t="s">
        <v>20</v>
      </c>
      <c r="J1890">
        <v>41982</v>
      </c>
      <c r="K1890">
        <v>495</v>
      </c>
      <c r="L1890" t="s">
        <v>21</v>
      </c>
      <c r="M1890" s="1">
        <v>44938</v>
      </c>
      <c r="N1890" t="s">
        <v>30</v>
      </c>
      <c r="O1890" t="s">
        <v>31</v>
      </c>
      <c r="P1890" t="str">
        <f t="shared" si="642"/>
        <v>P1889</v>
      </c>
      <c r="Q1890" t="str">
        <f t="shared" si="638"/>
        <v>Endocrinology</v>
      </c>
      <c r="R1890">
        <f t="shared" si="639"/>
        <v>7</v>
      </c>
      <c r="S1890" t="str">
        <f t="shared" ca="1" si="643"/>
        <v>No</v>
      </c>
      <c r="T1890" t="str">
        <f t="shared" ca="1" si="644"/>
        <v>Mild</v>
      </c>
      <c r="U1890" t="str">
        <f t="shared" ca="1" si="645"/>
        <v>Emergency</v>
      </c>
      <c r="V1890" t="str">
        <f t="shared" si="646"/>
        <v>BED1889</v>
      </c>
      <c r="W1890" t="str">
        <f t="shared" ca="1" si="647"/>
        <v>Semi-Private</v>
      </c>
      <c r="X1890" t="str">
        <f t="shared" si="648"/>
        <v>NUR039</v>
      </c>
      <c r="Y1890" t="str">
        <f t="shared" ca="1" si="649"/>
        <v>Evening</v>
      </c>
      <c r="Z1890" t="str">
        <f t="shared" ca="1" si="650"/>
        <v>X-Ray</v>
      </c>
      <c r="AA1890" t="str">
        <f t="shared" ca="1" si="651"/>
        <v>Maintenance</v>
      </c>
      <c r="AB1890" t="str">
        <f t="shared" ca="1" si="652"/>
        <v>Paid</v>
      </c>
      <c r="AC1890" t="str">
        <f t="shared" ca="1" si="653"/>
        <v>Bank Transfer</v>
      </c>
      <c r="AD1890" t="str">
        <f t="shared" ca="1" si="654"/>
        <v>No</v>
      </c>
      <c r="AE1890" t="str">
        <f t="shared" ca="1" si="655"/>
        <v>No</v>
      </c>
      <c r="AF1890" t="str">
        <f t="shared" ca="1" si="656"/>
        <v>Recovered</v>
      </c>
      <c r="AG1890" t="str">
        <f t="shared" ca="1" si="657"/>
        <v>Northeast</v>
      </c>
      <c r="AH1890" t="str">
        <f t="shared" si="640"/>
        <v>January</v>
      </c>
      <c r="AI1890">
        <f t="shared" si="641"/>
        <v>2023</v>
      </c>
      <c r="AJ1890" t="str">
        <f t="shared" ca="1" si="658"/>
        <v>Occupied</v>
      </c>
      <c r="AK1890">
        <f t="shared" ca="1" si="659"/>
        <v>2</v>
      </c>
    </row>
    <row r="1891" spans="1:37" x14ac:dyDescent="0.3">
      <c r="A1891" t="s">
        <v>6265</v>
      </c>
      <c r="B1891">
        <v>80</v>
      </c>
      <c r="C1891" t="s">
        <v>15</v>
      </c>
      <c r="D1891" t="s">
        <v>24</v>
      </c>
      <c r="E1891" t="s">
        <v>17</v>
      </c>
      <c r="F1891" s="1">
        <v>43621</v>
      </c>
      <c r="G1891" t="s">
        <v>3755</v>
      </c>
      <c r="H1891" t="s">
        <v>3756</v>
      </c>
      <c r="I1891" t="s">
        <v>57</v>
      </c>
      <c r="J1891">
        <v>33810</v>
      </c>
      <c r="K1891">
        <v>325</v>
      </c>
      <c r="L1891" t="s">
        <v>29</v>
      </c>
      <c r="M1891" s="1">
        <v>43634</v>
      </c>
      <c r="N1891" t="s">
        <v>37</v>
      </c>
      <c r="O1891" t="s">
        <v>31</v>
      </c>
      <c r="P1891" t="str">
        <f t="shared" si="642"/>
        <v>P1890</v>
      </c>
      <c r="Q1891" t="str">
        <f t="shared" si="638"/>
        <v>Oncology</v>
      </c>
      <c r="R1891">
        <f t="shared" si="639"/>
        <v>13</v>
      </c>
      <c r="S1891" t="str">
        <f t="shared" ca="1" si="643"/>
        <v>Yes</v>
      </c>
      <c r="T1891" t="str">
        <f t="shared" ca="1" si="644"/>
        <v>Critical</v>
      </c>
      <c r="U1891" t="str">
        <f t="shared" ca="1" si="645"/>
        <v>Emergency</v>
      </c>
      <c r="V1891" t="str">
        <f t="shared" si="646"/>
        <v>BED1890</v>
      </c>
      <c r="W1891" t="str">
        <f t="shared" ca="1" si="647"/>
        <v>ICU</v>
      </c>
      <c r="X1891" t="str">
        <f t="shared" si="648"/>
        <v>NUR040</v>
      </c>
      <c r="Y1891" t="str">
        <f t="shared" ca="1" si="649"/>
        <v>Evening</v>
      </c>
      <c r="Z1891" t="str">
        <f t="shared" ca="1" si="650"/>
        <v>MRI Scanner</v>
      </c>
      <c r="AA1891" t="str">
        <f t="shared" ca="1" si="651"/>
        <v>Available</v>
      </c>
      <c r="AB1891" t="str">
        <f t="shared" ca="1" si="652"/>
        <v>Pending</v>
      </c>
      <c r="AC1891" t="str">
        <f t="shared" ca="1" si="653"/>
        <v>Bank Transfer</v>
      </c>
      <c r="AD1891" t="str">
        <f t="shared" ca="1" si="654"/>
        <v>No</v>
      </c>
      <c r="AE1891" t="str">
        <f t="shared" ca="1" si="655"/>
        <v>No</v>
      </c>
      <c r="AF1891" t="str">
        <f t="shared" ca="1" si="656"/>
        <v>Recovered</v>
      </c>
      <c r="AG1891" t="str">
        <f t="shared" ca="1" si="657"/>
        <v>Southeast</v>
      </c>
      <c r="AH1891" t="str">
        <f t="shared" si="640"/>
        <v>June</v>
      </c>
      <c r="AI1891">
        <f t="shared" si="641"/>
        <v>2019</v>
      </c>
      <c r="AJ1891" t="str">
        <f t="shared" ca="1" si="658"/>
        <v>Occupied</v>
      </c>
      <c r="AK1891">
        <f t="shared" ca="1" si="659"/>
        <v>4</v>
      </c>
    </row>
    <row r="1892" spans="1:37" x14ac:dyDescent="0.3">
      <c r="A1892" t="s">
        <v>6266</v>
      </c>
      <c r="B1892">
        <v>42</v>
      </c>
      <c r="C1892" t="s">
        <v>32</v>
      </c>
      <c r="D1892" t="s">
        <v>83</v>
      </c>
      <c r="E1892" t="s">
        <v>64</v>
      </c>
      <c r="F1892" s="1">
        <v>44025</v>
      </c>
      <c r="G1892" t="s">
        <v>3757</v>
      </c>
      <c r="H1892" t="s">
        <v>3758</v>
      </c>
      <c r="I1892" t="s">
        <v>51</v>
      </c>
      <c r="J1892">
        <v>27621</v>
      </c>
      <c r="K1892">
        <v>347</v>
      </c>
      <c r="L1892" t="s">
        <v>21</v>
      </c>
      <c r="M1892" s="1">
        <v>44053</v>
      </c>
      <c r="N1892" t="s">
        <v>30</v>
      </c>
      <c r="O1892" t="s">
        <v>43</v>
      </c>
      <c r="P1892" t="str">
        <f t="shared" si="642"/>
        <v>P1891</v>
      </c>
      <c r="Q1892" t="str">
        <f t="shared" si="638"/>
        <v>Cardiology</v>
      </c>
      <c r="R1892">
        <f t="shared" si="639"/>
        <v>28</v>
      </c>
      <c r="S1892" t="str">
        <f t="shared" ca="1" si="643"/>
        <v>No</v>
      </c>
      <c r="T1892" t="str">
        <f t="shared" ca="1" si="644"/>
        <v>Critical</v>
      </c>
      <c r="U1892" t="str">
        <f t="shared" ca="1" si="645"/>
        <v>Emergency</v>
      </c>
      <c r="V1892" t="str">
        <f t="shared" si="646"/>
        <v>BED1891</v>
      </c>
      <c r="W1892" t="str">
        <f t="shared" ca="1" si="647"/>
        <v>Private</v>
      </c>
      <c r="X1892" t="str">
        <f t="shared" si="648"/>
        <v>NUR041</v>
      </c>
      <c r="Y1892" t="str">
        <f t="shared" ca="1" si="649"/>
        <v>Morning</v>
      </c>
      <c r="Z1892" t="str">
        <f t="shared" ca="1" si="650"/>
        <v>ECG Machine</v>
      </c>
      <c r="AA1892" t="str">
        <f t="shared" ca="1" si="651"/>
        <v>In Use</v>
      </c>
      <c r="AB1892" t="str">
        <f t="shared" ca="1" si="652"/>
        <v>Partially Paid</v>
      </c>
      <c r="AC1892" t="str">
        <f t="shared" ca="1" si="653"/>
        <v>Debit Card</v>
      </c>
      <c r="AD1892" t="str">
        <f t="shared" ca="1" si="654"/>
        <v>No</v>
      </c>
      <c r="AE1892" t="str">
        <f t="shared" ca="1" si="655"/>
        <v>No</v>
      </c>
      <c r="AF1892" t="str">
        <f t="shared" ca="1" si="656"/>
        <v>Under Observation</v>
      </c>
      <c r="AG1892" t="str">
        <f t="shared" ca="1" si="657"/>
        <v>Northeast</v>
      </c>
      <c r="AH1892" t="str">
        <f t="shared" si="640"/>
        <v>July</v>
      </c>
      <c r="AI1892">
        <f t="shared" si="641"/>
        <v>2020</v>
      </c>
      <c r="AJ1892" t="str">
        <f t="shared" ca="1" si="658"/>
        <v>Vacant</v>
      </c>
      <c r="AK1892">
        <f t="shared" ca="1" si="659"/>
        <v>1</v>
      </c>
    </row>
    <row r="1893" spans="1:37" x14ac:dyDescent="0.3">
      <c r="A1893" t="s">
        <v>6267</v>
      </c>
      <c r="B1893">
        <v>63</v>
      </c>
      <c r="C1893" t="s">
        <v>15</v>
      </c>
      <c r="D1893" t="s">
        <v>44</v>
      </c>
      <c r="E1893" t="s">
        <v>17</v>
      </c>
      <c r="F1893" s="1">
        <v>44454</v>
      </c>
      <c r="G1893" t="s">
        <v>3759</v>
      </c>
      <c r="H1893" t="s">
        <v>3760</v>
      </c>
      <c r="I1893" t="s">
        <v>51</v>
      </c>
      <c r="J1893">
        <v>16424</v>
      </c>
      <c r="K1893">
        <v>139</v>
      </c>
      <c r="L1893" t="s">
        <v>29</v>
      </c>
      <c r="M1893" s="1">
        <v>44461</v>
      </c>
      <c r="N1893" t="s">
        <v>22</v>
      </c>
      <c r="O1893" t="s">
        <v>31</v>
      </c>
      <c r="P1893" t="str">
        <f t="shared" si="642"/>
        <v>P1892</v>
      </c>
      <c r="Q1893" t="str">
        <f t="shared" si="638"/>
        <v>Oncology</v>
      </c>
      <c r="R1893">
        <f t="shared" si="639"/>
        <v>7</v>
      </c>
      <c r="S1893" t="str">
        <f t="shared" ca="1" si="643"/>
        <v>No</v>
      </c>
      <c r="T1893" t="str">
        <f t="shared" ca="1" si="644"/>
        <v>Moderate</v>
      </c>
      <c r="U1893" t="str">
        <f t="shared" ca="1" si="645"/>
        <v>Semi-Private</v>
      </c>
      <c r="V1893" t="str">
        <f t="shared" si="646"/>
        <v>BED1892</v>
      </c>
      <c r="W1893" t="str">
        <f t="shared" ca="1" si="647"/>
        <v>General</v>
      </c>
      <c r="X1893" t="str">
        <f t="shared" si="648"/>
        <v>NUR042</v>
      </c>
      <c r="Y1893" t="str">
        <f t="shared" ca="1" si="649"/>
        <v>Night</v>
      </c>
      <c r="Z1893" t="str">
        <f t="shared" ca="1" si="650"/>
        <v>MRI Scanner</v>
      </c>
      <c r="AA1893" t="str">
        <f t="shared" ca="1" si="651"/>
        <v>Available</v>
      </c>
      <c r="AB1893" t="str">
        <f t="shared" ca="1" si="652"/>
        <v>Paid</v>
      </c>
      <c r="AC1893" t="str">
        <f t="shared" ca="1" si="653"/>
        <v>Bank Transfer</v>
      </c>
      <c r="AD1893" t="str">
        <f t="shared" ca="1" si="654"/>
        <v>No</v>
      </c>
      <c r="AE1893" t="str">
        <f t="shared" ca="1" si="655"/>
        <v>No</v>
      </c>
      <c r="AF1893" t="str">
        <f t="shared" ca="1" si="656"/>
        <v>Recovered</v>
      </c>
      <c r="AG1893" t="str">
        <f t="shared" ca="1" si="657"/>
        <v>West Coast</v>
      </c>
      <c r="AH1893" t="str">
        <f t="shared" si="640"/>
        <v>September</v>
      </c>
      <c r="AI1893">
        <f t="shared" si="641"/>
        <v>2021</v>
      </c>
      <c r="AJ1893" t="str">
        <f t="shared" ca="1" si="658"/>
        <v>Occupied</v>
      </c>
      <c r="AK1893">
        <f t="shared" ca="1" si="659"/>
        <v>1</v>
      </c>
    </row>
    <row r="1894" spans="1:37" x14ac:dyDescent="0.3">
      <c r="A1894" t="s">
        <v>6268</v>
      </c>
      <c r="B1894">
        <v>72</v>
      </c>
      <c r="C1894" t="s">
        <v>32</v>
      </c>
      <c r="D1894" t="s">
        <v>33</v>
      </c>
      <c r="E1894" t="s">
        <v>17</v>
      </c>
      <c r="F1894" s="1">
        <v>44122</v>
      </c>
      <c r="G1894" t="s">
        <v>3761</v>
      </c>
      <c r="H1894" t="s">
        <v>3762</v>
      </c>
      <c r="I1894" t="s">
        <v>57</v>
      </c>
      <c r="J1894">
        <v>32787</v>
      </c>
      <c r="K1894">
        <v>302</v>
      </c>
      <c r="L1894" t="s">
        <v>29</v>
      </c>
      <c r="M1894" s="1">
        <v>44147</v>
      </c>
      <c r="N1894" t="s">
        <v>47</v>
      </c>
      <c r="O1894" t="s">
        <v>23</v>
      </c>
      <c r="P1894" t="str">
        <f t="shared" si="642"/>
        <v>P1893</v>
      </c>
      <c r="Q1894" t="str">
        <f t="shared" si="638"/>
        <v>Oncology</v>
      </c>
      <c r="R1894">
        <f t="shared" si="639"/>
        <v>25</v>
      </c>
      <c r="S1894" t="str">
        <f t="shared" ca="1" si="643"/>
        <v>No</v>
      </c>
      <c r="T1894" t="str">
        <f t="shared" ca="1" si="644"/>
        <v>Moderate</v>
      </c>
      <c r="U1894" t="str">
        <f t="shared" ca="1" si="645"/>
        <v>Private Ward</v>
      </c>
      <c r="V1894" t="str">
        <f t="shared" si="646"/>
        <v>BED1893</v>
      </c>
      <c r="W1894" t="str">
        <f t="shared" ca="1" si="647"/>
        <v>General</v>
      </c>
      <c r="X1894" t="str">
        <f t="shared" si="648"/>
        <v>NUR043</v>
      </c>
      <c r="Y1894" t="str">
        <f t="shared" ca="1" si="649"/>
        <v>Night</v>
      </c>
      <c r="Z1894" t="str">
        <f t="shared" ca="1" si="650"/>
        <v>ECG Machine</v>
      </c>
      <c r="AA1894" t="str">
        <f t="shared" ca="1" si="651"/>
        <v>Available</v>
      </c>
      <c r="AB1894" t="str">
        <f t="shared" ca="1" si="652"/>
        <v>Pending</v>
      </c>
      <c r="AC1894" t="str">
        <f t="shared" ca="1" si="653"/>
        <v>Cash</v>
      </c>
      <c r="AD1894" t="str">
        <f t="shared" ca="1" si="654"/>
        <v>No</v>
      </c>
      <c r="AE1894" t="str">
        <f t="shared" ca="1" si="655"/>
        <v>No</v>
      </c>
      <c r="AF1894" t="str">
        <f t="shared" ca="1" si="656"/>
        <v>Under Observation</v>
      </c>
      <c r="AG1894" t="str">
        <f t="shared" ca="1" si="657"/>
        <v>Northeast</v>
      </c>
      <c r="AH1894" t="str">
        <f t="shared" si="640"/>
        <v>October</v>
      </c>
      <c r="AI1894">
        <f t="shared" si="641"/>
        <v>2020</v>
      </c>
      <c r="AJ1894" t="str">
        <f t="shared" ca="1" si="658"/>
        <v>Occupied</v>
      </c>
      <c r="AK1894">
        <f t="shared" ca="1" si="659"/>
        <v>4</v>
      </c>
    </row>
    <row r="1895" spans="1:37" x14ac:dyDescent="0.3">
      <c r="A1895" t="s">
        <v>6269</v>
      </c>
      <c r="B1895">
        <v>68</v>
      </c>
      <c r="C1895" t="s">
        <v>32</v>
      </c>
      <c r="D1895" t="s">
        <v>24</v>
      </c>
      <c r="E1895" t="s">
        <v>25</v>
      </c>
      <c r="F1895" s="1">
        <v>44139</v>
      </c>
      <c r="G1895" t="s">
        <v>3763</v>
      </c>
      <c r="H1895" t="s">
        <v>3764</v>
      </c>
      <c r="I1895" t="s">
        <v>36</v>
      </c>
      <c r="J1895">
        <v>45833</v>
      </c>
      <c r="K1895">
        <v>236</v>
      </c>
      <c r="L1895" t="s">
        <v>21</v>
      </c>
      <c r="M1895" s="1">
        <v>44152</v>
      </c>
      <c r="N1895" t="s">
        <v>30</v>
      </c>
      <c r="O1895" t="s">
        <v>31</v>
      </c>
      <c r="P1895" t="str">
        <f t="shared" si="642"/>
        <v>P1894</v>
      </c>
      <c r="Q1895" t="str">
        <f t="shared" si="638"/>
        <v>Nutrition</v>
      </c>
      <c r="R1895">
        <f t="shared" si="639"/>
        <v>13</v>
      </c>
      <c r="S1895" t="str">
        <f t="shared" ca="1" si="643"/>
        <v>No</v>
      </c>
      <c r="T1895" t="str">
        <f t="shared" ca="1" si="644"/>
        <v>Moderate</v>
      </c>
      <c r="U1895" t="str">
        <f t="shared" ca="1" si="645"/>
        <v>ICU</v>
      </c>
      <c r="V1895" t="str">
        <f t="shared" si="646"/>
        <v>BED1894</v>
      </c>
      <c r="W1895" t="str">
        <f t="shared" ca="1" si="647"/>
        <v>General</v>
      </c>
      <c r="X1895" t="str">
        <f t="shared" si="648"/>
        <v>NUR044</v>
      </c>
      <c r="Y1895" t="str">
        <f t="shared" ca="1" si="649"/>
        <v>Night</v>
      </c>
      <c r="Z1895" t="str">
        <f t="shared" ca="1" si="650"/>
        <v>MRI Scanner</v>
      </c>
      <c r="AA1895" t="str">
        <f t="shared" ca="1" si="651"/>
        <v>In Use</v>
      </c>
      <c r="AB1895" t="str">
        <f t="shared" ca="1" si="652"/>
        <v>Partially Paid</v>
      </c>
      <c r="AC1895" t="str">
        <f t="shared" ca="1" si="653"/>
        <v>Debit Card</v>
      </c>
      <c r="AD1895" t="str">
        <f t="shared" ca="1" si="654"/>
        <v>Yes</v>
      </c>
      <c r="AE1895" t="str">
        <f t="shared" ca="1" si="655"/>
        <v>No</v>
      </c>
      <c r="AF1895" t="str">
        <f t="shared" ca="1" si="656"/>
        <v>Recovered</v>
      </c>
      <c r="AG1895" t="str">
        <f t="shared" ca="1" si="657"/>
        <v>Southwest</v>
      </c>
      <c r="AH1895" t="str">
        <f t="shared" si="640"/>
        <v>November</v>
      </c>
      <c r="AI1895">
        <f t="shared" si="641"/>
        <v>2020</v>
      </c>
      <c r="AJ1895" t="str">
        <f t="shared" ca="1" si="658"/>
        <v>Vacant</v>
      </c>
      <c r="AK1895">
        <f t="shared" ca="1" si="659"/>
        <v>4</v>
      </c>
    </row>
    <row r="1896" spans="1:37" x14ac:dyDescent="0.3">
      <c r="A1896" t="s">
        <v>6270</v>
      </c>
      <c r="B1896">
        <v>61</v>
      </c>
      <c r="C1896" t="s">
        <v>32</v>
      </c>
      <c r="D1896" t="s">
        <v>83</v>
      </c>
      <c r="E1896" t="s">
        <v>17</v>
      </c>
      <c r="F1896" s="1">
        <v>44846</v>
      </c>
      <c r="G1896" t="s">
        <v>3765</v>
      </c>
      <c r="H1896" t="s">
        <v>3766</v>
      </c>
      <c r="I1896" t="s">
        <v>28</v>
      </c>
      <c r="J1896">
        <v>29442</v>
      </c>
      <c r="K1896">
        <v>352</v>
      </c>
      <c r="L1896" t="s">
        <v>29</v>
      </c>
      <c r="M1896" s="1">
        <v>44872</v>
      </c>
      <c r="N1896" t="s">
        <v>67</v>
      </c>
      <c r="O1896" t="s">
        <v>43</v>
      </c>
      <c r="P1896" t="str">
        <f t="shared" si="642"/>
        <v>P1895</v>
      </c>
      <c r="Q1896" t="str">
        <f t="shared" si="638"/>
        <v>Oncology</v>
      </c>
      <c r="R1896">
        <f t="shared" si="639"/>
        <v>26</v>
      </c>
      <c r="S1896" t="str">
        <f t="shared" ca="1" si="643"/>
        <v>No</v>
      </c>
      <c r="T1896" t="str">
        <f t="shared" ca="1" si="644"/>
        <v>Moderate</v>
      </c>
      <c r="U1896" t="str">
        <f t="shared" ca="1" si="645"/>
        <v>Emergency</v>
      </c>
      <c r="V1896" t="str">
        <f t="shared" si="646"/>
        <v>BED1895</v>
      </c>
      <c r="W1896" t="str">
        <f t="shared" ca="1" si="647"/>
        <v>Private</v>
      </c>
      <c r="X1896" t="str">
        <f t="shared" si="648"/>
        <v>NUR045</v>
      </c>
      <c r="Y1896" t="str">
        <f t="shared" ca="1" si="649"/>
        <v>Night</v>
      </c>
      <c r="Z1896" t="str">
        <f t="shared" ca="1" si="650"/>
        <v>CT Scanner</v>
      </c>
      <c r="AA1896" t="str">
        <f t="shared" ca="1" si="651"/>
        <v>Available</v>
      </c>
      <c r="AB1896" t="str">
        <f t="shared" ca="1" si="652"/>
        <v>Partially Paid</v>
      </c>
      <c r="AC1896" t="str">
        <f t="shared" ca="1" si="653"/>
        <v>Cash</v>
      </c>
      <c r="AD1896" t="str">
        <f t="shared" ca="1" si="654"/>
        <v>No</v>
      </c>
      <c r="AE1896" t="str">
        <f t="shared" ca="1" si="655"/>
        <v>Yes</v>
      </c>
      <c r="AF1896" t="str">
        <f t="shared" ca="1" si="656"/>
        <v>Transferred</v>
      </c>
      <c r="AG1896" t="str">
        <f t="shared" ca="1" si="657"/>
        <v>Northeast</v>
      </c>
      <c r="AH1896" t="str">
        <f t="shared" si="640"/>
        <v>October</v>
      </c>
      <c r="AI1896">
        <f t="shared" si="641"/>
        <v>2022</v>
      </c>
      <c r="AJ1896" t="str">
        <f t="shared" ca="1" si="658"/>
        <v>Occupied</v>
      </c>
      <c r="AK1896">
        <f t="shared" ca="1" si="659"/>
        <v>4</v>
      </c>
    </row>
    <row r="1897" spans="1:37" x14ac:dyDescent="0.3">
      <c r="A1897" t="s">
        <v>6271</v>
      </c>
      <c r="B1897">
        <v>72</v>
      </c>
      <c r="C1897" t="s">
        <v>32</v>
      </c>
      <c r="D1897" t="s">
        <v>52</v>
      </c>
      <c r="E1897" t="s">
        <v>25</v>
      </c>
      <c r="F1897" s="1">
        <v>45090</v>
      </c>
      <c r="G1897" t="s">
        <v>3767</v>
      </c>
      <c r="H1897" t="s">
        <v>3768</v>
      </c>
      <c r="I1897" t="s">
        <v>57</v>
      </c>
      <c r="J1897">
        <v>17172</v>
      </c>
      <c r="K1897">
        <v>347</v>
      </c>
      <c r="L1897" t="s">
        <v>29</v>
      </c>
      <c r="M1897" s="1">
        <v>45113</v>
      </c>
      <c r="N1897" t="s">
        <v>67</v>
      </c>
      <c r="O1897" t="s">
        <v>23</v>
      </c>
      <c r="P1897" t="str">
        <f t="shared" si="642"/>
        <v>P1896</v>
      </c>
      <c r="Q1897" t="str">
        <f t="shared" si="638"/>
        <v>Nutrition</v>
      </c>
      <c r="R1897">
        <f t="shared" si="639"/>
        <v>23</v>
      </c>
      <c r="S1897" t="str">
        <f t="shared" ca="1" si="643"/>
        <v>No</v>
      </c>
      <c r="T1897" t="str">
        <f t="shared" ca="1" si="644"/>
        <v>Severe</v>
      </c>
      <c r="U1897" t="str">
        <f t="shared" ca="1" si="645"/>
        <v>Semi-Private</v>
      </c>
      <c r="V1897" t="str">
        <f t="shared" si="646"/>
        <v>BED1896</v>
      </c>
      <c r="W1897" t="str">
        <f t="shared" ca="1" si="647"/>
        <v>General</v>
      </c>
      <c r="X1897" t="str">
        <f t="shared" si="648"/>
        <v>NUR046</v>
      </c>
      <c r="Y1897" t="str">
        <f t="shared" ca="1" si="649"/>
        <v>Evening</v>
      </c>
      <c r="Z1897" t="str">
        <f t="shared" ca="1" si="650"/>
        <v>Ventilator</v>
      </c>
      <c r="AA1897" t="str">
        <f t="shared" ca="1" si="651"/>
        <v>Maintenance</v>
      </c>
      <c r="AB1897" t="str">
        <f t="shared" ca="1" si="652"/>
        <v>Paid</v>
      </c>
      <c r="AC1897" t="str">
        <f t="shared" ca="1" si="653"/>
        <v>Debit Card</v>
      </c>
      <c r="AD1897" t="str">
        <f t="shared" ca="1" si="654"/>
        <v>No</v>
      </c>
      <c r="AE1897" t="str">
        <f t="shared" ca="1" si="655"/>
        <v>No</v>
      </c>
      <c r="AF1897" t="str">
        <f t="shared" ca="1" si="656"/>
        <v>Recovered</v>
      </c>
      <c r="AG1897" t="str">
        <f t="shared" ca="1" si="657"/>
        <v>Southwest</v>
      </c>
      <c r="AH1897" t="str">
        <f t="shared" si="640"/>
        <v>June</v>
      </c>
      <c r="AI1897">
        <f t="shared" si="641"/>
        <v>2023</v>
      </c>
      <c r="AJ1897" t="str">
        <f t="shared" ca="1" si="658"/>
        <v>Occupied</v>
      </c>
      <c r="AK1897">
        <f t="shared" ca="1" si="659"/>
        <v>2</v>
      </c>
    </row>
    <row r="1898" spans="1:37" x14ac:dyDescent="0.3">
      <c r="A1898" t="s">
        <v>6272</v>
      </c>
      <c r="B1898">
        <v>51</v>
      </c>
      <c r="C1898" t="s">
        <v>15</v>
      </c>
      <c r="D1898" t="s">
        <v>83</v>
      </c>
      <c r="E1898" t="s">
        <v>25</v>
      </c>
      <c r="F1898" s="1">
        <v>44661</v>
      </c>
      <c r="G1898" t="s">
        <v>3769</v>
      </c>
      <c r="H1898" t="s">
        <v>3770</v>
      </c>
      <c r="I1898" t="s">
        <v>57</v>
      </c>
      <c r="J1898">
        <v>21570</v>
      </c>
      <c r="K1898">
        <v>436</v>
      </c>
      <c r="L1898" t="s">
        <v>29</v>
      </c>
      <c r="M1898" s="1">
        <v>44684</v>
      </c>
      <c r="N1898" t="s">
        <v>30</v>
      </c>
      <c r="O1898" t="s">
        <v>43</v>
      </c>
      <c r="P1898" t="str">
        <f t="shared" si="642"/>
        <v>P1897</v>
      </c>
      <c r="Q1898" t="str">
        <f t="shared" si="638"/>
        <v>Nutrition</v>
      </c>
      <c r="R1898">
        <f t="shared" si="639"/>
        <v>23</v>
      </c>
      <c r="S1898" t="str">
        <f t="shared" ca="1" si="643"/>
        <v>Yes</v>
      </c>
      <c r="T1898" t="str">
        <f t="shared" ca="1" si="644"/>
        <v>Mild</v>
      </c>
      <c r="U1898" t="str">
        <f t="shared" ca="1" si="645"/>
        <v>Semi-Private</v>
      </c>
      <c r="V1898" t="str">
        <f t="shared" si="646"/>
        <v>BED1897</v>
      </c>
      <c r="W1898" t="str">
        <f t="shared" ca="1" si="647"/>
        <v>ICU</v>
      </c>
      <c r="X1898" t="str">
        <f t="shared" si="648"/>
        <v>NUR047</v>
      </c>
      <c r="Y1898" t="str">
        <f t="shared" ca="1" si="649"/>
        <v>Morning</v>
      </c>
      <c r="Z1898" t="str">
        <f t="shared" ca="1" si="650"/>
        <v>X-Ray</v>
      </c>
      <c r="AA1898" t="str">
        <f t="shared" ca="1" si="651"/>
        <v>In Use</v>
      </c>
      <c r="AB1898" t="str">
        <f t="shared" ca="1" si="652"/>
        <v>Partially Paid</v>
      </c>
      <c r="AC1898" t="str">
        <f t="shared" ca="1" si="653"/>
        <v>Debit Card</v>
      </c>
      <c r="AD1898" t="str">
        <f t="shared" ca="1" si="654"/>
        <v>Yes</v>
      </c>
      <c r="AE1898" t="str">
        <f t="shared" ca="1" si="655"/>
        <v>No</v>
      </c>
      <c r="AF1898" t="str">
        <f t="shared" ca="1" si="656"/>
        <v>Recovered</v>
      </c>
      <c r="AG1898" t="str">
        <f t="shared" ca="1" si="657"/>
        <v>West Coast</v>
      </c>
      <c r="AH1898" t="str">
        <f t="shared" si="640"/>
        <v>April</v>
      </c>
      <c r="AI1898">
        <f t="shared" si="641"/>
        <v>2022</v>
      </c>
      <c r="AJ1898" t="str">
        <f t="shared" ca="1" si="658"/>
        <v>Vacant</v>
      </c>
      <c r="AK1898">
        <f t="shared" ca="1" si="659"/>
        <v>2</v>
      </c>
    </row>
    <row r="1899" spans="1:37" x14ac:dyDescent="0.3">
      <c r="A1899" t="s">
        <v>6273</v>
      </c>
      <c r="B1899">
        <v>23</v>
      </c>
      <c r="C1899" t="s">
        <v>15</v>
      </c>
      <c r="D1899" t="s">
        <v>33</v>
      </c>
      <c r="E1899" t="s">
        <v>76</v>
      </c>
      <c r="F1899" s="1">
        <v>44090</v>
      </c>
      <c r="G1899" t="s">
        <v>3771</v>
      </c>
      <c r="H1899" t="s">
        <v>3772</v>
      </c>
      <c r="I1899" t="s">
        <v>36</v>
      </c>
      <c r="J1899">
        <v>19452</v>
      </c>
      <c r="K1899">
        <v>472</v>
      </c>
      <c r="L1899" t="s">
        <v>42</v>
      </c>
      <c r="M1899" s="1">
        <v>44112</v>
      </c>
      <c r="N1899" t="s">
        <v>22</v>
      </c>
      <c r="O1899" t="s">
        <v>31</v>
      </c>
      <c r="P1899" t="str">
        <f t="shared" si="642"/>
        <v>P1898</v>
      </c>
      <c r="Q1899" t="str">
        <f t="shared" si="638"/>
        <v>Orthopedics</v>
      </c>
      <c r="R1899">
        <f t="shared" si="639"/>
        <v>22</v>
      </c>
      <c r="S1899" t="str">
        <f t="shared" ca="1" si="643"/>
        <v>No</v>
      </c>
      <c r="T1899" t="str">
        <f t="shared" ca="1" si="644"/>
        <v>Mild</v>
      </c>
      <c r="U1899" t="str">
        <f t="shared" ca="1" si="645"/>
        <v>Emergency</v>
      </c>
      <c r="V1899" t="str">
        <f t="shared" si="646"/>
        <v>BED1898</v>
      </c>
      <c r="W1899" t="str">
        <f t="shared" ca="1" si="647"/>
        <v>Private</v>
      </c>
      <c r="X1899" t="str">
        <f t="shared" si="648"/>
        <v>NUR048</v>
      </c>
      <c r="Y1899" t="str">
        <f t="shared" ca="1" si="649"/>
        <v>Evening</v>
      </c>
      <c r="Z1899" t="str">
        <f t="shared" ca="1" si="650"/>
        <v>ECG Machine</v>
      </c>
      <c r="AA1899" t="str">
        <f t="shared" ca="1" si="651"/>
        <v>Available</v>
      </c>
      <c r="AB1899" t="str">
        <f t="shared" ca="1" si="652"/>
        <v>Paid</v>
      </c>
      <c r="AC1899" t="str">
        <f t="shared" ca="1" si="653"/>
        <v>Debit Card</v>
      </c>
      <c r="AD1899" t="str">
        <f t="shared" ca="1" si="654"/>
        <v>No</v>
      </c>
      <c r="AE1899" t="str">
        <f t="shared" ca="1" si="655"/>
        <v>No</v>
      </c>
      <c r="AF1899" t="str">
        <f t="shared" ca="1" si="656"/>
        <v>Under Observation</v>
      </c>
      <c r="AG1899" t="str">
        <f t="shared" ca="1" si="657"/>
        <v>Midwest</v>
      </c>
      <c r="AH1899" t="str">
        <f t="shared" si="640"/>
        <v>September</v>
      </c>
      <c r="AI1899">
        <f t="shared" si="641"/>
        <v>2020</v>
      </c>
      <c r="AJ1899" t="str">
        <f t="shared" ca="1" si="658"/>
        <v>Occupied</v>
      </c>
      <c r="AK1899">
        <f t="shared" ca="1" si="659"/>
        <v>4</v>
      </c>
    </row>
    <row r="1900" spans="1:37" x14ac:dyDescent="0.3">
      <c r="A1900" t="s">
        <v>6274</v>
      </c>
      <c r="B1900">
        <v>77</v>
      </c>
      <c r="C1900" t="s">
        <v>15</v>
      </c>
      <c r="D1900" t="s">
        <v>38</v>
      </c>
      <c r="E1900" t="s">
        <v>17</v>
      </c>
      <c r="F1900" s="1">
        <v>44000</v>
      </c>
      <c r="G1900" t="s">
        <v>3773</v>
      </c>
      <c r="H1900" t="s">
        <v>3774</v>
      </c>
      <c r="I1900" t="s">
        <v>51</v>
      </c>
      <c r="J1900">
        <v>14552</v>
      </c>
      <c r="K1900">
        <v>242</v>
      </c>
      <c r="L1900" t="s">
        <v>29</v>
      </c>
      <c r="M1900" s="1">
        <v>44001</v>
      </c>
      <c r="N1900" t="s">
        <v>37</v>
      </c>
      <c r="O1900" t="s">
        <v>31</v>
      </c>
      <c r="P1900" t="str">
        <f t="shared" si="642"/>
        <v>P1899</v>
      </c>
      <c r="Q1900" t="str">
        <f t="shared" si="638"/>
        <v>Oncology</v>
      </c>
      <c r="R1900">
        <f t="shared" si="639"/>
        <v>1</v>
      </c>
      <c r="S1900" t="str">
        <f t="shared" ca="1" si="643"/>
        <v>Yes</v>
      </c>
      <c r="T1900" t="str">
        <f t="shared" ca="1" si="644"/>
        <v>Mild</v>
      </c>
      <c r="U1900" t="str">
        <f t="shared" ca="1" si="645"/>
        <v>Semi-Private</v>
      </c>
      <c r="V1900" t="str">
        <f t="shared" si="646"/>
        <v>BED1899</v>
      </c>
      <c r="W1900" t="str">
        <f t="shared" ca="1" si="647"/>
        <v>Semi-Private</v>
      </c>
      <c r="X1900" t="str">
        <f t="shared" si="648"/>
        <v>NUR049</v>
      </c>
      <c r="Y1900" t="str">
        <f t="shared" ca="1" si="649"/>
        <v>Evening</v>
      </c>
      <c r="Z1900" t="str">
        <f t="shared" ca="1" si="650"/>
        <v>X-Ray</v>
      </c>
      <c r="AA1900" t="str">
        <f t="shared" ca="1" si="651"/>
        <v>Maintenance</v>
      </c>
      <c r="AB1900" t="str">
        <f t="shared" ca="1" si="652"/>
        <v>Paid</v>
      </c>
      <c r="AC1900" t="str">
        <f t="shared" ca="1" si="653"/>
        <v>Debit Card</v>
      </c>
      <c r="AD1900" t="str">
        <f t="shared" ca="1" si="654"/>
        <v>No</v>
      </c>
      <c r="AE1900" t="str">
        <f t="shared" ca="1" si="655"/>
        <v>No</v>
      </c>
      <c r="AF1900" t="str">
        <f t="shared" ca="1" si="656"/>
        <v>Recovered</v>
      </c>
      <c r="AG1900" t="str">
        <f t="shared" ca="1" si="657"/>
        <v>Midwest</v>
      </c>
      <c r="AH1900" t="str">
        <f t="shared" si="640"/>
        <v>June</v>
      </c>
      <c r="AI1900">
        <f t="shared" si="641"/>
        <v>2020</v>
      </c>
      <c r="AJ1900" t="str">
        <f t="shared" ca="1" si="658"/>
        <v>Occupied</v>
      </c>
      <c r="AK1900">
        <f t="shared" ca="1" si="659"/>
        <v>2</v>
      </c>
    </row>
    <row r="1901" spans="1:37" x14ac:dyDescent="0.3">
      <c r="A1901" t="s">
        <v>6275</v>
      </c>
      <c r="B1901">
        <v>25</v>
      </c>
      <c r="C1901" t="s">
        <v>15</v>
      </c>
      <c r="D1901" t="s">
        <v>24</v>
      </c>
      <c r="E1901" t="s">
        <v>17</v>
      </c>
      <c r="F1901" s="1">
        <v>44071</v>
      </c>
      <c r="G1901" t="s">
        <v>3775</v>
      </c>
      <c r="H1901" t="s">
        <v>3776</v>
      </c>
      <c r="I1901" t="s">
        <v>51</v>
      </c>
      <c r="J1901">
        <v>12333</v>
      </c>
      <c r="K1901">
        <v>489</v>
      </c>
      <c r="L1901" t="s">
        <v>42</v>
      </c>
      <c r="M1901" s="1">
        <v>44094</v>
      </c>
      <c r="N1901" t="s">
        <v>67</v>
      </c>
      <c r="O1901" t="s">
        <v>43</v>
      </c>
      <c r="P1901" t="str">
        <f t="shared" si="642"/>
        <v>P1900</v>
      </c>
      <c r="Q1901" t="str">
        <f t="shared" si="638"/>
        <v>Oncology</v>
      </c>
      <c r="R1901">
        <f t="shared" si="639"/>
        <v>23</v>
      </c>
      <c r="S1901" t="str">
        <f t="shared" ca="1" si="643"/>
        <v>No</v>
      </c>
      <c r="T1901" t="str">
        <f t="shared" ca="1" si="644"/>
        <v>Moderate</v>
      </c>
      <c r="U1901" t="str">
        <f t="shared" ca="1" si="645"/>
        <v>ICU</v>
      </c>
      <c r="V1901" t="str">
        <f t="shared" si="646"/>
        <v>BED1900</v>
      </c>
      <c r="W1901" t="str">
        <f t="shared" ca="1" si="647"/>
        <v>Semi-Private</v>
      </c>
      <c r="X1901" t="str">
        <f t="shared" si="648"/>
        <v>NUR050</v>
      </c>
      <c r="Y1901" t="str">
        <f t="shared" ca="1" si="649"/>
        <v>Evening</v>
      </c>
      <c r="Z1901" t="str">
        <f t="shared" ca="1" si="650"/>
        <v>X-Ray</v>
      </c>
      <c r="AA1901" t="str">
        <f t="shared" ca="1" si="651"/>
        <v>Maintenance</v>
      </c>
      <c r="AB1901" t="str">
        <f t="shared" ca="1" si="652"/>
        <v>Partially Paid</v>
      </c>
      <c r="AC1901" t="str">
        <f t="shared" ca="1" si="653"/>
        <v>Debit Card</v>
      </c>
      <c r="AD1901" t="str">
        <f t="shared" ca="1" si="654"/>
        <v>No</v>
      </c>
      <c r="AE1901" t="str">
        <f t="shared" ca="1" si="655"/>
        <v>No</v>
      </c>
      <c r="AF1901" t="str">
        <f t="shared" ca="1" si="656"/>
        <v>Transferred</v>
      </c>
      <c r="AG1901" t="str">
        <f t="shared" ca="1" si="657"/>
        <v>Northeast</v>
      </c>
      <c r="AH1901" t="str">
        <f t="shared" si="640"/>
        <v>August</v>
      </c>
      <c r="AI1901">
        <f t="shared" si="641"/>
        <v>2020</v>
      </c>
      <c r="AJ1901" t="str">
        <f t="shared" ca="1" si="658"/>
        <v>Occupied</v>
      </c>
      <c r="AK1901">
        <f t="shared" ca="1" si="659"/>
        <v>4</v>
      </c>
    </row>
    <row r="1902" spans="1:37" x14ac:dyDescent="0.3">
      <c r="A1902" t="s">
        <v>6276</v>
      </c>
      <c r="B1902">
        <v>74</v>
      </c>
      <c r="C1902" t="s">
        <v>32</v>
      </c>
      <c r="D1902" t="s">
        <v>24</v>
      </c>
      <c r="E1902" t="s">
        <v>39</v>
      </c>
      <c r="F1902" s="1">
        <v>44239</v>
      </c>
      <c r="G1902" t="s">
        <v>3777</v>
      </c>
      <c r="H1902" t="s">
        <v>3778</v>
      </c>
      <c r="I1902" t="s">
        <v>57</v>
      </c>
      <c r="J1902">
        <v>4289</v>
      </c>
      <c r="K1902">
        <v>186</v>
      </c>
      <c r="L1902" t="s">
        <v>42</v>
      </c>
      <c r="M1902" s="1">
        <v>44269</v>
      </c>
      <c r="N1902" t="s">
        <v>67</v>
      </c>
      <c r="O1902" t="s">
        <v>23</v>
      </c>
      <c r="P1902" t="str">
        <f t="shared" si="642"/>
        <v>P1901</v>
      </c>
      <c r="Q1902" t="str">
        <f t="shared" si="638"/>
        <v>Endocrinology</v>
      </c>
      <c r="R1902">
        <f t="shared" si="639"/>
        <v>30</v>
      </c>
      <c r="S1902" t="str">
        <f t="shared" ca="1" si="643"/>
        <v>No</v>
      </c>
      <c r="T1902" t="str">
        <f t="shared" ca="1" si="644"/>
        <v>Moderate</v>
      </c>
      <c r="U1902" t="str">
        <f t="shared" ca="1" si="645"/>
        <v>General Ward</v>
      </c>
      <c r="V1902" t="str">
        <f t="shared" si="646"/>
        <v>BED1901</v>
      </c>
      <c r="W1902" t="str">
        <f t="shared" ca="1" si="647"/>
        <v>Semi-Private</v>
      </c>
      <c r="X1902" t="str">
        <f t="shared" si="648"/>
        <v>NUR001</v>
      </c>
      <c r="Y1902" t="str">
        <f t="shared" ca="1" si="649"/>
        <v>Evening</v>
      </c>
      <c r="Z1902" t="str">
        <f t="shared" ca="1" si="650"/>
        <v>X-Ray</v>
      </c>
      <c r="AA1902" t="str">
        <f t="shared" ca="1" si="651"/>
        <v>Available</v>
      </c>
      <c r="AB1902" t="str">
        <f t="shared" ca="1" si="652"/>
        <v>Pending</v>
      </c>
      <c r="AC1902" t="str">
        <f t="shared" ca="1" si="653"/>
        <v>Bank Transfer</v>
      </c>
      <c r="AD1902" t="str">
        <f t="shared" ca="1" si="654"/>
        <v>No</v>
      </c>
      <c r="AE1902" t="str">
        <f t="shared" ca="1" si="655"/>
        <v>No</v>
      </c>
      <c r="AF1902" t="str">
        <f t="shared" ca="1" si="656"/>
        <v>Transferred</v>
      </c>
      <c r="AG1902" t="str">
        <f t="shared" ca="1" si="657"/>
        <v>Southeast</v>
      </c>
      <c r="AH1902" t="str">
        <f t="shared" si="640"/>
        <v>February</v>
      </c>
      <c r="AI1902">
        <f t="shared" si="641"/>
        <v>2021</v>
      </c>
      <c r="AJ1902" t="str">
        <f t="shared" ca="1" si="658"/>
        <v>Occupied</v>
      </c>
      <c r="AK1902">
        <f t="shared" ca="1" si="659"/>
        <v>2</v>
      </c>
    </row>
    <row r="1903" spans="1:37" x14ac:dyDescent="0.3">
      <c r="A1903" t="s">
        <v>6277</v>
      </c>
      <c r="B1903">
        <v>39</v>
      </c>
      <c r="C1903" t="s">
        <v>15</v>
      </c>
      <c r="D1903" t="s">
        <v>83</v>
      </c>
      <c r="E1903" t="s">
        <v>25</v>
      </c>
      <c r="F1903" s="1">
        <v>44811</v>
      </c>
      <c r="G1903" t="s">
        <v>3779</v>
      </c>
      <c r="H1903" t="s">
        <v>3780</v>
      </c>
      <c r="I1903" t="s">
        <v>51</v>
      </c>
      <c r="J1903">
        <v>11905</v>
      </c>
      <c r="K1903">
        <v>160</v>
      </c>
      <c r="L1903" t="s">
        <v>42</v>
      </c>
      <c r="M1903" s="1">
        <v>44825</v>
      </c>
      <c r="N1903" t="s">
        <v>37</v>
      </c>
      <c r="O1903" t="s">
        <v>43</v>
      </c>
      <c r="P1903" t="str">
        <f t="shared" si="642"/>
        <v>P1902</v>
      </c>
      <c r="Q1903" t="str">
        <f t="shared" si="638"/>
        <v>Nutrition</v>
      </c>
      <c r="R1903">
        <f t="shared" si="639"/>
        <v>14</v>
      </c>
      <c r="S1903" t="str">
        <f t="shared" ca="1" si="643"/>
        <v>No</v>
      </c>
      <c r="T1903" t="str">
        <f t="shared" ca="1" si="644"/>
        <v>Mild</v>
      </c>
      <c r="U1903" t="str">
        <f t="shared" ca="1" si="645"/>
        <v>ICU</v>
      </c>
      <c r="V1903" t="str">
        <f t="shared" si="646"/>
        <v>BED1902</v>
      </c>
      <c r="W1903" t="str">
        <f t="shared" ca="1" si="647"/>
        <v>Semi-Private</v>
      </c>
      <c r="X1903" t="str">
        <f t="shared" si="648"/>
        <v>NUR002</v>
      </c>
      <c r="Y1903" t="str">
        <f t="shared" ca="1" si="649"/>
        <v>Night</v>
      </c>
      <c r="Z1903" t="str">
        <f t="shared" ca="1" si="650"/>
        <v>MRI Scanner</v>
      </c>
      <c r="AA1903" t="str">
        <f t="shared" ca="1" si="651"/>
        <v>Available</v>
      </c>
      <c r="AB1903" t="str">
        <f t="shared" ca="1" si="652"/>
        <v>Partially Paid</v>
      </c>
      <c r="AC1903" t="str">
        <f t="shared" ca="1" si="653"/>
        <v>Bank Transfer</v>
      </c>
      <c r="AD1903" t="str">
        <f t="shared" ca="1" si="654"/>
        <v>No</v>
      </c>
      <c r="AE1903" t="str">
        <f t="shared" ca="1" si="655"/>
        <v>No</v>
      </c>
      <c r="AF1903" t="str">
        <f t="shared" ca="1" si="656"/>
        <v>Transferred</v>
      </c>
      <c r="AG1903" t="str">
        <f t="shared" ca="1" si="657"/>
        <v>West Coast</v>
      </c>
      <c r="AH1903" t="str">
        <f t="shared" si="640"/>
        <v>September</v>
      </c>
      <c r="AI1903">
        <f t="shared" si="641"/>
        <v>2022</v>
      </c>
      <c r="AJ1903" t="str">
        <f t="shared" ca="1" si="658"/>
        <v>Vacant</v>
      </c>
      <c r="AK1903">
        <f t="shared" ca="1" si="659"/>
        <v>4</v>
      </c>
    </row>
    <row r="1904" spans="1:37" x14ac:dyDescent="0.3">
      <c r="A1904" t="s">
        <v>6278</v>
      </c>
      <c r="B1904">
        <v>43</v>
      </c>
      <c r="C1904" t="s">
        <v>32</v>
      </c>
      <c r="D1904" t="s">
        <v>44</v>
      </c>
      <c r="E1904" t="s">
        <v>17</v>
      </c>
      <c r="F1904" s="1">
        <v>44064</v>
      </c>
      <c r="G1904" t="s">
        <v>3781</v>
      </c>
      <c r="H1904" t="s">
        <v>3782</v>
      </c>
      <c r="I1904" t="s">
        <v>28</v>
      </c>
      <c r="J1904">
        <v>9988</v>
      </c>
      <c r="K1904">
        <v>336</v>
      </c>
      <c r="L1904" t="s">
        <v>21</v>
      </c>
      <c r="M1904" s="1">
        <v>44068</v>
      </c>
      <c r="N1904" t="s">
        <v>37</v>
      </c>
      <c r="O1904" t="s">
        <v>31</v>
      </c>
      <c r="P1904" t="str">
        <f t="shared" si="642"/>
        <v>P1903</v>
      </c>
      <c r="Q1904" t="str">
        <f t="shared" si="638"/>
        <v>Oncology</v>
      </c>
      <c r="R1904">
        <f t="shared" si="639"/>
        <v>4</v>
      </c>
      <c r="S1904" t="str">
        <f t="shared" ca="1" si="643"/>
        <v>Yes</v>
      </c>
      <c r="T1904" t="str">
        <f t="shared" ca="1" si="644"/>
        <v>Severe</v>
      </c>
      <c r="U1904" t="str">
        <f t="shared" ca="1" si="645"/>
        <v>Private Ward</v>
      </c>
      <c r="V1904" t="str">
        <f t="shared" si="646"/>
        <v>BED1903</v>
      </c>
      <c r="W1904" t="str">
        <f t="shared" ca="1" si="647"/>
        <v>Semi-Private</v>
      </c>
      <c r="X1904" t="str">
        <f t="shared" si="648"/>
        <v>NUR003</v>
      </c>
      <c r="Y1904" t="str">
        <f t="shared" ca="1" si="649"/>
        <v>Night</v>
      </c>
      <c r="Z1904" t="str">
        <f t="shared" ca="1" si="650"/>
        <v>MRI Scanner</v>
      </c>
      <c r="AA1904" t="str">
        <f t="shared" ca="1" si="651"/>
        <v>Maintenance</v>
      </c>
      <c r="AB1904" t="str">
        <f t="shared" ca="1" si="652"/>
        <v>Pending</v>
      </c>
      <c r="AC1904" t="str">
        <f t="shared" ca="1" si="653"/>
        <v>Bank Transfer</v>
      </c>
      <c r="AD1904" t="str">
        <f t="shared" ca="1" si="654"/>
        <v>No</v>
      </c>
      <c r="AE1904" t="str">
        <f t="shared" ca="1" si="655"/>
        <v>No</v>
      </c>
      <c r="AF1904" t="str">
        <f t="shared" ca="1" si="656"/>
        <v>Under Observation</v>
      </c>
      <c r="AG1904" t="str">
        <f t="shared" ca="1" si="657"/>
        <v>Midwest</v>
      </c>
      <c r="AH1904" t="str">
        <f t="shared" si="640"/>
        <v>August</v>
      </c>
      <c r="AI1904">
        <f t="shared" si="641"/>
        <v>2020</v>
      </c>
      <c r="AJ1904" t="str">
        <f t="shared" ca="1" si="658"/>
        <v>Occupied</v>
      </c>
      <c r="AK1904">
        <f t="shared" ca="1" si="659"/>
        <v>4</v>
      </c>
    </row>
    <row r="1905" spans="1:37" x14ac:dyDescent="0.3">
      <c r="A1905" t="s">
        <v>6279</v>
      </c>
      <c r="B1905">
        <v>46</v>
      </c>
      <c r="C1905" t="s">
        <v>15</v>
      </c>
      <c r="D1905" t="s">
        <v>24</v>
      </c>
      <c r="E1905" t="s">
        <v>25</v>
      </c>
      <c r="F1905" s="1">
        <v>44268</v>
      </c>
      <c r="G1905" t="s">
        <v>3783</v>
      </c>
      <c r="H1905" t="s">
        <v>3784</v>
      </c>
      <c r="I1905" t="s">
        <v>28</v>
      </c>
      <c r="J1905">
        <v>12060</v>
      </c>
      <c r="K1905">
        <v>397</v>
      </c>
      <c r="L1905" t="s">
        <v>42</v>
      </c>
      <c r="M1905" s="1">
        <v>44294</v>
      </c>
      <c r="N1905" t="s">
        <v>22</v>
      </c>
      <c r="O1905" t="s">
        <v>31</v>
      </c>
      <c r="P1905" t="str">
        <f t="shared" si="642"/>
        <v>P1904</v>
      </c>
      <c r="Q1905" t="str">
        <f t="shared" si="638"/>
        <v>Nutrition</v>
      </c>
      <c r="R1905">
        <f t="shared" si="639"/>
        <v>26</v>
      </c>
      <c r="S1905" t="str">
        <f t="shared" ca="1" si="643"/>
        <v>No</v>
      </c>
      <c r="T1905" t="str">
        <f t="shared" ca="1" si="644"/>
        <v>Moderate</v>
      </c>
      <c r="U1905" t="str">
        <f t="shared" ca="1" si="645"/>
        <v>General Ward</v>
      </c>
      <c r="V1905" t="str">
        <f t="shared" si="646"/>
        <v>BED1904</v>
      </c>
      <c r="W1905" t="str">
        <f t="shared" ca="1" si="647"/>
        <v>ICU</v>
      </c>
      <c r="X1905" t="str">
        <f t="shared" si="648"/>
        <v>NUR004</v>
      </c>
      <c r="Y1905" t="str">
        <f t="shared" ca="1" si="649"/>
        <v>Night</v>
      </c>
      <c r="Z1905" t="str">
        <f t="shared" ca="1" si="650"/>
        <v>CT Scanner</v>
      </c>
      <c r="AA1905" t="str">
        <f t="shared" ca="1" si="651"/>
        <v>Maintenance</v>
      </c>
      <c r="AB1905" t="str">
        <f t="shared" ca="1" si="652"/>
        <v>Paid</v>
      </c>
      <c r="AC1905" t="str">
        <f t="shared" ca="1" si="653"/>
        <v>Credit Card</v>
      </c>
      <c r="AD1905" t="str">
        <f t="shared" ca="1" si="654"/>
        <v>No</v>
      </c>
      <c r="AE1905" t="str">
        <f t="shared" ca="1" si="655"/>
        <v>No</v>
      </c>
      <c r="AF1905" t="str">
        <f t="shared" ca="1" si="656"/>
        <v>Recovered</v>
      </c>
      <c r="AG1905" t="str">
        <f t="shared" ca="1" si="657"/>
        <v>Southwest</v>
      </c>
      <c r="AH1905" t="str">
        <f t="shared" si="640"/>
        <v>March</v>
      </c>
      <c r="AI1905">
        <f t="shared" si="641"/>
        <v>2021</v>
      </c>
      <c r="AJ1905" t="str">
        <f t="shared" ca="1" si="658"/>
        <v>Occupied</v>
      </c>
      <c r="AK1905">
        <f t="shared" ca="1" si="659"/>
        <v>2</v>
      </c>
    </row>
    <row r="1906" spans="1:37" x14ac:dyDescent="0.3">
      <c r="A1906" t="s">
        <v>6280</v>
      </c>
      <c r="B1906">
        <v>45</v>
      </c>
      <c r="C1906" t="s">
        <v>32</v>
      </c>
      <c r="D1906" t="s">
        <v>33</v>
      </c>
      <c r="E1906" t="s">
        <v>39</v>
      </c>
      <c r="F1906" s="1">
        <v>45280</v>
      </c>
      <c r="G1906" t="s">
        <v>3785</v>
      </c>
      <c r="H1906" t="s">
        <v>3786</v>
      </c>
      <c r="I1906" t="s">
        <v>51</v>
      </c>
      <c r="J1906">
        <v>48887</v>
      </c>
      <c r="K1906">
        <v>258</v>
      </c>
      <c r="L1906" t="s">
        <v>29</v>
      </c>
      <c r="M1906" s="1">
        <v>45300</v>
      </c>
      <c r="N1906" t="s">
        <v>22</v>
      </c>
      <c r="O1906" t="s">
        <v>31</v>
      </c>
      <c r="P1906" t="str">
        <f t="shared" si="642"/>
        <v>P1905</v>
      </c>
      <c r="Q1906" t="str">
        <f t="shared" si="638"/>
        <v>Endocrinology</v>
      </c>
      <c r="R1906">
        <f t="shared" si="639"/>
        <v>20</v>
      </c>
      <c r="S1906" t="str">
        <f t="shared" ca="1" si="643"/>
        <v>No</v>
      </c>
      <c r="T1906" t="str">
        <f t="shared" ca="1" si="644"/>
        <v>Mild</v>
      </c>
      <c r="U1906" t="str">
        <f t="shared" ca="1" si="645"/>
        <v>General Ward</v>
      </c>
      <c r="V1906" t="str">
        <f t="shared" si="646"/>
        <v>BED1905</v>
      </c>
      <c r="W1906" t="str">
        <f t="shared" ca="1" si="647"/>
        <v>ICU</v>
      </c>
      <c r="X1906" t="str">
        <f t="shared" si="648"/>
        <v>NUR005</v>
      </c>
      <c r="Y1906" t="str">
        <f t="shared" ca="1" si="649"/>
        <v>Evening</v>
      </c>
      <c r="Z1906" t="str">
        <f t="shared" ca="1" si="650"/>
        <v>CT Scanner</v>
      </c>
      <c r="AA1906" t="str">
        <f t="shared" ca="1" si="651"/>
        <v>Available</v>
      </c>
      <c r="AB1906" t="str">
        <f t="shared" ca="1" si="652"/>
        <v>Partially Paid</v>
      </c>
      <c r="AC1906" t="str">
        <f t="shared" ca="1" si="653"/>
        <v>Credit Card</v>
      </c>
      <c r="AD1906" t="str">
        <f t="shared" ca="1" si="654"/>
        <v>Yes</v>
      </c>
      <c r="AE1906" t="str">
        <f t="shared" ca="1" si="655"/>
        <v>No</v>
      </c>
      <c r="AF1906" t="str">
        <f t="shared" ca="1" si="656"/>
        <v>Under Observation</v>
      </c>
      <c r="AG1906" t="str">
        <f t="shared" ca="1" si="657"/>
        <v>Midwest</v>
      </c>
      <c r="AH1906" t="str">
        <f t="shared" si="640"/>
        <v>December</v>
      </c>
      <c r="AI1906">
        <f t="shared" si="641"/>
        <v>2023</v>
      </c>
      <c r="AJ1906" t="str">
        <f t="shared" ca="1" si="658"/>
        <v>Vacant</v>
      </c>
      <c r="AK1906">
        <f t="shared" ca="1" si="659"/>
        <v>1</v>
      </c>
    </row>
    <row r="1907" spans="1:37" x14ac:dyDescent="0.3">
      <c r="A1907" t="s">
        <v>6281</v>
      </c>
      <c r="B1907">
        <v>44</v>
      </c>
      <c r="C1907" t="s">
        <v>32</v>
      </c>
      <c r="D1907" t="s">
        <v>24</v>
      </c>
      <c r="E1907" t="s">
        <v>64</v>
      </c>
      <c r="F1907" s="1">
        <v>43757</v>
      </c>
      <c r="G1907" t="s">
        <v>3787</v>
      </c>
      <c r="H1907" t="s">
        <v>3788</v>
      </c>
      <c r="I1907" t="s">
        <v>57</v>
      </c>
      <c r="J1907">
        <v>22992</v>
      </c>
      <c r="K1907">
        <v>499</v>
      </c>
      <c r="L1907" t="s">
        <v>42</v>
      </c>
      <c r="M1907" s="1">
        <v>43775</v>
      </c>
      <c r="N1907" t="s">
        <v>22</v>
      </c>
      <c r="O1907" t="s">
        <v>31</v>
      </c>
      <c r="P1907" t="str">
        <f t="shared" si="642"/>
        <v>P1906</v>
      </c>
      <c r="Q1907" t="str">
        <f t="shared" si="638"/>
        <v>Cardiology</v>
      </c>
      <c r="R1907">
        <f t="shared" si="639"/>
        <v>18</v>
      </c>
      <c r="S1907" t="str">
        <f t="shared" ca="1" si="643"/>
        <v>No</v>
      </c>
      <c r="T1907" t="str">
        <f t="shared" ca="1" si="644"/>
        <v>Severe</v>
      </c>
      <c r="U1907" t="str">
        <f t="shared" ca="1" si="645"/>
        <v>Private Ward</v>
      </c>
      <c r="V1907" t="str">
        <f t="shared" si="646"/>
        <v>BED1906</v>
      </c>
      <c r="W1907" t="str">
        <f t="shared" ca="1" si="647"/>
        <v>General</v>
      </c>
      <c r="X1907" t="str">
        <f t="shared" si="648"/>
        <v>NUR006</v>
      </c>
      <c r="Y1907" t="str">
        <f t="shared" ca="1" si="649"/>
        <v>Evening</v>
      </c>
      <c r="Z1907" t="str">
        <f t="shared" ca="1" si="650"/>
        <v>Ventilator</v>
      </c>
      <c r="AA1907" t="str">
        <f t="shared" ca="1" si="651"/>
        <v>Maintenance</v>
      </c>
      <c r="AB1907" t="str">
        <f t="shared" ca="1" si="652"/>
        <v>Partially Paid</v>
      </c>
      <c r="AC1907" t="str">
        <f t="shared" ca="1" si="653"/>
        <v>Cash</v>
      </c>
      <c r="AD1907" t="str">
        <f t="shared" ca="1" si="654"/>
        <v>No</v>
      </c>
      <c r="AE1907" t="str">
        <f t="shared" ca="1" si="655"/>
        <v>No</v>
      </c>
      <c r="AF1907" t="str">
        <f t="shared" ca="1" si="656"/>
        <v>Recovered</v>
      </c>
      <c r="AG1907" t="str">
        <f t="shared" ca="1" si="657"/>
        <v>Midwest</v>
      </c>
      <c r="AH1907" t="str">
        <f t="shared" si="640"/>
        <v>October</v>
      </c>
      <c r="AI1907">
        <f t="shared" si="641"/>
        <v>2019</v>
      </c>
      <c r="AJ1907" t="str">
        <f t="shared" ca="1" si="658"/>
        <v>Occupied</v>
      </c>
      <c r="AK1907">
        <f t="shared" ca="1" si="659"/>
        <v>4</v>
      </c>
    </row>
    <row r="1908" spans="1:37" x14ac:dyDescent="0.3">
      <c r="A1908" t="s">
        <v>6282</v>
      </c>
      <c r="B1908">
        <v>44</v>
      </c>
      <c r="C1908" t="s">
        <v>32</v>
      </c>
      <c r="D1908" t="s">
        <v>38</v>
      </c>
      <c r="E1908" t="s">
        <v>25</v>
      </c>
      <c r="F1908" s="1">
        <v>44404</v>
      </c>
      <c r="G1908" t="s">
        <v>3789</v>
      </c>
      <c r="H1908" t="s">
        <v>3790</v>
      </c>
      <c r="I1908" t="s">
        <v>36</v>
      </c>
      <c r="J1908">
        <v>37517</v>
      </c>
      <c r="K1908">
        <v>483</v>
      </c>
      <c r="L1908" t="s">
        <v>29</v>
      </c>
      <c r="M1908" s="1">
        <v>44428</v>
      </c>
      <c r="N1908" t="s">
        <v>47</v>
      </c>
      <c r="O1908" t="s">
        <v>43</v>
      </c>
      <c r="P1908" t="str">
        <f t="shared" si="642"/>
        <v>P1907</v>
      </c>
      <c r="Q1908" t="str">
        <f t="shared" si="638"/>
        <v>Nutrition</v>
      </c>
      <c r="R1908">
        <f t="shared" si="639"/>
        <v>24</v>
      </c>
      <c r="S1908" t="str">
        <f t="shared" ca="1" si="643"/>
        <v>No</v>
      </c>
      <c r="T1908" t="str">
        <f t="shared" ca="1" si="644"/>
        <v>Mild</v>
      </c>
      <c r="U1908" t="str">
        <f t="shared" ca="1" si="645"/>
        <v>Semi-Private</v>
      </c>
      <c r="V1908" t="str">
        <f t="shared" si="646"/>
        <v>BED1907</v>
      </c>
      <c r="W1908" t="str">
        <f t="shared" ca="1" si="647"/>
        <v>Semi-Private</v>
      </c>
      <c r="X1908" t="str">
        <f t="shared" si="648"/>
        <v>NUR007</v>
      </c>
      <c r="Y1908" t="str">
        <f t="shared" ca="1" si="649"/>
        <v>Morning</v>
      </c>
      <c r="Z1908" t="str">
        <f t="shared" ca="1" si="650"/>
        <v>Ultrasound</v>
      </c>
      <c r="AA1908" t="str">
        <f t="shared" ca="1" si="651"/>
        <v>Available</v>
      </c>
      <c r="AB1908" t="str">
        <f t="shared" ca="1" si="652"/>
        <v>Pending</v>
      </c>
      <c r="AC1908" t="str">
        <f t="shared" ca="1" si="653"/>
        <v>Credit Card</v>
      </c>
      <c r="AD1908" t="str">
        <f t="shared" ca="1" si="654"/>
        <v>Yes</v>
      </c>
      <c r="AE1908" t="str">
        <f t="shared" ca="1" si="655"/>
        <v>Yes</v>
      </c>
      <c r="AF1908" t="str">
        <f t="shared" ca="1" si="656"/>
        <v>Transferred</v>
      </c>
      <c r="AG1908" t="str">
        <f t="shared" ca="1" si="657"/>
        <v>West Coast</v>
      </c>
      <c r="AH1908" t="str">
        <f t="shared" si="640"/>
        <v>July</v>
      </c>
      <c r="AI1908">
        <f t="shared" si="641"/>
        <v>2021</v>
      </c>
      <c r="AJ1908" t="str">
        <f t="shared" ca="1" si="658"/>
        <v>Occupied</v>
      </c>
      <c r="AK1908">
        <f t="shared" ca="1" si="659"/>
        <v>4</v>
      </c>
    </row>
    <row r="1909" spans="1:37" x14ac:dyDescent="0.3">
      <c r="A1909" t="s">
        <v>6283</v>
      </c>
      <c r="B1909">
        <v>70</v>
      </c>
      <c r="C1909" t="s">
        <v>15</v>
      </c>
      <c r="D1909" t="s">
        <v>98</v>
      </c>
      <c r="E1909" t="s">
        <v>25</v>
      </c>
      <c r="F1909" s="1">
        <v>44319</v>
      </c>
      <c r="G1909" t="s">
        <v>3791</v>
      </c>
      <c r="H1909" t="s">
        <v>3792</v>
      </c>
      <c r="I1909" t="s">
        <v>51</v>
      </c>
      <c r="J1909">
        <v>32798</v>
      </c>
      <c r="K1909">
        <v>120</v>
      </c>
      <c r="L1909" t="s">
        <v>21</v>
      </c>
      <c r="M1909" s="1">
        <v>44349</v>
      </c>
      <c r="N1909" t="s">
        <v>22</v>
      </c>
      <c r="O1909" t="s">
        <v>23</v>
      </c>
      <c r="P1909" t="str">
        <f t="shared" si="642"/>
        <v>P1908</v>
      </c>
      <c r="Q1909" t="str">
        <f t="shared" si="638"/>
        <v>Nutrition</v>
      </c>
      <c r="R1909">
        <f t="shared" si="639"/>
        <v>30</v>
      </c>
      <c r="S1909" t="str">
        <f t="shared" ca="1" si="643"/>
        <v>No</v>
      </c>
      <c r="T1909" t="str">
        <f t="shared" ca="1" si="644"/>
        <v>Critical</v>
      </c>
      <c r="U1909" t="str">
        <f t="shared" ca="1" si="645"/>
        <v>General Ward</v>
      </c>
      <c r="V1909" t="str">
        <f t="shared" si="646"/>
        <v>BED1908</v>
      </c>
      <c r="W1909" t="str">
        <f t="shared" ca="1" si="647"/>
        <v>ICU</v>
      </c>
      <c r="X1909" t="str">
        <f t="shared" si="648"/>
        <v>NUR008</v>
      </c>
      <c r="Y1909" t="str">
        <f t="shared" ca="1" si="649"/>
        <v>Morning</v>
      </c>
      <c r="Z1909" t="str">
        <f t="shared" ca="1" si="650"/>
        <v>Ultrasound</v>
      </c>
      <c r="AA1909" t="str">
        <f t="shared" ca="1" si="651"/>
        <v>Available</v>
      </c>
      <c r="AB1909" t="str">
        <f t="shared" ca="1" si="652"/>
        <v>Partially Paid</v>
      </c>
      <c r="AC1909" t="str">
        <f t="shared" ca="1" si="653"/>
        <v>Debit Card</v>
      </c>
      <c r="AD1909" t="str">
        <f t="shared" ca="1" si="654"/>
        <v>No</v>
      </c>
      <c r="AE1909" t="str">
        <f t="shared" ca="1" si="655"/>
        <v>No</v>
      </c>
      <c r="AF1909" t="str">
        <f t="shared" ca="1" si="656"/>
        <v>Recovered</v>
      </c>
      <c r="AG1909" t="str">
        <f t="shared" ca="1" si="657"/>
        <v>Southeast</v>
      </c>
      <c r="AH1909" t="str">
        <f t="shared" si="640"/>
        <v>May</v>
      </c>
      <c r="AI1909">
        <f t="shared" si="641"/>
        <v>2021</v>
      </c>
      <c r="AJ1909" t="str">
        <f t="shared" ca="1" si="658"/>
        <v>Occupied</v>
      </c>
      <c r="AK1909">
        <f t="shared" ca="1" si="659"/>
        <v>2</v>
      </c>
    </row>
    <row r="1910" spans="1:37" x14ac:dyDescent="0.3">
      <c r="A1910" t="s">
        <v>6284</v>
      </c>
      <c r="B1910">
        <v>46</v>
      </c>
      <c r="C1910" t="s">
        <v>32</v>
      </c>
      <c r="D1910" t="s">
        <v>98</v>
      </c>
      <c r="E1910" t="s">
        <v>64</v>
      </c>
      <c r="F1910" s="1">
        <v>44451</v>
      </c>
      <c r="G1910" t="s">
        <v>3793</v>
      </c>
      <c r="H1910" t="s">
        <v>3794</v>
      </c>
      <c r="I1910" t="s">
        <v>36</v>
      </c>
      <c r="J1910">
        <v>34339</v>
      </c>
      <c r="K1910">
        <v>303</v>
      </c>
      <c r="L1910" t="s">
        <v>29</v>
      </c>
      <c r="M1910" s="1">
        <v>44472</v>
      </c>
      <c r="N1910" t="s">
        <v>67</v>
      </c>
      <c r="O1910" t="s">
        <v>23</v>
      </c>
      <c r="P1910" t="str">
        <f t="shared" si="642"/>
        <v>P1909</v>
      </c>
      <c r="Q1910" t="str">
        <f t="shared" si="638"/>
        <v>Cardiology</v>
      </c>
      <c r="R1910">
        <f t="shared" si="639"/>
        <v>21</v>
      </c>
      <c r="S1910" t="str">
        <f t="shared" ca="1" si="643"/>
        <v>No</v>
      </c>
      <c r="T1910" t="str">
        <f t="shared" ca="1" si="644"/>
        <v>Mild</v>
      </c>
      <c r="U1910" t="str">
        <f t="shared" ca="1" si="645"/>
        <v>ICU</v>
      </c>
      <c r="V1910" t="str">
        <f t="shared" si="646"/>
        <v>BED1909</v>
      </c>
      <c r="W1910" t="str">
        <f t="shared" ca="1" si="647"/>
        <v>ICU</v>
      </c>
      <c r="X1910" t="str">
        <f t="shared" si="648"/>
        <v>NUR009</v>
      </c>
      <c r="Y1910" t="str">
        <f t="shared" ca="1" si="649"/>
        <v>Evening</v>
      </c>
      <c r="Z1910" t="str">
        <f t="shared" ca="1" si="650"/>
        <v>Ultrasound</v>
      </c>
      <c r="AA1910" t="str">
        <f t="shared" ca="1" si="651"/>
        <v>Available</v>
      </c>
      <c r="AB1910" t="str">
        <f t="shared" ca="1" si="652"/>
        <v>Paid</v>
      </c>
      <c r="AC1910" t="str">
        <f t="shared" ca="1" si="653"/>
        <v>Insurance</v>
      </c>
      <c r="AD1910" t="str">
        <f t="shared" ca="1" si="654"/>
        <v>No</v>
      </c>
      <c r="AE1910" t="str">
        <f t="shared" ca="1" si="655"/>
        <v>No</v>
      </c>
      <c r="AF1910" t="str">
        <f t="shared" ca="1" si="656"/>
        <v>Under Observation</v>
      </c>
      <c r="AG1910" t="str">
        <f t="shared" ca="1" si="657"/>
        <v>Southwest</v>
      </c>
      <c r="AH1910" t="str">
        <f t="shared" si="640"/>
        <v>September</v>
      </c>
      <c r="AI1910">
        <f t="shared" si="641"/>
        <v>2021</v>
      </c>
      <c r="AJ1910" t="str">
        <f t="shared" ca="1" si="658"/>
        <v>Occupied</v>
      </c>
      <c r="AK1910">
        <f t="shared" ca="1" si="659"/>
        <v>4</v>
      </c>
    </row>
    <row r="1911" spans="1:37" x14ac:dyDescent="0.3">
      <c r="A1911" t="s">
        <v>6285</v>
      </c>
      <c r="B1911">
        <v>34</v>
      </c>
      <c r="C1911" t="s">
        <v>32</v>
      </c>
      <c r="D1911" t="s">
        <v>83</v>
      </c>
      <c r="E1911" t="s">
        <v>25</v>
      </c>
      <c r="F1911" s="1">
        <v>45087</v>
      </c>
      <c r="G1911" t="s">
        <v>3795</v>
      </c>
      <c r="H1911" t="s">
        <v>3796</v>
      </c>
      <c r="I1911" t="s">
        <v>57</v>
      </c>
      <c r="J1911">
        <v>44232</v>
      </c>
      <c r="K1911">
        <v>163</v>
      </c>
      <c r="L1911" t="s">
        <v>29</v>
      </c>
      <c r="M1911" s="1">
        <v>45097</v>
      </c>
      <c r="N1911" t="s">
        <v>30</v>
      </c>
      <c r="O1911" t="s">
        <v>43</v>
      </c>
      <c r="P1911" t="str">
        <f t="shared" si="642"/>
        <v>P1910</v>
      </c>
      <c r="Q1911" t="str">
        <f t="shared" si="638"/>
        <v>Nutrition</v>
      </c>
      <c r="R1911">
        <f t="shared" si="639"/>
        <v>10</v>
      </c>
      <c r="S1911" t="str">
        <f t="shared" ca="1" si="643"/>
        <v>No</v>
      </c>
      <c r="T1911" t="str">
        <f t="shared" ca="1" si="644"/>
        <v>Critical</v>
      </c>
      <c r="U1911" t="str">
        <f t="shared" ca="1" si="645"/>
        <v>Emergency</v>
      </c>
      <c r="V1911" t="str">
        <f t="shared" si="646"/>
        <v>BED1910</v>
      </c>
      <c r="W1911" t="str">
        <f t="shared" ca="1" si="647"/>
        <v>General</v>
      </c>
      <c r="X1911" t="str">
        <f t="shared" si="648"/>
        <v>NUR010</v>
      </c>
      <c r="Y1911" t="str">
        <f t="shared" ca="1" si="649"/>
        <v>Evening</v>
      </c>
      <c r="Z1911" t="str">
        <f t="shared" ca="1" si="650"/>
        <v>X-Ray</v>
      </c>
      <c r="AA1911" t="str">
        <f t="shared" ca="1" si="651"/>
        <v>Maintenance</v>
      </c>
      <c r="AB1911" t="str">
        <f t="shared" ca="1" si="652"/>
        <v>Paid</v>
      </c>
      <c r="AC1911" t="str">
        <f t="shared" ca="1" si="653"/>
        <v>Insurance</v>
      </c>
      <c r="AD1911" t="str">
        <f t="shared" ca="1" si="654"/>
        <v>No</v>
      </c>
      <c r="AE1911" t="str">
        <f t="shared" ca="1" si="655"/>
        <v>No</v>
      </c>
      <c r="AF1911" t="str">
        <f t="shared" ca="1" si="656"/>
        <v>Under Observation</v>
      </c>
      <c r="AG1911" t="str">
        <f t="shared" ca="1" si="657"/>
        <v>West Coast</v>
      </c>
      <c r="AH1911" t="str">
        <f t="shared" si="640"/>
        <v>June</v>
      </c>
      <c r="AI1911">
        <f t="shared" si="641"/>
        <v>2023</v>
      </c>
      <c r="AJ1911" t="str">
        <f t="shared" ca="1" si="658"/>
        <v>Vacant</v>
      </c>
      <c r="AK1911">
        <f t="shared" ca="1" si="659"/>
        <v>4</v>
      </c>
    </row>
    <row r="1912" spans="1:37" x14ac:dyDescent="0.3">
      <c r="A1912" t="s">
        <v>6286</v>
      </c>
      <c r="B1912">
        <v>28</v>
      </c>
      <c r="C1912" t="s">
        <v>15</v>
      </c>
      <c r="D1912" t="s">
        <v>44</v>
      </c>
      <c r="E1912" t="s">
        <v>76</v>
      </c>
      <c r="F1912" s="1">
        <v>43689</v>
      </c>
      <c r="G1912" t="s">
        <v>3797</v>
      </c>
      <c r="H1912" t="s">
        <v>3798</v>
      </c>
      <c r="I1912" t="s">
        <v>51</v>
      </c>
      <c r="J1912">
        <v>35976</v>
      </c>
      <c r="K1912">
        <v>340</v>
      </c>
      <c r="L1912" t="s">
        <v>29</v>
      </c>
      <c r="M1912" s="1">
        <v>43697</v>
      </c>
      <c r="N1912" t="s">
        <v>67</v>
      </c>
      <c r="O1912" t="s">
        <v>23</v>
      </c>
      <c r="P1912" t="str">
        <f t="shared" si="642"/>
        <v>P1911</v>
      </c>
      <c r="Q1912" t="str">
        <f t="shared" si="638"/>
        <v>Orthopedics</v>
      </c>
      <c r="R1912">
        <f t="shared" si="639"/>
        <v>8</v>
      </c>
      <c r="S1912" t="str">
        <f t="shared" ca="1" si="643"/>
        <v>No</v>
      </c>
      <c r="T1912" t="str">
        <f t="shared" ca="1" si="644"/>
        <v>Moderate</v>
      </c>
      <c r="U1912" t="str">
        <f t="shared" ca="1" si="645"/>
        <v>General Ward</v>
      </c>
      <c r="V1912" t="str">
        <f t="shared" si="646"/>
        <v>BED1911</v>
      </c>
      <c r="W1912" t="str">
        <f t="shared" ca="1" si="647"/>
        <v>Private</v>
      </c>
      <c r="X1912" t="str">
        <f t="shared" si="648"/>
        <v>NUR011</v>
      </c>
      <c r="Y1912" t="str">
        <f t="shared" ca="1" si="649"/>
        <v>Evening</v>
      </c>
      <c r="Z1912" t="str">
        <f t="shared" ca="1" si="650"/>
        <v>MRI Scanner</v>
      </c>
      <c r="AA1912" t="str">
        <f t="shared" ca="1" si="651"/>
        <v>Available</v>
      </c>
      <c r="AB1912" t="str">
        <f t="shared" ca="1" si="652"/>
        <v>Pending</v>
      </c>
      <c r="AC1912" t="str">
        <f t="shared" ca="1" si="653"/>
        <v>Credit Card</v>
      </c>
      <c r="AD1912" t="str">
        <f t="shared" ca="1" si="654"/>
        <v>No</v>
      </c>
      <c r="AE1912" t="str">
        <f t="shared" ca="1" si="655"/>
        <v>No</v>
      </c>
      <c r="AF1912" t="str">
        <f t="shared" ca="1" si="656"/>
        <v>Under Observation</v>
      </c>
      <c r="AG1912" t="str">
        <f t="shared" ca="1" si="657"/>
        <v>Southeast</v>
      </c>
      <c r="AH1912" t="str">
        <f t="shared" si="640"/>
        <v>August</v>
      </c>
      <c r="AI1912">
        <f t="shared" si="641"/>
        <v>2019</v>
      </c>
      <c r="AJ1912" t="str">
        <f t="shared" ca="1" si="658"/>
        <v>Occupied</v>
      </c>
      <c r="AK1912">
        <f t="shared" ca="1" si="659"/>
        <v>1</v>
      </c>
    </row>
    <row r="1913" spans="1:37" x14ac:dyDescent="0.3">
      <c r="A1913" t="s">
        <v>4601</v>
      </c>
      <c r="B1913">
        <v>35</v>
      </c>
      <c r="C1913" t="s">
        <v>15</v>
      </c>
      <c r="D1913" t="s">
        <v>38</v>
      </c>
      <c r="E1913" t="s">
        <v>48</v>
      </c>
      <c r="F1913" s="1">
        <v>45131</v>
      </c>
      <c r="G1913" t="s">
        <v>3799</v>
      </c>
      <c r="H1913" t="s">
        <v>3800</v>
      </c>
      <c r="I1913" t="s">
        <v>20</v>
      </c>
      <c r="J1913">
        <v>31694</v>
      </c>
      <c r="K1913">
        <v>296</v>
      </c>
      <c r="L1913" t="s">
        <v>29</v>
      </c>
      <c r="M1913" s="1">
        <v>45137</v>
      </c>
      <c r="N1913" t="s">
        <v>22</v>
      </c>
      <c r="O1913" t="s">
        <v>31</v>
      </c>
      <c r="P1913" t="str">
        <f t="shared" si="642"/>
        <v>P1912</v>
      </c>
      <c r="Q1913" t="str">
        <f t="shared" si="638"/>
        <v>Pulmonology</v>
      </c>
      <c r="R1913">
        <f t="shared" si="639"/>
        <v>6</v>
      </c>
      <c r="S1913" t="str">
        <f t="shared" ca="1" si="643"/>
        <v>No</v>
      </c>
      <c r="T1913" t="str">
        <f t="shared" ca="1" si="644"/>
        <v>Moderate</v>
      </c>
      <c r="U1913" t="str">
        <f t="shared" ca="1" si="645"/>
        <v>General Ward</v>
      </c>
      <c r="V1913" t="str">
        <f t="shared" si="646"/>
        <v>BED1912</v>
      </c>
      <c r="W1913" t="str">
        <f t="shared" ca="1" si="647"/>
        <v>Private</v>
      </c>
      <c r="X1913" t="str">
        <f t="shared" si="648"/>
        <v>NUR012</v>
      </c>
      <c r="Y1913" t="str">
        <f t="shared" ca="1" si="649"/>
        <v>Evening</v>
      </c>
      <c r="Z1913" t="str">
        <f t="shared" ca="1" si="650"/>
        <v>Ventilator</v>
      </c>
      <c r="AA1913" t="str">
        <f t="shared" ca="1" si="651"/>
        <v>Maintenance</v>
      </c>
      <c r="AB1913" t="str">
        <f t="shared" ca="1" si="652"/>
        <v>Pending</v>
      </c>
      <c r="AC1913" t="str">
        <f t="shared" ca="1" si="653"/>
        <v>Bank Transfer</v>
      </c>
      <c r="AD1913" t="str">
        <f t="shared" ca="1" si="654"/>
        <v>No</v>
      </c>
      <c r="AE1913" t="str">
        <f t="shared" ca="1" si="655"/>
        <v>No</v>
      </c>
      <c r="AF1913" t="str">
        <f t="shared" ca="1" si="656"/>
        <v>Recovered</v>
      </c>
      <c r="AG1913" t="str">
        <f t="shared" ca="1" si="657"/>
        <v>Midwest</v>
      </c>
      <c r="AH1913" t="str">
        <f t="shared" si="640"/>
        <v>July</v>
      </c>
      <c r="AI1913">
        <f t="shared" si="641"/>
        <v>2023</v>
      </c>
      <c r="AJ1913" t="str">
        <f t="shared" ca="1" si="658"/>
        <v>Occupied</v>
      </c>
      <c r="AK1913">
        <f t="shared" ca="1" si="659"/>
        <v>1</v>
      </c>
    </row>
    <row r="1914" spans="1:37" x14ac:dyDescent="0.3">
      <c r="A1914" t="s">
        <v>6287</v>
      </c>
      <c r="B1914">
        <v>35</v>
      </c>
      <c r="C1914" t="s">
        <v>15</v>
      </c>
      <c r="D1914" t="s">
        <v>83</v>
      </c>
      <c r="E1914" t="s">
        <v>39</v>
      </c>
      <c r="F1914" s="1">
        <v>43772</v>
      </c>
      <c r="G1914" t="s">
        <v>3801</v>
      </c>
      <c r="H1914" t="s">
        <v>3802</v>
      </c>
      <c r="I1914" t="s">
        <v>36</v>
      </c>
      <c r="J1914">
        <v>31781</v>
      </c>
      <c r="K1914">
        <v>370</v>
      </c>
      <c r="L1914" t="s">
        <v>21</v>
      </c>
      <c r="M1914" s="1">
        <v>43798</v>
      </c>
      <c r="N1914" t="s">
        <v>47</v>
      </c>
      <c r="O1914" t="s">
        <v>31</v>
      </c>
      <c r="P1914" t="str">
        <f t="shared" si="642"/>
        <v>P1913</v>
      </c>
      <c r="Q1914" t="str">
        <f t="shared" si="638"/>
        <v>Endocrinology</v>
      </c>
      <c r="R1914">
        <f t="shared" si="639"/>
        <v>26</v>
      </c>
      <c r="S1914" t="str">
        <f t="shared" ca="1" si="643"/>
        <v>Yes</v>
      </c>
      <c r="T1914" t="str">
        <f t="shared" ca="1" si="644"/>
        <v>Critical</v>
      </c>
      <c r="U1914" t="str">
        <f t="shared" ca="1" si="645"/>
        <v>ICU</v>
      </c>
      <c r="V1914" t="str">
        <f t="shared" si="646"/>
        <v>BED1913</v>
      </c>
      <c r="W1914" t="str">
        <f t="shared" ca="1" si="647"/>
        <v>General</v>
      </c>
      <c r="X1914" t="str">
        <f t="shared" si="648"/>
        <v>NUR013</v>
      </c>
      <c r="Y1914" t="str">
        <f t="shared" ca="1" si="649"/>
        <v>Night</v>
      </c>
      <c r="Z1914" t="str">
        <f t="shared" ca="1" si="650"/>
        <v>Ventilator</v>
      </c>
      <c r="AA1914" t="str">
        <f t="shared" ca="1" si="651"/>
        <v>In Use</v>
      </c>
      <c r="AB1914" t="str">
        <f t="shared" ca="1" si="652"/>
        <v>Pending</v>
      </c>
      <c r="AC1914" t="str">
        <f t="shared" ca="1" si="653"/>
        <v>Insurance</v>
      </c>
      <c r="AD1914" t="str">
        <f t="shared" ca="1" si="654"/>
        <v>No</v>
      </c>
      <c r="AE1914" t="str">
        <f t="shared" ca="1" si="655"/>
        <v>No</v>
      </c>
      <c r="AF1914" t="str">
        <f t="shared" ca="1" si="656"/>
        <v>Under Observation</v>
      </c>
      <c r="AG1914" t="str">
        <f t="shared" ca="1" si="657"/>
        <v>Northeast</v>
      </c>
      <c r="AH1914" t="str">
        <f t="shared" si="640"/>
        <v>November</v>
      </c>
      <c r="AI1914">
        <f t="shared" si="641"/>
        <v>2019</v>
      </c>
      <c r="AJ1914" t="str">
        <f t="shared" ca="1" si="658"/>
        <v>Vacant</v>
      </c>
      <c r="AK1914">
        <f t="shared" ca="1" si="659"/>
        <v>2</v>
      </c>
    </row>
    <row r="1915" spans="1:37" x14ac:dyDescent="0.3">
      <c r="A1915" t="s">
        <v>6288</v>
      </c>
      <c r="B1915">
        <v>50</v>
      </c>
      <c r="C1915" t="s">
        <v>32</v>
      </c>
      <c r="D1915" t="s">
        <v>38</v>
      </c>
      <c r="E1915" t="s">
        <v>48</v>
      </c>
      <c r="F1915" s="1">
        <v>43956</v>
      </c>
      <c r="G1915" t="s">
        <v>3803</v>
      </c>
      <c r="H1915" t="s">
        <v>3804</v>
      </c>
      <c r="I1915" t="s">
        <v>51</v>
      </c>
      <c r="J1915">
        <v>20714</v>
      </c>
      <c r="K1915">
        <v>102</v>
      </c>
      <c r="L1915" t="s">
        <v>29</v>
      </c>
      <c r="M1915" s="1">
        <v>43962</v>
      </c>
      <c r="N1915" t="s">
        <v>30</v>
      </c>
      <c r="O1915" t="s">
        <v>23</v>
      </c>
      <c r="P1915" t="str">
        <f t="shared" si="642"/>
        <v>P1914</v>
      </c>
      <c r="Q1915" t="str">
        <f t="shared" si="638"/>
        <v>Pulmonology</v>
      </c>
      <c r="R1915">
        <f t="shared" si="639"/>
        <v>6</v>
      </c>
      <c r="S1915" t="str">
        <f t="shared" ca="1" si="643"/>
        <v>Yes</v>
      </c>
      <c r="T1915" t="str">
        <f t="shared" ca="1" si="644"/>
        <v>Severe</v>
      </c>
      <c r="U1915" t="str">
        <f t="shared" ca="1" si="645"/>
        <v>Private Ward</v>
      </c>
      <c r="V1915" t="str">
        <f t="shared" si="646"/>
        <v>BED1914</v>
      </c>
      <c r="W1915" t="str">
        <f t="shared" ca="1" si="647"/>
        <v>Semi-Private</v>
      </c>
      <c r="X1915" t="str">
        <f t="shared" si="648"/>
        <v>NUR014</v>
      </c>
      <c r="Y1915" t="str">
        <f t="shared" ca="1" si="649"/>
        <v>Night</v>
      </c>
      <c r="Z1915" t="str">
        <f t="shared" ca="1" si="650"/>
        <v>Ultrasound</v>
      </c>
      <c r="AA1915" t="str">
        <f t="shared" ca="1" si="651"/>
        <v>In Use</v>
      </c>
      <c r="AB1915" t="str">
        <f t="shared" ca="1" si="652"/>
        <v>Partially Paid</v>
      </c>
      <c r="AC1915" t="str">
        <f t="shared" ca="1" si="653"/>
        <v>Cash</v>
      </c>
      <c r="AD1915" t="str">
        <f t="shared" ca="1" si="654"/>
        <v>No</v>
      </c>
      <c r="AE1915" t="str">
        <f t="shared" ca="1" si="655"/>
        <v>No</v>
      </c>
      <c r="AF1915" t="str">
        <f t="shared" ca="1" si="656"/>
        <v>Under Observation</v>
      </c>
      <c r="AG1915" t="str">
        <f t="shared" ca="1" si="657"/>
        <v>Southwest</v>
      </c>
      <c r="AH1915" t="str">
        <f t="shared" si="640"/>
        <v>May</v>
      </c>
      <c r="AI1915">
        <f t="shared" si="641"/>
        <v>2020</v>
      </c>
      <c r="AJ1915" t="str">
        <f t="shared" ca="1" si="658"/>
        <v>Occupied</v>
      </c>
      <c r="AK1915">
        <f t="shared" ca="1" si="659"/>
        <v>1</v>
      </c>
    </row>
    <row r="1916" spans="1:37" x14ac:dyDescent="0.3">
      <c r="A1916" t="s">
        <v>6289</v>
      </c>
      <c r="B1916">
        <v>30</v>
      </c>
      <c r="C1916" t="s">
        <v>15</v>
      </c>
      <c r="D1916" t="s">
        <v>16</v>
      </c>
      <c r="E1916" t="s">
        <v>39</v>
      </c>
      <c r="F1916" s="1">
        <v>44593</v>
      </c>
      <c r="G1916" t="s">
        <v>3805</v>
      </c>
      <c r="H1916" t="s">
        <v>3806</v>
      </c>
      <c r="I1916" t="s">
        <v>20</v>
      </c>
      <c r="J1916">
        <v>45218</v>
      </c>
      <c r="K1916">
        <v>491</v>
      </c>
      <c r="L1916" t="s">
        <v>42</v>
      </c>
      <c r="M1916" s="1">
        <v>44603</v>
      </c>
      <c r="N1916" t="s">
        <v>47</v>
      </c>
      <c r="O1916" t="s">
        <v>23</v>
      </c>
      <c r="P1916" t="str">
        <f t="shared" si="642"/>
        <v>P1915</v>
      </c>
      <c r="Q1916" t="str">
        <f t="shared" si="638"/>
        <v>Endocrinology</v>
      </c>
      <c r="R1916">
        <f t="shared" si="639"/>
        <v>10</v>
      </c>
      <c r="S1916" t="str">
        <f t="shared" ca="1" si="643"/>
        <v>No</v>
      </c>
      <c r="T1916" t="str">
        <f t="shared" ca="1" si="644"/>
        <v>Critical</v>
      </c>
      <c r="U1916" t="str">
        <f t="shared" ca="1" si="645"/>
        <v>ICU</v>
      </c>
      <c r="V1916" t="str">
        <f t="shared" si="646"/>
        <v>BED1915</v>
      </c>
      <c r="W1916" t="str">
        <f t="shared" ca="1" si="647"/>
        <v>ICU</v>
      </c>
      <c r="X1916" t="str">
        <f t="shared" si="648"/>
        <v>NUR015</v>
      </c>
      <c r="Y1916" t="str">
        <f t="shared" ca="1" si="649"/>
        <v>Night</v>
      </c>
      <c r="Z1916" t="str">
        <f t="shared" ca="1" si="650"/>
        <v>MRI Scanner</v>
      </c>
      <c r="AA1916" t="str">
        <f t="shared" ca="1" si="651"/>
        <v>Maintenance</v>
      </c>
      <c r="AB1916" t="str">
        <f t="shared" ca="1" si="652"/>
        <v>Paid</v>
      </c>
      <c r="AC1916" t="str">
        <f t="shared" ca="1" si="653"/>
        <v>Cash</v>
      </c>
      <c r="AD1916" t="str">
        <f t="shared" ca="1" si="654"/>
        <v>Yes</v>
      </c>
      <c r="AE1916" t="str">
        <f t="shared" ca="1" si="655"/>
        <v>No</v>
      </c>
      <c r="AF1916" t="str">
        <f t="shared" ca="1" si="656"/>
        <v>Under Observation</v>
      </c>
      <c r="AG1916" t="str">
        <f t="shared" ca="1" si="657"/>
        <v>West Coast</v>
      </c>
      <c r="AH1916" t="str">
        <f t="shared" si="640"/>
        <v>February</v>
      </c>
      <c r="AI1916">
        <f t="shared" si="641"/>
        <v>2022</v>
      </c>
      <c r="AJ1916" t="str">
        <f t="shared" ca="1" si="658"/>
        <v>Occupied</v>
      </c>
      <c r="AK1916">
        <f t="shared" ca="1" si="659"/>
        <v>4</v>
      </c>
    </row>
    <row r="1917" spans="1:37" x14ac:dyDescent="0.3">
      <c r="A1917" t="s">
        <v>6290</v>
      </c>
      <c r="B1917">
        <v>48</v>
      </c>
      <c r="C1917" t="s">
        <v>32</v>
      </c>
      <c r="D1917" t="s">
        <v>24</v>
      </c>
      <c r="E1917" t="s">
        <v>25</v>
      </c>
      <c r="F1917" s="1">
        <v>44518</v>
      </c>
      <c r="G1917" t="s">
        <v>3807</v>
      </c>
      <c r="H1917" t="s">
        <v>3808</v>
      </c>
      <c r="I1917" t="s">
        <v>20</v>
      </c>
      <c r="J1917">
        <v>49458</v>
      </c>
      <c r="K1917">
        <v>209</v>
      </c>
      <c r="L1917" t="s">
        <v>21</v>
      </c>
      <c r="M1917" s="1">
        <v>44543</v>
      </c>
      <c r="N1917" t="s">
        <v>37</v>
      </c>
      <c r="O1917" t="s">
        <v>31</v>
      </c>
      <c r="P1917" t="str">
        <f t="shared" si="642"/>
        <v>P1916</v>
      </c>
      <c r="Q1917" t="str">
        <f t="shared" si="638"/>
        <v>Nutrition</v>
      </c>
      <c r="R1917">
        <f t="shared" si="639"/>
        <v>25</v>
      </c>
      <c r="S1917" t="str">
        <f t="shared" ca="1" si="643"/>
        <v>No</v>
      </c>
      <c r="T1917" t="str">
        <f t="shared" ca="1" si="644"/>
        <v>Moderate</v>
      </c>
      <c r="U1917" t="str">
        <f t="shared" ca="1" si="645"/>
        <v>Private Ward</v>
      </c>
      <c r="V1917" t="str">
        <f t="shared" si="646"/>
        <v>BED1916</v>
      </c>
      <c r="W1917" t="str">
        <f t="shared" ca="1" si="647"/>
        <v>ICU</v>
      </c>
      <c r="X1917" t="str">
        <f t="shared" si="648"/>
        <v>NUR016</v>
      </c>
      <c r="Y1917" t="str">
        <f t="shared" ca="1" si="649"/>
        <v>Night</v>
      </c>
      <c r="Z1917" t="str">
        <f t="shared" ca="1" si="650"/>
        <v>Ultrasound</v>
      </c>
      <c r="AA1917" t="str">
        <f t="shared" ca="1" si="651"/>
        <v>In Use</v>
      </c>
      <c r="AB1917" t="str">
        <f t="shared" ca="1" si="652"/>
        <v>Partially Paid</v>
      </c>
      <c r="AC1917" t="str">
        <f t="shared" ca="1" si="653"/>
        <v>Cash</v>
      </c>
      <c r="AD1917" t="str">
        <f t="shared" ca="1" si="654"/>
        <v>No</v>
      </c>
      <c r="AE1917" t="str">
        <f t="shared" ca="1" si="655"/>
        <v>No</v>
      </c>
      <c r="AF1917" t="str">
        <f t="shared" ca="1" si="656"/>
        <v>Recovered</v>
      </c>
      <c r="AG1917" t="str">
        <f t="shared" ca="1" si="657"/>
        <v>Southwest</v>
      </c>
      <c r="AH1917" t="str">
        <f t="shared" si="640"/>
        <v>November</v>
      </c>
      <c r="AI1917">
        <f t="shared" si="641"/>
        <v>2021</v>
      </c>
      <c r="AJ1917" t="str">
        <f t="shared" ca="1" si="658"/>
        <v>Occupied</v>
      </c>
      <c r="AK1917">
        <f t="shared" ca="1" si="659"/>
        <v>4</v>
      </c>
    </row>
    <row r="1918" spans="1:37" x14ac:dyDescent="0.3">
      <c r="A1918" t="s">
        <v>6291</v>
      </c>
      <c r="B1918">
        <v>21</v>
      </c>
      <c r="C1918" t="s">
        <v>15</v>
      </c>
      <c r="D1918" t="s">
        <v>33</v>
      </c>
      <c r="E1918" t="s">
        <v>17</v>
      </c>
      <c r="F1918" s="1">
        <v>43857</v>
      </c>
      <c r="G1918" t="s">
        <v>3809</v>
      </c>
      <c r="H1918" t="s">
        <v>3810</v>
      </c>
      <c r="I1918" t="s">
        <v>20</v>
      </c>
      <c r="J1918">
        <v>32140</v>
      </c>
      <c r="K1918">
        <v>240</v>
      </c>
      <c r="L1918" t="s">
        <v>42</v>
      </c>
      <c r="M1918" s="1">
        <v>43879</v>
      </c>
      <c r="N1918" t="s">
        <v>22</v>
      </c>
      <c r="O1918" t="s">
        <v>23</v>
      </c>
      <c r="P1918" t="str">
        <f t="shared" si="642"/>
        <v>P1917</v>
      </c>
      <c r="Q1918" t="str">
        <f t="shared" si="638"/>
        <v>Oncology</v>
      </c>
      <c r="R1918">
        <f t="shared" si="639"/>
        <v>22</v>
      </c>
      <c r="S1918" t="str">
        <f t="shared" ca="1" si="643"/>
        <v>No</v>
      </c>
      <c r="T1918" t="str">
        <f t="shared" ca="1" si="644"/>
        <v>Severe</v>
      </c>
      <c r="U1918" t="str">
        <f t="shared" ca="1" si="645"/>
        <v>Private Ward</v>
      </c>
      <c r="V1918" t="str">
        <f t="shared" si="646"/>
        <v>BED1917</v>
      </c>
      <c r="W1918" t="str">
        <f t="shared" ca="1" si="647"/>
        <v>Semi-Private</v>
      </c>
      <c r="X1918" t="str">
        <f t="shared" si="648"/>
        <v>NUR017</v>
      </c>
      <c r="Y1918" t="str">
        <f t="shared" ca="1" si="649"/>
        <v>Morning</v>
      </c>
      <c r="Z1918" t="str">
        <f t="shared" ca="1" si="650"/>
        <v>Ventilator</v>
      </c>
      <c r="AA1918" t="str">
        <f t="shared" ca="1" si="651"/>
        <v>Maintenance</v>
      </c>
      <c r="AB1918" t="str">
        <f t="shared" ca="1" si="652"/>
        <v>Partially Paid</v>
      </c>
      <c r="AC1918" t="str">
        <f t="shared" ca="1" si="653"/>
        <v>Credit Card</v>
      </c>
      <c r="AD1918" t="str">
        <f t="shared" ca="1" si="654"/>
        <v>No</v>
      </c>
      <c r="AE1918" t="str">
        <f t="shared" ca="1" si="655"/>
        <v>No</v>
      </c>
      <c r="AF1918" t="str">
        <f t="shared" ca="1" si="656"/>
        <v>Transferred</v>
      </c>
      <c r="AG1918" t="str">
        <f t="shared" ca="1" si="657"/>
        <v>Northeast</v>
      </c>
      <c r="AH1918" t="str">
        <f t="shared" si="640"/>
        <v>January</v>
      </c>
      <c r="AI1918">
        <f t="shared" si="641"/>
        <v>2020</v>
      </c>
      <c r="AJ1918" t="str">
        <f t="shared" ca="1" si="658"/>
        <v>Occupied</v>
      </c>
      <c r="AK1918">
        <f t="shared" ca="1" si="659"/>
        <v>1</v>
      </c>
    </row>
    <row r="1919" spans="1:37" x14ac:dyDescent="0.3">
      <c r="A1919" t="s">
        <v>6292</v>
      </c>
      <c r="B1919">
        <v>77</v>
      </c>
      <c r="C1919" t="s">
        <v>32</v>
      </c>
      <c r="D1919" t="s">
        <v>16</v>
      </c>
      <c r="E1919" t="s">
        <v>76</v>
      </c>
      <c r="F1919" s="1">
        <v>43804</v>
      </c>
      <c r="G1919" t="s">
        <v>3811</v>
      </c>
      <c r="H1919" t="s">
        <v>3812</v>
      </c>
      <c r="I1919" t="s">
        <v>57</v>
      </c>
      <c r="J1919">
        <v>17591</v>
      </c>
      <c r="K1919">
        <v>368</v>
      </c>
      <c r="L1919" t="s">
        <v>29</v>
      </c>
      <c r="M1919" s="1">
        <v>43819</v>
      </c>
      <c r="N1919" t="s">
        <v>67</v>
      </c>
      <c r="O1919" t="s">
        <v>31</v>
      </c>
      <c r="P1919" t="str">
        <f t="shared" si="642"/>
        <v>P1918</v>
      </c>
      <c r="Q1919" t="str">
        <f t="shared" si="638"/>
        <v>Orthopedics</v>
      </c>
      <c r="R1919">
        <f t="shared" si="639"/>
        <v>15</v>
      </c>
      <c r="S1919" t="str">
        <f t="shared" ca="1" si="643"/>
        <v>No</v>
      </c>
      <c r="T1919" t="str">
        <f t="shared" ca="1" si="644"/>
        <v>Critical</v>
      </c>
      <c r="U1919" t="str">
        <f t="shared" ca="1" si="645"/>
        <v>Semi-Private</v>
      </c>
      <c r="V1919" t="str">
        <f t="shared" si="646"/>
        <v>BED1918</v>
      </c>
      <c r="W1919" t="str">
        <f t="shared" ca="1" si="647"/>
        <v>Private</v>
      </c>
      <c r="X1919" t="str">
        <f t="shared" si="648"/>
        <v>NUR018</v>
      </c>
      <c r="Y1919" t="str">
        <f t="shared" ca="1" si="649"/>
        <v>Morning</v>
      </c>
      <c r="Z1919" t="str">
        <f t="shared" ca="1" si="650"/>
        <v>Ultrasound</v>
      </c>
      <c r="AA1919" t="str">
        <f t="shared" ca="1" si="651"/>
        <v>Available</v>
      </c>
      <c r="AB1919" t="str">
        <f t="shared" ca="1" si="652"/>
        <v>Paid</v>
      </c>
      <c r="AC1919" t="str">
        <f t="shared" ca="1" si="653"/>
        <v>Bank Transfer</v>
      </c>
      <c r="AD1919" t="str">
        <f t="shared" ca="1" si="654"/>
        <v>No</v>
      </c>
      <c r="AE1919" t="str">
        <f t="shared" ca="1" si="655"/>
        <v>No</v>
      </c>
      <c r="AF1919" t="str">
        <f t="shared" ca="1" si="656"/>
        <v>Under Observation</v>
      </c>
      <c r="AG1919" t="str">
        <f t="shared" ca="1" si="657"/>
        <v>Midwest</v>
      </c>
      <c r="AH1919" t="str">
        <f t="shared" si="640"/>
        <v>December</v>
      </c>
      <c r="AI1919">
        <f t="shared" si="641"/>
        <v>2019</v>
      </c>
      <c r="AJ1919" t="str">
        <f t="shared" ca="1" si="658"/>
        <v>Occupied</v>
      </c>
      <c r="AK1919">
        <f t="shared" ca="1" si="659"/>
        <v>2</v>
      </c>
    </row>
    <row r="1920" spans="1:37" x14ac:dyDescent="0.3">
      <c r="A1920" t="s">
        <v>6293</v>
      </c>
      <c r="B1920">
        <v>77</v>
      </c>
      <c r="C1920" t="s">
        <v>32</v>
      </c>
      <c r="D1920" t="s">
        <v>83</v>
      </c>
      <c r="E1920" t="s">
        <v>76</v>
      </c>
      <c r="F1920" s="1">
        <v>45005</v>
      </c>
      <c r="G1920" t="s">
        <v>3813</v>
      </c>
      <c r="H1920" t="s">
        <v>3814</v>
      </c>
      <c r="I1920" t="s">
        <v>20</v>
      </c>
      <c r="J1920">
        <v>33999</v>
      </c>
      <c r="K1920">
        <v>296</v>
      </c>
      <c r="L1920" t="s">
        <v>21</v>
      </c>
      <c r="M1920" s="1">
        <v>45020</v>
      </c>
      <c r="N1920" t="s">
        <v>37</v>
      </c>
      <c r="O1920" t="s">
        <v>43</v>
      </c>
      <c r="P1920" t="str">
        <f t="shared" si="642"/>
        <v>P1919</v>
      </c>
      <c r="Q1920" t="str">
        <f t="shared" si="638"/>
        <v>Orthopedics</v>
      </c>
      <c r="R1920">
        <f t="shared" si="639"/>
        <v>15</v>
      </c>
      <c r="S1920" t="str">
        <f t="shared" ca="1" si="643"/>
        <v>No</v>
      </c>
      <c r="T1920" t="str">
        <f t="shared" ca="1" si="644"/>
        <v>Moderate</v>
      </c>
      <c r="U1920" t="str">
        <f t="shared" ca="1" si="645"/>
        <v>Emergency</v>
      </c>
      <c r="V1920" t="str">
        <f t="shared" si="646"/>
        <v>BED1919</v>
      </c>
      <c r="W1920" t="str">
        <f t="shared" ca="1" si="647"/>
        <v>Private</v>
      </c>
      <c r="X1920" t="str">
        <f t="shared" si="648"/>
        <v>NUR019</v>
      </c>
      <c r="Y1920" t="str">
        <f t="shared" ca="1" si="649"/>
        <v>Evening</v>
      </c>
      <c r="Z1920" t="str">
        <f t="shared" ca="1" si="650"/>
        <v>ECG Machine</v>
      </c>
      <c r="AA1920" t="str">
        <f t="shared" ca="1" si="651"/>
        <v>Maintenance</v>
      </c>
      <c r="AB1920" t="str">
        <f t="shared" ca="1" si="652"/>
        <v>Partially Paid</v>
      </c>
      <c r="AC1920" t="str">
        <f t="shared" ca="1" si="653"/>
        <v>Insurance</v>
      </c>
      <c r="AD1920" t="str">
        <f t="shared" ca="1" si="654"/>
        <v>No</v>
      </c>
      <c r="AE1920" t="str">
        <f t="shared" ca="1" si="655"/>
        <v>Yes</v>
      </c>
      <c r="AF1920" t="str">
        <f t="shared" ca="1" si="656"/>
        <v>Under Observation</v>
      </c>
      <c r="AG1920" t="str">
        <f t="shared" ca="1" si="657"/>
        <v>Southwest</v>
      </c>
      <c r="AH1920" t="str">
        <f t="shared" si="640"/>
        <v>March</v>
      </c>
      <c r="AI1920">
        <f t="shared" si="641"/>
        <v>2023</v>
      </c>
      <c r="AJ1920" t="str">
        <f t="shared" ca="1" si="658"/>
        <v>Occupied</v>
      </c>
      <c r="AK1920">
        <f t="shared" ca="1" si="659"/>
        <v>2</v>
      </c>
    </row>
    <row r="1921" spans="1:37" x14ac:dyDescent="0.3">
      <c r="A1921" t="s">
        <v>6294</v>
      </c>
      <c r="B1921">
        <v>38</v>
      </c>
      <c r="C1921" t="s">
        <v>15</v>
      </c>
      <c r="D1921" t="s">
        <v>98</v>
      </c>
      <c r="E1921" t="s">
        <v>25</v>
      </c>
      <c r="F1921" s="1">
        <v>43770</v>
      </c>
      <c r="G1921" t="s">
        <v>3815</v>
      </c>
      <c r="H1921" t="s">
        <v>3816</v>
      </c>
      <c r="I1921" t="s">
        <v>51</v>
      </c>
      <c r="J1921">
        <v>28766</v>
      </c>
      <c r="K1921">
        <v>142</v>
      </c>
      <c r="L1921" t="s">
        <v>42</v>
      </c>
      <c r="M1921" s="1">
        <v>43796</v>
      </c>
      <c r="N1921" t="s">
        <v>47</v>
      </c>
      <c r="O1921" t="s">
        <v>23</v>
      </c>
      <c r="P1921" t="str">
        <f t="shared" si="642"/>
        <v>P1920</v>
      </c>
      <c r="Q1921" t="str">
        <f t="shared" si="638"/>
        <v>Nutrition</v>
      </c>
      <c r="R1921">
        <f t="shared" si="639"/>
        <v>26</v>
      </c>
      <c r="S1921" t="str">
        <f t="shared" ca="1" si="643"/>
        <v>No</v>
      </c>
      <c r="T1921" t="str">
        <f t="shared" ca="1" si="644"/>
        <v>Critical</v>
      </c>
      <c r="U1921" t="str">
        <f t="shared" ca="1" si="645"/>
        <v>Semi-Private</v>
      </c>
      <c r="V1921" t="str">
        <f t="shared" si="646"/>
        <v>BED1920</v>
      </c>
      <c r="W1921" t="str">
        <f t="shared" ca="1" si="647"/>
        <v>ICU</v>
      </c>
      <c r="X1921" t="str">
        <f t="shared" si="648"/>
        <v>NUR020</v>
      </c>
      <c r="Y1921" t="str">
        <f t="shared" ca="1" si="649"/>
        <v>Morning</v>
      </c>
      <c r="Z1921" t="str">
        <f t="shared" ca="1" si="650"/>
        <v>MRI Scanner</v>
      </c>
      <c r="AA1921" t="str">
        <f t="shared" ca="1" si="651"/>
        <v>Available</v>
      </c>
      <c r="AB1921" t="str">
        <f t="shared" ca="1" si="652"/>
        <v>Pending</v>
      </c>
      <c r="AC1921" t="str">
        <f t="shared" ca="1" si="653"/>
        <v>Bank Transfer</v>
      </c>
      <c r="AD1921" t="str">
        <f t="shared" ca="1" si="654"/>
        <v>No</v>
      </c>
      <c r="AE1921" t="str">
        <f t="shared" ca="1" si="655"/>
        <v>No</v>
      </c>
      <c r="AF1921" t="str">
        <f t="shared" ca="1" si="656"/>
        <v>Recovered</v>
      </c>
      <c r="AG1921" t="str">
        <f t="shared" ca="1" si="657"/>
        <v>Midwest</v>
      </c>
      <c r="AH1921" t="str">
        <f t="shared" si="640"/>
        <v>November</v>
      </c>
      <c r="AI1921">
        <f t="shared" si="641"/>
        <v>2019</v>
      </c>
      <c r="AJ1921" t="str">
        <f t="shared" ca="1" si="658"/>
        <v>Occupied</v>
      </c>
      <c r="AK1921">
        <f t="shared" ca="1" si="659"/>
        <v>2</v>
      </c>
    </row>
    <row r="1922" spans="1:37" x14ac:dyDescent="0.3">
      <c r="A1922" t="s">
        <v>6295</v>
      </c>
      <c r="B1922">
        <v>19</v>
      </c>
      <c r="C1922" t="s">
        <v>32</v>
      </c>
      <c r="D1922" t="s">
        <v>98</v>
      </c>
      <c r="E1922" t="s">
        <v>17</v>
      </c>
      <c r="F1922" s="1">
        <v>45225</v>
      </c>
      <c r="G1922" t="s">
        <v>1286</v>
      </c>
      <c r="H1922" t="s">
        <v>3817</v>
      </c>
      <c r="I1922" t="s">
        <v>57</v>
      </c>
      <c r="J1922">
        <v>50438</v>
      </c>
      <c r="K1922">
        <v>108</v>
      </c>
      <c r="L1922" t="s">
        <v>42</v>
      </c>
      <c r="M1922" s="1">
        <v>45246</v>
      </c>
      <c r="N1922" t="s">
        <v>30</v>
      </c>
      <c r="O1922" t="s">
        <v>31</v>
      </c>
      <c r="P1922" t="str">
        <f t="shared" si="642"/>
        <v>P1921</v>
      </c>
      <c r="Q1922" t="str">
        <f t="shared" ref="Q1922:Q1985" si="660">IF(E1922="Cancer","Oncology",IF(E1922="Obesity","Nutrition",IF(E1922="Diabetes","Endocrinology",IF(E1922="Asthma","Pulmonology",IF(E1922="Arthritis","Orthopedics",IF(E1922="Hypertension","Cardiology","General Medicine"))))))</f>
        <v>Oncology</v>
      </c>
      <c r="R1922">
        <f t="shared" ref="R1922:R1985" si="661">M1922-F1922</f>
        <v>21</v>
      </c>
      <c r="S1922" t="str">
        <f t="shared" ca="1" si="643"/>
        <v>Yes</v>
      </c>
      <c r="T1922" t="str">
        <f t="shared" ca="1" si="644"/>
        <v>Critical</v>
      </c>
      <c r="U1922" t="str">
        <f t="shared" ca="1" si="645"/>
        <v>Emergency</v>
      </c>
      <c r="V1922" t="str">
        <f t="shared" si="646"/>
        <v>BED1921</v>
      </c>
      <c r="W1922" t="str">
        <f t="shared" ca="1" si="647"/>
        <v>Semi-Private</v>
      </c>
      <c r="X1922" t="str">
        <f t="shared" si="648"/>
        <v>NUR021</v>
      </c>
      <c r="Y1922" t="str">
        <f t="shared" ca="1" si="649"/>
        <v>Night</v>
      </c>
      <c r="Z1922" t="str">
        <f t="shared" ca="1" si="650"/>
        <v>ECG Machine</v>
      </c>
      <c r="AA1922" t="str">
        <f t="shared" ca="1" si="651"/>
        <v>Maintenance</v>
      </c>
      <c r="AB1922" t="str">
        <f t="shared" ca="1" si="652"/>
        <v>Partially Paid</v>
      </c>
      <c r="AC1922" t="str">
        <f t="shared" ca="1" si="653"/>
        <v>Credit Card</v>
      </c>
      <c r="AD1922" t="str">
        <f t="shared" ca="1" si="654"/>
        <v>No</v>
      </c>
      <c r="AE1922" t="str">
        <f t="shared" ca="1" si="655"/>
        <v>No</v>
      </c>
      <c r="AF1922" t="str">
        <f t="shared" ca="1" si="656"/>
        <v>Recovered</v>
      </c>
      <c r="AG1922" t="str">
        <f t="shared" ca="1" si="657"/>
        <v>Southwest</v>
      </c>
      <c r="AH1922" t="str">
        <f t="shared" ref="AH1922:AH1985" si="662">TEXT(F1922,"MMMM")</f>
        <v>October</v>
      </c>
      <c r="AI1922">
        <f t="shared" ref="AI1922:AI1985" si="663">YEAR(F1922)</f>
        <v>2023</v>
      </c>
      <c r="AJ1922" t="str">
        <f t="shared" ca="1" si="658"/>
        <v>Occupied</v>
      </c>
      <c r="AK1922">
        <f t="shared" ca="1" si="659"/>
        <v>1</v>
      </c>
    </row>
    <row r="1923" spans="1:37" x14ac:dyDescent="0.3">
      <c r="A1923" t="s">
        <v>6296</v>
      </c>
      <c r="B1923">
        <v>68</v>
      </c>
      <c r="C1923" t="s">
        <v>32</v>
      </c>
      <c r="D1923" t="s">
        <v>98</v>
      </c>
      <c r="E1923" t="s">
        <v>76</v>
      </c>
      <c r="F1923" s="1">
        <v>44831</v>
      </c>
      <c r="G1923" t="s">
        <v>3818</v>
      </c>
      <c r="H1923" t="s">
        <v>3819</v>
      </c>
      <c r="I1923" t="s">
        <v>36</v>
      </c>
      <c r="J1923">
        <v>43863</v>
      </c>
      <c r="K1923">
        <v>375</v>
      </c>
      <c r="L1923" t="s">
        <v>29</v>
      </c>
      <c r="M1923" s="1">
        <v>44838</v>
      </c>
      <c r="N1923" t="s">
        <v>47</v>
      </c>
      <c r="O1923" t="s">
        <v>43</v>
      </c>
      <c r="P1923" t="str">
        <f t="shared" ref="P1923:P1986" si="664">"P"&amp;TEXT(ROW()-1,"0000")</f>
        <v>P1922</v>
      </c>
      <c r="Q1923" t="str">
        <f t="shared" si="660"/>
        <v>Orthopedics</v>
      </c>
      <c r="R1923">
        <f t="shared" si="661"/>
        <v>7</v>
      </c>
      <c r="S1923" t="str">
        <f t="shared" ref="S1923:S1986" ca="1" si="665">IF(RAND()&lt;0.1,"Yes","No")</f>
        <v>No</v>
      </c>
      <c r="T1923" t="str">
        <f t="shared" ref="T1923:T1986" ca="1" si="666">CHOOSE(RANDBETWEEN(1,4),"Mild","Moderate","Severe","Critical")</f>
        <v>Critical</v>
      </c>
      <c r="U1923" t="str">
        <f t="shared" ref="U1923:U1986" ca="1" si="667">CHOOSE(RANDBETWEEN(1,5),"General Ward","ICU","Emergency","Private Ward","Semi-Private")</f>
        <v>ICU</v>
      </c>
      <c r="V1923" t="str">
        <f t="shared" ref="V1923:V1986" si="668">"BED"&amp;TEXT(ROW()-1,"0000")</f>
        <v>BED1922</v>
      </c>
      <c r="W1923" t="str">
        <f t="shared" ref="W1923:W1986" ca="1" si="669">CHOOSE(RANDBETWEEN(1,4),"General","Private","Semi-Private","ICU")</f>
        <v>ICU</v>
      </c>
      <c r="X1923" t="str">
        <f t="shared" ref="X1923:X1986" si="670">"NUR"&amp;TEXT(MOD(ROW()-2,50)+1,"000")</f>
        <v>NUR022</v>
      </c>
      <c r="Y1923" t="str">
        <f t="shared" ref="Y1923:Y1986" ca="1" si="671">CHOOSE(RANDBETWEEN(1,3),"Morning","Evening","Night")</f>
        <v>Night</v>
      </c>
      <c r="Z1923" t="str">
        <f t="shared" ref="Z1923:Z1986" ca="1" si="672">CHOOSE(RANDBETWEEN(1,6),"MRI Scanner","CT Scanner","Ventilator","X-Ray","ECG Machine","Ultrasound")</f>
        <v>Ventilator</v>
      </c>
      <c r="AA1923" t="str">
        <f t="shared" ref="AA1923:AA1986" ca="1" si="673">CHOOSE(RANDBETWEEN(1,3),"Available","In Use","Maintenance")</f>
        <v>Maintenance</v>
      </c>
      <c r="AB1923" t="str">
        <f t="shared" ref="AB1923:AB1986" ca="1" si="674">CHOOSE(RANDBETWEEN(1,3),"Paid","Pending","Partially Paid")</f>
        <v>Pending</v>
      </c>
      <c r="AC1923" t="str">
        <f t="shared" ref="AC1923:AC1986" ca="1" si="675">CHOOSE(RANDBETWEEN(1,5),"Cash","Credit Card","Debit Card","Insurance","Bank Transfer")</f>
        <v>Insurance</v>
      </c>
      <c r="AD1923" t="str">
        <f t="shared" ref="AD1923:AD1986" ca="1" si="676">IF(RAND()&lt;0.2,"Yes","No")</f>
        <v>No</v>
      </c>
      <c r="AE1923" t="str">
        <f t="shared" ref="AE1923:AE1986" ca="1" si="677">IF(RAND()&lt;0.15,"Yes","No")</f>
        <v>No</v>
      </c>
      <c r="AF1923" t="str">
        <f t="shared" ref="AF1923:AF1986" ca="1" si="678">CHOOSE(RANDBETWEEN(1,3),"Recovered","Transferred","Under Observation")</f>
        <v>Recovered</v>
      </c>
      <c r="AG1923" t="str">
        <f t="shared" ref="AG1923:AG1986" ca="1" si="679">CHOOSE(RANDBETWEEN(1,5),"Northeast","Southeast","Midwest","Southwest","West Coast")</f>
        <v>Southwest</v>
      </c>
      <c r="AH1923" t="str">
        <f t="shared" si="662"/>
        <v>September</v>
      </c>
      <c r="AI1923">
        <f t="shared" si="663"/>
        <v>2022</v>
      </c>
      <c r="AJ1923" t="str">
        <f t="shared" ref="AJ1923:AJ1986" ca="1" si="680">IF(RANDBETWEEN(1,100)&lt;=80,"Occupied","Vacant")</f>
        <v>Occupied</v>
      </c>
      <c r="AK1923">
        <f t="shared" ref="AK1923:AK1986" ca="1" si="681">CHOOSE(RANDBETWEEN(1,3),1,2,4)</f>
        <v>1</v>
      </c>
    </row>
    <row r="1924" spans="1:37" x14ac:dyDescent="0.3">
      <c r="A1924" t="s">
        <v>6297</v>
      </c>
      <c r="B1924">
        <v>60</v>
      </c>
      <c r="C1924" t="s">
        <v>32</v>
      </c>
      <c r="D1924" t="s">
        <v>16</v>
      </c>
      <c r="E1924" t="s">
        <v>25</v>
      </c>
      <c r="F1924" s="1">
        <v>44489</v>
      </c>
      <c r="G1924" t="s">
        <v>3820</v>
      </c>
      <c r="H1924" t="s">
        <v>3821</v>
      </c>
      <c r="I1924" t="s">
        <v>28</v>
      </c>
      <c r="J1924">
        <v>29374</v>
      </c>
      <c r="K1924">
        <v>218</v>
      </c>
      <c r="L1924" t="s">
        <v>42</v>
      </c>
      <c r="M1924" s="1">
        <v>44497</v>
      </c>
      <c r="N1924" t="s">
        <v>37</v>
      </c>
      <c r="O1924" t="s">
        <v>31</v>
      </c>
      <c r="P1924" t="str">
        <f t="shared" si="664"/>
        <v>P1923</v>
      </c>
      <c r="Q1924" t="str">
        <f t="shared" si="660"/>
        <v>Nutrition</v>
      </c>
      <c r="R1924">
        <f t="shared" si="661"/>
        <v>8</v>
      </c>
      <c r="S1924" t="str">
        <f t="shared" ca="1" si="665"/>
        <v>Yes</v>
      </c>
      <c r="T1924" t="str">
        <f t="shared" ca="1" si="666"/>
        <v>Mild</v>
      </c>
      <c r="U1924" t="str">
        <f t="shared" ca="1" si="667"/>
        <v>Emergency</v>
      </c>
      <c r="V1924" t="str">
        <f t="shared" si="668"/>
        <v>BED1923</v>
      </c>
      <c r="W1924" t="str">
        <f t="shared" ca="1" si="669"/>
        <v>Private</v>
      </c>
      <c r="X1924" t="str">
        <f t="shared" si="670"/>
        <v>NUR023</v>
      </c>
      <c r="Y1924" t="str">
        <f t="shared" ca="1" si="671"/>
        <v>Evening</v>
      </c>
      <c r="Z1924" t="str">
        <f t="shared" ca="1" si="672"/>
        <v>ECG Machine</v>
      </c>
      <c r="AA1924" t="str">
        <f t="shared" ca="1" si="673"/>
        <v>Maintenance</v>
      </c>
      <c r="AB1924" t="str">
        <f t="shared" ca="1" si="674"/>
        <v>Pending</v>
      </c>
      <c r="AC1924" t="str">
        <f t="shared" ca="1" si="675"/>
        <v>Cash</v>
      </c>
      <c r="AD1924" t="str">
        <f t="shared" ca="1" si="676"/>
        <v>No</v>
      </c>
      <c r="AE1924" t="str">
        <f t="shared" ca="1" si="677"/>
        <v>No</v>
      </c>
      <c r="AF1924" t="str">
        <f t="shared" ca="1" si="678"/>
        <v>Recovered</v>
      </c>
      <c r="AG1924" t="str">
        <f t="shared" ca="1" si="679"/>
        <v>Midwest</v>
      </c>
      <c r="AH1924" t="str">
        <f t="shared" si="662"/>
        <v>October</v>
      </c>
      <c r="AI1924">
        <f t="shared" si="663"/>
        <v>2021</v>
      </c>
      <c r="AJ1924" t="str">
        <f t="shared" ca="1" si="680"/>
        <v>Occupied</v>
      </c>
      <c r="AK1924">
        <f t="shared" ca="1" si="681"/>
        <v>2</v>
      </c>
    </row>
    <row r="1925" spans="1:37" x14ac:dyDescent="0.3">
      <c r="A1925" t="s">
        <v>4147</v>
      </c>
      <c r="B1925">
        <v>38</v>
      </c>
      <c r="C1925" t="s">
        <v>15</v>
      </c>
      <c r="D1925" t="s">
        <v>24</v>
      </c>
      <c r="E1925" t="s">
        <v>48</v>
      </c>
      <c r="F1925" s="1">
        <v>43734</v>
      </c>
      <c r="G1925" t="s">
        <v>325</v>
      </c>
      <c r="H1925" t="s">
        <v>3822</v>
      </c>
      <c r="I1925" t="s">
        <v>20</v>
      </c>
      <c r="J1925">
        <v>19202</v>
      </c>
      <c r="K1925">
        <v>145</v>
      </c>
      <c r="L1925" t="s">
        <v>21</v>
      </c>
      <c r="M1925" s="1">
        <v>43761</v>
      </c>
      <c r="N1925" t="s">
        <v>30</v>
      </c>
      <c r="O1925" t="s">
        <v>43</v>
      </c>
      <c r="P1925" t="str">
        <f t="shared" si="664"/>
        <v>P1924</v>
      </c>
      <c r="Q1925" t="str">
        <f t="shared" si="660"/>
        <v>Pulmonology</v>
      </c>
      <c r="R1925">
        <f t="shared" si="661"/>
        <v>27</v>
      </c>
      <c r="S1925" t="str">
        <f t="shared" ca="1" si="665"/>
        <v>No</v>
      </c>
      <c r="T1925" t="str">
        <f t="shared" ca="1" si="666"/>
        <v>Moderate</v>
      </c>
      <c r="U1925" t="str">
        <f t="shared" ca="1" si="667"/>
        <v>General Ward</v>
      </c>
      <c r="V1925" t="str">
        <f t="shared" si="668"/>
        <v>BED1924</v>
      </c>
      <c r="W1925" t="str">
        <f t="shared" ca="1" si="669"/>
        <v>Private</v>
      </c>
      <c r="X1925" t="str">
        <f t="shared" si="670"/>
        <v>NUR024</v>
      </c>
      <c r="Y1925" t="str">
        <f t="shared" ca="1" si="671"/>
        <v>Evening</v>
      </c>
      <c r="Z1925" t="str">
        <f t="shared" ca="1" si="672"/>
        <v>CT Scanner</v>
      </c>
      <c r="AA1925" t="str">
        <f t="shared" ca="1" si="673"/>
        <v>In Use</v>
      </c>
      <c r="AB1925" t="str">
        <f t="shared" ca="1" si="674"/>
        <v>Paid</v>
      </c>
      <c r="AC1925" t="str">
        <f t="shared" ca="1" si="675"/>
        <v>Credit Card</v>
      </c>
      <c r="AD1925" t="str">
        <f t="shared" ca="1" si="676"/>
        <v>No</v>
      </c>
      <c r="AE1925" t="str">
        <f t="shared" ca="1" si="677"/>
        <v>No</v>
      </c>
      <c r="AF1925" t="str">
        <f t="shared" ca="1" si="678"/>
        <v>Transferred</v>
      </c>
      <c r="AG1925" t="str">
        <f t="shared" ca="1" si="679"/>
        <v>Southwest</v>
      </c>
      <c r="AH1925" t="str">
        <f t="shared" si="662"/>
        <v>September</v>
      </c>
      <c r="AI1925">
        <f t="shared" si="663"/>
        <v>2019</v>
      </c>
      <c r="AJ1925" t="str">
        <f t="shared" ca="1" si="680"/>
        <v>Occupied</v>
      </c>
      <c r="AK1925">
        <f t="shared" ca="1" si="681"/>
        <v>2</v>
      </c>
    </row>
    <row r="1926" spans="1:37" x14ac:dyDescent="0.3">
      <c r="A1926" t="s">
        <v>6298</v>
      </c>
      <c r="B1926">
        <v>18</v>
      </c>
      <c r="C1926" t="s">
        <v>32</v>
      </c>
      <c r="D1926" t="s">
        <v>98</v>
      </c>
      <c r="E1926" t="s">
        <v>39</v>
      </c>
      <c r="F1926" s="1">
        <v>44732</v>
      </c>
      <c r="G1926" t="s">
        <v>3823</v>
      </c>
      <c r="H1926" t="s">
        <v>3824</v>
      </c>
      <c r="I1926" t="s">
        <v>20</v>
      </c>
      <c r="J1926">
        <v>29016</v>
      </c>
      <c r="K1926">
        <v>413</v>
      </c>
      <c r="L1926" t="s">
        <v>21</v>
      </c>
      <c r="M1926" s="1">
        <v>44741</v>
      </c>
      <c r="N1926" t="s">
        <v>30</v>
      </c>
      <c r="O1926" t="s">
        <v>43</v>
      </c>
      <c r="P1926" t="str">
        <f t="shared" si="664"/>
        <v>P1925</v>
      </c>
      <c r="Q1926" t="str">
        <f t="shared" si="660"/>
        <v>Endocrinology</v>
      </c>
      <c r="R1926">
        <f t="shared" si="661"/>
        <v>9</v>
      </c>
      <c r="S1926" t="str">
        <f t="shared" ca="1" si="665"/>
        <v>No</v>
      </c>
      <c r="T1926" t="str">
        <f t="shared" ca="1" si="666"/>
        <v>Mild</v>
      </c>
      <c r="U1926" t="str">
        <f t="shared" ca="1" si="667"/>
        <v>ICU</v>
      </c>
      <c r="V1926" t="str">
        <f t="shared" si="668"/>
        <v>BED1925</v>
      </c>
      <c r="W1926" t="str">
        <f t="shared" ca="1" si="669"/>
        <v>General</v>
      </c>
      <c r="X1926" t="str">
        <f t="shared" si="670"/>
        <v>NUR025</v>
      </c>
      <c r="Y1926" t="str">
        <f t="shared" ca="1" si="671"/>
        <v>Evening</v>
      </c>
      <c r="Z1926" t="str">
        <f t="shared" ca="1" si="672"/>
        <v>X-Ray</v>
      </c>
      <c r="AA1926" t="str">
        <f t="shared" ca="1" si="673"/>
        <v>Available</v>
      </c>
      <c r="AB1926" t="str">
        <f t="shared" ca="1" si="674"/>
        <v>Pending</v>
      </c>
      <c r="AC1926" t="str">
        <f t="shared" ca="1" si="675"/>
        <v>Bank Transfer</v>
      </c>
      <c r="AD1926" t="str">
        <f t="shared" ca="1" si="676"/>
        <v>No</v>
      </c>
      <c r="AE1926" t="str">
        <f t="shared" ca="1" si="677"/>
        <v>No</v>
      </c>
      <c r="AF1926" t="str">
        <f t="shared" ca="1" si="678"/>
        <v>Recovered</v>
      </c>
      <c r="AG1926" t="str">
        <f t="shared" ca="1" si="679"/>
        <v>Midwest</v>
      </c>
      <c r="AH1926" t="str">
        <f t="shared" si="662"/>
        <v>June</v>
      </c>
      <c r="AI1926">
        <f t="shared" si="663"/>
        <v>2022</v>
      </c>
      <c r="AJ1926" t="str">
        <f t="shared" ca="1" si="680"/>
        <v>Occupied</v>
      </c>
      <c r="AK1926">
        <f t="shared" ca="1" si="681"/>
        <v>4</v>
      </c>
    </row>
    <row r="1927" spans="1:37" x14ac:dyDescent="0.3">
      <c r="A1927" t="s">
        <v>4351</v>
      </c>
      <c r="B1927">
        <v>22</v>
      </c>
      <c r="C1927" t="s">
        <v>32</v>
      </c>
      <c r="D1927" t="s">
        <v>24</v>
      </c>
      <c r="E1927" t="s">
        <v>76</v>
      </c>
      <c r="F1927" s="1">
        <v>45220</v>
      </c>
      <c r="G1927" t="s">
        <v>3825</v>
      </c>
      <c r="H1927" t="s">
        <v>3826</v>
      </c>
      <c r="I1927" t="s">
        <v>51</v>
      </c>
      <c r="J1927">
        <v>45300</v>
      </c>
      <c r="K1927">
        <v>198</v>
      </c>
      <c r="L1927" t="s">
        <v>21</v>
      </c>
      <c r="M1927" s="1">
        <v>45227</v>
      </c>
      <c r="N1927" t="s">
        <v>47</v>
      </c>
      <c r="O1927" t="s">
        <v>23</v>
      </c>
      <c r="P1927" t="str">
        <f t="shared" si="664"/>
        <v>P1926</v>
      </c>
      <c r="Q1927" t="str">
        <f t="shared" si="660"/>
        <v>Orthopedics</v>
      </c>
      <c r="R1927">
        <f t="shared" si="661"/>
        <v>7</v>
      </c>
      <c r="S1927" t="str">
        <f t="shared" ca="1" si="665"/>
        <v>No</v>
      </c>
      <c r="T1927" t="str">
        <f t="shared" ca="1" si="666"/>
        <v>Severe</v>
      </c>
      <c r="U1927" t="str">
        <f t="shared" ca="1" si="667"/>
        <v>Semi-Private</v>
      </c>
      <c r="V1927" t="str">
        <f t="shared" si="668"/>
        <v>BED1926</v>
      </c>
      <c r="W1927" t="str">
        <f t="shared" ca="1" si="669"/>
        <v>General</v>
      </c>
      <c r="X1927" t="str">
        <f t="shared" si="670"/>
        <v>NUR026</v>
      </c>
      <c r="Y1927" t="str">
        <f t="shared" ca="1" si="671"/>
        <v>Morning</v>
      </c>
      <c r="Z1927" t="str">
        <f t="shared" ca="1" si="672"/>
        <v>Ventilator</v>
      </c>
      <c r="AA1927" t="str">
        <f t="shared" ca="1" si="673"/>
        <v>In Use</v>
      </c>
      <c r="AB1927" t="str">
        <f t="shared" ca="1" si="674"/>
        <v>Partially Paid</v>
      </c>
      <c r="AC1927" t="str">
        <f t="shared" ca="1" si="675"/>
        <v>Credit Card</v>
      </c>
      <c r="AD1927" t="str">
        <f t="shared" ca="1" si="676"/>
        <v>No</v>
      </c>
      <c r="AE1927" t="str">
        <f t="shared" ca="1" si="677"/>
        <v>No</v>
      </c>
      <c r="AF1927" t="str">
        <f t="shared" ca="1" si="678"/>
        <v>Recovered</v>
      </c>
      <c r="AG1927" t="str">
        <f t="shared" ca="1" si="679"/>
        <v>Northeast</v>
      </c>
      <c r="AH1927" t="str">
        <f t="shared" si="662"/>
        <v>October</v>
      </c>
      <c r="AI1927">
        <f t="shared" si="663"/>
        <v>2023</v>
      </c>
      <c r="AJ1927" t="str">
        <f t="shared" ca="1" si="680"/>
        <v>Vacant</v>
      </c>
      <c r="AK1927">
        <f t="shared" ca="1" si="681"/>
        <v>2</v>
      </c>
    </row>
    <row r="1928" spans="1:37" x14ac:dyDescent="0.3">
      <c r="A1928" t="s">
        <v>6299</v>
      </c>
      <c r="B1928">
        <v>57</v>
      </c>
      <c r="C1928" t="s">
        <v>32</v>
      </c>
      <c r="D1928" t="s">
        <v>98</v>
      </c>
      <c r="E1928" t="s">
        <v>48</v>
      </c>
      <c r="F1928" s="1">
        <v>43596</v>
      </c>
      <c r="G1928" t="s">
        <v>3827</v>
      </c>
      <c r="H1928" t="s">
        <v>2143</v>
      </c>
      <c r="I1928" t="s">
        <v>28</v>
      </c>
      <c r="J1928">
        <v>47450</v>
      </c>
      <c r="K1928">
        <v>473</v>
      </c>
      <c r="L1928" t="s">
        <v>21</v>
      </c>
      <c r="M1928" s="1">
        <v>43602</v>
      </c>
      <c r="N1928" t="s">
        <v>30</v>
      </c>
      <c r="O1928" t="s">
        <v>31</v>
      </c>
      <c r="P1928" t="str">
        <f t="shared" si="664"/>
        <v>P1927</v>
      </c>
      <c r="Q1928" t="str">
        <f t="shared" si="660"/>
        <v>Pulmonology</v>
      </c>
      <c r="R1928">
        <f t="shared" si="661"/>
        <v>6</v>
      </c>
      <c r="S1928" t="str">
        <f t="shared" ca="1" si="665"/>
        <v>No</v>
      </c>
      <c r="T1928" t="str">
        <f t="shared" ca="1" si="666"/>
        <v>Mild</v>
      </c>
      <c r="U1928" t="str">
        <f t="shared" ca="1" si="667"/>
        <v>Private Ward</v>
      </c>
      <c r="V1928" t="str">
        <f t="shared" si="668"/>
        <v>BED1927</v>
      </c>
      <c r="W1928" t="str">
        <f t="shared" ca="1" si="669"/>
        <v>General</v>
      </c>
      <c r="X1928" t="str">
        <f t="shared" si="670"/>
        <v>NUR027</v>
      </c>
      <c r="Y1928" t="str">
        <f t="shared" ca="1" si="671"/>
        <v>Night</v>
      </c>
      <c r="Z1928" t="str">
        <f t="shared" ca="1" si="672"/>
        <v>CT Scanner</v>
      </c>
      <c r="AA1928" t="str">
        <f t="shared" ca="1" si="673"/>
        <v>Maintenance</v>
      </c>
      <c r="AB1928" t="str">
        <f t="shared" ca="1" si="674"/>
        <v>Pending</v>
      </c>
      <c r="AC1928" t="str">
        <f t="shared" ca="1" si="675"/>
        <v>Credit Card</v>
      </c>
      <c r="AD1928" t="str">
        <f t="shared" ca="1" si="676"/>
        <v>No</v>
      </c>
      <c r="AE1928" t="str">
        <f t="shared" ca="1" si="677"/>
        <v>No</v>
      </c>
      <c r="AF1928" t="str">
        <f t="shared" ca="1" si="678"/>
        <v>Under Observation</v>
      </c>
      <c r="AG1928" t="str">
        <f t="shared" ca="1" si="679"/>
        <v>West Coast</v>
      </c>
      <c r="AH1928" t="str">
        <f t="shared" si="662"/>
        <v>May</v>
      </c>
      <c r="AI1928">
        <f t="shared" si="663"/>
        <v>2019</v>
      </c>
      <c r="AJ1928" t="str">
        <f t="shared" ca="1" si="680"/>
        <v>Occupied</v>
      </c>
      <c r="AK1928">
        <f t="shared" ca="1" si="681"/>
        <v>2</v>
      </c>
    </row>
    <row r="1929" spans="1:37" x14ac:dyDescent="0.3">
      <c r="A1929" t="s">
        <v>6300</v>
      </c>
      <c r="B1929">
        <v>72</v>
      </c>
      <c r="C1929" t="s">
        <v>32</v>
      </c>
      <c r="D1929" t="s">
        <v>33</v>
      </c>
      <c r="E1929" t="s">
        <v>48</v>
      </c>
      <c r="F1929" s="1">
        <v>44198</v>
      </c>
      <c r="G1929" t="s">
        <v>3828</v>
      </c>
      <c r="H1929" t="s">
        <v>3829</v>
      </c>
      <c r="I1929" t="s">
        <v>28</v>
      </c>
      <c r="J1929">
        <v>30133</v>
      </c>
      <c r="K1929">
        <v>102</v>
      </c>
      <c r="L1929" t="s">
        <v>29</v>
      </c>
      <c r="M1929" s="1">
        <v>44220</v>
      </c>
      <c r="N1929" t="s">
        <v>37</v>
      </c>
      <c r="O1929" t="s">
        <v>23</v>
      </c>
      <c r="P1929" t="str">
        <f t="shared" si="664"/>
        <v>P1928</v>
      </c>
      <c r="Q1929" t="str">
        <f t="shared" si="660"/>
        <v>Pulmonology</v>
      </c>
      <c r="R1929">
        <f t="shared" si="661"/>
        <v>22</v>
      </c>
      <c r="S1929" t="str">
        <f t="shared" ca="1" si="665"/>
        <v>No</v>
      </c>
      <c r="T1929" t="str">
        <f t="shared" ca="1" si="666"/>
        <v>Mild</v>
      </c>
      <c r="U1929" t="str">
        <f t="shared" ca="1" si="667"/>
        <v>ICU</v>
      </c>
      <c r="V1929" t="str">
        <f t="shared" si="668"/>
        <v>BED1928</v>
      </c>
      <c r="W1929" t="str">
        <f t="shared" ca="1" si="669"/>
        <v>Private</v>
      </c>
      <c r="X1929" t="str">
        <f t="shared" si="670"/>
        <v>NUR028</v>
      </c>
      <c r="Y1929" t="str">
        <f t="shared" ca="1" si="671"/>
        <v>Evening</v>
      </c>
      <c r="Z1929" t="str">
        <f t="shared" ca="1" si="672"/>
        <v>Ventilator</v>
      </c>
      <c r="AA1929" t="str">
        <f t="shared" ca="1" si="673"/>
        <v>Available</v>
      </c>
      <c r="AB1929" t="str">
        <f t="shared" ca="1" si="674"/>
        <v>Paid</v>
      </c>
      <c r="AC1929" t="str">
        <f t="shared" ca="1" si="675"/>
        <v>Bank Transfer</v>
      </c>
      <c r="AD1929" t="str">
        <f t="shared" ca="1" si="676"/>
        <v>No</v>
      </c>
      <c r="AE1929" t="str">
        <f t="shared" ca="1" si="677"/>
        <v>No</v>
      </c>
      <c r="AF1929" t="str">
        <f t="shared" ca="1" si="678"/>
        <v>Transferred</v>
      </c>
      <c r="AG1929" t="str">
        <f t="shared" ca="1" si="679"/>
        <v>West Coast</v>
      </c>
      <c r="AH1929" t="str">
        <f t="shared" si="662"/>
        <v>January</v>
      </c>
      <c r="AI1929">
        <f t="shared" si="663"/>
        <v>2021</v>
      </c>
      <c r="AJ1929" t="str">
        <f t="shared" ca="1" si="680"/>
        <v>Occupied</v>
      </c>
      <c r="AK1929">
        <f t="shared" ca="1" si="681"/>
        <v>1</v>
      </c>
    </row>
    <row r="1930" spans="1:37" x14ac:dyDescent="0.3">
      <c r="A1930" t="s">
        <v>6301</v>
      </c>
      <c r="B1930">
        <v>22</v>
      </c>
      <c r="C1930" t="s">
        <v>15</v>
      </c>
      <c r="D1930" t="s">
        <v>52</v>
      </c>
      <c r="E1930" t="s">
        <v>17</v>
      </c>
      <c r="F1930" s="1">
        <v>44828</v>
      </c>
      <c r="G1930" t="s">
        <v>3830</v>
      </c>
      <c r="H1930" t="s">
        <v>512</v>
      </c>
      <c r="I1930" t="s">
        <v>36</v>
      </c>
      <c r="J1930">
        <v>29133</v>
      </c>
      <c r="K1930">
        <v>354</v>
      </c>
      <c r="L1930" t="s">
        <v>42</v>
      </c>
      <c r="M1930" s="1">
        <v>44829</v>
      </c>
      <c r="N1930" t="s">
        <v>47</v>
      </c>
      <c r="O1930" t="s">
        <v>23</v>
      </c>
      <c r="P1930" t="str">
        <f t="shared" si="664"/>
        <v>P1929</v>
      </c>
      <c r="Q1930" t="str">
        <f t="shared" si="660"/>
        <v>Oncology</v>
      </c>
      <c r="R1930">
        <f t="shared" si="661"/>
        <v>1</v>
      </c>
      <c r="S1930" t="str">
        <f t="shared" ca="1" si="665"/>
        <v>No</v>
      </c>
      <c r="T1930" t="str">
        <f t="shared" ca="1" si="666"/>
        <v>Critical</v>
      </c>
      <c r="U1930" t="str">
        <f t="shared" ca="1" si="667"/>
        <v>General Ward</v>
      </c>
      <c r="V1930" t="str">
        <f t="shared" si="668"/>
        <v>BED1929</v>
      </c>
      <c r="W1930" t="str">
        <f t="shared" ca="1" si="669"/>
        <v>Semi-Private</v>
      </c>
      <c r="X1930" t="str">
        <f t="shared" si="670"/>
        <v>NUR029</v>
      </c>
      <c r="Y1930" t="str">
        <f t="shared" ca="1" si="671"/>
        <v>Evening</v>
      </c>
      <c r="Z1930" t="str">
        <f t="shared" ca="1" si="672"/>
        <v>ECG Machine</v>
      </c>
      <c r="AA1930" t="str">
        <f t="shared" ca="1" si="673"/>
        <v>Available</v>
      </c>
      <c r="AB1930" t="str">
        <f t="shared" ca="1" si="674"/>
        <v>Paid</v>
      </c>
      <c r="AC1930" t="str">
        <f t="shared" ca="1" si="675"/>
        <v>Insurance</v>
      </c>
      <c r="AD1930" t="str">
        <f t="shared" ca="1" si="676"/>
        <v>Yes</v>
      </c>
      <c r="AE1930" t="str">
        <f t="shared" ca="1" si="677"/>
        <v>No</v>
      </c>
      <c r="AF1930" t="str">
        <f t="shared" ca="1" si="678"/>
        <v>Transferred</v>
      </c>
      <c r="AG1930" t="str">
        <f t="shared" ca="1" si="679"/>
        <v>Northeast</v>
      </c>
      <c r="AH1930" t="str">
        <f t="shared" si="662"/>
        <v>September</v>
      </c>
      <c r="AI1930">
        <f t="shared" si="663"/>
        <v>2022</v>
      </c>
      <c r="AJ1930" t="str">
        <f t="shared" ca="1" si="680"/>
        <v>Vacant</v>
      </c>
      <c r="AK1930">
        <f t="shared" ca="1" si="681"/>
        <v>2</v>
      </c>
    </row>
    <row r="1931" spans="1:37" x14ac:dyDescent="0.3">
      <c r="A1931" t="s">
        <v>6302</v>
      </c>
      <c r="B1931">
        <v>57</v>
      </c>
      <c r="C1931" t="s">
        <v>15</v>
      </c>
      <c r="D1931" t="s">
        <v>83</v>
      </c>
      <c r="E1931" t="s">
        <v>25</v>
      </c>
      <c r="F1931" s="1">
        <v>45216</v>
      </c>
      <c r="G1931" t="s">
        <v>3831</v>
      </c>
      <c r="H1931" t="s">
        <v>3832</v>
      </c>
      <c r="I1931" t="s">
        <v>20</v>
      </c>
      <c r="J1931">
        <v>34265</v>
      </c>
      <c r="K1931">
        <v>142</v>
      </c>
      <c r="L1931" t="s">
        <v>21</v>
      </c>
      <c r="M1931" s="1">
        <v>45229</v>
      </c>
      <c r="N1931" t="s">
        <v>22</v>
      </c>
      <c r="O1931" t="s">
        <v>31</v>
      </c>
      <c r="P1931" t="str">
        <f t="shared" si="664"/>
        <v>P1930</v>
      </c>
      <c r="Q1931" t="str">
        <f t="shared" si="660"/>
        <v>Nutrition</v>
      </c>
      <c r="R1931">
        <f t="shared" si="661"/>
        <v>13</v>
      </c>
      <c r="S1931" t="str">
        <f t="shared" ca="1" si="665"/>
        <v>No</v>
      </c>
      <c r="T1931" t="str">
        <f t="shared" ca="1" si="666"/>
        <v>Severe</v>
      </c>
      <c r="U1931" t="str">
        <f t="shared" ca="1" si="667"/>
        <v>Semi-Private</v>
      </c>
      <c r="V1931" t="str">
        <f t="shared" si="668"/>
        <v>BED1930</v>
      </c>
      <c r="W1931" t="str">
        <f t="shared" ca="1" si="669"/>
        <v>Private</v>
      </c>
      <c r="X1931" t="str">
        <f t="shared" si="670"/>
        <v>NUR030</v>
      </c>
      <c r="Y1931" t="str">
        <f t="shared" ca="1" si="671"/>
        <v>Evening</v>
      </c>
      <c r="Z1931" t="str">
        <f t="shared" ca="1" si="672"/>
        <v>Ventilator</v>
      </c>
      <c r="AA1931" t="str">
        <f t="shared" ca="1" si="673"/>
        <v>Available</v>
      </c>
      <c r="AB1931" t="str">
        <f t="shared" ca="1" si="674"/>
        <v>Partially Paid</v>
      </c>
      <c r="AC1931" t="str">
        <f t="shared" ca="1" si="675"/>
        <v>Debit Card</v>
      </c>
      <c r="AD1931" t="str">
        <f t="shared" ca="1" si="676"/>
        <v>No</v>
      </c>
      <c r="AE1931" t="str">
        <f t="shared" ca="1" si="677"/>
        <v>No</v>
      </c>
      <c r="AF1931" t="str">
        <f t="shared" ca="1" si="678"/>
        <v>Recovered</v>
      </c>
      <c r="AG1931" t="str">
        <f t="shared" ca="1" si="679"/>
        <v>Northeast</v>
      </c>
      <c r="AH1931" t="str">
        <f t="shared" si="662"/>
        <v>October</v>
      </c>
      <c r="AI1931">
        <f t="shared" si="663"/>
        <v>2023</v>
      </c>
      <c r="AJ1931" t="str">
        <f t="shared" ca="1" si="680"/>
        <v>Occupied</v>
      </c>
      <c r="AK1931">
        <f t="shared" ca="1" si="681"/>
        <v>1</v>
      </c>
    </row>
    <row r="1932" spans="1:37" x14ac:dyDescent="0.3">
      <c r="A1932" t="s">
        <v>6303</v>
      </c>
      <c r="B1932">
        <v>85</v>
      </c>
      <c r="C1932" t="s">
        <v>15</v>
      </c>
      <c r="D1932" t="s">
        <v>83</v>
      </c>
      <c r="E1932" t="s">
        <v>64</v>
      </c>
      <c r="F1932" s="1">
        <v>45181</v>
      </c>
      <c r="G1932" t="s">
        <v>3833</v>
      </c>
      <c r="H1932" t="s">
        <v>3834</v>
      </c>
      <c r="I1932" t="s">
        <v>20</v>
      </c>
      <c r="J1932">
        <v>21448</v>
      </c>
      <c r="K1932">
        <v>387</v>
      </c>
      <c r="L1932" t="s">
        <v>21</v>
      </c>
      <c r="M1932" s="1">
        <v>45196</v>
      </c>
      <c r="N1932" t="s">
        <v>67</v>
      </c>
      <c r="O1932" t="s">
        <v>31</v>
      </c>
      <c r="P1932" t="str">
        <f t="shared" si="664"/>
        <v>P1931</v>
      </c>
      <c r="Q1932" t="str">
        <f t="shared" si="660"/>
        <v>Cardiology</v>
      </c>
      <c r="R1932">
        <f t="shared" si="661"/>
        <v>15</v>
      </c>
      <c r="S1932" t="str">
        <f t="shared" ca="1" si="665"/>
        <v>Yes</v>
      </c>
      <c r="T1932" t="str">
        <f t="shared" ca="1" si="666"/>
        <v>Moderate</v>
      </c>
      <c r="U1932" t="str">
        <f t="shared" ca="1" si="667"/>
        <v>Private Ward</v>
      </c>
      <c r="V1932" t="str">
        <f t="shared" si="668"/>
        <v>BED1931</v>
      </c>
      <c r="W1932" t="str">
        <f t="shared" ca="1" si="669"/>
        <v>Semi-Private</v>
      </c>
      <c r="X1932" t="str">
        <f t="shared" si="670"/>
        <v>NUR031</v>
      </c>
      <c r="Y1932" t="str">
        <f t="shared" ca="1" si="671"/>
        <v>Evening</v>
      </c>
      <c r="Z1932" t="str">
        <f t="shared" ca="1" si="672"/>
        <v>Ultrasound</v>
      </c>
      <c r="AA1932" t="str">
        <f t="shared" ca="1" si="673"/>
        <v>Maintenance</v>
      </c>
      <c r="AB1932" t="str">
        <f t="shared" ca="1" si="674"/>
        <v>Pending</v>
      </c>
      <c r="AC1932" t="str">
        <f t="shared" ca="1" si="675"/>
        <v>Bank Transfer</v>
      </c>
      <c r="AD1932" t="str">
        <f t="shared" ca="1" si="676"/>
        <v>No</v>
      </c>
      <c r="AE1932" t="str">
        <f t="shared" ca="1" si="677"/>
        <v>No</v>
      </c>
      <c r="AF1932" t="str">
        <f t="shared" ca="1" si="678"/>
        <v>Recovered</v>
      </c>
      <c r="AG1932" t="str">
        <f t="shared" ca="1" si="679"/>
        <v>Northeast</v>
      </c>
      <c r="AH1932" t="str">
        <f t="shared" si="662"/>
        <v>September</v>
      </c>
      <c r="AI1932">
        <f t="shared" si="663"/>
        <v>2023</v>
      </c>
      <c r="AJ1932" t="str">
        <f t="shared" ca="1" si="680"/>
        <v>Occupied</v>
      </c>
      <c r="AK1932">
        <f t="shared" ca="1" si="681"/>
        <v>1</v>
      </c>
    </row>
    <row r="1933" spans="1:37" x14ac:dyDescent="0.3">
      <c r="A1933" t="s">
        <v>6304</v>
      </c>
      <c r="B1933">
        <v>64</v>
      </c>
      <c r="C1933" t="s">
        <v>32</v>
      </c>
      <c r="D1933" t="s">
        <v>24</v>
      </c>
      <c r="E1933" t="s">
        <v>48</v>
      </c>
      <c r="F1933" s="1">
        <v>44552</v>
      </c>
      <c r="G1933" t="s">
        <v>3835</v>
      </c>
      <c r="H1933" t="s">
        <v>3836</v>
      </c>
      <c r="I1933" t="s">
        <v>20</v>
      </c>
      <c r="J1933">
        <v>34509</v>
      </c>
      <c r="K1933">
        <v>389</v>
      </c>
      <c r="L1933" t="s">
        <v>29</v>
      </c>
      <c r="M1933" s="1">
        <v>44574</v>
      </c>
      <c r="N1933" t="s">
        <v>47</v>
      </c>
      <c r="O1933" t="s">
        <v>43</v>
      </c>
      <c r="P1933" t="str">
        <f t="shared" si="664"/>
        <v>P1932</v>
      </c>
      <c r="Q1933" t="str">
        <f t="shared" si="660"/>
        <v>Pulmonology</v>
      </c>
      <c r="R1933">
        <f t="shared" si="661"/>
        <v>22</v>
      </c>
      <c r="S1933" t="str">
        <f t="shared" ca="1" si="665"/>
        <v>Yes</v>
      </c>
      <c r="T1933" t="str">
        <f t="shared" ca="1" si="666"/>
        <v>Severe</v>
      </c>
      <c r="U1933" t="str">
        <f t="shared" ca="1" si="667"/>
        <v>Semi-Private</v>
      </c>
      <c r="V1933" t="str">
        <f t="shared" si="668"/>
        <v>BED1932</v>
      </c>
      <c r="W1933" t="str">
        <f t="shared" ca="1" si="669"/>
        <v>Private</v>
      </c>
      <c r="X1933" t="str">
        <f t="shared" si="670"/>
        <v>NUR032</v>
      </c>
      <c r="Y1933" t="str">
        <f t="shared" ca="1" si="671"/>
        <v>Morning</v>
      </c>
      <c r="Z1933" t="str">
        <f t="shared" ca="1" si="672"/>
        <v>ECG Machine</v>
      </c>
      <c r="AA1933" t="str">
        <f t="shared" ca="1" si="673"/>
        <v>Maintenance</v>
      </c>
      <c r="AB1933" t="str">
        <f t="shared" ca="1" si="674"/>
        <v>Paid</v>
      </c>
      <c r="AC1933" t="str">
        <f t="shared" ca="1" si="675"/>
        <v>Bank Transfer</v>
      </c>
      <c r="AD1933" t="str">
        <f t="shared" ca="1" si="676"/>
        <v>Yes</v>
      </c>
      <c r="AE1933" t="str">
        <f t="shared" ca="1" si="677"/>
        <v>No</v>
      </c>
      <c r="AF1933" t="str">
        <f t="shared" ca="1" si="678"/>
        <v>Transferred</v>
      </c>
      <c r="AG1933" t="str">
        <f t="shared" ca="1" si="679"/>
        <v>Northeast</v>
      </c>
      <c r="AH1933" t="str">
        <f t="shared" si="662"/>
        <v>December</v>
      </c>
      <c r="AI1933">
        <f t="shared" si="663"/>
        <v>2021</v>
      </c>
      <c r="AJ1933" t="str">
        <f t="shared" ca="1" si="680"/>
        <v>Occupied</v>
      </c>
      <c r="AK1933">
        <f t="shared" ca="1" si="681"/>
        <v>4</v>
      </c>
    </row>
    <row r="1934" spans="1:37" x14ac:dyDescent="0.3">
      <c r="A1934" t="s">
        <v>6305</v>
      </c>
      <c r="B1934">
        <v>51</v>
      </c>
      <c r="C1934" t="s">
        <v>15</v>
      </c>
      <c r="D1934" t="s">
        <v>33</v>
      </c>
      <c r="E1934" t="s">
        <v>17</v>
      </c>
      <c r="F1934" s="1">
        <v>44982</v>
      </c>
      <c r="G1934" t="s">
        <v>3837</v>
      </c>
      <c r="H1934" t="s">
        <v>3838</v>
      </c>
      <c r="I1934" t="s">
        <v>57</v>
      </c>
      <c r="J1934">
        <v>45698</v>
      </c>
      <c r="K1934">
        <v>140</v>
      </c>
      <c r="L1934" t="s">
        <v>21</v>
      </c>
      <c r="M1934" s="1">
        <v>45010</v>
      </c>
      <c r="N1934" t="s">
        <v>47</v>
      </c>
      <c r="O1934" t="s">
        <v>31</v>
      </c>
      <c r="P1934" t="str">
        <f t="shared" si="664"/>
        <v>P1933</v>
      </c>
      <c r="Q1934" t="str">
        <f t="shared" si="660"/>
        <v>Oncology</v>
      </c>
      <c r="R1934">
        <f t="shared" si="661"/>
        <v>28</v>
      </c>
      <c r="S1934" t="str">
        <f t="shared" ca="1" si="665"/>
        <v>No</v>
      </c>
      <c r="T1934" t="str">
        <f t="shared" ca="1" si="666"/>
        <v>Mild</v>
      </c>
      <c r="U1934" t="str">
        <f t="shared" ca="1" si="667"/>
        <v>Private Ward</v>
      </c>
      <c r="V1934" t="str">
        <f t="shared" si="668"/>
        <v>BED1933</v>
      </c>
      <c r="W1934" t="str">
        <f t="shared" ca="1" si="669"/>
        <v>Semi-Private</v>
      </c>
      <c r="X1934" t="str">
        <f t="shared" si="670"/>
        <v>NUR033</v>
      </c>
      <c r="Y1934" t="str">
        <f t="shared" ca="1" si="671"/>
        <v>Evening</v>
      </c>
      <c r="Z1934" t="str">
        <f t="shared" ca="1" si="672"/>
        <v>Ultrasound</v>
      </c>
      <c r="AA1934" t="str">
        <f t="shared" ca="1" si="673"/>
        <v>In Use</v>
      </c>
      <c r="AB1934" t="str">
        <f t="shared" ca="1" si="674"/>
        <v>Paid</v>
      </c>
      <c r="AC1934" t="str">
        <f t="shared" ca="1" si="675"/>
        <v>Credit Card</v>
      </c>
      <c r="AD1934" t="str">
        <f t="shared" ca="1" si="676"/>
        <v>No</v>
      </c>
      <c r="AE1934" t="str">
        <f t="shared" ca="1" si="677"/>
        <v>No</v>
      </c>
      <c r="AF1934" t="str">
        <f t="shared" ca="1" si="678"/>
        <v>Recovered</v>
      </c>
      <c r="AG1934" t="str">
        <f t="shared" ca="1" si="679"/>
        <v>Midwest</v>
      </c>
      <c r="AH1934" t="str">
        <f t="shared" si="662"/>
        <v>February</v>
      </c>
      <c r="AI1934">
        <f t="shared" si="663"/>
        <v>2023</v>
      </c>
      <c r="AJ1934" t="str">
        <f t="shared" ca="1" si="680"/>
        <v>Occupied</v>
      </c>
      <c r="AK1934">
        <f t="shared" ca="1" si="681"/>
        <v>4</v>
      </c>
    </row>
    <row r="1935" spans="1:37" x14ac:dyDescent="0.3">
      <c r="A1935" t="s">
        <v>6306</v>
      </c>
      <c r="B1935">
        <v>48</v>
      </c>
      <c r="C1935" t="s">
        <v>32</v>
      </c>
      <c r="D1935" t="s">
        <v>98</v>
      </c>
      <c r="E1935" t="s">
        <v>17</v>
      </c>
      <c r="F1935" s="1">
        <v>45096</v>
      </c>
      <c r="G1935" t="s">
        <v>3839</v>
      </c>
      <c r="H1935" t="s">
        <v>3840</v>
      </c>
      <c r="I1935" t="s">
        <v>36</v>
      </c>
      <c r="J1935">
        <v>31416</v>
      </c>
      <c r="K1935">
        <v>458</v>
      </c>
      <c r="L1935" t="s">
        <v>29</v>
      </c>
      <c r="M1935" s="1">
        <v>45112</v>
      </c>
      <c r="N1935" t="s">
        <v>47</v>
      </c>
      <c r="O1935" t="s">
        <v>43</v>
      </c>
      <c r="P1935" t="str">
        <f t="shared" si="664"/>
        <v>P1934</v>
      </c>
      <c r="Q1935" t="str">
        <f t="shared" si="660"/>
        <v>Oncology</v>
      </c>
      <c r="R1935">
        <f t="shared" si="661"/>
        <v>16</v>
      </c>
      <c r="S1935" t="str">
        <f t="shared" ca="1" si="665"/>
        <v>Yes</v>
      </c>
      <c r="T1935" t="str">
        <f t="shared" ca="1" si="666"/>
        <v>Critical</v>
      </c>
      <c r="U1935" t="str">
        <f t="shared" ca="1" si="667"/>
        <v>Private Ward</v>
      </c>
      <c r="V1935" t="str">
        <f t="shared" si="668"/>
        <v>BED1934</v>
      </c>
      <c r="W1935" t="str">
        <f t="shared" ca="1" si="669"/>
        <v>ICU</v>
      </c>
      <c r="X1935" t="str">
        <f t="shared" si="670"/>
        <v>NUR034</v>
      </c>
      <c r="Y1935" t="str">
        <f t="shared" ca="1" si="671"/>
        <v>Night</v>
      </c>
      <c r="Z1935" t="str">
        <f t="shared" ca="1" si="672"/>
        <v>Ultrasound</v>
      </c>
      <c r="AA1935" t="str">
        <f t="shared" ca="1" si="673"/>
        <v>Available</v>
      </c>
      <c r="AB1935" t="str">
        <f t="shared" ca="1" si="674"/>
        <v>Partially Paid</v>
      </c>
      <c r="AC1935" t="str">
        <f t="shared" ca="1" si="675"/>
        <v>Cash</v>
      </c>
      <c r="AD1935" t="str">
        <f t="shared" ca="1" si="676"/>
        <v>No</v>
      </c>
      <c r="AE1935" t="str">
        <f t="shared" ca="1" si="677"/>
        <v>No</v>
      </c>
      <c r="AF1935" t="str">
        <f t="shared" ca="1" si="678"/>
        <v>Under Observation</v>
      </c>
      <c r="AG1935" t="str">
        <f t="shared" ca="1" si="679"/>
        <v>Southeast</v>
      </c>
      <c r="AH1935" t="str">
        <f t="shared" si="662"/>
        <v>June</v>
      </c>
      <c r="AI1935">
        <f t="shared" si="663"/>
        <v>2023</v>
      </c>
      <c r="AJ1935" t="str">
        <f t="shared" ca="1" si="680"/>
        <v>Occupied</v>
      </c>
      <c r="AK1935">
        <f t="shared" ca="1" si="681"/>
        <v>4</v>
      </c>
    </row>
    <row r="1936" spans="1:37" x14ac:dyDescent="0.3">
      <c r="A1936" t="s">
        <v>6307</v>
      </c>
      <c r="B1936">
        <v>48</v>
      </c>
      <c r="C1936" t="s">
        <v>32</v>
      </c>
      <c r="D1936" t="s">
        <v>98</v>
      </c>
      <c r="E1936" t="s">
        <v>17</v>
      </c>
      <c r="F1936" s="1">
        <v>43659</v>
      </c>
      <c r="G1936" t="s">
        <v>3841</v>
      </c>
      <c r="H1936" t="s">
        <v>3842</v>
      </c>
      <c r="I1936" t="s">
        <v>51</v>
      </c>
      <c r="J1936">
        <v>13691</v>
      </c>
      <c r="K1936">
        <v>433</v>
      </c>
      <c r="L1936" t="s">
        <v>29</v>
      </c>
      <c r="M1936" s="1">
        <v>43689</v>
      </c>
      <c r="N1936" t="s">
        <v>47</v>
      </c>
      <c r="O1936" t="s">
        <v>23</v>
      </c>
      <c r="P1936" t="str">
        <f t="shared" si="664"/>
        <v>P1935</v>
      </c>
      <c r="Q1936" t="str">
        <f t="shared" si="660"/>
        <v>Oncology</v>
      </c>
      <c r="R1936">
        <f t="shared" si="661"/>
        <v>30</v>
      </c>
      <c r="S1936" t="str">
        <f t="shared" ca="1" si="665"/>
        <v>No</v>
      </c>
      <c r="T1936" t="str">
        <f t="shared" ca="1" si="666"/>
        <v>Critical</v>
      </c>
      <c r="U1936" t="str">
        <f t="shared" ca="1" si="667"/>
        <v>Private Ward</v>
      </c>
      <c r="V1936" t="str">
        <f t="shared" si="668"/>
        <v>BED1935</v>
      </c>
      <c r="W1936" t="str">
        <f t="shared" ca="1" si="669"/>
        <v>Private</v>
      </c>
      <c r="X1936" t="str">
        <f t="shared" si="670"/>
        <v>NUR035</v>
      </c>
      <c r="Y1936" t="str">
        <f t="shared" ca="1" si="671"/>
        <v>Night</v>
      </c>
      <c r="Z1936" t="str">
        <f t="shared" ca="1" si="672"/>
        <v>CT Scanner</v>
      </c>
      <c r="AA1936" t="str">
        <f t="shared" ca="1" si="673"/>
        <v>In Use</v>
      </c>
      <c r="AB1936" t="str">
        <f t="shared" ca="1" si="674"/>
        <v>Paid</v>
      </c>
      <c r="AC1936" t="str">
        <f t="shared" ca="1" si="675"/>
        <v>Credit Card</v>
      </c>
      <c r="AD1936" t="str">
        <f t="shared" ca="1" si="676"/>
        <v>No</v>
      </c>
      <c r="AE1936" t="str">
        <f t="shared" ca="1" si="677"/>
        <v>No</v>
      </c>
      <c r="AF1936" t="str">
        <f t="shared" ca="1" si="678"/>
        <v>Recovered</v>
      </c>
      <c r="AG1936" t="str">
        <f t="shared" ca="1" si="679"/>
        <v>Southeast</v>
      </c>
      <c r="AH1936" t="str">
        <f t="shared" si="662"/>
        <v>July</v>
      </c>
      <c r="AI1936">
        <f t="shared" si="663"/>
        <v>2019</v>
      </c>
      <c r="AJ1936" t="str">
        <f t="shared" ca="1" si="680"/>
        <v>Vacant</v>
      </c>
      <c r="AK1936">
        <f t="shared" ca="1" si="681"/>
        <v>2</v>
      </c>
    </row>
    <row r="1937" spans="1:37" x14ac:dyDescent="0.3">
      <c r="A1937" t="s">
        <v>6308</v>
      </c>
      <c r="B1937">
        <v>70</v>
      </c>
      <c r="C1937" t="s">
        <v>32</v>
      </c>
      <c r="D1937" t="s">
        <v>38</v>
      </c>
      <c r="E1937" t="s">
        <v>64</v>
      </c>
      <c r="F1937" s="1">
        <v>44621</v>
      </c>
      <c r="G1937" t="s">
        <v>3843</v>
      </c>
      <c r="H1937" t="s">
        <v>3844</v>
      </c>
      <c r="I1937" t="s">
        <v>28</v>
      </c>
      <c r="J1937">
        <v>39494</v>
      </c>
      <c r="K1937">
        <v>297</v>
      </c>
      <c r="L1937" t="s">
        <v>21</v>
      </c>
      <c r="M1937" s="1">
        <v>44623</v>
      </c>
      <c r="N1937" t="s">
        <v>30</v>
      </c>
      <c r="O1937" t="s">
        <v>31</v>
      </c>
      <c r="P1937" t="str">
        <f t="shared" si="664"/>
        <v>P1936</v>
      </c>
      <c r="Q1937" t="str">
        <f t="shared" si="660"/>
        <v>Cardiology</v>
      </c>
      <c r="R1937">
        <f t="shared" si="661"/>
        <v>2</v>
      </c>
      <c r="S1937" t="str">
        <f t="shared" ca="1" si="665"/>
        <v>No</v>
      </c>
      <c r="T1937" t="str">
        <f t="shared" ca="1" si="666"/>
        <v>Moderate</v>
      </c>
      <c r="U1937" t="str">
        <f t="shared" ca="1" si="667"/>
        <v>Emergency</v>
      </c>
      <c r="V1937" t="str">
        <f t="shared" si="668"/>
        <v>BED1936</v>
      </c>
      <c r="W1937" t="str">
        <f t="shared" ca="1" si="669"/>
        <v>ICU</v>
      </c>
      <c r="X1937" t="str">
        <f t="shared" si="670"/>
        <v>NUR036</v>
      </c>
      <c r="Y1937" t="str">
        <f t="shared" ca="1" si="671"/>
        <v>Evening</v>
      </c>
      <c r="Z1937" t="str">
        <f t="shared" ca="1" si="672"/>
        <v>ECG Machine</v>
      </c>
      <c r="AA1937" t="str">
        <f t="shared" ca="1" si="673"/>
        <v>Available</v>
      </c>
      <c r="AB1937" t="str">
        <f t="shared" ca="1" si="674"/>
        <v>Partially Paid</v>
      </c>
      <c r="AC1937" t="str">
        <f t="shared" ca="1" si="675"/>
        <v>Insurance</v>
      </c>
      <c r="AD1937" t="str">
        <f t="shared" ca="1" si="676"/>
        <v>No</v>
      </c>
      <c r="AE1937" t="str">
        <f t="shared" ca="1" si="677"/>
        <v>No</v>
      </c>
      <c r="AF1937" t="str">
        <f t="shared" ca="1" si="678"/>
        <v>Under Observation</v>
      </c>
      <c r="AG1937" t="str">
        <f t="shared" ca="1" si="679"/>
        <v>West Coast</v>
      </c>
      <c r="AH1937" t="str">
        <f t="shared" si="662"/>
        <v>March</v>
      </c>
      <c r="AI1937">
        <f t="shared" si="663"/>
        <v>2022</v>
      </c>
      <c r="AJ1937" t="str">
        <f t="shared" ca="1" si="680"/>
        <v>Occupied</v>
      </c>
      <c r="AK1937">
        <f t="shared" ca="1" si="681"/>
        <v>1</v>
      </c>
    </row>
    <row r="1938" spans="1:37" x14ac:dyDescent="0.3">
      <c r="A1938" t="s">
        <v>6309</v>
      </c>
      <c r="B1938">
        <v>57</v>
      </c>
      <c r="C1938" t="s">
        <v>15</v>
      </c>
      <c r="D1938" t="s">
        <v>38</v>
      </c>
      <c r="E1938" t="s">
        <v>48</v>
      </c>
      <c r="F1938" s="1">
        <v>44108</v>
      </c>
      <c r="G1938" t="s">
        <v>3845</v>
      </c>
      <c r="H1938" t="s">
        <v>3846</v>
      </c>
      <c r="I1938" t="s">
        <v>36</v>
      </c>
      <c r="J1938">
        <v>34898</v>
      </c>
      <c r="K1938">
        <v>168</v>
      </c>
      <c r="L1938" t="s">
        <v>21</v>
      </c>
      <c r="M1938" s="1">
        <v>44133</v>
      </c>
      <c r="N1938" t="s">
        <v>47</v>
      </c>
      <c r="O1938" t="s">
        <v>31</v>
      </c>
      <c r="P1938" t="str">
        <f t="shared" si="664"/>
        <v>P1937</v>
      </c>
      <c r="Q1938" t="str">
        <f t="shared" si="660"/>
        <v>Pulmonology</v>
      </c>
      <c r="R1938">
        <f t="shared" si="661"/>
        <v>25</v>
      </c>
      <c r="S1938" t="str">
        <f t="shared" ca="1" si="665"/>
        <v>No</v>
      </c>
      <c r="T1938" t="str">
        <f t="shared" ca="1" si="666"/>
        <v>Severe</v>
      </c>
      <c r="U1938" t="str">
        <f t="shared" ca="1" si="667"/>
        <v>ICU</v>
      </c>
      <c r="V1938" t="str">
        <f t="shared" si="668"/>
        <v>BED1937</v>
      </c>
      <c r="W1938" t="str">
        <f t="shared" ca="1" si="669"/>
        <v>General</v>
      </c>
      <c r="X1938" t="str">
        <f t="shared" si="670"/>
        <v>NUR037</v>
      </c>
      <c r="Y1938" t="str">
        <f t="shared" ca="1" si="671"/>
        <v>Night</v>
      </c>
      <c r="Z1938" t="str">
        <f t="shared" ca="1" si="672"/>
        <v>X-Ray</v>
      </c>
      <c r="AA1938" t="str">
        <f t="shared" ca="1" si="673"/>
        <v>In Use</v>
      </c>
      <c r="AB1938" t="str">
        <f t="shared" ca="1" si="674"/>
        <v>Partially Paid</v>
      </c>
      <c r="AC1938" t="str">
        <f t="shared" ca="1" si="675"/>
        <v>Credit Card</v>
      </c>
      <c r="AD1938" t="str">
        <f t="shared" ca="1" si="676"/>
        <v>No</v>
      </c>
      <c r="AE1938" t="str">
        <f t="shared" ca="1" si="677"/>
        <v>No</v>
      </c>
      <c r="AF1938" t="str">
        <f t="shared" ca="1" si="678"/>
        <v>Under Observation</v>
      </c>
      <c r="AG1938" t="str">
        <f t="shared" ca="1" si="679"/>
        <v>West Coast</v>
      </c>
      <c r="AH1938" t="str">
        <f t="shared" si="662"/>
        <v>October</v>
      </c>
      <c r="AI1938">
        <f t="shared" si="663"/>
        <v>2020</v>
      </c>
      <c r="AJ1938" t="str">
        <f t="shared" ca="1" si="680"/>
        <v>Occupied</v>
      </c>
      <c r="AK1938">
        <f t="shared" ca="1" si="681"/>
        <v>1</v>
      </c>
    </row>
    <row r="1939" spans="1:37" x14ac:dyDescent="0.3">
      <c r="A1939" t="s">
        <v>6310</v>
      </c>
      <c r="B1939">
        <v>76</v>
      </c>
      <c r="C1939" t="s">
        <v>15</v>
      </c>
      <c r="D1939" t="s">
        <v>44</v>
      </c>
      <c r="E1939" t="s">
        <v>25</v>
      </c>
      <c r="F1939" s="1">
        <v>44252</v>
      </c>
      <c r="G1939" t="s">
        <v>3847</v>
      </c>
      <c r="H1939" t="s">
        <v>3848</v>
      </c>
      <c r="I1939" t="s">
        <v>57</v>
      </c>
      <c r="J1939">
        <v>50659</v>
      </c>
      <c r="K1939">
        <v>455</v>
      </c>
      <c r="L1939" t="s">
        <v>21</v>
      </c>
      <c r="M1939" s="1">
        <v>44281</v>
      </c>
      <c r="N1939" t="s">
        <v>67</v>
      </c>
      <c r="O1939" t="s">
        <v>43</v>
      </c>
      <c r="P1939" t="str">
        <f t="shared" si="664"/>
        <v>P1938</v>
      </c>
      <c r="Q1939" t="str">
        <f t="shared" si="660"/>
        <v>Nutrition</v>
      </c>
      <c r="R1939">
        <f t="shared" si="661"/>
        <v>29</v>
      </c>
      <c r="S1939" t="str">
        <f t="shared" ca="1" si="665"/>
        <v>No</v>
      </c>
      <c r="T1939" t="str">
        <f t="shared" ca="1" si="666"/>
        <v>Moderate</v>
      </c>
      <c r="U1939" t="str">
        <f t="shared" ca="1" si="667"/>
        <v>Emergency</v>
      </c>
      <c r="V1939" t="str">
        <f t="shared" si="668"/>
        <v>BED1938</v>
      </c>
      <c r="W1939" t="str">
        <f t="shared" ca="1" si="669"/>
        <v>General</v>
      </c>
      <c r="X1939" t="str">
        <f t="shared" si="670"/>
        <v>NUR038</v>
      </c>
      <c r="Y1939" t="str">
        <f t="shared" ca="1" si="671"/>
        <v>Night</v>
      </c>
      <c r="Z1939" t="str">
        <f t="shared" ca="1" si="672"/>
        <v>ECG Machine</v>
      </c>
      <c r="AA1939" t="str">
        <f t="shared" ca="1" si="673"/>
        <v>In Use</v>
      </c>
      <c r="AB1939" t="str">
        <f t="shared" ca="1" si="674"/>
        <v>Pending</v>
      </c>
      <c r="AC1939" t="str">
        <f t="shared" ca="1" si="675"/>
        <v>Credit Card</v>
      </c>
      <c r="AD1939" t="str">
        <f t="shared" ca="1" si="676"/>
        <v>No</v>
      </c>
      <c r="AE1939" t="str">
        <f t="shared" ca="1" si="677"/>
        <v>No</v>
      </c>
      <c r="AF1939" t="str">
        <f t="shared" ca="1" si="678"/>
        <v>Transferred</v>
      </c>
      <c r="AG1939" t="str">
        <f t="shared" ca="1" si="679"/>
        <v>Southeast</v>
      </c>
      <c r="AH1939" t="str">
        <f t="shared" si="662"/>
        <v>February</v>
      </c>
      <c r="AI1939">
        <f t="shared" si="663"/>
        <v>2021</v>
      </c>
      <c r="AJ1939" t="str">
        <f t="shared" ca="1" si="680"/>
        <v>Occupied</v>
      </c>
      <c r="AK1939">
        <f t="shared" ca="1" si="681"/>
        <v>4</v>
      </c>
    </row>
    <row r="1940" spans="1:37" x14ac:dyDescent="0.3">
      <c r="A1940" t="s">
        <v>6311</v>
      </c>
      <c r="B1940">
        <v>41</v>
      </c>
      <c r="C1940" t="s">
        <v>15</v>
      </c>
      <c r="D1940" t="s">
        <v>52</v>
      </c>
      <c r="E1940" t="s">
        <v>25</v>
      </c>
      <c r="F1940" s="1">
        <v>45279</v>
      </c>
      <c r="G1940" t="s">
        <v>3849</v>
      </c>
      <c r="H1940" t="s">
        <v>3850</v>
      </c>
      <c r="I1940" t="s">
        <v>51</v>
      </c>
      <c r="J1940">
        <v>30881</v>
      </c>
      <c r="K1940">
        <v>377</v>
      </c>
      <c r="L1940" t="s">
        <v>29</v>
      </c>
      <c r="M1940" s="1">
        <v>45285</v>
      </c>
      <c r="N1940" t="s">
        <v>47</v>
      </c>
      <c r="O1940" t="s">
        <v>31</v>
      </c>
      <c r="P1940" t="str">
        <f t="shared" si="664"/>
        <v>P1939</v>
      </c>
      <c r="Q1940" t="str">
        <f t="shared" si="660"/>
        <v>Nutrition</v>
      </c>
      <c r="R1940">
        <f t="shared" si="661"/>
        <v>6</v>
      </c>
      <c r="S1940" t="str">
        <f t="shared" ca="1" si="665"/>
        <v>No</v>
      </c>
      <c r="T1940" t="str">
        <f t="shared" ca="1" si="666"/>
        <v>Mild</v>
      </c>
      <c r="U1940" t="str">
        <f t="shared" ca="1" si="667"/>
        <v>ICU</v>
      </c>
      <c r="V1940" t="str">
        <f t="shared" si="668"/>
        <v>BED1939</v>
      </c>
      <c r="W1940" t="str">
        <f t="shared" ca="1" si="669"/>
        <v>ICU</v>
      </c>
      <c r="X1940" t="str">
        <f t="shared" si="670"/>
        <v>NUR039</v>
      </c>
      <c r="Y1940" t="str">
        <f t="shared" ca="1" si="671"/>
        <v>Evening</v>
      </c>
      <c r="Z1940" t="str">
        <f t="shared" ca="1" si="672"/>
        <v>CT Scanner</v>
      </c>
      <c r="AA1940" t="str">
        <f t="shared" ca="1" si="673"/>
        <v>Maintenance</v>
      </c>
      <c r="AB1940" t="str">
        <f t="shared" ca="1" si="674"/>
        <v>Paid</v>
      </c>
      <c r="AC1940" t="str">
        <f t="shared" ca="1" si="675"/>
        <v>Insurance</v>
      </c>
      <c r="AD1940" t="str">
        <f t="shared" ca="1" si="676"/>
        <v>No</v>
      </c>
      <c r="AE1940" t="str">
        <f t="shared" ca="1" si="677"/>
        <v>Yes</v>
      </c>
      <c r="AF1940" t="str">
        <f t="shared" ca="1" si="678"/>
        <v>Transferred</v>
      </c>
      <c r="AG1940" t="str">
        <f t="shared" ca="1" si="679"/>
        <v>Midwest</v>
      </c>
      <c r="AH1940" t="str">
        <f t="shared" si="662"/>
        <v>December</v>
      </c>
      <c r="AI1940">
        <f t="shared" si="663"/>
        <v>2023</v>
      </c>
      <c r="AJ1940" t="str">
        <f t="shared" ca="1" si="680"/>
        <v>Occupied</v>
      </c>
      <c r="AK1940">
        <f t="shared" ca="1" si="681"/>
        <v>1</v>
      </c>
    </row>
    <row r="1941" spans="1:37" x14ac:dyDescent="0.3">
      <c r="A1941" t="s">
        <v>6312</v>
      </c>
      <c r="B1941">
        <v>47</v>
      </c>
      <c r="C1941" t="s">
        <v>15</v>
      </c>
      <c r="D1941" t="s">
        <v>16</v>
      </c>
      <c r="E1941" t="s">
        <v>25</v>
      </c>
      <c r="F1941" s="1">
        <v>44710</v>
      </c>
      <c r="G1941" t="s">
        <v>3851</v>
      </c>
      <c r="H1941" t="s">
        <v>3852</v>
      </c>
      <c r="I1941" t="s">
        <v>28</v>
      </c>
      <c r="J1941">
        <v>12636</v>
      </c>
      <c r="K1941">
        <v>483</v>
      </c>
      <c r="L1941" t="s">
        <v>21</v>
      </c>
      <c r="M1941" s="1">
        <v>44730</v>
      </c>
      <c r="N1941" t="s">
        <v>22</v>
      </c>
      <c r="O1941" t="s">
        <v>23</v>
      </c>
      <c r="P1941" t="str">
        <f t="shared" si="664"/>
        <v>P1940</v>
      </c>
      <c r="Q1941" t="str">
        <f t="shared" si="660"/>
        <v>Nutrition</v>
      </c>
      <c r="R1941">
        <f t="shared" si="661"/>
        <v>20</v>
      </c>
      <c r="S1941" t="str">
        <f t="shared" ca="1" si="665"/>
        <v>No</v>
      </c>
      <c r="T1941" t="str">
        <f t="shared" ca="1" si="666"/>
        <v>Mild</v>
      </c>
      <c r="U1941" t="str">
        <f t="shared" ca="1" si="667"/>
        <v>General Ward</v>
      </c>
      <c r="V1941" t="str">
        <f t="shared" si="668"/>
        <v>BED1940</v>
      </c>
      <c r="W1941" t="str">
        <f t="shared" ca="1" si="669"/>
        <v>Semi-Private</v>
      </c>
      <c r="X1941" t="str">
        <f t="shared" si="670"/>
        <v>NUR040</v>
      </c>
      <c r="Y1941" t="str">
        <f t="shared" ca="1" si="671"/>
        <v>Evening</v>
      </c>
      <c r="Z1941" t="str">
        <f t="shared" ca="1" si="672"/>
        <v>Ventilator</v>
      </c>
      <c r="AA1941" t="str">
        <f t="shared" ca="1" si="673"/>
        <v>Maintenance</v>
      </c>
      <c r="AB1941" t="str">
        <f t="shared" ca="1" si="674"/>
        <v>Partially Paid</v>
      </c>
      <c r="AC1941" t="str">
        <f t="shared" ca="1" si="675"/>
        <v>Credit Card</v>
      </c>
      <c r="AD1941" t="str">
        <f t="shared" ca="1" si="676"/>
        <v>No</v>
      </c>
      <c r="AE1941" t="str">
        <f t="shared" ca="1" si="677"/>
        <v>Yes</v>
      </c>
      <c r="AF1941" t="str">
        <f t="shared" ca="1" si="678"/>
        <v>Transferred</v>
      </c>
      <c r="AG1941" t="str">
        <f t="shared" ca="1" si="679"/>
        <v>Southwest</v>
      </c>
      <c r="AH1941" t="str">
        <f t="shared" si="662"/>
        <v>May</v>
      </c>
      <c r="AI1941">
        <f t="shared" si="663"/>
        <v>2022</v>
      </c>
      <c r="AJ1941" t="str">
        <f t="shared" ca="1" si="680"/>
        <v>Occupied</v>
      </c>
      <c r="AK1941">
        <f t="shared" ca="1" si="681"/>
        <v>1</v>
      </c>
    </row>
    <row r="1942" spans="1:37" x14ac:dyDescent="0.3">
      <c r="A1942" t="s">
        <v>6313</v>
      </c>
      <c r="B1942">
        <v>18</v>
      </c>
      <c r="C1942" t="s">
        <v>32</v>
      </c>
      <c r="D1942" t="s">
        <v>24</v>
      </c>
      <c r="E1942" t="s">
        <v>39</v>
      </c>
      <c r="F1942" s="1">
        <v>44034</v>
      </c>
      <c r="G1942" t="s">
        <v>3853</v>
      </c>
      <c r="H1942" t="s">
        <v>3854</v>
      </c>
      <c r="I1942" t="s">
        <v>51</v>
      </c>
      <c r="J1942">
        <v>19597</v>
      </c>
      <c r="K1942">
        <v>221</v>
      </c>
      <c r="L1942" t="s">
        <v>29</v>
      </c>
      <c r="M1942" s="1">
        <v>44051</v>
      </c>
      <c r="N1942" t="s">
        <v>37</v>
      </c>
      <c r="O1942" t="s">
        <v>43</v>
      </c>
      <c r="P1942" t="str">
        <f t="shared" si="664"/>
        <v>P1941</v>
      </c>
      <c r="Q1942" t="str">
        <f t="shared" si="660"/>
        <v>Endocrinology</v>
      </c>
      <c r="R1942">
        <f t="shared" si="661"/>
        <v>17</v>
      </c>
      <c r="S1942" t="str">
        <f t="shared" ca="1" si="665"/>
        <v>No</v>
      </c>
      <c r="T1942" t="str">
        <f t="shared" ca="1" si="666"/>
        <v>Severe</v>
      </c>
      <c r="U1942" t="str">
        <f t="shared" ca="1" si="667"/>
        <v>Emergency</v>
      </c>
      <c r="V1942" t="str">
        <f t="shared" si="668"/>
        <v>BED1941</v>
      </c>
      <c r="W1942" t="str">
        <f t="shared" ca="1" si="669"/>
        <v>Private</v>
      </c>
      <c r="X1942" t="str">
        <f t="shared" si="670"/>
        <v>NUR041</v>
      </c>
      <c r="Y1942" t="str">
        <f t="shared" ca="1" si="671"/>
        <v>Morning</v>
      </c>
      <c r="Z1942" t="str">
        <f t="shared" ca="1" si="672"/>
        <v>Ventilator</v>
      </c>
      <c r="AA1942" t="str">
        <f t="shared" ca="1" si="673"/>
        <v>In Use</v>
      </c>
      <c r="AB1942" t="str">
        <f t="shared" ca="1" si="674"/>
        <v>Paid</v>
      </c>
      <c r="AC1942" t="str">
        <f t="shared" ca="1" si="675"/>
        <v>Bank Transfer</v>
      </c>
      <c r="AD1942" t="str">
        <f t="shared" ca="1" si="676"/>
        <v>No</v>
      </c>
      <c r="AE1942" t="str">
        <f t="shared" ca="1" si="677"/>
        <v>No</v>
      </c>
      <c r="AF1942" t="str">
        <f t="shared" ca="1" si="678"/>
        <v>Recovered</v>
      </c>
      <c r="AG1942" t="str">
        <f t="shared" ca="1" si="679"/>
        <v>Southwest</v>
      </c>
      <c r="AH1942" t="str">
        <f t="shared" si="662"/>
        <v>July</v>
      </c>
      <c r="AI1942">
        <f t="shared" si="663"/>
        <v>2020</v>
      </c>
      <c r="AJ1942" t="str">
        <f t="shared" ca="1" si="680"/>
        <v>Occupied</v>
      </c>
      <c r="AK1942">
        <f t="shared" ca="1" si="681"/>
        <v>1</v>
      </c>
    </row>
    <row r="1943" spans="1:37" x14ac:dyDescent="0.3">
      <c r="A1943" t="s">
        <v>6314</v>
      </c>
      <c r="B1943">
        <v>33</v>
      </c>
      <c r="C1943" t="s">
        <v>15</v>
      </c>
      <c r="D1943" t="s">
        <v>24</v>
      </c>
      <c r="E1943" t="s">
        <v>17</v>
      </c>
      <c r="F1943" s="1">
        <v>44499</v>
      </c>
      <c r="G1943" t="s">
        <v>3855</v>
      </c>
      <c r="H1943" t="s">
        <v>3856</v>
      </c>
      <c r="I1943" t="s">
        <v>36</v>
      </c>
      <c r="J1943">
        <v>36340</v>
      </c>
      <c r="K1943">
        <v>175</v>
      </c>
      <c r="L1943" t="s">
        <v>29</v>
      </c>
      <c r="M1943" s="1">
        <v>44508</v>
      </c>
      <c r="N1943" t="s">
        <v>67</v>
      </c>
      <c r="O1943" t="s">
        <v>23</v>
      </c>
      <c r="P1943" t="str">
        <f t="shared" si="664"/>
        <v>P1942</v>
      </c>
      <c r="Q1943" t="str">
        <f t="shared" si="660"/>
        <v>Oncology</v>
      </c>
      <c r="R1943">
        <f t="shared" si="661"/>
        <v>9</v>
      </c>
      <c r="S1943" t="str">
        <f t="shared" ca="1" si="665"/>
        <v>No</v>
      </c>
      <c r="T1943" t="str">
        <f t="shared" ca="1" si="666"/>
        <v>Critical</v>
      </c>
      <c r="U1943" t="str">
        <f t="shared" ca="1" si="667"/>
        <v>General Ward</v>
      </c>
      <c r="V1943" t="str">
        <f t="shared" si="668"/>
        <v>BED1942</v>
      </c>
      <c r="W1943" t="str">
        <f t="shared" ca="1" si="669"/>
        <v>ICU</v>
      </c>
      <c r="X1943" t="str">
        <f t="shared" si="670"/>
        <v>NUR042</v>
      </c>
      <c r="Y1943" t="str">
        <f t="shared" ca="1" si="671"/>
        <v>Night</v>
      </c>
      <c r="Z1943" t="str">
        <f t="shared" ca="1" si="672"/>
        <v>ECG Machine</v>
      </c>
      <c r="AA1943" t="str">
        <f t="shared" ca="1" si="673"/>
        <v>Maintenance</v>
      </c>
      <c r="AB1943" t="str">
        <f t="shared" ca="1" si="674"/>
        <v>Pending</v>
      </c>
      <c r="AC1943" t="str">
        <f t="shared" ca="1" si="675"/>
        <v>Cash</v>
      </c>
      <c r="AD1943" t="str">
        <f t="shared" ca="1" si="676"/>
        <v>No</v>
      </c>
      <c r="AE1943" t="str">
        <f t="shared" ca="1" si="677"/>
        <v>Yes</v>
      </c>
      <c r="AF1943" t="str">
        <f t="shared" ca="1" si="678"/>
        <v>Transferred</v>
      </c>
      <c r="AG1943" t="str">
        <f t="shared" ca="1" si="679"/>
        <v>Southeast</v>
      </c>
      <c r="AH1943" t="str">
        <f t="shared" si="662"/>
        <v>October</v>
      </c>
      <c r="AI1943">
        <f t="shared" si="663"/>
        <v>2021</v>
      </c>
      <c r="AJ1943" t="str">
        <f t="shared" ca="1" si="680"/>
        <v>Occupied</v>
      </c>
      <c r="AK1943">
        <f t="shared" ca="1" si="681"/>
        <v>4</v>
      </c>
    </row>
    <row r="1944" spans="1:37" x14ac:dyDescent="0.3">
      <c r="A1944" t="s">
        <v>6315</v>
      </c>
      <c r="B1944">
        <v>41</v>
      </c>
      <c r="C1944" t="s">
        <v>15</v>
      </c>
      <c r="D1944" t="s">
        <v>52</v>
      </c>
      <c r="E1944" t="s">
        <v>25</v>
      </c>
      <c r="F1944" s="1">
        <v>43987</v>
      </c>
      <c r="G1944" t="s">
        <v>3857</v>
      </c>
      <c r="H1944" t="s">
        <v>3858</v>
      </c>
      <c r="I1944" t="s">
        <v>20</v>
      </c>
      <c r="J1944">
        <v>18387</v>
      </c>
      <c r="K1944">
        <v>455</v>
      </c>
      <c r="L1944" t="s">
        <v>42</v>
      </c>
      <c r="M1944" s="1">
        <v>43992</v>
      </c>
      <c r="N1944" t="s">
        <v>47</v>
      </c>
      <c r="O1944" t="s">
        <v>23</v>
      </c>
      <c r="P1944" t="str">
        <f t="shared" si="664"/>
        <v>P1943</v>
      </c>
      <c r="Q1944" t="str">
        <f t="shared" si="660"/>
        <v>Nutrition</v>
      </c>
      <c r="R1944">
        <f t="shared" si="661"/>
        <v>5</v>
      </c>
      <c r="S1944" t="str">
        <f t="shared" ca="1" si="665"/>
        <v>Yes</v>
      </c>
      <c r="T1944" t="str">
        <f t="shared" ca="1" si="666"/>
        <v>Severe</v>
      </c>
      <c r="U1944" t="str">
        <f t="shared" ca="1" si="667"/>
        <v>Semi-Private</v>
      </c>
      <c r="V1944" t="str">
        <f t="shared" si="668"/>
        <v>BED1943</v>
      </c>
      <c r="W1944" t="str">
        <f t="shared" ca="1" si="669"/>
        <v>Private</v>
      </c>
      <c r="X1944" t="str">
        <f t="shared" si="670"/>
        <v>NUR043</v>
      </c>
      <c r="Y1944" t="str">
        <f t="shared" ca="1" si="671"/>
        <v>Night</v>
      </c>
      <c r="Z1944" t="str">
        <f t="shared" ca="1" si="672"/>
        <v>MRI Scanner</v>
      </c>
      <c r="AA1944" t="str">
        <f t="shared" ca="1" si="673"/>
        <v>Maintenance</v>
      </c>
      <c r="AB1944" t="str">
        <f t="shared" ca="1" si="674"/>
        <v>Pending</v>
      </c>
      <c r="AC1944" t="str">
        <f t="shared" ca="1" si="675"/>
        <v>Bank Transfer</v>
      </c>
      <c r="AD1944" t="str">
        <f t="shared" ca="1" si="676"/>
        <v>Yes</v>
      </c>
      <c r="AE1944" t="str">
        <f t="shared" ca="1" si="677"/>
        <v>No</v>
      </c>
      <c r="AF1944" t="str">
        <f t="shared" ca="1" si="678"/>
        <v>Recovered</v>
      </c>
      <c r="AG1944" t="str">
        <f t="shared" ca="1" si="679"/>
        <v>Southeast</v>
      </c>
      <c r="AH1944" t="str">
        <f t="shared" si="662"/>
        <v>June</v>
      </c>
      <c r="AI1944">
        <f t="shared" si="663"/>
        <v>2020</v>
      </c>
      <c r="AJ1944" t="str">
        <f t="shared" ca="1" si="680"/>
        <v>Occupied</v>
      </c>
      <c r="AK1944">
        <f t="shared" ca="1" si="681"/>
        <v>1</v>
      </c>
    </row>
    <row r="1945" spans="1:37" x14ac:dyDescent="0.3">
      <c r="A1945" t="s">
        <v>6316</v>
      </c>
      <c r="B1945">
        <v>23</v>
      </c>
      <c r="C1945" t="s">
        <v>32</v>
      </c>
      <c r="D1945" t="s">
        <v>24</v>
      </c>
      <c r="E1945" t="s">
        <v>25</v>
      </c>
      <c r="F1945" s="1">
        <v>45212</v>
      </c>
      <c r="G1945" t="s">
        <v>3859</v>
      </c>
      <c r="H1945" t="s">
        <v>3860</v>
      </c>
      <c r="I1945" t="s">
        <v>28</v>
      </c>
      <c r="J1945">
        <v>32732</v>
      </c>
      <c r="K1945">
        <v>289</v>
      </c>
      <c r="L1945" t="s">
        <v>29</v>
      </c>
      <c r="M1945" s="1">
        <v>45236</v>
      </c>
      <c r="N1945" t="s">
        <v>67</v>
      </c>
      <c r="O1945" t="s">
        <v>23</v>
      </c>
      <c r="P1945" t="str">
        <f t="shared" si="664"/>
        <v>P1944</v>
      </c>
      <c r="Q1945" t="str">
        <f t="shared" si="660"/>
        <v>Nutrition</v>
      </c>
      <c r="R1945">
        <f t="shared" si="661"/>
        <v>24</v>
      </c>
      <c r="S1945" t="str">
        <f t="shared" ca="1" si="665"/>
        <v>No</v>
      </c>
      <c r="T1945" t="str">
        <f t="shared" ca="1" si="666"/>
        <v>Critical</v>
      </c>
      <c r="U1945" t="str">
        <f t="shared" ca="1" si="667"/>
        <v>Emergency</v>
      </c>
      <c r="V1945" t="str">
        <f t="shared" si="668"/>
        <v>BED1944</v>
      </c>
      <c r="W1945" t="str">
        <f t="shared" ca="1" si="669"/>
        <v>Semi-Private</v>
      </c>
      <c r="X1945" t="str">
        <f t="shared" si="670"/>
        <v>NUR044</v>
      </c>
      <c r="Y1945" t="str">
        <f t="shared" ca="1" si="671"/>
        <v>Evening</v>
      </c>
      <c r="Z1945" t="str">
        <f t="shared" ca="1" si="672"/>
        <v>MRI Scanner</v>
      </c>
      <c r="AA1945" t="str">
        <f t="shared" ca="1" si="673"/>
        <v>Available</v>
      </c>
      <c r="AB1945" t="str">
        <f t="shared" ca="1" si="674"/>
        <v>Partially Paid</v>
      </c>
      <c r="AC1945" t="str">
        <f t="shared" ca="1" si="675"/>
        <v>Insurance</v>
      </c>
      <c r="AD1945" t="str">
        <f t="shared" ca="1" si="676"/>
        <v>No</v>
      </c>
      <c r="AE1945" t="str">
        <f t="shared" ca="1" si="677"/>
        <v>No</v>
      </c>
      <c r="AF1945" t="str">
        <f t="shared" ca="1" si="678"/>
        <v>Recovered</v>
      </c>
      <c r="AG1945" t="str">
        <f t="shared" ca="1" si="679"/>
        <v>Southwest</v>
      </c>
      <c r="AH1945" t="str">
        <f t="shared" si="662"/>
        <v>October</v>
      </c>
      <c r="AI1945">
        <f t="shared" si="663"/>
        <v>2023</v>
      </c>
      <c r="AJ1945" t="str">
        <f t="shared" ca="1" si="680"/>
        <v>Vacant</v>
      </c>
      <c r="AK1945">
        <f t="shared" ca="1" si="681"/>
        <v>4</v>
      </c>
    </row>
    <row r="1946" spans="1:37" x14ac:dyDescent="0.3">
      <c r="A1946" t="s">
        <v>6317</v>
      </c>
      <c r="B1946">
        <v>69</v>
      </c>
      <c r="C1946" t="s">
        <v>32</v>
      </c>
      <c r="D1946" t="s">
        <v>44</v>
      </c>
      <c r="E1946" t="s">
        <v>17</v>
      </c>
      <c r="F1946" s="1">
        <v>43994</v>
      </c>
      <c r="G1946" t="s">
        <v>3861</v>
      </c>
      <c r="H1946" t="s">
        <v>3862</v>
      </c>
      <c r="I1946" t="s">
        <v>57</v>
      </c>
      <c r="J1946">
        <v>49408</v>
      </c>
      <c r="K1946">
        <v>122</v>
      </c>
      <c r="L1946" t="s">
        <v>29</v>
      </c>
      <c r="M1946" s="1">
        <v>44004</v>
      </c>
      <c r="N1946" t="s">
        <v>37</v>
      </c>
      <c r="O1946" t="s">
        <v>43</v>
      </c>
      <c r="P1946" t="str">
        <f t="shared" si="664"/>
        <v>P1945</v>
      </c>
      <c r="Q1946" t="str">
        <f t="shared" si="660"/>
        <v>Oncology</v>
      </c>
      <c r="R1946">
        <f t="shared" si="661"/>
        <v>10</v>
      </c>
      <c r="S1946" t="str">
        <f t="shared" ca="1" si="665"/>
        <v>No</v>
      </c>
      <c r="T1946" t="str">
        <f t="shared" ca="1" si="666"/>
        <v>Mild</v>
      </c>
      <c r="U1946" t="str">
        <f t="shared" ca="1" si="667"/>
        <v>General Ward</v>
      </c>
      <c r="V1946" t="str">
        <f t="shared" si="668"/>
        <v>BED1945</v>
      </c>
      <c r="W1946" t="str">
        <f t="shared" ca="1" si="669"/>
        <v>General</v>
      </c>
      <c r="X1946" t="str">
        <f t="shared" si="670"/>
        <v>NUR045</v>
      </c>
      <c r="Y1946" t="str">
        <f t="shared" ca="1" si="671"/>
        <v>Morning</v>
      </c>
      <c r="Z1946" t="str">
        <f t="shared" ca="1" si="672"/>
        <v>CT Scanner</v>
      </c>
      <c r="AA1946" t="str">
        <f t="shared" ca="1" si="673"/>
        <v>In Use</v>
      </c>
      <c r="AB1946" t="str">
        <f t="shared" ca="1" si="674"/>
        <v>Partially Paid</v>
      </c>
      <c r="AC1946" t="str">
        <f t="shared" ca="1" si="675"/>
        <v>Bank Transfer</v>
      </c>
      <c r="AD1946" t="str">
        <f t="shared" ca="1" si="676"/>
        <v>No</v>
      </c>
      <c r="AE1946" t="str">
        <f t="shared" ca="1" si="677"/>
        <v>No</v>
      </c>
      <c r="AF1946" t="str">
        <f t="shared" ca="1" si="678"/>
        <v>Transferred</v>
      </c>
      <c r="AG1946" t="str">
        <f t="shared" ca="1" si="679"/>
        <v>Southeast</v>
      </c>
      <c r="AH1946" t="str">
        <f t="shared" si="662"/>
        <v>June</v>
      </c>
      <c r="AI1946">
        <f t="shared" si="663"/>
        <v>2020</v>
      </c>
      <c r="AJ1946" t="str">
        <f t="shared" ca="1" si="680"/>
        <v>Vacant</v>
      </c>
      <c r="AK1946">
        <f t="shared" ca="1" si="681"/>
        <v>4</v>
      </c>
    </row>
    <row r="1947" spans="1:37" x14ac:dyDescent="0.3">
      <c r="A1947" t="s">
        <v>6318</v>
      </c>
      <c r="B1947">
        <v>25</v>
      </c>
      <c r="C1947" t="s">
        <v>15</v>
      </c>
      <c r="D1947" t="s">
        <v>33</v>
      </c>
      <c r="E1947" t="s">
        <v>39</v>
      </c>
      <c r="F1947" s="1">
        <v>45104</v>
      </c>
      <c r="G1947" t="s">
        <v>3863</v>
      </c>
      <c r="H1947" t="s">
        <v>3864</v>
      </c>
      <c r="I1947" t="s">
        <v>57</v>
      </c>
      <c r="J1947">
        <v>35625</v>
      </c>
      <c r="K1947">
        <v>480</v>
      </c>
      <c r="L1947" t="s">
        <v>42</v>
      </c>
      <c r="M1947" s="1">
        <v>45111</v>
      </c>
      <c r="N1947" t="s">
        <v>22</v>
      </c>
      <c r="O1947" t="s">
        <v>23</v>
      </c>
      <c r="P1947" t="str">
        <f t="shared" si="664"/>
        <v>P1946</v>
      </c>
      <c r="Q1947" t="str">
        <f t="shared" si="660"/>
        <v>Endocrinology</v>
      </c>
      <c r="R1947">
        <f t="shared" si="661"/>
        <v>7</v>
      </c>
      <c r="S1947" t="str">
        <f t="shared" ca="1" si="665"/>
        <v>No</v>
      </c>
      <c r="T1947" t="str">
        <f t="shared" ca="1" si="666"/>
        <v>Moderate</v>
      </c>
      <c r="U1947" t="str">
        <f t="shared" ca="1" si="667"/>
        <v>Semi-Private</v>
      </c>
      <c r="V1947" t="str">
        <f t="shared" si="668"/>
        <v>BED1946</v>
      </c>
      <c r="W1947" t="str">
        <f t="shared" ca="1" si="669"/>
        <v>Semi-Private</v>
      </c>
      <c r="X1947" t="str">
        <f t="shared" si="670"/>
        <v>NUR046</v>
      </c>
      <c r="Y1947" t="str">
        <f t="shared" ca="1" si="671"/>
        <v>Morning</v>
      </c>
      <c r="Z1947" t="str">
        <f t="shared" ca="1" si="672"/>
        <v>Ultrasound</v>
      </c>
      <c r="AA1947" t="str">
        <f t="shared" ca="1" si="673"/>
        <v>Available</v>
      </c>
      <c r="AB1947" t="str">
        <f t="shared" ca="1" si="674"/>
        <v>Paid</v>
      </c>
      <c r="AC1947" t="str">
        <f t="shared" ca="1" si="675"/>
        <v>Debit Card</v>
      </c>
      <c r="AD1947" t="str">
        <f t="shared" ca="1" si="676"/>
        <v>Yes</v>
      </c>
      <c r="AE1947" t="str">
        <f t="shared" ca="1" si="677"/>
        <v>Yes</v>
      </c>
      <c r="AF1947" t="str">
        <f t="shared" ca="1" si="678"/>
        <v>Under Observation</v>
      </c>
      <c r="AG1947" t="str">
        <f t="shared" ca="1" si="679"/>
        <v>Southwest</v>
      </c>
      <c r="AH1947" t="str">
        <f t="shared" si="662"/>
        <v>June</v>
      </c>
      <c r="AI1947">
        <f t="shared" si="663"/>
        <v>2023</v>
      </c>
      <c r="AJ1947" t="str">
        <f t="shared" ca="1" si="680"/>
        <v>Occupied</v>
      </c>
      <c r="AK1947">
        <f t="shared" ca="1" si="681"/>
        <v>1</v>
      </c>
    </row>
    <row r="1948" spans="1:37" x14ac:dyDescent="0.3">
      <c r="A1948" t="s">
        <v>6319</v>
      </c>
      <c r="B1948">
        <v>71</v>
      </c>
      <c r="C1948" t="s">
        <v>32</v>
      </c>
      <c r="D1948" t="s">
        <v>52</v>
      </c>
      <c r="E1948" t="s">
        <v>17</v>
      </c>
      <c r="F1948" s="1">
        <v>44072</v>
      </c>
      <c r="G1948" t="s">
        <v>3865</v>
      </c>
      <c r="H1948" t="s">
        <v>3866</v>
      </c>
      <c r="I1948" t="s">
        <v>28</v>
      </c>
      <c r="J1948">
        <v>34162</v>
      </c>
      <c r="K1948">
        <v>255</v>
      </c>
      <c r="L1948" t="s">
        <v>21</v>
      </c>
      <c r="M1948" s="1">
        <v>44076</v>
      </c>
      <c r="N1948" t="s">
        <v>30</v>
      </c>
      <c r="O1948" t="s">
        <v>31</v>
      </c>
      <c r="P1948" t="str">
        <f t="shared" si="664"/>
        <v>P1947</v>
      </c>
      <c r="Q1948" t="str">
        <f t="shared" si="660"/>
        <v>Oncology</v>
      </c>
      <c r="R1948">
        <f t="shared" si="661"/>
        <v>4</v>
      </c>
      <c r="S1948" t="str">
        <f t="shared" ca="1" si="665"/>
        <v>No</v>
      </c>
      <c r="T1948" t="str">
        <f t="shared" ca="1" si="666"/>
        <v>Moderate</v>
      </c>
      <c r="U1948" t="str">
        <f t="shared" ca="1" si="667"/>
        <v>ICU</v>
      </c>
      <c r="V1948" t="str">
        <f t="shared" si="668"/>
        <v>BED1947</v>
      </c>
      <c r="W1948" t="str">
        <f t="shared" ca="1" si="669"/>
        <v>Semi-Private</v>
      </c>
      <c r="X1948" t="str">
        <f t="shared" si="670"/>
        <v>NUR047</v>
      </c>
      <c r="Y1948" t="str">
        <f t="shared" ca="1" si="671"/>
        <v>Morning</v>
      </c>
      <c r="Z1948" t="str">
        <f t="shared" ca="1" si="672"/>
        <v>ECG Machine</v>
      </c>
      <c r="AA1948" t="str">
        <f t="shared" ca="1" si="673"/>
        <v>Maintenance</v>
      </c>
      <c r="AB1948" t="str">
        <f t="shared" ca="1" si="674"/>
        <v>Paid</v>
      </c>
      <c r="AC1948" t="str">
        <f t="shared" ca="1" si="675"/>
        <v>Cash</v>
      </c>
      <c r="AD1948" t="str">
        <f t="shared" ca="1" si="676"/>
        <v>No</v>
      </c>
      <c r="AE1948" t="str">
        <f t="shared" ca="1" si="677"/>
        <v>No</v>
      </c>
      <c r="AF1948" t="str">
        <f t="shared" ca="1" si="678"/>
        <v>Transferred</v>
      </c>
      <c r="AG1948" t="str">
        <f t="shared" ca="1" si="679"/>
        <v>Southeast</v>
      </c>
      <c r="AH1948" t="str">
        <f t="shared" si="662"/>
        <v>August</v>
      </c>
      <c r="AI1948">
        <f t="shared" si="663"/>
        <v>2020</v>
      </c>
      <c r="AJ1948" t="str">
        <f t="shared" ca="1" si="680"/>
        <v>Occupied</v>
      </c>
      <c r="AK1948">
        <f t="shared" ca="1" si="681"/>
        <v>2</v>
      </c>
    </row>
    <row r="1949" spans="1:37" x14ac:dyDescent="0.3">
      <c r="A1949" t="s">
        <v>6320</v>
      </c>
      <c r="B1949">
        <v>74</v>
      </c>
      <c r="C1949" t="s">
        <v>15</v>
      </c>
      <c r="D1949" t="s">
        <v>16</v>
      </c>
      <c r="E1949" t="s">
        <v>64</v>
      </c>
      <c r="F1949" s="1">
        <v>44391</v>
      </c>
      <c r="G1949" t="s">
        <v>3867</v>
      </c>
      <c r="H1949" t="s">
        <v>3868</v>
      </c>
      <c r="I1949" t="s">
        <v>36</v>
      </c>
      <c r="J1949">
        <v>700</v>
      </c>
      <c r="K1949">
        <v>214</v>
      </c>
      <c r="L1949" t="s">
        <v>42</v>
      </c>
      <c r="M1949" s="1">
        <v>44393</v>
      </c>
      <c r="N1949" t="s">
        <v>67</v>
      </c>
      <c r="O1949" t="s">
        <v>31</v>
      </c>
      <c r="P1949" t="str">
        <f t="shared" si="664"/>
        <v>P1948</v>
      </c>
      <c r="Q1949" t="str">
        <f t="shared" si="660"/>
        <v>Cardiology</v>
      </c>
      <c r="R1949">
        <f t="shared" si="661"/>
        <v>2</v>
      </c>
      <c r="S1949" t="str">
        <f t="shared" ca="1" si="665"/>
        <v>No</v>
      </c>
      <c r="T1949" t="str">
        <f t="shared" ca="1" si="666"/>
        <v>Critical</v>
      </c>
      <c r="U1949" t="str">
        <f t="shared" ca="1" si="667"/>
        <v>Private Ward</v>
      </c>
      <c r="V1949" t="str">
        <f t="shared" si="668"/>
        <v>BED1948</v>
      </c>
      <c r="W1949" t="str">
        <f t="shared" ca="1" si="669"/>
        <v>Semi-Private</v>
      </c>
      <c r="X1949" t="str">
        <f t="shared" si="670"/>
        <v>NUR048</v>
      </c>
      <c r="Y1949" t="str">
        <f t="shared" ca="1" si="671"/>
        <v>Evening</v>
      </c>
      <c r="Z1949" t="str">
        <f t="shared" ca="1" si="672"/>
        <v>Ventilator</v>
      </c>
      <c r="AA1949" t="str">
        <f t="shared" ca="1" si="673"/>
        <v>Available</v>
      </c>
      <c r="AB1949" t="str">
        <f t="shared" ca="1" si="674"/>
        <v>Paid</v>
      </c>
      <c r="AC1949" t="str">
        <f t="shared" ca="1" si="675"/>
        <v>Insurance</v>
      </c>
      <c r="AD1949" t="str">
        <f t="shared" ca="1" si="676"/>
        <v>Yes</v>
      </c>
      <c r="AE1949" t="str">
        <f t="shared" ca="1" si="677"/>
        <v>No</v>
      </c>
      <c r="AF1949" t="str">
        <f t="shared" ca="1" si="678"/>
        <v>Transferred</v>
      </c>
      <c r="AG1949" t="str">
        <f t="shared" ca="1" si="679"/>
        <v>Southeast</v>
      </c>
      <c r="AH1949" t="str">
        <f t="shared" si="662"/>
        <v>July</v>
      </c>
      <c r="AI1949">
        <f t="shared" si="663"/>
        <v>2021</v>
      </c>
      <c r="AJ1949" t="str">
        <f t="shared" ca="1" si="680"/>
        <v>Occupied</v>
      </c>
      <c r="AK1949">
        <f t="shared" ca="1" si="681"/>
        <v>4</v>
      </c>
    </row>
    <row r="1950" spans="1:37" x14ac:dyDescent="0.3">
      <c r="A1950" t="s">
        <v>6321</v>
      </c>
      <c r="B1950">
        <v>78</v>
      </c>
      <c r="C1950" t="s">
        <v>15</v>
      </c>
      <c r="D1950" t="s">
        <v>16</v>
      </c>
      <c r="E1950" t="s">
        <v>76</v>
      </c>
      <c r="F1950" s="1">
        <v>44805</v>
      </c>
      <c r="G1950" t="s">
        <v>3869</v>
      </c>
      <c r="H1950" t="s">
        <v>3870</v>
      </c>
      <c r="I1950" t="s">
        <v>28</v>
      </c>
      <c r="J1950">
        <v>16524</v>
      </c>
      <c r="K1950">
        <v>472</v>
      </c>
      <c r="L1950" t="s">
        <v>42</v>
      </c>
      <c r="M1950" s="1">
        <v>44814</v>
      </c>
      <c r="N1950" t="s">
        <v>47</v>
      </c>
      <c r="O1950" t="s">
        <v>43</v>
      </c>
      <c r="P1950" t="str">
        <f t="shared" si="664"/>
        <v>P1949</v>
      </c>
      <c r="Q1950" t="str">
        <f t="shared" si="660"/>
        <v>Orthopedics</v>
      </c>
      <c r="R1950">
        <f t="shared" si="661"/>
        <v>9</v>
      </c>
      <c r="S1950" t="str">
        <f t="shared" ca="1" si="665"/>
        <v>No</v>
      </c>
      <c r="T1950" t="str">
        <f t="shared" ca="1" si="666"/>
        <v>Mild</v>
      </c>
      <c r="U1950" t="str">
        <f t="shared" ca="1" si="667"/>
        <v>Emergency</v>
      </c>
      <c r="V1950" t="str">
        <f t="shared" si="668"/>
        <v>BED1949</v>
      </c>
      <c r="W1950" t="str">
        <f t="shared" ca="1" si="669"/>
        <v>General</v>
      </c>
      <c r="X1950" t="str">
        <f t="shared" si="670"/>
        <v>NUR049</v>
      </c>
      <c r="Y1950" t="str">
        <f t="shared" ca="1" si="671"/>
        <v>Night</v>
      </c>
      <c r="Z1950" t="str">
        <f t="shared" ca="1" si="672"/>
        <v>MRI Scanner</v>
      </c>
      <c r="AA1950" t="str">
        <f t="shared" ca="1" si="673"/>
        <v>Maintenance</v>
      </c>
      <c r="AB1950" t="str">
        <f t="shared" ca="1" si="674"/>
        <v>Partially Paid</v>
      </c>
      <c r="AC1950" t="str">
        <f t="shared" ca="1" si="675"/>
        <v>Debit Card</v>
      </c>
      <c r="AD1950" t="str">
        <f t="shared" ca="1" si="676"/>
        <v>No</v>
      </c>
      <c r="AE1950" t="str">
        <f t="shared" ca="1" si="677"/>
        <v>No</v>
      </c>
      <c r="AF1950" t="str">
        <f t="shared" ca="1" si="678"/>
        <v>Recovered</v>
      </c>
      <c r="AG1950" t="str">
        <f t="shared" ca="1" si="679"/>
        <v>Southeast</v>
      </c>
      <c r="AH1950" t="str">
        <f t="shared" si="662"/>
        <v>September</v>
      </c>
      <c r="AI1950">
        <f t="shared" si="663"/>
        <v>2022</v>
      </c>
      <c r="AJ1950" t="str">
        <f t="shared" ca="1" si="680"/>
        <v>Occupied</v>
      </c>
      <c r="AK1950">
        <f t="shared" ca="1" si="681"/>
        <v>1</v>
      </c>
    </row>
    <row r="1951" spans="1:37" x14ac:dyDescent="0.3">
      <c r="A1951" t="s">
        <v>6322</v>
      </c>
      <c r="B1951">
        <v>69</v>
      </c>
      <c r="C1951" t="s">
        <v>15</v>
      </c>
      <c r="D1951" t="s">
        <v>52</v>
      </c>
      <c r="E1951" t="s">
        <v>48</v>
      </c>
      <c r="F1951" s="1">
        <v>43683</v>
      </c>
      <c r="G1951" t="s">
        <v>3871</v>
      </c>
      <c r="H1951" t="s">
        <v>3872</v>
      </c>
      <c r="I1951" t="s">
        <v>20</v>
      </c>
      <c r="J1951">
        <v>13680</v>
      </c>
      <c r="K1951">
        <v>337</v>
      </c>
      <c r="L1951" t="s">
        <v>21</v>
      </c>
      <c r="M1951" s="1">
        <v>43693</v>
      </c>
      <c r="N1951" t="s">
        <v>30</v>
      </c>
      <c r="O1951" t="s">
        <v>43</v>
      </c>
      <c r="P1951" t="str">
        <f t="shared" si="664"/>
        <v>P1950</v>
      </c>
      <c r="Q1951" t="str">
        <f t="shared" si="660"/>
        <v>Pulmonology</v>
      </c>
      <c r="R1951">
        <f t="shared" si="661"/>
        <v>10</v>
      </c>
      <c r="S1951" t="str">
        <f t="shared" ca="1" si="665"/>
        <v>No</v>
      </c>
      <c r="T1951" t="str">
        <f t="shared" ca="1" si="666"/>
        <v>Moderate</v>
      </c>
      <c r="U1951" t="str">
        <f t="shared" ca="1" si="667"/>
        <v>Private Ward</v>
      </c>
      <c r="V1951" t="str">
        <f t="shared" si="668"/>
        <v>BED1950</v>
      </c>
      <c r="W1951" t="str">
        <f t="shared" ca="1" si="669"/>
        <v>Private</v>
      </c>
      <c r="X1951" t="str">
        <f t="shared" si="670"/>
        <v>NUR050</v>
      </c>
      <c r="Y1951" t="str">
        <f t="shared" ca="1" si="671"/>
        <v>Night</v>
      </c>
      <c r="Z1951" t="str">
        <f t="shared" ca="1" si="672"/>
        <v>ECG Machine</v>
      </c>
      <c r="AA1951" t="str">
        <f t="shared" ca="1" si="673"/>
        <v>Available</v>
      </c>
      <c r="AB1951" t="str">
        <f t="shared" ca="1" si="674"/>
        <v>Partially Paid</v>
      </c>
      <c r="AC1951" t="str">
        <f t="shared" ca="1" si="675"/>
        <v>Credit Card</v>
      </c>
      <c r="AD1951" t="str">
        <f t="shared" ca="1" si="676"/>
        <v>No</v>
      </c>
      <c r="AE1951" t="str">
        <f t="shared" ca="1" si="677"/>
        <v>Yes</v>
      </c>
      <c r="AF1951" t="str">
        <f t="shared" ca="1" si="678"/>
        <v>Transferred</v>
      </c>
      <c r="AG1951" t="str">
        <f t="shared" ca="1" si="679"/>
        <v>Southeast</v>
      </c>
      <c r="AH1951" t="str">
        <f t="shared" si="662"/>
        <v>August</v>
      </c>
      <c r="AI1951">
        <f t="shared" si="663"/>
        <v>2019</v>
      </c>
      <c r="AJ1951" t="str">
        <f t="shared" ca="1" si="680"/>
        <v>Occupied</v>
      </c>
      <c r="AK1951">
        <f t="shared" ca="1" si="681"/>
        <v>1</v>
      </c>
    </row>
    <row r="1952" spans="1:37" x14ac:dyDescent="0.3">
      <c r="A1952" t="s">
        <v>6323</v>
      </c>
      <c r="B1952">
        <v>34</v>
      </c>
      <c r="C1952" t="s">
        <v>32</v>
      </c>
      <c r="D1952" t="s">
        <v>16</v>
      </c>
      <c r="E1952" t="s">
        <v>76</v>
      </c>
      <c r="F1952" s="1">
        <v>43634</v>
      </c>
      <c r="G1952" t="s">
        <v>3873</v>
      </c>
      <c r="H1952" t="s">
        <v>3874</v>
      </c>
      <c r="I1952" t="s">
        <v>57</v>
      </c>
      <c r="J1952">
        <v>38123</v>
      </c>
      <c r="K1952">
        <v>460</v>
      </c>
      <c r="L1952" t="s">
        <v>21</v>
      </c>
      <c r="M1952" s="1">
        <v>43662</v>
      </c>
      <c r="N1952" t="s">
        <v>30</v>
      </c>
      <c r="O1952" t="s">
        <v>31</v>
      </c>
      <c r="P1952" t="str">
        <f t="shared" si="664"/>
        <v>P1951</v>
      </c>
      <c r="Q1952" t="str">
        <f t="shared" si="660"/>
        <v>Orthopedics</v>
      </c>
      <c r="R1952">
        <f t="shared" si="661"/>
        <v>28</v>
      </c>
      <c r="S1952" t="str">
        <f t="shared" ca="1" si="665"/>
        <v>No</v>
      </c>
      <c r="T1952" t="str">
        <f t="shared" ca="1" si="666"/>
        <v>Mild</v>
      </c>
      <c r="U1952" t="str">
        <f t="shared" ca="1" si="667"/>
        <v>General Ward</v>
      </c>
      <c r="V1952" t="str">
        <f t="shared" si="668"/>
        <v>BED1951</v>
      </c>
      <c r="W1952" t="str">
        <f t="shared" ca="1" si="669"/>
        <v>General</v>
      </c>
      <c r="X1952" t="str">
        <f t="shared" si="670"/>
        <v>NUR001</v>
      </c>
      <c r="Y1952" t="str">
        <f t="shared" ca="1" si="671"/>
        <v>Night</v>
      </c>
      <c r="Z1952" t="str">
        <f t="shared" ca="1" si="672"/>
        <v>Ventilator</v>
      </c>
      <c r="AA1952" t="str">
        <f t="shared" ca="1" si="673"/>
        <v>Maintenance</v>
      </c>
      <c r="AB1952" t="str">
        <f t="shared" ca="1" si="674"/>
        <v>Paid</v>
      </c>
      <c r="AC1952" t="str">
        <f t="shared" ca="1" si="675"/>
        <v>Bank Transfer</v>
      </c>
      <c r="AD1952" t="str">
        <f t="shared" ca="1" si="676"/>
        <v>Yes</v>
      </c>
      <c r="AE1952" t="str">
        <f t="shared" ca="1" si="677"/>
        <v>No</v>
      </c>
      <c r="AF1952" t="str">
        <f t="shared" ca="1" si="678"/>
        <v>Under Observation</v>
      </c>
      <c r="AG1952" t="str">
        <f t="shared" ca="1" si="679"/>
        <v>Southwest</v>
      </c>
      <c r="AH1952" t="str">
        <f t="shared" si="662"/>
        <v>June</v>
      </c>
      <c r="AI1952">
        <f t="shared" si="663"/>
        <v>2019</v>
      </c>
      <c r="AJ1952" t="str">
        <f t="shared" ca="1" si="680"/>
        <v>Occupied</v>
      </c>
      <c r="AK1952">
        <f t="shared" ca="1" si="681"/>
        <v>1</v>
      </c>
    </row>
    <row r="1953" spans="1:37" x14ac:dyDescent="0.3">
      <c r="A1953" t="s">
        <v>6324</v>
      </c>
      <c r="B1953">
        <v>67</v>
      </c>
      <c r="C1953" t="s">
        <v>15</v>
      </c>
      <c r="D1953" t="s">
        <v>24</v>
      </c>
      <c r="E1953" t="s">
        <v>39</v>
      </c>
      <c r="F1953" s="1">
        <v>44682</v>
      </c>
      <c r="G1953" t="s">
        <v>3875</v>
      </c>
      <c r="H1953" t="s">
        <v>3876</v>
      </c>
      <c r="I1953" t="s">
        <v>57</v>
      </c>
      <c r="J1953">
        <v>20546</v>
      </c>
      <c r="K1953">
        <v>242</v>
      </c>
      <c r="L1953" t="s">
        <v>21</v>
      </c>
      <c r="M1953" s="1">
        <v>44704</v>
      </c>
      <c r="N1953" t="s">
        <v>22</v>
      </c>
      <c r="O1953" t="s">
        <v>23</v>
      </c>
      <c r="P1953" t="str">
        <f t="shared" si="664"/>
        <v>P1952</v>
      </c>
      <c r="Q1953" t="str">
        <f t="shared" si="660"/>
        <v>Endocrinology</v>
      </c>
      <c r="R1953">
        <f t="shared" si="661"/>
        <v>22</v>
      </c>
      <c r="S1953" t="str">
        <f t="shared" ca="1" si="665"/>
        <v>No</v>
      </c>
      <c r="T1953" t="str">
        <f t="shared" ca="1" si="666"/>
        <v>Mild</v>
      </c>
      <c r="U1953" t="str">
        <f t="shared" ca="1" si="667"/>
        <v>Emergency</v>
      </c>
      <c r="V1953" t="str">
        <f t="shared" si="668"/>
        <v>BED1952</v>
      </c>
      <c r="W1953" t="str">
        <f t="shared" ca="1" si="669"/>
        <v>General</v>
      </c>
      <c r="X1953" t="str">
        <f t="shared" si="670"/>
        <v>NUR002</v>
      </c>
      <c r="Y1953" t="str">
        <f t="shared" ca="1" si="671"/>
        <v>Evening</v>
      </c>
      <c r="Z1953" t="str">
        <f t="shared" ca="1" si="672"/>
        <v>MRI Scanner</v>
      </c>
      <c r="AA1953" t="str">
        <f t="shared" ca="1" si="673"/>
        <v>Maintenance</v>
      </c>
      <c r="AB1953" t="str">
        <f t="shared" ca="1" si="674"/>
        <v>Partially Paid</v>
      </c>
      <c r="AC1953" t="str">
        <f t="shared" ca="1" si="675"/>
        <v>Cash</v>
      </c>
      <c r="AD1953" t="str">
        <f t="shared" ca="1" si="676"/>
        <v>No</v>
      </c>
      <c r="AE1953" t="str">
        <f t="shared" ca="1" si="677"/>
        <v>No</v>
      </c>
      <c r="AF1953" t="str">
        <f t="shared" ca="1" si="678"/>
        <v>Under Observation</v>
      </c>
      <c r="AG1953" t="str">
        <f t="shared" ca="1" si="679"/>
        <v>Southwest</v>
      </c>
      <c r="AH1953" t="str">
        <f t="shared" si="662"/>
        <v>May</v>
      </c>
      <c r="AI1953">
        <f t="shared" si="663"/>
        <v>2022</v>
      </c>
      <c r="AJ1953" t="str">
        <f t="shared" ca="1" si="680"/>
        <v>Occupied</v>
      </c>
      <c r="AK1953">
        <f t="shared" ca="1" si="681"/>
        <v>2</v>
      </c>
    </row>
    <row r="1954" spans="1:37" x14ac:dyDescent="0.3">
      <c r="A1954" t="s">
        <v>6325</v>
      </c>
      <c r="B1954">
        <v>28</v>
      </c>
      <c r="C1954" t="s">
        <v>15</v>
      </c>
      <c r="D1954" t="s">
        <v>33</v>
      </c>
      <c r="E1954" t="s">
        <v>76</v>
      </c>
      <c r="F1954" s="1">
        <v>43790</v>
      </c>
      <c r="G1954" t="s">
        <v>3877</v>
      </c>
      <c r="H1954" t="s">
        <v>3878</v>
      </c>
      <c r="I1954" t="s">
        <v>20</v>
      </c>
      <c r="J1954">
        <v>40409</v>
      </c>
      <c r="K1954">
        <v>500</v>
      </c>
      <c r="L1954" t="s">
        <v>21</v>
      </c>
      <c r="M1954" s="1">
        <v>43799</v>
      </c>
      <c r="N1954" t="s">
        <v>47</v>
      </c>
      <c r="O1954" t="s">
        <v>31</v>
      </c>
      <c r="P1954" t="str">
        <f t="shared" si="664"/>
        <v>P1953</v>
      </c>
      <c r="Q1954" t="str">
        <f t="shared" si="660"/>
        <v>Orthopedics</v>
      </c>
      <c r="R1954">
        <f t="shared" si="661"/>
        <v>9</v>
      </c>
      <c r="S1954" t="str">
        <f t="shared" ca="1" si="665"/>
        <v>No</v>
      </c>
      <c r="T1954" t="str">
        <f t="shared" ca="1" si="666"/>
        <v>Critical</v>
      </c>
      <c r="U1954" t="str">
        <f t="shared" ca="1" si="667"/>
        <v>Private Ward</v>
      </c>
      <c r="V1954" t="str">
        <f t="shared" si="668"/>
        <v>BED1953</v>
      </c>
      <c r="W1954" t="str">
        <f t="shared" ca="1" si="669"/>
        <v>ICU</v>
      </c>
      <c r="X1954" t="str">
        <f t="shared" si="670"/>
        <v>NUR003</v>
      </c>
      <c r="Y1954" t="str">
        <f t="shared" ca="1" si="671"/>
        <v>Evening</v>
      </c>
      <c r="Z1954" t="str">
        <f t="shared" ca="1" si="672"/>
        <v>Ventilator</v>
      </c>
      <c r="AA1954" t="str">
        <f t="shared" ca="1" si="673"/>
        <v>In Use</v>
      </c>
      <c r="AB1954" t="str">
        <f t="shared" ca="1" si="674"/>
        <v>Partially Paid</v>
      </c>
      <c r="AC1954" t="str">
        <f t="shared" ca="1" si="675"/>
        <v>Bank Transfer</v>
      </c>
      <c r="AD1954" t="str">
        <f t="shared" ca="1" si="676"/>
        <v>No</v>
      </c>
      <c r="AE1954" t="str">
        <f t="shared" ca="1" si="677"/>
        <v>No</v>
      </c>
      <c r="AF1954" t="str">
        <f t="shared" ca="1" si="678"/>
        <v>Under Observation</v>
      </c>
      <c r="AG1954" t="str">
        <f t="shared" ca="1" si="679"/>
        <v>Northeast</v>
      </c>
      <c r="AH1954" t="str">
        <f t="shared" si="662"/>
        <v>November</v>
      </c>
      <c r="AI1954">
        <f t="shared" si="663"/>
        <v>2019</v>
      </c>
      <c r="AJ1954" t="str">
        <f t="shared" ca="1" si="680"/>
        <v>Vacant</v>
      </c>
      <c r="AK1954">
        <f t="shared" ca="1" si="681"/>
        <v>4</v>
      </c>
    </row>
    <row r="1955" spans="1:37" x14ac:dyDescent="0.3">
      <c r="A1955" t="s">
        <v>6326</v>
      </c>
      <c r="B1955">
        <v>57</v>
      </c>
      <c r="C1955" t="s">
        <v>15</v>
      </c>
      <c r="D1955" t="s">
        <v>83</v>
      </c>
      <c r="E1955" t="s">
        <v>39</v>
      </c>
      <c r="F1955" s="1">
        <v>44663</v>
      </c>
      <c r="G1955" t="s">
        <v>3879</v>
      </c>
      <c r="H1955" t="s">
        <v>3880</v>
      </c>
      <c r="I1955" t="s">
        <v>57</v>
      </c>
      <c r="J1955">
        <v>14210</v>
      </c>
      <c r="K1955">
        <v>160</v>
      </c>
      <c r="L1955" t="s">
        <v>21</v>
      </c>
      <c r="M1955" s="1">
        <v>44691</v>
      </c>
      <c r="N1955" t="s">
        <v>37</v>
      </c>
      <c r="O1955" t="s">
        <v>23</v>
      </c>
      <c r="P1955" t="str">
        <f t="shared" si="664"/>
        <v>P1954</v>
      </c>
      <c r="Q1955" t="str">
        <f t="shared" si="660"/>
        <v>Endocrinology</v>
      </c>
      <c r="R1955">
        <f t="shared" si="661"/>
        <v>28</v>
      </c>
      <c r="S1955" t="str">
        <f t="shared" ca="1" si="665"/>
        <v>No</v>
      </c>
      <c r="T1955" t="str">
        <f t="shared" ca="1" si="666"/>
        <v>Moderate</v>
      </c>
      <c r="U1955" t="str">
        <f t="shared" ca="1" si="667"/>
        <v>Emergency</v>
      </c>
      <c r="V1955" t="str">
        <f t="shared" si="668"/>
        <v>BED1954</v>
      </c>
      <c r="W1955" t="str">
        <f t="shared" ca="1" si="669"/>
        <v>General</v>
      </c>
      <c r="X1955" t="str">
        <f t="shared" si="670"/>
        <v>NUR004</v>
      </c>
      <c r="Y1955" t="str">
        <f t="shared" ca="1" si="671"/>
        <v>Morning</v>
      </c>
      <c r="Z1955" t="str">
        <f t="shared" ca="1" si="672"/>
        <v>CT Scanner</v>
      </c>
      <c r="AA1955" t="str">
        <f t="shared" ca="1" si="673"/>
        <v>In Use</v>
      </c>
      <c r="AB1955" t="str">
        <f t="shared" ca="1" si="674"/>
        <v>Pending</v>
      </c>
      <c r="AC1955" t="str">
        <f t="shared" ca="1" si="675"/>
        <v>Insurance</v>
      </c>
      <c r="AD1955" t="str">
        <f t="shared" ca="1" si="676"/>
        <v>No</v>
      </c>
      <c r="AE1955" t="str">
        <f t="shared" ca="1" si="677"/>
        <v>No</v>
      </c>
      <c r="AF1955" t="str">
        <f t="shared" ca="1" si="678"/>
        <v>Transferred</v>
      </c>
      <c r="AG1955" t="str">
        <f t="shared" ca="1" si="679"/>
        <v>Southeast</v>
      </c>
      <c r="AH1955" t="str">
        <f t="shared" si="662"/>
        <v>April</v>
      </c>
      <c r="AI1955">
        <f t="shared" si="663"/>
        <v>2022</v>
      </c>
      <c r="AJ1955" t="str">
        <f t="shared" ca="1" si="680"/>
        <v>Occupied</v>
      </c>
      <c r="AK1955">
        <f t="shared" ca="1" si="681"/>
        <v>1</v>
      </c>
    </row>
    <row r="1956" spans="1:37" x14ac:dyDescent="0.3">
      <c r="A1956" t="s">
        <v>6327</v>
      </c>
      <c r="B1956">
        <v>38</v>
      </c>
      <c r="C1956" t="s">
        <v>15</v>
      </c>
      <c r="D1956" t="s">
        <v>83</v>
      </c>
      <c r="E1956" t="s">
        <v>17</v>
      </c>
      <c r="F1956" s="1">
        <v>45342</v>
      </c>
      <c r="G1956" t="s">
        <v>3881</v>
      </c>
      <c r="H1956" t="s">
        <v>3882</v>
      </c>
      <c r="I1956" t="s">
        <v>51</v>
      </c>
      <c r="J1956">
        <v>46605</v>
      </c>
      <c r="K1956">
        <v>445</v>
      </c>
      <c r="L1956" t="s">
        <v>21</v>
      </c>
      <c r="M1956" s="1">
        <v>45369</v>
      </c>
      <c r="N1956" t="s">
        <v>22</v>
      </c>
      <c r="O1956" t="s">
        <v>31</v>
      </c>
      <c r="P1956" t="str">
        <f t="shared" si="664"/>
        <v>P1955</v>
      </c>
      <c r="Q1956" t="str">
        <f t="shared" si="660"/>
        <v>Oncology</v>
      </c>
      <c r="R1956">
        <f t="shared" si="661"/>
        <v>27</v>
      </c>
      <c r="S1956" t="str">
        <f t="shared" ca="1" si="665"/>
        <v>No</v>
      </c>
      <c r="T1956" t="str">
        <f t="shared" ca="1" si="666"/>
        <v>Critical</v>
      </c>
      <c r="U1956" t="str">
        <f t="shared" ca="1" si="667"/>
        <v>Semi-Private</v>
      </c>
      <c r="V1956" t="str">
        <f t="shared" si="668"/>
        <v>BED1955</v>
      </c>
      <c r="W1956" t="str">
        <f t="shared" ca="1" si="669"/>
        <v>Private</v>
      </c>
      <c r="X1956" t="str">
        <f t="shared" si="670"/>
        <v>NUR005</v>
      </c>
      <c r="Y1956" t="str">
        <f t="shared" ca="1" si="671"/>
        <v>Night</v>
      </c>
      <c r="Z1956" t="str">
        <f t="shared" ca="1" si="672"/>
        <v>Ventilator</v>
      </c>
      <c r="AA1956" t="str">
        <f t="shared" ca="1" si="673"/>
        <v>In Use</v>
      </c>
      <c r="AB1956" t="str">
        <f t="shared" ca="1" si="674"/>
        <v>Paid</v>
      </c>
      <c r="AC1956" t="str">
        <f t="shared" ca="1" si="675"/>
        <v>Bank Transfer</v>
      </c>
      <c r="AD1956" t="str">
        <f t="shared" ca="1" si="676"/>
        <v>No</v>
      </c>
      <c r="AE1956" t="str">
        <f t="shared" ca="1" si="677"/>
        <v>No</v>
      </c>
      <c r="AF1956" t="str">
        <f t="shared" ca="1" si="678"/>
        <v>Transferred</v>
      </c>
      <c r="AG1956" t="str">
        <f t="shared" ca="1" si="679"/>
        <v>Southeast</v>
      </c>
      <c r="AH1956" t="str">
        <f t="shared" si="662"/>
        <v>February</v>
      </c>
      <c r="AI1956">
        <f t="shared" si="663"/>
        <v>2024</v>
      </c>
      <c r="AJ1956" t="str">
        <f t="shared" ca="1" si="680"/>
        <v>Occupied</v>
      </c>
      <c r="AK1956">
        <f t="shared" ca="1" si="681"/>
        <v>1</v>
      </c>
    </row>
    <row r="1957" spans="1:37" x14ac:dyDescent="0.3">
      <c r="A1957" t="s">
        <v>6328</v>
      </c>
      <c r="B1957">
        <v>58</v>
      </c>
      <c r="C1957" t="s">
        <v>32</v>
      </c>
      <c r="D1957" t="s">
        <v>44</v>
      </c>
      <c r="E1957" t="s">
        <v>76</v>
      </c>
      <c r="F1957" s="1">
        <v>45267</v>
      </c>
      <c r="G1957" t="s">
        <v>1141</v>
      </c>
      <c r="H1957" t="s">
        <v>3883</v>
      </c>
      <c r="I1957" t="s">
        <v>51</v>
      </c>
      <c r="J1957">
        <v>25711</v>
      </c>
      <c r="K1957">
        <v>286</v>
      </c>
      <c r="L1957" t="s">
        <v>42</v>
      </c>
      <c r="M1957" s="1">
        <v>45291</v>
      </c>
      <c r="N1957" t="s">
        <v>37</v>
      </c>
      <c r="O1957" t="s">
        <v>23</v>
      </c>
      <c r="P1957" t="str">
        <f t="shared" si="664"/>
        <v>P1956</v>
      </c>
      <c r="Q1957" t="str">
        <f t="shared" si="660"/>
        <v>Orthopedics</v>
      </c>
      <c r="R1957">
        <f t="shared" si="661"/>
        <v>24</v>
      </c>
      <c r="S1957" t="str">
        <f t="shared" ca="1" si="665"/>
        <v>No</v>
      </c>
      <c r="T1957" t="str">
        <f t="shared" ca="1" si="666"/>
        <v>Critical</v>
      </c>
      <c r="U1957" t="str">
        <f t="shared" ca="1" si="667"/>
        <v>Private Ward</v>
      </c>
      <c r="V1957" t="str">
        <f t="shared" si="668"/>
        <v>BED1956</v>
      </c>
      <c r="W1957" t="str">
        <f t="shared" ca="1" si="669"/>
        <v>Semi-Private</v>
      </c>
      <c r="X1957" t="str">
        <f t="shared" si="670"/>
        <v>NUR006</v>
      </c>
      <c r="Y1957" t="str">
        <f t="shared" ca="1" si="671"/>
        <v>Night</v>
      </c>
      <c r="Z1957" t="str">
        <f t="shared" ca="1" si="672"/>
        <v>MRI Scanner</v>
      </c>
      <c r="AA1957" t="str">
        <f t="shared" ca="1" si="673"/>
        <v>Maintenance</v>
      </c>
      <c r="AB1957" t="str">
        <f t="shared" ca="1" si="674"/>
        <v>Pending</v>
      </c>
      <c r="AC1957" t="str">
        <f t="shared" ca="1" si="675"/>
        <v>Credit Card</v>
      </c>
      <c r="AD1957" t="str">
        <f t="shared" ca="1" si="676"/>
        <v>No</v>
      </c>
      <c r="AE1957" t="str">
        <f t="shared" ca="1" si="677"/>
        <v>No</v>
      </c>
      <c r="AF1957" t="str">
        <f t="shared" ca="1" si="678"/>
        <v>Recovered</v>
      </c>
      <c r="AG1957" t="str">
        <f t="shared" ca="1" si="679"/>
        <v>Southwest</v>
      </c>
      <c r="AH1957" t="str">
        <f t="shared" si="662"/>
        <v>December</v>
      </c>
      <c r="AI1957">
        <f t="shared" si="663"/>
        <v>2023</v>
      </c>
      <c r="AJ1957" t="str">
        <f t="shared" ca="1" si="680"/>
        <v>Occupied</v>
      </c>
      <c r="AK1957">
        <f t="shared" ca="1" si="681"/>
        <v>2</v>
      </c>
    </row>
    <row r="1958" spans="1:37" x14ac:dyDescent="0.3">
      <c r="A1958" t="s">
        <v>6329</v>
      </c>
      <c r="B1958">
        <v>69</v>
      </c>
      <c r="C1958" t="s">
        <v>15</v>
      </c>
      <c r="D1958" t="s">
        <v>16</v>
      </c>
      <c r="E1958" t="s">
        <v>48</v>
      </c>
      <c r="F1958" s="1">
        <v>45243</v>
      </c>
      <c r="G1958" t="s">
        <v>3884</v>
      </c>
      <c r="H1958" t="s">
        <v>3885</v>
      </c>
      <c r="I1958" t="s">
        <v>28</v>
      </c>
      <c r="J1958">
        <v>23031</v>
      </c>
      <c r="K1958">
        <v>431</v>
      </c>
      <c r="L1958" t="s">
        <v>21</v>
      </c>
      <c r="M1958" s="1">
        <v>45253</v>
      </c>
      <c r="N1958" t="s">
        <v>30</v>
      </c>
      <c r="O1958" t="s">
        <v>43</v>
      </c>
      <c r="P1958" t="str">
        <f t="shared" si="664"/>
        <v>P1957</v>
      </c>
      <c r="Q1958" t="str">
        <f t="shared" si="660"/>
        <v>Pulmonology</v>
      </c>
      <c r="R1958">
        <f t="shared" si="661"/>
        <v>10</v>
      </c>
      <c r="S1958" t="str">
        <f t="shared" ca="1" si="665"/>
        <v>No</v>
      </c>
      <c r="T1958" t="str">
        <f t="shared" ca="1" si="666"/>
        <v>Moderate</v>
      </c>
      <c r="U1958" t="str">
        <f t="shared" ca="1" si="667"/>
        <v>Private Ward</v>
      </c>
      <c r="V1958" t="str">
        <f t="shared" si="668"/>
        <v>BED1957</v>
      </c>
      <c r="W1958" t="str">
        <f t="shared" ca="1" si="669"/>
        <v>ICU</v>
      </c>
      <c r="X1958" t="str">
        <f t="shared" si="670"/>
        <v>NUR007</v>
      </c>
      <c r="Y1958" t="str">
        <f t="shared" ca="1" si="671"/>
        <v>Evening</v>
      </c>
      <c r="Z1958" t="str">
        <f t="shared" ca="1" si="672"/>
        <v>ECG Machine</v>
      </c>
      <c r="AA1958" t="str">
        <f t="shared" ca="1" si="673"/>
        <v>Maintenance</v>
      </c>
      <c r="AB1958" t="str">
        <f t="shared" ca="1" si="674"/>
        <v>Pending</v>
      </c>
      <c r="AC1958" t="str">
        <f t="shared" ca="1" si="675"/>
        <v>Debit Card</v>
      </c>
      <c r="AD1958" t="str">
        <f t="shared" ca="1" si="676"/>
        <v>No</v>
      </c>
      <c r="AE1958" t="str">
        <f t="shared" ca="1" si="677"/>
        <v>No</v>
      </c>
      <c r="AF1958" t="str">
        <f t="shared" ca="1" si="678"/>
        <v>Under Observation</v>
      </c>
      <c r="AG1958" t="str">
        <f t="shared" ca="1" si="679"/>
        <v>West Coast</v>
      </c>
      <c r="AH1958" t="str">
        <f t="shared" si="662"/>
        <v>November</v>
      </c>
      <c r="AI1958">
        <f t="shared" si="663"/>
        <v>2023</v>
      </c>
      <c r="AJ1958" t="str">
        <f t="shared" ca="1" si="680"/>
        <v>Occupied</v>
      </c>
      <c r="AK1958">
        <f t="shared" ca="1" si="681"/>
        <v>1</v>
      </c>
    </row>
    <row r="1959" spans="1:37" x14ac:dyDescent="0.3">
      <c r="A1959" t="s">
        <v>6330</v>
      </c>
      <c r="B1959">
        <v>36</v>
      </c>
      <c r="C1959" t="s">
        <v>32</v>
      </c>
      <c r="D1959" t="s">
        <v>24</v>
      </c>
      <c r="E1959" t="s">
        <v>17</v>
      </c>
      <c r="F1959" s="1">
        <v>44554</v>
      </c>
      <c r="G1959" t="s">
        <v>3886</v>
      </c>
      <c r="H1959" t="s">
        <v>3887</v>
      </c>
      <c r="I1959" t="s">
        <v>51</v>
      </c>
      <c r="J1959">
        <v>9589</v>
      </c>
      <c r="K1959">
        <v>117</v>
      </c>
      <c r="L1959" t="s">
        <v>21</v>
      </c>
      <c r="M1959" s="1">
        <v>44578</v>
      </c>
      <c r="N1959" t="s">
        <v>30</v>
      </c>
      <c r="O1959" t="s">
        <v>31</v>
      </c>
      <c r="P1959" t="str">
        <f t="shared" si="664"/>
        <v>P1958</v>
      </c>
      <c r="Q1959" t="str">
        <f t="shared" si="660"/>
        <v>Oncology</v>
      </c>
      <c r="R1959">
        <f t="shared" si="661"/>
        <v>24</v>
      </c>
      <c r="S1959" t="str">
        <f t="shared" ca="1" si="665"/>
        <v>No</v>
      </c>
      <c r="T1959" t="str">
        <f t="shared" ca="1" si="666"/>
        <v>Moderate</v>
      </c>
      <c r="U1959" t="str">
        <f t="shared" ca="1" si="667"/>
        <v>ICU</v>
      </c>
      <c r="V1959" t="str">
        <f t="shared" si="668"/>
        <v>BED1958</v>
      </c>
      <c r="W1959" t="str">
        <f t="shared" ca="1" si="669"/>
        <v>Private</v>
      </c>
      <c r="X1959" t="str">
        <f t="shared" si="670"/>
        <v>NUR008</v>
      </c>
      <c r="Y1959" t="str">
        <f t="shared" ca="1" si="671"/>
        <v>Night</v>
      </c>
      <c r="Z1959" t="str">
        <f t="shared" ca="1" si="672"/>
        <v>Ventilator</v>
      </c>
      <c r="AA1959" t="str">
        <f t="shared" ca="1" si="673"/>
        <v>In Use</v>
      </c>
      <c r="AB1959" t="str">
        <f t="shared" ca="1" si="674"/>
        <v>Pending</v>
      </c>
      <c r="AC1959" t="str">
        <f t="shared" ca="1" si="675"/>
        <v>Cash</v>
      </c>
      <c r="AD1959" t="str">
        <f t="shared" ca="1" si="676"/>
        <v>No</v>
      </c>
      <c r="AE1959" t="str">
        <f t="shared" ca="1" si="677"/>
        <v>No</v>
      </c>
      <c r="AF1959" t="str">
        <f t="shared" ca="1" si="678"/>
        <v>Transferred</v>
      </c>
      <c r="AG1959" t="str">
        <f t="shared" ca="1" si="679"/>
        <v>Northeast</v>
      </c>
      <c r="AH1959" t="str">
        <f t="shared" si="662"/>
        <v>December</v>
      </c>
      <c r="AI1959">
        <f t="shared" si="663"/>
        <v>2021</v>
      </c>
      <c r="AJ1959" t="str">
        <f t="shared" ca="1" si="680"/>
        <v>Vacant</v>
      </c>
      <c r="AK1959">
        <f t="shared" ca="1" si="681"/>
        <v>2</v>
      </c>
    </row>
    <row r="1960" spans="1:37" x14ac:dyDescent="0.3">
      <c r="A1960" t="s">
        <v>6331</v>
      </c>
      <c r="B1960">
        <v>47</v>
      </c>
      <c r="C1960" t="s">
        <v>32</v>
      </c>
      <c r="D1960" t="s">
        <v>44</v>
      </c>
      <c r="E1960" t="s">
        <v>25</v>
      </c>
      <c r="F1960" s="1">
        <v>45081</v>
      </c>
      <c r="G1960" t="s">
        <v>3888</v>
      </c>
      <c r="H1960" t="s">
        <v>3889</v>
      </c>
      <c r="I1960" t="s">
        <v>51</v>
      </c>
      <c r="J1960">
        <v>2539</v>
      </c>
      <c r="K1960">
        <v>389</v>
      </c>
      <c r="L1960" t="s">
        <v>29</v>
      </c>
      <c r="M1960" s="1">
        <v>45108</v>
      </c>
      <c r="N1960" t="s">
        <v>37</v>
      </c>
      <c r="O1960" t="s">
        <v>31</v>
      </c>
      <c r="P1960" t="str">
        <f t="shared" si="664"/>
        <v>P1959</v>
      </c>
      <c r="Q1960" t="str">
        <f t="shared" si="660"/>
        <v>Nutrition</v>
      </c>
      <c r="R1960">
        <f t="shared" si="661"/>
        <v>27</v>
      </c>
      <c r="S1960" t="str">
        <f t="shared" ca="1" si="665"/>
        <v>No</v>
      </c>
      <c r="T1960" t="str">
        <f t="shared" ca="1" si="666"/>
        <v>Critical</v>
      </c>
      <c r="U1960" t="str">
        <f t="shared" ca="1" si="667"/>
        <v>General Ward</v>
      </c>
      <c r="V1960" t="str">
        <f t="shared" si="668"/>
        <v>BED1959</v>
      </c>
      <c r="W1960" t="str">
        <f t="shared" ca="1" si="669"/>
        <v>Private</v>
      </c>
      <c r="X1960" t="str">
        <f t="shared" si="670"/>
        <v>NUR009</v>
      </c>
      <c r="Y1960" t="str">
        <f t="shared" ca="1" si="671"/>
        <v>Morning</v>
      </c>
      <c r="Z1960" t="str">
        <f t="shared" ca="1" si="672"/>
        <v>MRI Scanner</v>
      </c>
      <c r="AA1960" t="str">
        <f t="shared" ca="1" si="673"/>
        <v>In Use</v>
      </c>
      <c r="AB1960" t="str">
        <f t="shared" ca="1" si="674"/>
        <v>Partially Paid</v>
      </c>
      <c r="AC1960" t="str">
        <f t="shared" ca="1" si="675"/>
        <v>Credit Card</v>
      </c>
      <c r="AD1960" t="str">
        <f t="shared" ca="1" si="676"/>
        <v>Yes</v>
      </c>
      <c r="AE1960" t="str">
        <f t="shared" ca="1" si="677"/>
        <v>No</v>
      </c>
      <c r="AF1960" t="str">
        <f t="shared" ca="1" si="678"/>
        <v>Recovered</v>
      </c>
      <c r="AG1960" t="str">
        <f t="shared" ca="1" si="679"/>
        <v>West Coast</v>
      </c>
      <c r="AH1960" t="str">
        <f t="shared" si="662"/>
        <v>June</v>
      </c>
      <c r="AI1960">
        <f t="shared" si="663"/>
        <v>2023</v>
      </c>
      <c r="AJ1960" t="str">
        <f t="shared" ca="1" si="680"/>
        <v>Occupied</v>
      </c>
      <c r="AK1960">
        <f t="shared" ca="1" si="681"/>
        <v>2</v>
      </c>
    </row>
    <row r="1961" spans="1:37" x14ac:dyDescent="0.3">
      <c r="A1961" t="s">
        <v>6332</v>
      </c>
      <c r="B1961">
        <v>19</v>
      </c>
      <c r="C1961" t="s">
        <v>15</v>
      </c>
      <c r="D1961" t="s">
        <v>52</v>
      </c>
      <c r="E1961" t="s">
        <v>64</v>
      </c>
      <c r="F1961" s="1">
        <v>43599</v>
      </c>
      <c r="G1961" t="s">
        <v>3890</v>
      </c>
      <c r="H1961" t="s">
        <v>3891</v>
      </c>
      <c r="I1961" t="s">
        <v>36</v>
      </c>
      <c r="J1961">
        <v>26387</v>
      </c>
      <c r="K1961">
        <v>357</v>
      </c>
      <c r="L1961" t="s">
        <v>42</v>
      </c>
      <c r="M1961" s="1">
        <v>43606</v>
      </c>
      <c r="N1961" t="s">
        <v>30</v>
      </c>
      <c r="O1961" t="s">
        <v>43</v>
      </c>
      <c r="P1961" t="str">
        <f t="shared" si="664"/>
        <v>P1960</v>
      </c>
      <c r="Q1961" t="str">
        <f t="shared" si="660"/>
        <v>Cardiology</v>
      </c>
      <c r="R1961">
        <f t="shared" si="661"/>
        <v>7</v>
      </c>
      <c r="S1961" t="str">
        <f t="shared" ca="1" si="665"/>
        <v>No</v>
      </c>
      <c r="T1961" t="str">
        <f t="shared" ca="1" si="666"/>
        <v>Severe</v>
      </c>
      <c r="U1961" t="str">
        <f t="shared" ca="1" si="667"/>
        <v>Emergency</v>
      </c>
      <c r="V1961" t="str">
        <f t="shared" si="668"/>
        <v>BED1960</v>
      </c>
      <c r="W1961" t="str">
        <f t="shared" ca="1" si="669"/>
        <v>General</v>
      </c>
      <c r="X1961" t="str">
        <f t="shared" si="670"/>
        <v>NUR010</v>
      </c>
      <c r="Y1961" t="str">
        <f t="shared" ca="1" si="671"/>
        <v>Morning</v>
      </c>
      <c r="Z1961" t="str">
        <f t="shared" ca="1" si="672"/>
        <v>X-Ray</v>
      </c>
      <c r="AA1961" t="str">
        <f t="shared" ca="1" si="673"/>
        <v>Available</v>
      </c>
      <c r="AB1961" t="str">
        <f t="shared" ca="1" si="674"/>
        <v>Partially Paid</v>
      </c>
      <c r="AC1961" t="str">
        <f t="shared" ca="1" si="675"/>
        <v>Insurance</v>
      </c>
      <c r="AD1961" t="str">
        <f t="shared" ca="1" si="676"/>
        <v>Yes</v>
      </c>
      <c r="AE1961" t="str">
        <f t="shared" ca="1" si="677"/>
        <v>No</v>
      </c>
      <c r="AF1961" t="str">
        <f t="shared" ca="1" si="678"/>
        <v>Transferred</v>
      </c>
      <c r="AG1961" t="str">
        <f t="shared" ca="1" si="679"/>
        <v>Northeast</v>
      </c>
      <c r="AH1961" t="str">
        <f t="shared" si="662"/>
        <v>May</v>
      </c>
      <c r="AI1961">
        <f t="shared" si="663"/>
        <v>2019</v>
      </c>
      <c r="AJ1961" t="str">
        <f t="shared" ca="1" si="680"/>
        <v>Occupied</v>
      </c>
      <c r="AK1961">
        <f t="shared" ca="1" si="681"/>
        <v>4</v>
      </c>
    </row>
    <row r="1962" spans="1:37" x14ac:dyDescent="0.3">
      <c r="A1962" t="s">
        <v>6333</v>
      </c>
      <c r="B1962">
        <v>85</v>
      </c>
      <c r="C1962" t="s">
        <v>32</v>
      </c>
      <c r="D1962" t="s">
        <v>24</v>
      </c>
      <c r="E1962" t="s">
        <v>39</v>
      </c>
      <c r="F1962" s="1">
        <v>44395</v>
      </c>
      <c r="G1962" t="s">
        <v>3892</v>
      </c>
      <c r="H1962" t="s">
        <v>3893</v>
      </c>
      <c r="I1962" t="s">
        <v>57</v>
      </c>
      <c r="J1962">
        <v>35006</v>
      </c>
      <c r="K1962">
        <v>138</v>
      </c>
      <c r="L1962" t="s">
        <v>21</v>
      </c>
      <c r="M1962" s="1">
        <v>44398</v>
      </c>
      <c r="N1962" t="s">
        <v>67</v>
      </c>
      <c r="O1962" t="s">
        <v>43</v>
      </c>
      <c r="P1962" t="str">
        <f t="shared" si="664"/>
        <v>P1961</v>
      </c>
      <c r="Q1962" t="str">
        <f t="shared" si="660"/>
        <v>Endocrinology</v>
      </c>
      <c r="R1962">
        <f t="shared" si="661"/>
        <v>3</v>
      </c>
      <c r="S1962" t="str">
        <f t="shared" ca="1" si="665"/>
        <v>No</v>
      </c>
      <c r="T1962" t="str">
        <f t="shared" ca="1" si="666"/>
        <v>Mild</v>
      </c>
      <c r="U1962" t="str">
        <f t="shared" ca="1" si="667"/>
        <v>Private Ward</v>
      </c>
      <c r="V1962" t="str">
        <f t="shared" si="668"/>
        <v>BED1961</v>
      </c>
      <c r="W1962" t="str">
        <f t="shared" ca="1" si="669"/>
        <v>General</v>
      </c>
      <c r="X1962" t="str">
        <f t="shared" si="670"/>
        <v>NUR011</v>
      </c>
      <c r="Y1962" t="str">
        <f t="shared" ca="1" si="671"/>
        <v>Morning</v>
      </c>
      <c r="Z1962" t="str">
        <f t="shared" ca="1" si="672"/>
        <v>ECG Machine</v>
      </c>
      <c r="AA1962" t="str">
        <f t="shared" ca="1" si="673"/>
        <v>Maintenance</v>
      </c>
      <c r="AB1962" t="str">
        <f t="shared" ca="1" si="674"/>
        <v>Paid</v>
      </c>
      <c r="AC1962" t="str">
        <f t="shared" ca="1" si="675"/>
        <v>Debit Card</v>
      </c>
      <c r="AD1962" t="str">
        <f t="shared" ca="1" si="676"/>
        <v>No</v>
      </c>
      <c r="AE1962" t="str">
        <f t="shared" ca="1" si="677"/>
        <v>No</v>
      </c>
      <c r="AF1962" t="str">
        <f t="shared" ca="1" si="678"/>
        <v>Transferred</v>
      </c>
      <c r="AG1962" t="str">
        <f t="shared" ca="1" si="679"/>
        <v>Midwest</v>
      </c>
      <c r="AH1962" t="str">
        <f t="shared" si="662"/>
        <v>July</v>
      </c>
      <c r="AI1962">
        <f t="shared" si="663"/>
        <v>2021</v>
      </c>
      <c r="AJ1962" t="str">
        <f t="shared" ca="1" si="680"/>
        <v>Vacant</v>
      </c>
      <c r="AK1962">
        <f t="shared" ca="1" si="681"/>
        <v>1</v>
      </c>
    </row>
    <row r="1963" spans="1:37" x14ac:dyDescent="0.3">
      <c r="A1963" t="s">
        <v>6334</v>
      </c>
      <c r="B1963">
        <v>30</v>
      </c>
      <c r="C1963" t="s">
        <v>32</v>
      </c>
      <c r="D1963" t="s">
        <v>52</v>
      </c>
      <c r="E1963" t="s">
        <v>39</v>
      </c>
      <c r="F1963" s="1">
        <v>44551</v>
      </c>
      <c r="G1963" t="s">
        <v>3894</v>
      </c>
      <c r="H1963" t="s">
        <v>3895</v>
      </c>
      <c r="I1963" t="s">
        <v>20</v>
      </c>
      <c r="J1963">
        <v>49101</v>
      </c>
      <c r="K1963">
        <v>428</v>
      </c>
      <c r="L1963" t="s">
        <v>21</v>
      </c>
      <c r="M1963" s="1">
        <v>44568</v>
      </c>
      <c r="N1963" t="s">
        <v>47</v>
      </c>
      <c r="O1963" t="s">
        <v>43</v>
      </c>
      <c r="P1963" t="str">
        <f t="shared" si="664"/>
        <v>P1962</v>
      </c>
      <c r="Q1963" t="str">
        <f t="shared" si="660"/>
        <v>Endocrinology</v>
      </c>
      <c r="R1963">
        <f t="shared" si="661"/>
        <v>17</v>
      </c>
      <c r="S1963" t="str">
        <f t="shared" ca="1" si="665"/>
        <v>Yes</v>
      </c>
      <c r="T1963" t="str">
        <f t="shared" ca="1" si="666"/>
        <v>Moderate</v>
      </c>
      <c r="U1963" t="str">
        <f t="shared" ca="1" si="667"/>
        <v>ICU</v>
      </c>
      <c r="V1963" t="str">
        <f t="shared" si="668"/>
        <v>BED1962</v>
      </c>
      <c r="W1963" t="str">
        <f t="shared" ca="1" si="669"/>
        <v>Semi-Private</v>
      </c>
      <c r="X1963" t="str">
        <f t="shared" si="670"/>
        <v>NUR012</v>
      </c>
      <c r="Y1963" t="str">
        <f t="shared" ca="1" si="671"/>
        <v>Evening</v>
      </c>
      <c r="Z1963" t="str">
        <f t="shared" ca="1" si="672"/>
        <v>Ultrasound</v>
      </c>
      <c r="AA1963" t="str">
        <f t="shared" ca="1" si="673"/>
        <v>Available</v>
      </c>
      <c r="AB1963" t="str">
        <f t="shared" ca="1" si="674"/>
        <v>Partially Paid</v>
      </c>
      <c r="AC1963" t="str">
        <f t="shared" ca="1" si="675"/>
        <v>Debit Card</v>
      </c>
      <c r="AD1963" t="str">
        <f t="shared" ca="1" si="676"/>
        <v>No</v>
      </c>
      <c r="AE1963" t="str">
        <f t="shared" ca="1" si="677"/>
        <v>No</v>
      </c>
      <c r="AF1963" t="str">
        <f t="shared" ca="1" si="678"/>
        <v>Under Observation</v>
      </c>
      <c r="AG1963" t="str">
        <f t="shared" ca="1" si="679"/>
        <v>Southeast</v>
      </c>
      <c r="AH1963" t="str">
        <f t="shared" si="662"/>
        <v>December</v>
      </c>
      <c r="AI1963">
        <f t="shared" si="663"/>
        <v>2021</v>
      </c>
      <c r="AJ1963" t="str">
        <f t="shared" ca="1" si="680"/>
        <v>Occupied</v>
      </c>
      <c r="AK1963">
        <f t="shared" ca="1" si="681"/>
        <v>1</v>
      </c>
    </row>
    <row r="1964" spans="1:37" x14ac:dyDescent="0.3">
      <c r="A1964" t="s">
        <v>6335</v>
      </c>
      <c r="B1964">
        <v>68</v>
      </c>
      <c r="C1964" t="s">
        <v>15</v>
      </c>
      <c r="D1964" t="s">
        <v>98</v>
      </c>
      <c r="E1964" t="s">
        <v>25</v>
      </c>
      <c r="F1964" s="1">
        <v>44770</v>
      </c>
      <c r="G1964" t="s">
        <v>3896</v>
      </c>
      <c r="H1964" t="s">
        <v>3897</v>
      </c>
      <c r="I1964" t="s">
        <v>20</v>
      </c>
      <c r="J1964">
        <v>32475</v>
      </c>
      <c r="K1964">
        <v>256</v>
      </c>
      <c r="L1964" t="s">
        <v>21</v>
      </c>
      <c r="M1964" s="1">
        <v>44780</v>
      </c>
      <c r="N1964" t="s">
        <v>22</v>
      </c>
      <c r="O1964" t="s">
        <v>43</v>
      </c>
      <c r="P1964" t="str">
        <f t="shared" si="664"/>
        <v>P1963</v>
      </c>
      <c r="Q1964" t="str">
        <f t="shared" si="660"/>
        <v>Nutrition</v>
      </c>
      <c r="R1964">
        <f t="shared" si="661"/>
        <v>10</v>
      </c>
      <c r="S1964" t="str">
        <f t="shared" ca="1" si="665"/>
        <v>No</v>
      </c>
      <c r="T1964" t="str">
        <f t="shared" ca="1" si="666"/>
        <v>Mild</v>
      </c>
      <c r="U1964" t="str">
        <f t="shared" ca="1" si="667"/>
        <v>Emergency</v>
      </c>
      <c r="V1964" t="str">
        <f t="shared" si="668"/>
        <v>BED1963</v>
      </c>
      <c r="W1964" t="str">
        <f t="shared" ca="1" si="669"/>
        <v>ICU</v>
      </c>
      <c r="X1964" t="str">
        <f t="shared" si="670"/>
        <v>NUR013</v>
      </c>
      <c r="Y1964" t="str">
        <f t="shared" ca="1" si="671"/>
        <v>Night</v>
      </c>
      <c r="Z1964" t="str">
        <f t="shared" ca="1" si="672"/>
        <v>Ultrasound</v>
      </c>
      <c r="AA1964" t="str">
        <f t="shared" ca="1" si="673"/>
        <v>Available</v>
      </c>
      <c r="AB1964" t="str">
        <f t="shared" ca="1" si="674"/>
        <v>Partially Paid</v>
      </c>
      <c r="AC1964" t="str">
        <f t="shared" ca="1" si="675"/>
        <v>Debit Card</v>
      </c>
      <c r="AD1964" t="str">
        <f t="shared" ca="1" si="676"/>
        <v>Yes</v>
      </c>
      <c r="AE1964" t="str">
        <f t="shared" ca="1" si="677"/>
        <v>Yes</v>
      </c>
      <c r="AF1964" t="str">
        <f t="shared" ca="1" si="678"/>
        <v>Transferred</v>
      </c>
      <c r="AG1964" t="str">
        <f t="shared" ca="1" si="679"/>
        <v>Southeast</v>
      </c>
      <c r="AH1964" t="str">
        <f t="shared" si="662"/>
        <v>July</v>
      </c>
      <c r="AI1964">
        <f t="shared" si="663"/>
        <v>2022</v>
      </c>
      <c r="AJ1964" t="str">
        <f t="shared" ca="1" si="680"/>
        <v>Vacant</v>
      </c>
      <c r="AK1964">
        <f t="shared" ca="1" si="681"/>
        <v>1</v>
      </c>
    </row>
    <row r="1965" spans="1:37" x14ac:dyDescent="0.3">
      <c r="A1965" t="s">
        <v>6336</v>
      </c>
      <c r="B1965">
        <v>20</v>
      </c>
      <c r="C1965" t="s">
        <v>15</v>
      </c>
      <c r="D1965" t="s">
        <v>98</v>
      </c>
      <c r="E1965" t="s">
        <v>39</v>
      </c>
      <c r="F1965" s="1">
        <v>45250</v>
      </c>
      <c r="G1965" t="s">
        <v>3898</v>
      </c>
      <c r="H1965" t="s">
        <v>3899</v>
      </c>
      <c r="I1965" t="s">
        <v>57</v>
      </c>
      <c r="J1965">
        <v>47895</v>
      </c>
      <c r="K1965">
        <v>328</v>
      </c>
      <c r="L1965" t="s">
        <v>42</v>
      </c>
      <c r="M1965" s="1">
        <v>45251</v>
      </c>
      <c r="N1965" t="s">
        <v>22</v>
      </c>
      <c r="O1965" t="s">
        <v>43</v>
      </c>
      <c r="P1965" t="str">
        <f t="shared" si="664"/>
        <v>P1964</v>
      </c>
      <c r="Q1965" t="str">
        <f t="shared" si="660"/>
        <v>Endocrinology</v>
      </c>
      <c r="R1965">
        <f t="shared" si="661"/>
        <v>1</v>
      </c>
      <c r="S1965" t="str">
        <f t="shared" ca="1" si="665"/>
        <v>No</v>
      </c>
      <c r="T1965" t="str">
        <f t="shared" ca="1" si="666"/>
        <v>Severe</v>
      </c>
      <c r="U1965" t="str">
        <f t="shared" ca="1" si="667"/>
        <v>Semi-Private</v>
      </c>
      <c r="V1965" t="str">
        <f t="shared" si="668"/>
        <v>BED1964</v>
      </c>
      <c r="W1965" t="str">
        <f t="shared" ca="1" si="669"/>
        <v>ICU</v>
      </c>
      <c r="X1965" t="str">
        <f t="shared" si="670"/>
        <v>NUR014</v>
      </c>
      <c r="Y1965" t="str">
        <f t="shared" ca="1" si="671"/>
        <v>Night</v>
      </c>
      <c r="Z1965" t="str">
        <f t="shared" ca="1" si="672"/>
        <v>CT Scanner</v>
      </c>
      <c r="AA1965" t="str">
        <f t="shared" ca="1" si="673"/>
        <v>Available</v>
      </c>
      <c r="AB1965" t="str">
        <f t="shared" ca="1" si="674"/>
        <v>Partially Paid</v>
      </c>
      <c r="AC1965" t="str">
        <f t="shared" ca="1" si="675"/>
        <v>Bank Transfer</v>
      </c>
      <c r="AD1965" t="str">
        <f t="shared" ca="1" si="676"/>
        <v>No</v>
      </c>
      <c r="AE1965" t="str">
        <f t="shared" ca="1" si="677"/>
        <v>No</v>
      </c>
      <c r="AF1965" t="str">
        <f t="shared" ca="1" si="678"/>
        <v>Under Observation</v>
      </c>
      <c r="AG1965" t="str">
        <f t="shared" ca="1" si="679"/>
        <v>Midwest</v>
      </c>
      <c r="AH1965" t="str">
        <f t="shared" si="662"/>
        <v>November</v>
      </c>
      <c r="AI1965">
        <f t="shared" si="663"/>
        <v>2023</v>
      </c>
      <c r="AJ1965" t="str">
        <f t="shared" ca="1" si="680"/>
        <v>Vacant</v>
      </c>
      <c r="AK1965">
        <f t="shared" ca="1" si="681"/>
        <v>1</v>
      </c>
    </row>
    <row r="1966" spans="1:37" x14ac:dyDescent="0.3">
      <c r="A1966" t="s">
        <v>6337</v>
      </c>
      <c r="B1966">
        <v>44</v>
      </c>
      <c r="C1966" t="s">
        <v>32</v>
      </c>
      <c r="D1966" t="s">
        <v>44</v>
      </c>
      <c r="E1966" t="s">
        <v>76</v>
      </c>
      <c r="F1966" s="1">
        <v>45278</v>
      </c>
      <c r="G1966" t="s">
        <v>3900</v>
      </c>
      <c r="H1966" t="s">
        <v>3901</v>
      </c>
      <c r="I1966" t="s">
        <v>28</v>
      </c>
      <c r="J1966">
        <v>48106</v>
      </c>
      <c r="K1966">
        <v>155</v>
      </c>
      <c r="L1966" t="s">
        <v>42</v>
      </c>
      <c r="M1966" s="1">
        <v>45301</v>
      </c>
      <c r="N1966" t="s">
        <v>22</v>
      </c>
      <c r="O1966" t="s">
        <v>31</v>
      </c>
      <c r="P1966" t="str">
        <f t="shared" si="664"/>
        <v>P1965</v>
      </c>
      <c r="Q1966" t="str">
        <f t="shared" si="660"/>
        <v>Orthopedics</v>
      </c>
      <c r="R1966">
        <f t="shared" si="661"/>
        <v>23</v>
      </c>
      <c r="S1966" t="str">
        <f t="shared" ca="1" si="665"/>
        <v>No</v>
      </c>
      <c r="T1966" t="str">
        <f t="shared" ca="1" si="666"/>
        <v>Moderate</v>
      </c>
      <c r="U1966" t="str">
        <f t="shared" ca="1" si="667"/>
        <v>ICU</v>
      </c>
      <c r="V1966" t="str">
        <f t="shared" si="668"/>
        <v>BED1965</v>
      </c>
      <c r="W1966" t="str">
        <f t="shared" ca="1" si="669"/>
        <v>Private</v>
      </c>
      <c r="X1966" t="str">
        <f t="shared" si="670"/>
        <v>NUR015</v>
      </c>
      <c r="Y1966" t="str">
        <f t="shared" ca="1" si="671"/>
        <v>Morning</v>
      </c>
      <c r="Z1966" t="str">
        <f t="shared" ca="1" si="672"/>
        <v>MRI Scanner</v>
      </c>
      <c r="AA1966" t="str">
        <f t="shared" ca="1" si="673"/>
        <v>In Use</v>
      </c>
      <c r="AB1966" t="str">
        <f t="shared" ca="1" si="674"/>
        <v>Paid</v>
      </c>
      <c r="AC1966" t="str">
        <f t="shared" ca="1" si="675"/>
        <v>Cash</v>
      </c>
      <c r="AD1966" t="str">
        <f t="shared" ca="1" si="676"/>
        <v>No</v>
      </c>
      <c r="AE1966" t="str">
        <f t="shared" ca="1" si="677"/>
        <v>No</v>
      </c>
      <c r="AF1966" t="str">
        <f t="shared" ca="1" si="678"/>
        <v>Under Observation</v>
      </c>
      <c r="AG1966" t="str">
        <f t="shared" ca="1" si="679"/>
        <v>West Coast</v>
      </c>
      <c r="AH1966" t="str">
        <f t="shared" si="662"/>
        <v>December</v>
      </c>
      <c r="AI1966">
        <f t="shared" si="663"/>
        <v>2023</v>
      </c>
      <c r="AJ1966" t="str">
        <f t="shared" ca="1" si="680"/>
        <v>Occupied</v>
      </c>
      <c r="AK1966">
        <f t="shared" ca="1" si="681"/>
        <v>1</v>
      </c>
    </row>
    <row r="1967" spans="1:37" x14ac:dyDescent="0.3">
      <c r="A1967" t="s">
        <v>6338</v>
      </c>
      <c r="B1967">
        <v>76</v>
      </c>
      <c r="C1967" t="s">
        <v>15</v>
      </c>
      <c r="D1967" t="s">
        <v>98</v>
      </c>
      <c r="E1967" t="s">
        <v>76</v>
      </c>
      <c r="F1967" s="1">
        <v>43921</v>
      </c>
      <c r="G1967" t="s">
        <v>3902</v>
      </c>
      <c r="H1967" t="s">
        <v>3903</v>
      </c>
      <c r="I1967" t="s">
        <v>36</v>
      </c>
      <c r="J1967">
        <v>38755</v>
      </c>
      <c r="K1967">
        <v>484</v>
      </c>
      <c r="L1967" t="s">
        <v>42</v>
      </c>
      <c r="M1967" s="1">
        <v>43936</v>
      </c>
      <c r="N1967" t="s">
        <v>22</v>
      </c>
      <c r="O1967" t="s">
        <v>43</v>
      </c>
      <c r="P1967" t="str">
        <f t="shared" si="664"/>
        <v>P1966</v>
      </c>
      <c r="Q1967" t="str">
        <f t="shared" si="660"/>
        <v>Orthopedics</v>
      </c>
      <c r="R1967">
        <f t="shared" si="661"/>
        <v>15</v>
      </c>
      <c r="S1967" t="str">
        <f t="shared" ca="1" si="665"/>
        <v>No</v>
      </c>
      <c r="T1967" t="str">
        <f t="shared" ca="1" si="666"/>
        <v>Critical</v>
      </c>
      <c r="U1967" t="str">
        <f t="shared" ca="1" si="667"/>
        <v>Emergency</v>
      </c>
      <c r="V1967" t="str">
        <f t="shared" si="668"/>
        <v>BED1966</v>
      </c>
      <c r="W1967" t="str">
        <f t="shared" ca="1" si="669"/>
        <v>ICU</v>
      </c>
      <c r="X1967" t="str">
        <f t="shared" si="670"/>
        <v>NUR016</v>
      </c>
      <c r="Y1967" t="str">
        <f t="shared" ca="1" si="671"/>
        <v>Night</v>
      </c>
      <c r="Z1967" t="str">
        <f t="shared" ca="1" si="672"/>
        <v>CT Scanner</v>
      </c>
      <c r="AA1967" t="str">
        <f t="shared" ca="1" si="673"/>
        <v>In Use</v>
      </c>
      <c r="AB1967" t="str">
        <f t="shared" ca="1" si="674"/>
        <v>Pending</v>
      </c>
      <c r="AC1967" t="str">
        <f t="shared" ca="1" si="675"/>
        <v>Bank Transfer</v>
      </c>
      <c r="AD1967" t="str">
        <f t="shared" ca="1" si="676"/>
        <v>No</v>
      </c>
      <c r="AE1967" t="str">
        <f t="shared" ca="1" si="677"/>
        <v>No</v>
      </c>
      <c r="AF1967" t="str">
        <f t="shared" ca="1" si="678"/>
        <v>Under Observation</v>
      </c>
      <c r="AG1967" t="str">
        <f t="shared" ca="1" si="679"/>
        <v>Southeast</v>
      </c>
      <c r="AH1967" t="str">
        <f t="shared" si="662"/>
        <v>March</v>
      </c>
      <c r="AI1967">
        <f t="shared" si="663"/>
        <v>2020</v>
      </c>
      <c r="AJ1967" t="str">
        <f t="shared" ca="1" si="680"/>
        <v>Vacant</v>
      </c>
      <c r="AK1967">
        <f t="shared" ca="1" si="681"/>
        <v>1</v>
      </c>
    </row>
    <row r="1968" spans="1:37" x14ac:dyDescent="0.3">
      <c r="A1968" t="s">
        <v>6339</v>
      </c>
      <c r="B1968">
        <v>62</v>
      </c>
      <c r="C1968" t="s">
        <v>15</v>
      </c>
      <c r="D1968" t="s">
        <v>98</v>
      </c>
      <c r="E1968" t="s">
        <v>76</v>
      </c>
      <c r="F1968" s="1">
        <v>44202</v>
      </c>
      <c r="G1968" t="s">
        <v>3904</v>
      </c>
      <c r="H1968" t="s">
        <v>3905</v>
      </c>
      <c r="I1968" t="s">
        <v>36</v>
      </c>
      <c r="J1968">
        <v>31269</v>
      </c>
      <c r="K1968">
        <v>331</v>
      </c>
      <c r="L1968" t="s">
        <v>29</v>
      </c>
      <c r="M1968" s="1">
        <v>44214</v>
      </c>
      <c r="N1968" t="s">
        <v>37</v>
      </c>
      <c r="O1968" t="s">
        <v>31</v>
      </c>
      <c r="P1968" t="str">
        <f t="shared" si="664"/>
        <v>P1967</v>
      </c>
      <c r="Q1968" t="str">
        <f t="shared" si="660"/>
        <v>Orthopedics</v>
      </c>
      <c r="R1968">
        <f t="shared" si="661"/>
        <v>12</v>
      </c>
      <c r="S1968" t="str">
        <f t="shared" ca="1" si="665"/>
        <v>Yes</v>
      </c>
      <c r="T1968" t="str">
        <f t="shared" ca="1" si="666"/>
        <v>Critical</v>
      </c>
      <c r="U1968" t="str">
        <f t="shared" ca="1" si="667"/>
        <v>Semi-Private</v>
      </c>
      <c r="V1968" t="str">
        <f t="shared" si="668"/>
        <v>BED1967</v>
      </c>
      <c r="W1968" t="str">
        <f t="shared" ca="1" si="669"/>
        <v>General</v>
      </c>
      <c r="X1968" t="str">
        <f t="shared" si="670"/>
        <v>NUR017</v>
      </c>
      <c r="Y1968" t="str">
        <f t="shared" ca="1" si="671"/>
        <v>Morning</v>
      </c>
      <c r="Z1968" t="str">
        <f t="shared" ca="1" si="672"/>
        <v>Ultrasound</v>
      </c>
      <c r="AA1968" t="str">
        <f t="shared" ca="1" si="673"/>
        <v>Maintenance</v>
      </c>
      <c r="AB1968" t="str">
        <f t="shared" ca="1" si="674"/>
        <v>Pending</v>
      </c>
      <c r="AC1968" t="str">
        <f t="shared" ca="1" si="675"/>
        <v>Insurance</v>
      </c>
      <c r="AD1968" t="str">
        <f t="shared" ca="1" si="676"/>
        <v>Yes</v>
      </c>
      <c r="AE1968" t="str">
        <f t="shared" ca="1" si="677"/>
        <v>No</v>
      </c>
      <c r="AF1968" t="str">
        <f t="shared" ca="1" si="678"/>
        <v>Transferred</v>
      </c>
      <c r="AG1968" t="str">
        <f t="shared" ca="1" si="679"/>
        <v>West Coast</v>
      </c>
      <c r="AH1968" t="str">
        <f t="shared" si="662"/>
        <v>January</v>
      </c>
      <c r="AI1968">
        <f t="shared" si="663"/>
        <v>2021</v>
      </c>
      <c r="AJ1968" t="str">
        <f t="shared" ca="1" si="680"/>
        <v>Occupied</v>
      </c>
      <c r="AK1968">
        <f t="shared" ca="1" si="681"/>
        <v>2</v>
      </c>
    </row>
    <row r="1969" spans="1:37" x14ac:dyDescent="0.3">
      <c r="A1969" t="s">
        <v>6340</v>
      </c>
      <c r="B1969">
        <v>25</v>
      </c>
      <c r="C1969" t="s">
        <v>32</v>
      </c>
      <c r="D1969" t="s">
        <v>44</v>
      </c>
      <c r="E1969" t="s">
        <v>64</v>
      </c>
      <c r="F1969" s="1">
        <v>45159</v>
      </c>
      <c r="G1969" t="s">
        <v>3906</v>
      </c>
      <c r="H1969" t="s">
        <v>3907</v>
      </c>
      <c r="I1969" t="s">
        <v>28</v>
      </c>
      <c r="J1969">
        <v>49400</v>
      </c>
      <c r="K1969">
        <v>296</v>
      </c>
      <c r="L1969" t="s">
        <v>21</v>
      </c>
      <c r="M1969" s="1">
        <v>45162</v>
      </c>
      <c r="N1969" t="s">
        <v>47</v>
      </c>
      <c r="O1969" t="s">
        <v>23</v>
      </c>
      <c r="P1969" t="str">
        <f t="shared" si="664"/>
        <v>P1968</v>
      </c>
      <c r="Q1969" t="str">
        <f t="shared" si="660"/>
        <v>Cardiology</v>
      </c>
      <c r="R1969">
        <f t="shared" si="661"/>
        <v>3</v>
      </c>
      <c r="S1969" t="str">
        <f t="shared" ca="1" si="665"/>
        <v>No</v>
      </c>
      <c r="T1969" t="str">
        <f t="shared" ca="1" si="666"/>
        <v>Critical</v>
      </c>
      <c r="U1969" t="str">
        <f t="shared" ca="1" si="667"/>
        <v>General Ward</v>
      </c>
      <c r="V1969" t="str">
        <f t="shared" si="668"/>
        <v>BED1968</v>
      </c>
      <c r="W1969" t="str">
        <f t="shared" ca="1" si="669"/>
        <v>General</v>
      </c>
      <c r="X1969" t="str">
        <f t="shared" si="670"/>
        <v>NUR018</v>
      </c>
      <c r="Y1969" t="str">
        <f t="shared" ca="1" si="671"/>
        <v>Evening</v>
      </c>
      <c r="Z1969" t="str">
        <f t="shared" ca="1" si="672"/>
        <v>ECG Machine</v>
      </c>
      <c r="AA1969" t="str">
        <f t="shared" ca="1" si="673"/>
        <v>In Use</v>
      </c>
      <c r="AB1969" t="str">
        <f t="shared" ca="1" si="674"/>
        <v>Paid</v>
      </c>
      <c r="AC1969" t="str">
        <f t="shared" ca="1" si="675"/>
        <v>Credit Card</v>
      </c>
      <c r="AD1969" t="str">
        <f t="shared" ca="1" si="676"/>
        <v>No</v>
      </c>
      <c r="AE1969" t="str">
        <f t="shared" ca="1" si="677"/>
        <v>No</v>
      </c>
      <c r="AF1969" t="str">
        <f t="shared" ca="1" si="678"/>
        <v>Under Observation</v>
      </c>
      <c r="AG1969" t="str">
        <f t="shared" ca="1" si="679"/>
        <v>Midwest</v>
      </c>
      <c r="AH1969" t="str">
        <f t="shared" si="662"/>
        <v>August</v>
      </c>
      <c r="AI1969">
        <f t="shared" si="663"/>
        <v>2023</v>
      </c>
      <c r="AJ1969" t="str">
        <f t="shared" ca="1" si="680"/>
        <v>Vacant</v>
      </c>
      <c r="AK1969">
        <f t="shared" ca="1" si="681"/>
        <v>2</v>
      </c>
    </row>
    <row r="1970" spans="1:37" x14ac:dyDescent="0.3">
      <c r="A1970" t="s">
        <v>6341</v>
      </c>
      <c r="B1970">
        <v>40</v>
      </c>
      <c r="C1970" t="s">
        <v>32</v>
      </c>
      <c r="D1970" t="s">
        <v>16</v>
      </c>
      <c r="E1970" t="s">
        <v>76</v>
      </c>
      <c r="F1970" s="1">
        <v>44959</v>
      </c>
      <c r="G1970" t="s">
        <v>3908</v>
      </c>
      <c r="H1970" t="s">
        <v>3909</v>
      </c>
      <c r="I1970" t="s">
        <v>36</v>
      </c>
      <c r="J1970">
        <v>1779</v>
      </c>
      <c r="K1970">
        <v>381</v>
      </c>
      <c r="L1970" t="s">
        <v>29</v>
      </c>
      <c r="M1970" s="1">
        <v>44965</v>
      </c>
      <c r="N1970" t="s">
        <v>30</v>
      </c>
      <c r="O1970" t="s">
        <v>31</v>
      </c>
      <c r="P1970" t="str">
        <f t="shared" si="664"/>
        <v>P1969</v>
      </c>
      <c r="Q1970" t="str">
        <f t="shared" si="660"/>
        <v>Orthopedics</v>
      </c>
      <c r="R1970">
        <f t="shared" si="661"/>
        <v>6</v>
      </c>
      <c r="S1970" t="str">
        <f t="shared" ca="1" si="665"/>
        <v>No</v>
      </c>
      <c r="T1970" t="str">
        <f t="shared" ca="1" si="666"/>
        <v>Moderate</v>
      </c>
      <c r="U1970" t="str">
        <f t="shared" ca="1" si="667"/>
        <v>Semi-Private</v>
      </c>
      <c r="V1970" t="str">
        <f t="shared" si="668"/>
        <v>BED1969</v>
      </c>
      <c r="W1970" t="str">
        <f t="shared" ca="1" si="669"/>
        <v>General</v>
      </c>
      <c r="X1970" t="str">
        <f t="shared" si="670"/>
        <v>NUR019</v>
      </c>
      <c r="Y1970" t="str">
        <f t="shared" ca="1" si="671"/>
        <v>Morning</v>
      </c>
      <c r="Z1970" t="str">
        <f t="shared" ca="1" si="672"/>
        <v>CT Scanner</v>
      </c>
      <c r="AA1970" t="str">
        <f t="shared" ca="1" si="673"/>
        <v>Available</v>
      </c>
      <c r="AB1970" t="str">
        <f t="shared" ca="1" si="674"/>
        <v>Pending</v>
      </c>
      <c r="AC1970" t="str">
        <f t="shared" ca="1" si="675"/>
        <v>Cash</v>
      </c>
      <c r="AD1970" t="str">
        <f t="shared" ca="1" si="676"/>
        <v>No</v>
      </c>
      <c r="AE1970" t="str">
        <f t="shared" ca="1" si="677"/>
        <v>Yes</v>
      </c>
      <c r="AF1970" t="str">
        <f t="shared" ca="1" si="678"/>
        <v>Transferred</v>
      </c>
      <c r="AG1970" t="str">
        <f t="shared" ca="1" si="679"/>
        <v>Southwest</v>
      </c>
      <c r="AH1970" t="str">
        <f t="shared" si="662"/>
        <v>February</v>
      </c>
      <c r="AI1970">
        <f t="shared" si="663"/>
        <v>2023</v>
      </c>
      <c r="AJ1970" t="str">
        <f t="shared" ca="1" si="680"/>
        <v>Vacant</v>
      </c>
      <c r="AK1970">
        <f t="shared" ca="1" si="681"/>
        <v>2</v>
      </c>
    </row>
    <row r="1971" spans="1:37" x14ac:dyDescent="0.3">
      <c r="A1971" t="s">
        <v>6342</v>
      </c>
      <c r="B1971">
        <v>42</v>
      </c>
      <c r="C1971" t="s">
        <v>15</v>
      </c>
      <c r="D1971" t="s">
        <v>24</v>
      </c>
      <c r="E1971" t="s">
        <v>25</v>
      </c>
      <c r="F1971" s="1">
        <v>45209</v>
      </c>
      <c r="G1971" t="s">
        <v>3910</v>
      </c>
      <c r="H1971" t="s">
        <v>3911</v>
      </c>
      <c r="I1971" t="s">
        <v>51</v>
      </c>
      <c r="J1971">
        <v>46238</v>
      </c>
      <c r="K1971">
        <v>107</v>
      </c>
      <c r="L1971" t="s">
        <v>42</v>
      </c>
      <c r="M1971" s="1">
        <v>45229</v>
      </c>
      <c r="N1971" t="s">
        <v>30</v>
      </c>
      <c r="O1971" t="s">
        <v>23</v>
      </c>
      <c r="P1971" t="str">
        <f t="shared" si="664"/>
        <v>P1970</v>
      </c>
      <c r="Q1971" t="str">
        <f t="shared" si="660"/>
        <v>Nutrition</v>
      </c>
      <c r="R1971">
        <f t="shared" si="661"/>
        <v>20</v>
      </c>
      <c r="S1971" t="str">
        <f t="shared" ca="1" si="665"/>
        <v>No</v>
      </c>
      <c r="T1971" t="str">
        <f t="shared" ca="1" si="666"/>
        <v>Moderate</v>
      </c>
      <c r="U1971" t="str">
        <f t="shared" ca="1" si="667"/>
        <v>Emergency</v>
      </c>
      <c r="V1971" t="str">
        <f t="shared" si="668"/>
        <v>BED1970</v>
      </c>
      <c r="W1971" t="str">
        <f t="shared" ca="1" si="669"/>
        <v>ICU</v>
      </c>
      <c r="X1971" t="str">
        <f t="shared" si="670"/>
        <v>NUR020</v>
      </c>
      <c r="Y1971" t="str">
        <f t="shared" ca="1" si="671"/>
        <v>Evening</v>
      </c>
      <c r="Z1971" t="str">
        <f t="shared" ca="1" si="672"/>
        <v>MRI Scanner</v>
      </c>
      <c r="AA1971" t="str">
        <f t="shared" ca="1" si="673"/>
        <v>In Use</v>
      </c>
      <c r="AB1971" t="str">
        <f t="shared" ca="1" si="674"/>
        <v>Partially Paid</v>
      </c>
      <c r="AC1971" t="str">
        <f t="shared" ca="1" si="675"/>
        <v>Bank Transfer</v>
      </c>
      <c r="AD1971" t="str">
        <f t="shared" ca="1" si="676"/>
        <v>No</v>
      </c>
      <c r="AE1971" t="str">
        <f t="shared" ca="1" si="677"/>
        <v>No</v>
      </c>
      <c r="AF1971" t="str">
        <f t="shared" ca="1" si="678"/>
        <v>Recovered</v>
      </c>
      <c r="AG1971" t="str">
        <f t="shared" ca="1" si="679"/>
        <v>Southeast</v>
      </c>
      <c r="AH1971" t="str">
        <f t="shared" si="662"/>
        <v>October</v>
      </c>
      <c r="AI1971">
        <f t="shared" si="663"/>
        <v>2023</v>
      </c>
      <c r="AJ1971" t="str">
        <f t="shared" ca="1" si="680"/>
        <v>Occupied</v>
      </c>
      <c r="AK1971">
        <f t="shared" ca="1" si="681"/>
        <v>4</v>
      </c>
    </row>
    <row r="1972" spans="1:37" x14ac:dyDescent="0.3">
      <c r="A1972" t="s">
        <v>6343</v>
      </c>
      <c r="B1972">
        <v>34</v>
      </c>
      <c r="C1972" t="s">
        <v>15</v>
      </c>
      <c r="D1972" t="s">
        <v>52</v>
      </c>
      <c r="E1972" t="s">
        <v>39</v>
      </c>
      <c r="F1972" s="1">
        <v>44651</v>
      </c>
      <c r="G1972" t="s">
        <v>3912</v>
      </c>
      <c r="H1972" t="s">
        <v>3913</v>
      </c>
      <c r="I1972" t="s">
        <v>51</v>
      </c>
      <c r="J1972">
        <v>21009</v>
      </c>
      <c r="K1972">
        <v>343</v>
      </c>
      <c r="L1972" t="s">
        <v>42</v>
      </c>
      <c r="M1972" s="1">
        <v>44667</v>
      </c>
      <c r="N1972" t="s">
        <v>47</v>
      </c>
      <c r="O1972" t="s">
        <v>23</v>
      </c>
      <c r="P1972" t="str">
        <f t="shared" si="664"/>
        <v>P1971</v>
      </c>
      <c r="Q1972" t="str">
        <f t="shared" si="660"/>
        <v>Endocrinology</v>
      </c>
      <c r="R1972">
        <f t="shared" si="661"/>
        <v>16</v>
      </c>
      <c r="S1972" t="str">
        <f t="shared" ca="1" si="665"/>
        <v>No</v>
      </c>
      <c r="T1972" t="str">
        <f t="shared" ca="1" si="666"/>
        <v>Critical</v>
      </c>
      <c r="U1972" t="str">
        <f t="shared" ca="1" si="667"/>
        <v>ICU</v>
      </c>
      <c r="V1972" t="str">
        <f t="shared" si="668"/>
        <v>BED1971</v>
      </c>
      <c r="W1972" t="str">
        <f t="shared" ca="1" si="669"/>
        <v>General</v>
      </c>
      <c r="X1972" t="str">
        <f t="shared" si="670"/>
        <v>NUR021</v>
      </c>
      <c r="Y1972" t="str">
        <f t="shared" ca="1" si="671"/>
        <v>Night</v>
      </c>
      <c r="Z1972" t="str">
        <f t="shared" ca="1" si="672"/>
        <v>Ventilator</v>
      </c>
      <c r="AA1972" t="str">
        <f t="shared" ca="1" si="673"/>
        <v>In Use</v>
      </c>
      <c r="AB1972" t="str">
        <f t="shared" ca="1" si="674"/>
        <v>Paid</v>
      </c>
      <c r="AC1972" t="str">
        <f t="shared" ca="1" si="675"/>
        <v>Insurance</v>
      </c>
      <c r="AD1972" t="str">
        <f t="shared" ca="1" si="676"/>
        <v>No</v>
      </c>
      <c r="AE1972" t="str">
        <f t="shared" ca="1" si="677"/>
        <v>Yes</v>
      </c>
      <c r="AF1972" t="str">
        <f t="shared" ca="1" si="678"/>
        <v>Transferred</v>
      </c>
      <c r="AG1972" t="str">
        <f t="shared" ca="1" si="679"/>
        <v>Southeast</v>
      </c>
      <c r="AH1972" t="str">
        <f t="shared" si="662"/>
        <v>March</v>
      </c>
      <c r="AI1972">
        <f t="shared" si="663"/>
        <v>2022</v>
      </c>
      <c r="AJ1972" t="str">
        <f t="shared" ca="1" si="680"/>
        <v>Occupied</v>
      </c>
      <c r="AK1972">
        <f t="shared" ca="1" si="681"/>
        <v>2</v>
      </c>
    </row>
    <row r="1973" spans="1:37" x14ac:dyDescent="0.3">
      <c r="A1973" t="s">
        <v>6344</v>
      </c>
      <c r="B1973">
        <v>47</v>
      </c>
      <c r="C1973" t="s">
        <v>32</v>
      </c>
      <c r="D1973" t="s">
        <v>38</v>
      </c>
      <c r="E1973" t="s">
        <v>17</v>
      </c>
      <c r="F1973" s="1">
        <v>43819</v>
      </c>
      <c r="G1973" t="s">
        <v>3914</v>
      </c>
      <c r="H1973" t="s">
        <v>3915</v>
      </c>
      <c r="I1973" t="s">
        <v>20</v>
      </c>
      <c r="J1973">
        <v>40407</v>
      </c>
      <c r="K1973">
        <v>245</v>
      </c>
      <c r="L1973" t="s">
        <v>29</v>
      </c>
      <c r="M1973" s="1">
        <v>43826</v>
      </c>
      <c r="N1973" t="s">
        <v>67</v>
      </c>
      <c r="O1973" t="s">
        <v>43</v>
      </c>
      <c r="P1973" t="str">
        <f t="shared" si="664"/>
        <v>P1972</v>
      </c>
      <c r="Q1973" t="str">
        <f t="shared" si="660"/>
        <v>Oncology</v>
      </c>
      <c r="R1973">
        <f t="shared" si="661"/>
        <v>7</v>
      </c>
      <c r="S1973" t="str">
        <f t="shared" ca="1" si="665"/>
        <v>No</v>
      </c>
      <c r="T1973" t="str">
        <f t="shared" ca="1" si="666"/>
        <v>Critical</v>
      </c>
      <c r="U1973" t="str">
        <f t="shared" ca="1" si="667"/>
        <v>General Ward</v>
      </c>
      <c r="V1973" t="str">
        <f t="shared" si="668"/>
        <v>BED1972</v>
      </c>
      <c r="W1973" t="str">
        <f t="shared" ca="1" si="669"/>
        <v>ICU</v>
      </c>
      <c r="X1973" t="str">
        <f t="shared" si="670"/>
        <v>NUR022</v>
      </c>
      <c r="Y1973" t="str">
        <f t="shared" ca="1" si="671"/>
        <v>Night</v>
      </c>
      <c r="Z1973" t="str">
        <f t="shared" ca="1" si="672"/>
        <v>CT Scanner</v>
      </c>
      <c r="AA1973" t="str">
        <f t="shared" ca="1" si="673"/>
        <v>Maintenance</v>
      </c>
      <c r="AB1973" t="str">
        <f t="shared" ca="1" si="674"/>
        <v>Pending</v>
      </c>
      <c r="AC1973" t="str">
        <f t="shared" ca="1" si="675"/>
        <v>Insurance</v>
      </c>
      <c r="AD1973" t="str">
        <f t="shared" ca="1" si="676"/>
        <v>Yes</v>
      </c>
      <c r="AE1973" t="str">
        <f t="shared" ca="1" si="677"/>
        <v>No</v>
      </c>
      <c r="AF1973" t="str">
        <f t="shared" ca="1" si="678"/>
        <v>Transferred</v>
      </c>
      <c r="AG1973" t="str">
        <f t="shared" ca="1" si="679"/>
        <v>West Coast</v>
      </c>
      <c r="AH1973" t="str">
        <f t="shared" si="662"/>
        <v>December</v>
      </c>
      <c r="AI1973">
        <f t="shared" si="663"/>
        <v>2019</v>
      </c>
      <c r="AJ1973" t="str">
        <f t="shared" ca="1" si="680"/>
        <v>Occupied</v>
      </c>
      <c r="AK1973">
        <f t="shared" ca="1" si="681"/>
        <v>1</v>
      </c>
    </row>
    <row r="1974" spans="1:37" x14ac:dyDescent="0.3">
      <c r="A1974" t="s">
        <v>6345</v>
      </c>
      <c r="B1974">
        <v>22</v>
      </c>
      <c r="C1974" t="s">
        <v>15</v>
      </c>
      <c r="D1974" t="s">
        <v>16</v>
      </c>
      <c r="E1974" t="s">
        <v>76</v>
      </c>
      <c r="F1974" s="1">
        <v>45344</v>
      </c>
      <c r="G1974" t="s">
        <v>3916</v>
      </c>
      <c r="H1974" t="s">
        <v>3917</v>
      </c>
      <c r="I1974" t="s">
        <v>28</v>
      </c>
      <c r="J1974">
        <v>24490</v>
      </c>
      <c r="K1974">
        <v>342</v>
      </c>
      <c r="L1974" t="s">
        <v>42</v>
      </c>
      <c r="M1974" s="1">
        <v>45357</v>
      </c>
      <c r="N1974" t="s">
        <v>22</v>
      </c>
      <c r="O1974" t="s">
        <v>31</v>
      </c>
      <c r="P1974" t="str">
        <f t="shared" si="664"/>
        <v>P1973</v>
      </c>
      <c r="Q1974" t="str">
        <f t="shared" si="660"/>
        <v>Orthopedics</v>
      </c>
      <c r="R1974">
        <f t="shared" si="661"/>
        <v>13</v>
      </c>
      <c r="S1974" t="str">
        <f t="shared" ca="1" si="665"/>
        <v>No</v>
      </c>
      <c r="T1974" t="str">
        <f t="shared" ca="1" si="666"/>
        <v>Moderate</v>
      </c>
      <c r="U1974" t="str">
        <f t="shared" ca="1" si="667"/>
        <v>General Ward</v>
      </c>
      <c r="V1974" t="str">
        <f t="shared" si="668"/>
        <v>BED1973</v>
      </c>
      <c r="W1974" t="str">
        <f t="shared" ca="1" si="669"/>
        <v>Semi-Private</v>
      </c>
      <c r="X1974" t="str">
        <f t="shared" si="670"/>
        <v>NUR023</v>
      </c>
      <c r="Y1974" t="str">
        <f t="shared" ca="1" si="671"/>
        <v>Morning</v>
      </c>
      <c r="Z1974" t="str">
        <f t="shared" ca="1" si="672"/>
        <v>Ventilator</v>
      </c>
      <c r="AA1974" t="str">
        <f t="shared" ca="1" si="673"/>
        <v>Available</v>
      </c>
      <c r="AB1974" t="str">
        <f t="shared" ca="1" si="674"/>
        <v>Partially Paid</v>
      </c>
      <c r="AC1974" t="str">
        <f t="shared" ca="1" si="675"/>
        <v>Credit Card</v>
      </c>
      <c r="AD1974" t="str">
        <f t="shared" ca="1" si="676"/>
        <v>No</v>
      </c>
      <c r="AE1974" t="str">
        <f t="shared" ca="1" si="677"/>
        <v>No</v>
      </c>
      <c r="AF1974" t="str">
        <f t="shared" ca="1" si="678"/>
        <v>Under Observation</v>
      </c>
      <c r="AG1974" t="str">
        <f t="shared" ca="1" si="679"/>
        <v>Midwest</v>
      </c>
      <c r="AH1974" t="str">
        <f t="shared" si="662"/>
        <v>February</v>
      </c>
      <c r="AI1974">
        <f t="shared" si="663"/>
        <v>2024</v>
      </c>
      <c r="AJ1974" t="str">
        <f t="shared" ca="1" si="680"/>
        <v>Occupied</v>
      </c>
      <c r="AK1974">
        <f t="shared" ca="1" si="681"/>
        <v>4</v>
      </c>
    </row>
    <row r="1975" spans="1:37" x14ac:dyDescent="0.3">
      <c r="A1975" t="s">
        <v>6346</v>
      </c>
      <c r="B1975">
        <v>38</v>
      </c>
      <c r="C1975" t="s">
        <v>32</v>
      </c>
      <c r="D1975" t="s">
        <v>83</v>
      </c>
      <c r="E1975" t="s">
        <v>76</v>
      </c>
      <c r="F1975" s="1">
        <v>45397</v>
      </c>
      <c r="G1975" t="s">
        <v>3918</v>
      </c>
      <c r="H1975" t="s">
        <v>3919</v>
      </c>
      <c r="I1975" t="s">
        <v>57</v>
      </c>
      <c r="J1975">
        <v>36068</v>
      </c>
      <c r="K1975">
        <v>194</v>
      </c>
      <c r="L1975" t="s">
        <v>42</v>
      </c>
      <c r="M1975" s="1">
        <v>45421</v>
      </c>
      <c r="N1975" t="s">
        <v>22</v>
      </c>
      <c r="O1975" t="s">
        <v>31</v>
      </c>
      <c r="P1975" t="str">
        <f t="shared" si="664"/>
        <v>P1974</v>
      </c>
      <c r="Q1975" t="str">
        <f t="shared" si="660"/>
        <v>Orthopedics</v>
      </c>
      <c r="R1975">
        <f t="shared" si="661"/>
        <v>24</v>
      </c>
      <c r="S1975" t="str">
        <f t="shared" ca="1" si="665"/>
        <v>No</v>
      </c>
      <c r="T1975" t="str">
        <f t="shared" ca="1" si="666"/>
        <v>Moderate</v>
      </c>
      <c r="U1975" t="str">
        <f t="shared" ca="1" si="667"/>
        <v>General Ward</v>
      </c>
      <c r="V1975" t="str">
        <f t="shared" si="668"/>
        <v>BED1974</v>
      </c>
      <c r="W1975" t="str">
        <f t="shared" ca="1" si="669"/>
        <v>ICU</v>
      </c>
      <c r="X1975" t="str">
        <f t="shared" si="670"/>
        <v>NUR024</v>
      </c>
      <c r="Y1975" t="str">
        <f t="shared" ca="1" si="671"/>
        <v>Night</v>
      </c>
      <c r="Z1975" t="str">
        <f t="shared" ca="1" si="672"/>
        <v>Ventilator</v>
      </c>
      <c r="AA1975" t="str">
        <f t="shared" ca="1" si="673"/>
        <v>In Use</v>
      </c>
      <c r="AB1975" t="str">
        <f t="shared" ca="1" si="674"/>
        <v>Pending</v>
      </c>
      <c r="AC1975" t="str">
        <f t="shared" ca="1" si="675"/>
        <v>Cash</v>
      </c>
      <c r="AD1975" t="str">
        <f t="shared" ca="1" si="676"/>
        <v>No</v>
      </c>
      <c r="AE1975" t="str">
        <f t="shared" ca="1" si="677"/>
        <v>No</v>
      </c>
      <c r="AF1975" t="str">
        <f t="shared" ca="1" si="678"/>
        <v>Recovered</v>
      </c>
      <c r="AG1975" t="str">
        <f t="shared" ca="1" si="679"/>
        <v>Northeast</v>
      </c>
      <c r="AH1975" t="str">
        <f t="shared" si="662"/>
        <v>April</v>
      </c>
      <c r="AI1975">
        <f t="shared" si="663"/>
        <v>2024</v>
      </c>
      <c r="AJ1975" t="str">
        <f t="shared" ca="1" si="680"/>
        <v>Vacant</v>
      </c>
      <c r="AK1975">
        <f t="shared" ca="1" si="681"/>
        <v>4</v>
      </c>
    </row>
    <row r="1976" spans="1:37" x14ac:dyDescent="0.3">
      <c r="A1976" t="s">
        <v>6347</v>
      </c>
      <c r="B1976">
        <v>51</v>
      </c>
      <c r="C1976" t="s">
        <v>15</v>
      </c>
      <c r="D1976" t="s">
        <v>52</v>
      </c>
      <c r="E1976" t="s">
        <v>17</v>
      </c>
      <c r="F1976" s="1">
        <v>44158</v>
      </c>
      <c r="G1976" t="s">
        <v>3920</v>
      </c>
      <c r="H1976" t="s">
        <v>3921</v>
      </c>
      <c r="I1976" t="s">
        <v>51</v>
      </c>
      <c r="J1976">
        <v>20275</v>
      </c>
      <c r="K1976">
        <v>303</v>
      </c>
      <c r="L1976" t="s">
        <v>29</v>
      </c>
      <c r="M1976" s="1">
        <v>44172</v>
      </c>
      <c r="N1976" t="s">
        <v>37</v>
      </c>
      <c r="O1976" t="s">
        <v>43</v>
      </c>
      <c r="P1976" t="str">
        <f t="shared" si="664"/>
        <v>P1975</v>
      </c>
      <c r="Q1976" t="str">
        <f t="shared" si="660"/>
        <v>Oncology</v>
      </c>
      <c r="R1976">
        <f t="shared" si="661"/>
        <v>14</v>
      </c>
      <c r="S1976" t="str">
        <f t="shared" ca="1" si="665"/>
        <v>No</v>
      </c>
      <c r="T1976" t="str">
        <f t="shared" ca="1" si="666"/>
        <v>Severe</v>
      </c>
      <c r="U1976" t="str">
        <f t="shared" ca="1" si="667"/>
        <v>General Ward</v>
      </c>
      <c r="V1976" t="str">
        <f t="shared" si="668"/>
        <v>BED1975</v>
      </c>
      <c r="W1976" t="str">
        <f t="shared" ca="1" si="669"/>
        <v>ICU</v>
      </c>
      <c r="X1976" t="str">
        <f t="shared" si="670"/>
        <v>NUR025</v>
      </c>
      <c r="Y1976" t="str">
        <f t="shared" ca="1" si="671"/>
        <v>Morning</v>
      </c>
      <c r="Z1976" t="str">
        <f t="shared" ca="1" si="672"/>
        <v>MRI Scanner</v>
      </c>
      <c r="AA1976" t="str">
        <f t="shared" ca="1" si="673"/>
        <v>Maintenance</v>
      </c>
      <c r="AB1976" t="str">
        <f t="shared" ca="1" si="674"/>
        <v>Paid</v>
      </c>
      <c r="AC1976" t="str">
        <f t="shared" ca="1" si="675"/>
        <v>Insurance</v>
      </c>
      <c r="AD1976" t="str">
        <f t="shared" ca="1" si="676"/>
        <v>No</v>
      </c>
      <c r="AE1976" t="str">
        <f t="shared" ca="1" si="677"/>
        <v>No</v>
      </c>
      <c r="AF1976" t="str">
        <f t="shared" ca="1" si="678"/>
        <v>Transferred</v>
      </c>
      <c r="AG1976" t="str">
        <f t="shared" ca="1" si="679"/>
        <v>West Coast</v>
      </c>
      <c r="AH1976" t="str">
        <f t="shared" si="662"/>
        <v>November</v>
      </c>
      <c r="AI1976">
        <f t="shared" si="663"/>
        <v>2020</v>
      </c>
      <c r="AJ1976" t="str">
        <f t="shared" ca="1" si="680"/>
        <v>Vacant</v>
      </c>
      <c r="AK1976">
        <f t="shared" ca="1" si="681"/>
        <v>2</v>
      </c>
    </row>
    <row r="1977" spans="1:37" x14ac:dyDescent="0.3">
      <c r="A1977" t="s">
        <v>6348</v>
      </c>
      <c r="B1977">
        <v>63</v>
      </c>
      <c r="C1977" t="s">
        <v>15</v>
      </c>
      <c r="D1977" t="s">
        <v>33</v>
      </c>
      <c r="E1977" t="s">
        <v>25</v>
      </c>
      <c r="F1977" s="1">
        <v>43685</v>
      </c>
      <c r="G1977" t="s">
        <v>3922</v>
      </c>
      <c r="H1977" t="s">
        <v>3923</v>
      </c>
      <c r="I1977" t="s">
        <v>36</v>
      </c>
      <c r="J1977">
        <v>30964</v>
      </c>
      <c r="K1977">
        <v>483</v>
      </c>
      <c r="L1977" t="s">
        <v>29</v>
      </c>
      <c r="M1977" s="1">
        <v>43689</v>
      </c>
      <c r="N1977" t="s">
        <v>47</v>
      </c>
      <c r="O1977" t="s">
        <v>23</v>
      </c>
      <c r="P1977" t="str">
        <f t="shared" si="664"/>
        <v>P1976</v>
      </c>
      <c r="Q1977" t="str">
        <f t="shared" si="660"/>
        <v>Nutrition</v>
      </c>
      <c r="R1977">
        <f t="shared" si="661"/>
        <v>4</v>
      </c>
      <c r="S1977" t="str">
        <f t="shared" ca="1" si="665"/>
        <v>No</v>
      </c>
      <c r="T1977" t="str">
        <f t="shared" ca="1" si="666"/>
        <v>Mild</v>
      </c>
      <c r="U1977" t="str">
        <f t="shared" ca="1" si="667"/>
        <v>Semi-Private</v>
      </c>
      <c r="V1977" t="str">
        <f t="shared" si="668"/>
        <v>BED1976</v>
      </c>
      <c r="W1977" t="str">
        <f t="shared" ca="1" si="669"/>
        <v>Semi-Private</v>
      </c>
      <c r="X1977" t="str">
        <f t="shared" si="670"/>
        <v>NUR026</v>
      </c>
      <c r="Y1977" t="str">
        <f t="shared" ca="1" si="671"/>
        <v>Morning</v>
      </c>
      <c r="Z1977" t="str">
        <f t="shared" ca="1" si="672"/>
        <v>MRI Scanner</v>
      </c>
      <c r="AA1977" t="str">
        <f t="shared" ca="1" si="673"/>
        <v>In Use</v>
      </c>
      <c r="AB1977" t="str">
        <f t="shared" ca="1" si="674"/>
        <v>Partially Paid</v>
      </c>
      <c r="AC1977" t="str">
        <f t="shared" ca="1" si="675"/>
        <v>Insurance</v>
      </c>
      <c r="AD1977" t="str">
        <f t="shared" ca="1" si="676"/>
        <v>Yes</v>
      </c>
      <c r="AE1977" t="str">
        <f t="shared" ca="1" si="677"/>
        <v>No</v>
      </c>
      <c r="AF1977" t="str">
        <f t="shared" ca="1" si="678"/>
        <v>Transferred</v>
      </c>
      <c r="AG1977" t="str">
        <f t="shared" ca="1" si="679"/>
        <v>Southeast</v>
      </c>
      <c r="AH1977" t="str">
        <f t="shared" si="662"/>
        <v>August</v>
      </c>
      <c r="AI1977">
        <f t="shared" si="663"/>
        <v>2019</v>
      </c>
      <c r="AJ1977" t="str">
        <f t="shared" ca="1" si="680"/>
        <v>Occupied</v>
      </c>
      <c r="AK1977">
        <f t="shared" ca="1" si="681"/>
        <v>1</v>
      </c>
    </row>
    <row r="1978" spans="1:37" x14ac:dyDescent="0.3">
      <c r="A1978" t="s">
        <v>6349</v>
      </c>
      <c r="B1978">
        <v>59</v>
      </c>
      <c r="C1978" t="s">
        <v>15</v>
      </c>
      <c r="D1978" t="s">
        <v>52</v>
      </c>
      <c r="E1978" t="s">
        <v>17</v>
      </c>
      <c r="F1978" s="1">
        <v>45160</v>
      </c>
      <c r="G1978" t="s">
        <v>3924</v>
      </c>
      <c r="H1978" t="s">
        <v>3925</v>
      </c>
      <c r="I1978" t="s">
        <v>57</v>
      </c>
      <c r="J1978">
        <v>34318</v>
      </c>
      <c r="K1978">
        <v>319</v>
      </c>
      <c r="L1978" t="s">
        <v>21</v>
      </c>
      <c r="M1978" s="1">
        <v>45165</v>
      </c>
      <c r="N1978" t="s">
        <v>37</v>
      </c>
      <c r="O1978" t="s">
        <v>31</v>
      </c>
      <c r="P1978" t="str">
        <f t="shared" si="664"/>
        <v>P1977</v>
      </c>
      <c r="Q1978" t="str">
        <f t="shared" si="660"/>
        <v>Oncology</v>
      </c>
      <c r="R1978">
        <f t="shared" si="661"/>
        <v>5</v>
      </c>
      <c r="S1978" t="str">
        <f t="shared" ca="1" si="665"/>
        <v>No</v>
      </c>
      <c r="T1978" t="str">
        <f t="shared" ca="1" si="666"/>
        <v>Mild</v>
      </c>
      <c r="U1978" t="str">
        <f t="shared" ca="1" si="667"/>
        <v>Private Ward</v>
      </c>
      <c r="V1978" t="str">
        <f t="shared" si="668"/>
        <v>BED1977</v>
      </c>
      <c r="W1978" t="str">
        <f t="shared" ca="1" si="669"/>
        <v>Semi-Private</v>
      </c>
      <c r="X1978" t="str">
        <f t="shared" si="670"/>
        <v>NUR027</v>
      </c>
      <c r="Y1978" t="str">
        <f t="shared" ca="1" si="671"/>
        <v>Evening</v>
      </c>
      <c r="Z1978" t="str">
        <f t="shared" ca="1" si="672"/>
        <v>Ultrasound</v>
      </c>
      <c r="AA1978" t="str">
        <f t="shared" ca="1" si="673"/>
        <v>In Use</v>
      </c>
      <c r="AB1978" t="str">
        <f t="shared" ca="1" si="674"/>
        <v>Partially Paid</v>
      </c>
      <c r="AC1978" t="str">
        <f t="shared" ca="1" si="675"/>
        <v>Credit Card</v>
      </c>
      <c r="AD1978" t="str">
        <f t="shared" ca="1" si="676"/>
        <v>No</v>
      </c>
      <c r="AE1978" t="str">
        <f t="shared" ca="1" si="677"/>
        <v>No</v>
      </c>
      <c r="AF1978" t="str">
        <f t="shared" ca="1" si="678"/>
        <v>Transferred</v>
      </c>
      <c r="AG1978" t="str">
        <f t="shared" ca="1" si="679"/>
        <v>Midwest</v>
      </c>
      <c r="AH1978" t="str">
        <f t="shared" si="662"/>
        <v>August</v>
      </c>
      <c r="AI1978">
        <f t="shared" si="663"/>
        <v>2023</v>
      </c>
      <c r="AJ1978" t="str">
        <f t="shared" ca="1" si="680"/>
        <v>Occupied</v>
      </c>
      <c r="AK1978">
        <f t="shared" ca="1" si="681"/>
        <v>4</v>
      </c>
    </row>
    <row r="1979" spans="1:37" x14ac:dyDescent="0.3">
      <c r="A1979" t="s">
        <v>6350</v>
      </c>
      <c r="B1979">
        <v>51</v>
      </c>
      <c r="C1979" t="s">
        <v>15</v>
      </c>
      <c r="D1979" t="s">
        <v>38</v>
      </c>
      <c r="E1979" t="s">
        <v>76</v>
      </c>
      <c r="F1979" s="1">
        <v>44698</v>
      </c>
      <c r="G1979" t="s">
        <v>3926</v>
      </c>
      <c r="H1979" t="s">
        <v>3927</v>
      </c>
      <c r="I1979" t="s">
        <v>20</v>
      </c>
      <c r="J1979">
        <v>28313</v>
      </c>
      <c r="K1979">
        <v>203</v>
      </c>
      <c r="L1979" t="s">
        <v>42</v>
      </c>
      <c r="M1979" s="1">
        <v>44706</v>
      </c>
      <c r="N1979" t="s">
        <v>37</v>
      </c>
      <c r="O1979" t="s">
        <v>43</v>
      </c>
      <c r="P1979" t="str">
        <f t="shared" si="664"/>
        <v>P1978</v>
      </c>
      <c r="Q1979" t="str">
        <f t="shared" si="660"/>
        <v>Orthopedics</v>
      </c>
      <c r="R1979">
        <f t="shared" si="661"/>
        <v>8</v>
      </c>
      <c r="S1979" t="str">
        <f t="shared" ca="1" si="665"/>
        <v>No</v>
      </c>
      <c r="T1979" t="str">
        <f t="shared" ca="1" si="666"/>
        <v>Severe</v>
      </c>
      <c r="U1979" t="str">
        <f t="shared" ca="1" si="667"/>
        <v>Emergency</v>
      </c>
      <c r="V1979" t="str">
        <f t="shared" si="668"/>
        <v>BED1978</v>
      </c>
      <c r="W1979" t="str">
        <f t="shared" ca="1" si="669"/>
        <v>Semi-Private</v>
      </c>
      <c r="X1979" t="str">
        <f t="shared" si="670"/>
        <v>NUR028</v>
      </c>
      <c r="Y1979" t="str">
        <f t="shared" ca="1" si="671"/>
        <v>Morning</v>
      </c>
      <c r="Z1979" t="str">
        <f t="shared" ca="1" si="672"/>
        <v>Ultrasound</v>
      </c>
      <c r="AA1979" t="str">
        <f t="shared" ca="1" si="673"/>
        <v>Maintenance</v>
      </c>
      <c r="AB1979" t="str">
        <f t="shared" ca="1" si="674"/>
        <v>Paid</v>
      </c>
      <c r="AC1979" t="str">
        <f t="shared" ca="1" si="675"/>
        <v>Credit Card</v>
      </c>
      <c r="AD1979" t="str">
        <f t="shared" ca="1" si="676"/>
        <v>No</v>
      </c>
      <c r="AE1979" t="str">
        <f t="shared" ca="1" si="677"/>
        <v>Yes</v>
      </c>
      <c r="AF1979" t="str">
        <f t="shared" ca="1" si="678"/>
        <v>Under Observation</v>
      </c>
      <c r="AG1979" t="str">
        <f t="shared" ca="1" si="679"/>
        <v>Northeast</v>
      </c>
      <c r="AH1979" t="str">
        <f t="shared" si="662"/>
        <v>May</v>
      </c>
      <c r="AI1979">
        <f t="shared" si="663"/>
        <v>2022</v>
      </c>
      <c r="AJ1979" t="str">
        <f t="shared" ca="1" si="680"/>
        <v>Occupied</v>
      </c>
      <c r="AK1979">
        <f t="shared" ca="1" si="681"/>
        <v>1</v>
      </c>
    </row>
    <row r="1980" spans="1:37" x14ac:dyDescent="0.3">
      <c r="A1980" t="s">
        <v>6351</v>
      </c>
      <c r="B1980">
        <v>21</v>
      </c>
      <c r="C1980" t="s">
        <v>15</v>
      </c>
      <c r="D1980" t="s">
        <v>33</v>
      </c>
      <c r="E1980" t="s">
        <v>48</v>
      </c>
      <c r="F1980" s="1">
        <v>44994</v>
      </c>
      <c r="G1980" t="s">
        <v>3928</v>
      </c>
      <c r="H1980" t="s">
        <v>3929</v>
      </c>
      <c r="I1980" t="s">
        <v>57</v>
      </c>
      <c r="J1980">
        <v>26528</v>
      </c>
      <c r="K1980">
        <v>137</v>
      </c>
      <c r="L1980" t="s">
        <v>42</v>
      </c>
      <c r="M1980" s="1">
        <v>45013</v>
      </c>
      <c r="N1980" t="s">
        <v>47</v>
      </c>
      <c r="O1980" t="s">
        <v>31</v>
      </c>
      <c r="P1980" t="str">
        <f t="shared" si="664"/>
        <v>P1979</v>
      </c>
      <c r="Q1980" t="str">
        <f t="shared" si="660"/>
        <v>Pulmonology</v>
      </c>
      <c r="R1980">
        <f t="shared" si="661"/>
        <v>19</v>
      </c>
      <c r="S1980" t="str">
        <f t="shared" ca="1" si="665"/>
        <v>No</v>
      </c>
      <c r="T1980" t="str">
        <f t="shared" ca="1" si="666"/>
        <v>Moderate</v>
      </c>
      <c r="U1980" t="str">
        <f t="shared" ca="1" si="667"/>
        <v>ICU</v>
      </c>
      <c r="V1980" t="str">
        <f t="shared" si="668"/>
        <v>BED1979</v>
      </c>
      <c r="W1980" t="str">
        <f t="shared" ca="1" si="669"/>
        <v>ICU</v>
      </c>
      <c r="X1980" t="str">
        <f t="shared" si="670"/>
        <v>NUR029</v>
      </c>
      <c r="Y1980" t="str">
        <f t="shared" ca="1" si="671"/>
        <v>Morning</v>
      </c>
      <c r="Z1980" t="str">
        <f t="shared" ca="1" si="672"/>
        <v>X-Ray</v>
      </c>
      <c r="AA1980" t="str">
        <f t="shared" ca="1" si="673"/>
        <v>In Use</v>
      </c>
      <c r="AB1980" t="str">
        <f t="shared" ca="1" si="674"/>
        <v>Partially Paid</v>
      </c>
      <c r="AC1980" t="str">
        <f t="shared" ca="1" si="675"/>
        <v>Debit Card</v>
      </c>
      <c r="AD1980" t="str">
        <f t="shared" ca="1" si="676"/>
        <v>Yes</v>
      </c>
      <c r="AE1980" t="str">
        <f t="shared" ca="1" si="677"/>
        <v>Yes</v>
      </c>
      <c r="AF1980" t="str">
        <f t="shared" ca="1" si="678"/>
        <v>Under Observation</v>
      </c>
      <c r="AG1980" t="str">
        <f t="shared" ca="1" si="679"/>
        <v>Southwest</v>
      </c>
      <c r="AH1980" t="str">
        <f t="shared" si="662"/>
        <v>March</v>
      </c>
      <c r="AI1980">
        <f t="shared" si="663"/>
        <v>2023</v>
      </c>
      <c r="AJ1980" t="str">
        <f t="shared" ca="1" si="680"/>
        <v>Occupied</v>
      </c>
      <c r="AK1980">
        <f t="shared" ca="1" si="681"/>
        <v>1</v>
      </c>
    </row>
    <row r="1981" spans="1:37" x14ac:dyDescent="0.3">
      <c r="A1981" t="s">
        <v>6352</v>
      </c>
      <c r="B1981">
        <v>31</v>
      </c>
      <c r="C1981" t="s">
        <v>15</v>
      </c>
      <c r="D1981" t="s">
        <v>44</v>
      </c>
      <c r="E1981" t="s">
        <v>17</v>
      </c>
      <c r="F1981" s="1">
        <v>44319</v>
      </c>
      <c r="G1981" t="s">
        <v>3930</v>
      </c>
      <c r="H1981" t="s">
        <v>3931</v>
      </c>
      <c r="I1981" t="s">
        <v>28</v>
      </c>
      <c r="J1981">
        <v>34831</v>
      </c>
      <c r="K1981">
        <v>220</v>
      </c>
      <c r="L1981" t="s">
        <v>42</v>
      </c>
      <c r="M1981" s="1">
        <v>44333</v>
      </c>
      <c r="N1981" t="s">
        <v>47</v>
      </c>
      <c r="O1981" t="s">
        <v>43</v>
      </c>
      <c r="P1981" t="str">
        <f t="shared" si="664"/>
        <v>P1980</v>
      </c>
      <c r="Q1981" t="str">
        <f t="shared" si="660"/>
        <v>Oncology</v>
      </c>
      <c r="R1981">
        <f t="shared" si="661"/>
        <v>14</v>
      </c>
      <c r="S1981" t="str">
        <f t="shared" ca="1" si="665"/>
        <v>No</v>
      </c>
      <c r="T1981" t="str">
        <f t="shared" ca="1" si="666"/>
        <v>Severe</v>
      </c>
      <c r="U1981" t="str">
        <f t="shared" ca="1" si="667"/>
        <v>Semi-Private</v>
      </c>
      <c r="V1981" t="str">
        <f t="shared" si="668"/>
        <v>BED1980</v>
      </c>
      <c r="W1981" t="str">
        <f t="shared" ca="1" si="669"/>
        <v>ICU</v>
      </c>
      <c r="X1981" t="str">
        <f t="shared" si="670"/>
        <v>NUR030</v>
      </c>
      <c r="Y1981" t="str">
        <f t="shared" ca="1" si="671"/>
        <v>Morning</v>
      </c>
      <c r="Z1981" t="str">
        <f t="shared" ca="1" si="672"/>
        <v>Ultrasound</v>
      </c>
      <c r="AA1981" t="str">
        <f t="shared" ca="1" si="673"/>
        <v>Available</v>
      </c>
      <c r="AB1981" t="str">
        <f t="shared" ca="1" si="674"/>
        <v>Paid</v>
      </c>
      <c r="AC1981" t="str">
        <f t="shared" ca="1" si="675"/>
        <v>Bank Transfer</v>
      </c>
      <c r="AD1981" t="str">
        <f t="shared" ca="1" si="676"/>
        <v>No</v>
      </c>
      <c r="AE1981" t="str">
        <f t="shared" ca="1" si="677"/>
        <v>No</v>
      </c>
      <c r="AF1981" t="str">
        <f t="shared" ca="1" si="678"/>
        <v>Recovered</v>
      </c>
      <c r="AG1981" t="str">
        <f t="shared" ca="1" si="679"/>
        <v>Southwest</v>
      </c>
      <c r="AH1981" t="str">
        <f t="shared" si="662"/>
        <v>May</v>
      </c>
      <c r="AI1981">
        <f t="shared" si="663"/>
        <v>2021</v>
      </c>
      <c r="AJ1981" t="str">
        <f t="shared" ca="1" si="680"/>
        <v>Occupied</v>
      </c>
      <c r="AK1981">
        <f t="shared" ca="1" si="681"/>
        <v>4</v>
      </c>
    </row>
    <row r="1982" spans="1:37" x14ac:dyDescent="0.3">
      <c r="A1982" t="s">
        <v>6353</v>
      </c>
      <c r="B1982">
        <v>50</v>
      </c>
      <c r="C1982" t="s">
        <v>32</v>
      </c>
      <c r="D1982" t="s">
        <v>24</v>
      </c>
      <c r="E1982" t="s">
        <v>17</v>
      </c>
      <c r="F1982" s="1">
        <v>44829</v>
      </c>
      <c r="G1982" t="s">
        <v>3932</v>
      </c>
      <c r="H1982" t="s">
        <v>3933</v>
      </c>
      <c r="I1982" t="s">
        <v>57</v>
      </c>
      <c r="J1982">
        <v>23699</v>
      </c>
      <c r="K1982">
        <v>467</v>
      </c>
      <c r="L1982" t="s">
        <v>21</v>
      </c>
      <c r="M1982" s="1">
        <v>44859</v>
      </c>
      <c r="N1982" t="s">
        <v>30</v>
      </c>
      <c r="O1982" t="s">
        <v>23</v>
      </c>
      <c r="P1982" t="str">
        <f t="shared" si="664"/>
        <v>P1981</v>
      </c>
      <c r="Q1982" t="str">
        <f t="shared" si="660"/>
        <v>Oncology</v>
      </c>
      <c r="R1982">
        <f t="shared" si="661"/>
        <v>30</v>
      </c>
      <c r="S1982" t="str">
        <f t="shared" ca="1" si="665"/>
        <v>No</v>
      </c>
      <c r="T1982" t="str">
        <f t="shared" ca="1" si="666"/>
        <v>Critical</v>
      </c>
      <c r="U1982" t="str">
        <f t="shared" ca="1" si="667"/>
        <v>Private Ward</v>
      </c>
      <c r="V1982" t="str">
        <f t="shared" si="668"/>
        <v>BED1981</v>
      </c>
      <c r="W1982" t="str">
        <f t="shared" ca="1" si="669"/>
        <v>General</v>
      </c>
      <c r="X1982" t="str">
        <f t="shared" si="670"/>
        <v>NUR031</v>
      </c>
      <c r="Y1982" t="str">
        <f t="shared" ca="1" si="671"/>
        <v>Night</v>
      </c>
      <c r="Z1982" t="str">
        <f t="shared" ca="1" si="672"/>
        <v>ECG Machine</v>
      </c>
      <c r="AA1982" t="str">
        <f t="shared" ca="1" si="673"/>
        <v>In Use</v>
      </c>
      <c r="AB1982" t="str">
        <f t="shared" ca="1" si="674"/>
        <v>Paid</v>
      </c>
      <c r="AC1982" t="str">
        <f t="shared" ca="1" si="675"/>
        <v>Cash</v>
      </c>
      <c r="AD1982" t="str">
        <f t="shared" ca="1" si="676"/>
        <v>Yes</v>
      </c>
      <c r="AE1982" t="str">
        <f t="shared" ca="1" si="677"/>
        <v>No</v>
      </c>
      <c r="AF1982" t="str">
        <f t="shared" ca="1" si="678"/>
        <v>Transferred</v>
      </c>
      <c r="AG1982" t="str">
        <f t="shared" ca="1" si="679"/>
        <v>Northeast</v>
      </c>
      <c r="AH1982" t="str">
        <f t="shared" si="662"/>
        <v>September</v>
      </c>
      <c r="AI1982">
        <f t="shared" si="663"/>
        <v>2022</v>
      </c>
      <c r="AJ1982" t="str">
        <f t="shared" ca="1" si="680"/>
        <v>Occupied</v>
      </c>
      <c r="AK1982">
        <f t="shared" ca="1" si="681"/>
        <v>2</v>
      </c>
    </row>
    <row r="1983" spans="1:37" x14ac:dyDescent="0.3">
      <c r="A1983" t="s">
        <v>6354</v>
      </c>
      <c r="B1983">
        <v>54</v>
      </c>
      <c r="C1983" t="s">
        <v>15</v>
      </c>
      <c r="D1983" t="s">
        <v>16</v>
      </c>
      <c r="E1983" t="s">
        <v>64</v>
      </c>
      <c r="F1983" s="1">
        <v>45181</v>
      </c>
      <c r="G1983" t="s">
        <v>3934</v>
      </c>
      <c r="H1983" t="s">
        <v>3935</v>
      </c>
      <c r="I1983" t="s">
        <v>51</v>
      </c>
      <c r="J1983">
        <v>27140</v>
      </c>
      <c r="K1983">
        <v>332</v>
      </c>
      <c r="L1983" t="s">
        <v>29</v>
      </c>
      <c r="M1983" s="1">
        <v>45184</v>
      </c>
      <c r="N1983" t="s">
        <v>47</v>
      </c>
      <c r="O1983" t="s">
        <v>23</v>
      </c>
      <c r="P1983" t="str">
        <f t="shared" si="664"/>
        <v>P1982</v>
      </c>
      <c r="Q1983" t="str">
        <f t="shared" si="660"/>
        <v>Cardiology</v>
      </c>
      <c r="R1983">
        <f t="shared" si="661"/>
        <v>3</v>
      </c>
      <c r="S1983" t="str">
        <f t="shared" ca="1" si="665"/>
        <v>No</v>
      </c>
      <c r="T1983" t="str">
        <f t="shared" ca="1" si="666"/>
        <v>Critical</v>
      </c>
      <c r="U1983" t="str">
        <f t="shared" ca="1" si="667"/>
        <v>ICU</v>
      </c>
      <c r="V1983" t="str">
        <f t="shared" si="668"/>
        <v>BED1982</v>
      </c>
      <c r="W1983" t="str">
        <f t="shared" ca="1" si="669"/>
        <v>Semi-Private</v>
      </c>
      <c r="X1983" t="str">
        <f t="shared" si="670"/>
        <v>NUR032</v>
      </c>
      <c r="Y1983" t="str">
        <f t="shared" ca="1" si="671"/>
        <v>Night</v>
      </c>
      <c r="Z1983" t="str">
        <f t="shared" ca="1" si="672"/>
        <v>X-Ray</v>
      </c>
      <c r="AA1983" t="str">
        <f t="shared" ca="1" si="673"/>
        <v>Maintenance</v>
      </c>
      <c r="AB1983" t="str">
        <f t="shared" ca="1" si="674"/>
        <v>Paid</v>
      </c>
      <c r="AC1983" t="str">
        <f t="shared" ca="1" si="675"/>
        <v>Debit Card</v>
      </c>
      <c r="AD1983" t="str">
        <f t="shared" ca="1" si="676"/>
        <v>No</v>
      </c>
      <c r="AE1983" t="str">
        <f t="shared" ca="1" si="677"/>
        <v>Yes</v>
      </c>
      <c r="AF1983" t="str">
        <f t="shared" ca="1" si="678"/>
        <v>Recovered</v>
      </c>
      <c r="AG1983" t="str">
        <f t="shared" ca="1" si="679"/>
        <v>Southeast</v>
      </c>
      <c r="AH1983" t="str">
        <f t="shared" si="662"/>
        <v>September</v>
      </c>
      <c r="AI1983">
        <f t="shared" si="663"/>
        <v>2023</v>
      </c>
      <c r="AJ1983" t="str">
        <f t="shared" ca="1" si="680"/>
        <v>Occupied</v>
      </c>
      <c r="AK1983">
        <f t="shared" ca="1" si="681"/>
        <v>4</v>
      </c>
    </row>
    <row r="1984" spans="1:37" x14ac:dyDescent="0.3">
      <c r="A1984" t="s">
        <v>5276</v>
      </c>
      <c r="B1984">
        <v>47</v>
      </c>
      <c r="C1984" t="s">
        <v>15</v>
      </c>
      <c r="D1984" t="s">
        <v>52</v>
      </c>
      <c r="E1984" t="s">
        <v>64</v>
      </c>
      <c r="F1984" s="1">
        <v>43674</v>
      </c>
      <c r="G1984" t="s">
        <v>3936</v>
      </c>
      <c r="H1984" t="s">
        <v>3937</v>
      </c>
      <c r="I1984" t="s">
        <v>57</v>
      </c>
      <c r="J1984">
        <v>45080</v>
      </c>
      <c r="K1984">
        <v>255</v>
      </c>
      <c r="L1984" t="s">
        <v>21</v>
      </c>
      <c r="M1984" s="1">
        <v>43681</v>
      </c>
      <c r="N1984" t="s">
        <v>30</v>
      </c>
      <c r="O1984" t="s">
        <v>43</v>
      </c>
      <c r="P1984" t="str">
        <f t="shared" si="664"/>
        <v>P1983</v>
      </c>
      <c r="Q1984" t="str">
        <f t="shared" si="660"/>
        <v>Cardiology</v>
      </c>
      <c r="R1984">
        <f t="shared" si="661"/>
        <v>7</v>
      </c>
      <c r="S1984" t="str">
        <f t="shared" ca="1" si="665"/>
        <v>No</v>
      </c>
      <c r="T1984" t="str">
        <f t="shared" ca="1" si="666"/>
        <v>Severe</v>
      </c>
      <c r="U1984" t="str">
        <f t="shared" ca="1" si="667"/>
        <v>Emergency</v>
      </c>
      <c r="V1984" t="str">
        <f t="shared" si="668"/>
        <v>BED1983</v>
      </c>
      <c r="W1984" t="str">
        <f t="shared" ca="1" si="669"/>
        <v>General</v>
      </c>
      <c r="X1984" t="str">
        <f t="shared" si="670"/>
        <v>NUR033</v>
      </c>
      <c r="Y1984" t="str">
        <f t="shared" ca="1" si="671"/>
        <v>Morning</v>
      </c>
      <c r="Z1984" t="str">
        <f t="shared" ca="1" si="672"/>
        <v>ECG Machine</v>
      </c>
      <c r="AA1984" t="str">
        <f t="shared" ca="1" si="673"/>
        <v>In Use</v>
      </c>
      <c r="AB1984" t="str">
        <f t="shared" ca="1" si="674"/>
        <v>Paid</v>
      </c>
      <c r="AC1984" t="str">
        <f t="shared" ca="1" si="675"/>
        <v>Bank Transfer</v>
      </c>
      <c r="AD1984" t="str">
        <f t="shared" ca="1" si="676"/>
        <v>No</v>
      </c>
      <c r="AE1984" t="str">
        <f t="shared" ca="1" si="677"/>
        <v>No</v>
      </c>
      <c r="AF1984" t="str">
        <f t="shared" ca="1" si="678"/>
        <v>Transferred</v>
      </c>
      <c r="AG1984" t="str">
        <f t="shared" ca="1" si="679"/>
        <v>West Coast</v>
      </c>
      <c r="AH1984" t="str">
        <f t="shared" si="662"/>
        <v>July</v>
      </c>
      <c r="AI1984">
        <f t="shared" si="663"/>
        <v>2019</v>
      </c>
      <c r="AJ1984" t="str">
        <f t="shared" ca="1" si="680"/>
        <v>Occupied</v>
      </c>
      <c r="AK1984">
        <f t="shared" ca="1" si="681"/>
        <v>1</v>
      </c>
    </row>
    <row r="1985" spans="1:37" x14ac:dyDescent="0.3">
      <c r="A1985" t="s">
        <v>6355</v>
      </c>
      <c r="B1985">
        <v>84</v>
      </c>
      <c r="C1985" t="s">
        <v>15</v>
      </c>
      <c r="D1985" t="s">
        <v>44</v>
      </c>
      <c r="E1985" t="s">
        <v>76</v>
      </c>
      <c r="F1985" s="1">
        <v>44037</v>
      </c>
      <c r="G1985" t="s">
        <v>3938</v>
      </c>
      <c r="H1985" t="s">
        <v>3939</v>
      </c>
      <c r="I1985" t="s">
        <v>51</v>
      </c>
      <c r="J1985">
        <v>47409</v>
      </c>
      <c r="K1985">
        <v>299</v>
      </c>
      <c r="L1985" t="s">
        <v>21</v>
      </c>
      <c r="M1985" s="1">
        <v>44055</v>
      </c>
      <c r="N1985" t="s">
        <v>37</v>
      </c>
      <c r="O1985" t="s">
        <v>23</v>
      </c>
      <c r="P1985" t="str">
        <f t="shared" si="664"/>
        <v>P1984</v>
      </c>
      <c r="Q1985" t="str">
        <f t="shared" si="660"/>
        <v>Orthopedics</v>
      </c>
      <c r="R1985">
        <f t="shared" si="661"/>
        <v>18</v>
      </c>
      <c r="S1985" t="str">
        <f t="shared" ca="1" si="665"/>
        <v>No</v>
      </c>
      <c r="T1985" t="str">
        <f t="shared" ca="1" si="666"/>
        <v>Mild</v>
      </c>
      <c r="U1985" t="str">
        <f t="shared" ca="1" si="667"/>
        <v>Private Ward</v>
      </c>
      <c r="V1985" t="str">
        <f t="shared" si="668"/>
        <v>BED1984</v>
      </c>
      <c r="W1985" t="str">
        <f t="shared" ca="1" si="669"/>
        <v>Private</v>
      </c>
      <c r="X1985" t="str">
        <f t="shared" si="670"/>
        <v>NUR034</v>
      </c>
      <c r="Y1985" t="str">
        <f t="shared" ca="1" si="671"/>
        <v>Evening</v>
      </c>
      <c r="Z1985" t="str">
        <f t="shared" ca="1" si="672"/>
        <v>Ultrasound</v>
      </c>
      <c r="AA1985" t="str">
        <f t="shared" ca="1" si="673"/>
        <v>Maintenance</v>
      </c>
      <c r="AB1985" t="str">
        <f t="shared" ca="1" si="674"/>
        <v>Pending</v>
      </c>
      <c r="AC1985" t="str">
        <f t="shared" ca="1" si="675"/>
        <v>Debit Card</v>
      </c>
      <c r="AD1985" t="str">
        <f t="shared" ca="1" si="676"/>
        <v>No</v>
      </c>
      <c r="AE1985" t="str">
        <f t="shared" ca="1" si="677"/>
        <v>No</v>
      </c>
      <c r="AF1985" t="str">
        <f t="shared" ca="1" si="678"/>
        <v>Recovered</v>
      </c>
      <c r="AG1985" t="str">
        <f t="shared" ca="1" si="679"/>
        <v>Midwest</v>
      </c>
      <c r="AH1985" t="str">
        <f t="shared" si="662"/>
        <v>July</v>
      </c>
      <c r="AI1985">
        <f t="shared" si="663"/>
        <v>2020</v>
      </c>
      <c r="AJ1985" t="str">
        <f t="shared" ca="1" si="680"/>
        <v>Occupied</v>
      </c>
      <c r="AK1985">
        <f t="shared" ca="1" si="681"/>
        <v>2</v>
      </c>
    </row>
    <row r="1986" spans="1:37" x14ac:dyDescent="0.3">
      <c r="A1986" t="s">
        <v>6356</v>
      </c>
      <c r="B1986">
        <v>64</v>
      </c>
      <c r="C1986" t="s">
        <v>15</v>
      </c>
      <c r="D1986" t="s">
        <v>52</v>
      </c>
      <c r="E1986" t="s">
        <v>25</v>
      </c>
      <c r="F1986" s="1">
        <v>45346</v>
      </c>
      <c r="G1986" t="s">
        <v>2668</v>
      </c>
      <c r="H1986" t="s">
        <v>3940</v>
      </c>
      <c r="I1986" t="s">
        <v>36</v>
      </c>
      <c r="J1986">
        <v>38161</v>
      </c>
      <c r="K1986">
        <v>257</v>
      </c>
      <c r="L1986" t="s">
        <v>21</v>
      </c>
      <c r="M1986" s="1">
        <v>45351</v>
      </c>
      <c r="N1986" t="s">
        <v>47</v>
      </c>
      <c r="O1986" t="s">
        <v>43</v>
      </c>
      <c r="P1986" t="str">
        <f t="shared" si="664"/>
        <v>P1985</v>
      </c>
      <c r="Q1986" t="str">
        <f t="shared" ref="Q1986:Q2049" si="682">IF(E1986="Cancer","Oncology",IF(E1986="Obesity","Nutrition",IF(E1986="Diabetes","Endocrinology",IF(E1986="Asthma","Pulmonology",IF(E1986="Arthritis","Orthopedics",IF(E1986="Hypertension","Cardiology","General Medicine"))))))</f>
        <v>Nutrition</v>
      </c>
      <c r="R1986">
        <f t="shared" ref="R1986:R2049" si="683">M1986-F1986</f>
        <v>5</v>
      </c>
      <c r="S1986" t="str">
        <f t="shared" ca="1" si="665"/>
        <v>No</v>
      </c>
      <c r="T1986" t="str">
        <f t="shared" ca="1" si="666"/>
        <v>Mild</v>
      </c>
      <c r="U1986" t="str">
        <f t="shared" ca="1" si="667"/>
        <v>Private Ward</v>
      </c>
      <c r="V1986" t="str">
        <f t="shared" si="668"/>
        <v>BED1985</v>
      </c>
      <c r="W1986" t="str">
        <f t="shared" ca="1" si="669"/>
        <v>ICU</v>
      </c>
      <c r="X1986" t="str">
        <f t="shared" si="670"/>
        <v>NUR035</v>
      </c>
      <c r="Y1986" t="str">
        <f t="shared" ca="1" si="671"/>
        <v>Morning</v>
      </c>
      <c r="Z1986" t="str">
        <f t="shared" ca="1" si="672"/>
        <v>CT Scanner</v>
      </c>
      <c r="AA1986" t="str">
        <f t="shared" ca="1" si="673"/>
        <v>Available</v>
      </c>
      <c r="AB1986" t="str">
        <f t="shared" ca="1" si="674"/>
        <v>Pending</v>
      </c>
      <c r="AC1986" t="str">
        <f t="shared" ca="1" si="675"/>
        <v>Insurance</v>
      </c>
      <c r="AD1986" t="str">
        <f t="shared" ca="1" si="676"/>
        <v>No</v>
      </c>
      <c r="AE1986" t="str">
        <f t="shared" ca="1" si="677"/>
        <v>No</v>
      </c>
      <c r="AF1986" t="str">
        <f t="shared" ca="1" si="678"/>
        <v>Transferred</v>
      </c>
      <c r="AG1986" t="str">
        <f t="shared" ca="1" si="679"/>
        <v>Midwest</v>
      </c>
      <c r="AH1986" t="str">
        <f t="shared" ref="AH1986:AH2049" si="684">TEXT(F1986,"MMMM")</f>
        <v>February</v>
      </c>
      <c r="AI1986">
        <f t="shared" ref="AI1986:AI2049" si="685">YEAR(F1986)</f>
        <v>2024</v>
      </c>
      <c r="AJ1986" t="str">
        <f t="shared" ca="1" si="680"/>
        <v>Occupied</v>
      </c>
      <c r="AK1986">
        <f t="shared" ca="1" si="681"/>
        <v>2</v>
      </c>
    </row>
    <row r="1987" spans="1:37" x14ac:dyDescent="0.3">
      <c r="A1987" t="s">
        <v>6357</v>
      </c>
      <c r="B1987">
        <v>68</v>
      </c>
      <c r="C1987" t="s">
        <v>32</v>
      </c>
      <c r="D1987" t="s">
        <v>24</v>
      </c>
      <c r="E1987" t="s">
        <v>76</v>
      </c>
      <c r="F1987" s="1">
        <v>44951</v>
      </c>
      <c r="G1987" t="s">
        <v>3941</v>
      </c>
      <c r="H1987" t="s">
        <v>3942</v>
      </c>
      <c r="I1987" t="s">
        <v>20</v>
      </c>
      <c r="J1987">
        <v>8976</v>
      </c>
      <c r="K1987">
        <v>462</v>
      </c>
      <c r="L1987" t="s">
        <v>29</v>
      </c>
      <c r="M1987" s="1">
        <v>44952</v>
      </c>
      <c r="N1987" t="s">
        <v>37</v>
      </c>
      <c r="O1987" t="s">
        <v>31</v>
      </c>
      <c r="P1987" t="str">
        <f t="shared" ref="P1987:P2050" si="686">"P"&amp;TEXT(ROW()-1,"0000")</f>
        <v>P1986</v>
      </c>
      <c r="Q1987" t="str">
        <f t="shared" si="682"/>
        <v>Orthopedics</v>
      </c>
      <c r="R1987">
        <f t="shared" si="683"/>
        <v>1</v>
      </c>
      <c r="S1987" t="str">
        <f t="shared" ref="S1987:S2050" ca="1" si="687">IF(RAND()&lt;0.1,"Yes","No")</f>
        <v>No</v>
      </c>
      <c r="T1987" t="str">
        <f t="shared" ref="T1987:T2050" ca="1" si="688">CHOOSE(RANDBETWEEN(1,4),"Mild","Moderate","Severe","Critical")</f>
        <v>Moderate</v>
      </c>
      <c r="U1987" t="str">
        <f t="shared" ref="U1987:U2050" ca="1" si="689">CHOOSE(RANDBETWEEN(1,5),"General Ward","ICU","Emergency","Private Ward","Semi-Private")</f>
        <v>Emergency</v>
      </c>
      <c r="V1987" t="str">
        <f t="shared" ref="V1987:V2050" si="690">"BED"&amp;TEXT(ROW()-1,"0000")</f>
        <v>BED1986</v>
      </c>
      <c r="W1987" t="str">
        <f t="shared" ref="W1987:W2050" ca="1" si="691">CHOOSE(RANDBETWEEN(1,4),"General","Private","Semi-Private","ICU")</f>
        <v>ICU</v>
      </c>
      <c r="X1987" t="str">
        <f t="shared" ref="X1987:X2050" si="692">"NUR"&amp;TEXT(MOD(ROW()-2,50)+1,"000")</f>
        <v>NUR036</v>
      </c>
      <c r="Y1987" t="str">
        <f t="shared" ref="Y1987:Y2050" ca="1" si="693">CHOOSE(RANDBETWEEN(1,3),"Morning","Evening","Night")</f>
        <v>Evening</v>
      </c>
      <c r="Z1987" t="str">
        <f t="shared" ref="Z1987:Z2050" ca="1" si="694">CHOOSE(RANDBETWEEN(1,6),"MRI Scanner","CT Scanner","Ventilator","X-Ray","ECG Machine","Ultrasound")</f>
        <v>MRI Scanner</v>
      </c>
      <c r="AA1987" t="str">
        <f t="shared" ref="AA1987:AA2050" ca="1" si="695">CHOOSE(RANDBETWEEN(1,3),"Available","In Use","Maintenance")</f>
        <v>Available</v>
      </c>
      <c r="AB1987" t="str">
        <f t="shared" ref="AB1987:AB2050" ca="1" si="696">CHOOSE(RANDBETWEEN(1,3),"Paid","Pending","Partially Paid")</f>
        <v>Paid</v>
      </c>
      <c r="AC1987" t="str">
        <f t="shared" ref="AC1987:AC2050" ca="1" si="697">CHOOSE(RANDBETWEEN(1,5),"Cash","Credit Card","Debit Card","Insurance","Bank Transfer")</f>
        <v>Credit Card</v>
      </c>
      <c r="AD1987" t="str">
        <f t="shared" ref="AD1987:AD2050" ca="1" si="698">IF(RAND()&lt;0.2,"Yes","No")</f>
        <v>No</v>
      </c>
      <c r="AE1987" t="str">
        <f t="shared" ref="AE1987:AE2050" ca="1" si="699">IF(RAND()&lt;0.15,"Yes","No")</f>
        <v>No</v>
      </c>
      <c r="AF1987" t="str">
        <f t="shared" ref="AF1987:AF2050" ca="1" si="700">CHOOSE(RANDBETWEEN(1,3),"Recovered","Transferred","Under Observation")</f>
        <v>Recovered</v>
      </c>
      <c r="AG1987" t="str">
        <f t="shared" ref="AG1987:AG2050" ca="1" si="701">CHOOSE(RANDBETWEEN(1,5),"Northeast","Southeast","Midwest","Southwest","West Coast")</f>
        <v>Southeast</v>
      </c>
      <c r="AH1987" t="str">
        <f t="shared" si="684"/>
        <v>January</v>
      </c>
      <c r="AI1987">
        <f t="shared" si="685"/>
        <v>2023</v>
      </c>
      <c r="AJ1987" t="str">
        <f t="shared" ref="AJ1987:AJ2050" ca="1" si="702">IF(RANDBETWEEN(1,100)&lt;=80,"Occupied","Vacant")</f>
        <v>Vacant</v>
      </c>
      <c r="AK1987">
        <f t="shared" ref="AK1987:AK2050" ca="1" si="703">CHOOSE(RANDBETWEEN(1,3),1,2,4)</f>
        <v>2</v>
      </c>
    </row>
    <row r="1988" spans="1:37" x14ac:dyDescent="0.3">
      <c r="A1988" t="s">
        <v>6358</v>
      </c>
      <c r="B1988">
        <v>26</v>
      </c>
      <c r="C1988" t="s">
        <v>32</v>
      </c>
      <c r="D1988" t="s">
        <v>24</v>
      </c>
      <c r="E1988" t="s">
        <v>64</v>
      </c>
      <c r="F1988" s="1">
        <v>44469</v>
      </c>
      <c r="G1988" t="s">
        <v>3943</v>
      </c>
      <c r="H1988" t="s">
        <v>3944</v>
      </c>
      <c r="I1988" t="s">
        <v>28</v>
      </c>
      <c r="J1988">
        <v>3356</v>
      </c>
      <c r="K1988">
        <v>151</v>
      </c>
      <c r="L1988" t="s">
        <v>21</v>
      </c>
      <c r="M1988" s="1">
        <v>44476</v>
      </c>
      <c r="N1988" t="s">
        <v>67</v>
      </c>
      <c r="O1988" t="s">
        <v>43</v>
      </c>
      <c r="P1988" t="str">
        <f t="shared" si="686"/>
        <v>P1987</v>
      </c>
      <c r="Q1988" t="str">
        <f t="shared" si="682"/>
        <v>Cardiology</v>
      </c>
      <c r="R1988">
        <f t="shared" si="683"/>
        <v>7</v>
      </c>
      <c r="S1988" t="str">
        <f t="shared" ca="1" si="687"/>
        <v>No</v>
      </c>
      <c r="T1988" t="str">
        <f t="shared" ca="1" si="688"/>
        <v>Severe</v>
      </c>
      <c r="U1988" t="str">
        <f t="shared" ca="1" si="689"/>
        <v>Emergency</v>
      </c>
      <c r="V1988" t="str">
        <f t="shared" si="690"/>
        <v>BED1987</v>
      </c>
      <c r="W1988" t="str">
        <f t="shared" ca="1" si="691"/>
        <v>General</v>
      </c>
      <c r="X1988" t="str">
        <f t="shared" si="692"/>
        <v>NUR037</v>
      </c>
      <c r="Y1988" t="str">
        <f t="shared" ca="1" si="693"/>
        <v>Evening</v>
      </c>
      <c r="Z1988" t="str">
        <f t="shared" ca="1" si="694"/>
        <v>Ultrasound</v>
      </c>
      <c r="AA1988" t="str">
        <f t="shared" ca="1" si="695"/>
        <v>Available</v>
      </c>
      <c r="AB1988" t="str">
        <f t="shared" ca="1" si="696"/>
        <v>Paid</v>
      </c>
      <c r="AC1988" t="str">
        <f t="shared" ca="1" si="697"/>
        <v>Cash</v>
      </c>
      <c r="AD1988" t="str">
        <f t="shared" ca="1" si="698"/>
        <v>No</v>
      </c>
      <c r="AE1988" t="str">
        <f t="shared" ca="1" si="699"/>
        <v>No</v>
      </c>
      <c r="AF1988" t="str">
        <f t="shared" ca="1" si="700"/>
        <v>Under Observation</v>
      </c>
      <c r="AG1988" t="str">
        <f t="shared" ca="1" si="701"/>
        <v>Midwest</v>
      </c>
      <c r="AH1988" t="str">
        <f t="shared" si="684"/>
        <v>September</v>
      </c>
      <c r="AI1988">
        <f t="shared" si="685"/>
        <v>2021</v>
      </c>
      <c r="AJ1988" t="str">
        <f t="shared" ca="1" si="702"/>
        <v>Occupied</v>
      </c>
      <c r="AK1988">
        <f t="shared" ca="1" si="703"/>
        <v>2</v>
      </c>
    </row>
    <row r="1989" spans="1:37" x14ac:dyDescent="0.3">
      <c r="A1989" t="s">
        <v>6359</v>
      </c>
      <c r="B1989">
        <v>82</v>
      </c>
      <c r="C1989" t="s">
        <v>32</v>
      </c>
      <c r="D1989" t="s">
        <v>16</v>
      </c>
      <c r="E1989" t="s">
        <v>25</v>
      </c>
      <c r="F1989" s="1">
        <v>44599</v>
      </c>
      <c r="G1989" t="s">
        <v>3945</v>
      </c>
      <c r="H1989" t="s">
        <v>3946</v>
      </c>
      <c r="I1989" t="s">
        <v>36</v>
      </c>
      <c r="J1989">
        <v>915</v>
      </c>
      <c r="K1989">
        <v>363</v>
      </c>
      <c r="L1989" t="s">
        <v>21</v>
      </c>
      <c r="M1989" s="1">
        <v>44611</v>
      </c>
      <c r="N1989" t="s">
        <v>37</v>
      </c>
      <c r="O1989" t="s">
        <v>23</v>
      </c>
      <c r="P1989" t="str">
        <f t="shared" si="686"/>
        <v>P1988</v>
      </c>
      <c r="Q1989" t="str">
        <f t="shared" si="682"/>
        <v>Nutrition</v>
      </c>
      <c r="R1989">
        <f t="shared" si="683"/>
        <v>12</v>
      </c>
      <c r="S1989" t="str">
        <f t="shared" ca="1" si="687"/>
        <v>No</v>
      </c>
      <c r="T1989" t="str">
        <f t="shared" ca="1" si="688"/>
        <v>Moderate</v>
      </c>
      <c r="U1989" t="str">
        <f t="shared" ca="1" si="689"/>
        <v>Semi-Private</v>
      </c>
      <c r="V1989" t="str">
        <f t="shared" si="690"/>
        <v>BED1988</v>
      </c>
      <c r="W1989" t="str">
        <f t="shared" ca="1" si="691"/>
        <v>ICU</v>
      </c>
      <c r="X1989" t="str">
        <f t="shared" si="692"/>
        <v>NUR038</v>
      </c>
      <c r="Y1989" t="str">
        <f t="shared" ca="1" si="693"/>
        <v>Night</v>
      </c>
      <c r="Z1989" t="str">
        <f t="shared" ca="1" si="694"/>
        <v>X-Ray</v>
      </c>
      <c r="AA1989" t="str">
        <f t="shared" ca="1" si="695"/>
        <v>Maintenance</v>
      </c>
      <c r="AB1989" t="str">
        <f t="shared" ca="1" si="696"/>
        <v>Paid</v>
      </c>
      <c r="AC1989" t="str">
        <f t="shared" ca="1" si="697"/>
        <v>Debit Card</v>
      </c>
      <c r="AD1989" t="str">
        <f t="shared" ca="1" si="698"/>
        <v>No</v>
      </c>
      <c r="AE1989" t="str">
        <f t="shared" ca="1" si="699"/>
        <v>Yes</v>
      </c>
      <c r="AF1989" t="str">
        <f t="shared" ca="1" si="700"/>
        <v>Transferred</v>
      </c>
      <c r="AG1989" t="str">
        <f t="shared" ca="1" si="701"/>
        <v>Midwest</v>
      </c>
      <c r="AH1989" t="str">
        <f t="shared" si="684"/>
        <v>February</v>
      </c>
      <c r="AI1989">
        <f t="shared" si="685"/>
        <v>2022</v>
      </c>
      <c r="AJ1989" t="str">
        <f t="shared" ca="1" si="702"/>
        <v>Occupied</v>
      </c>
      <c r="AK1989">
        <f t="shared" ca="1" si="703"/>
        <v>2</v>
      </c>
    </row>
    <row r="1990" spans="1:37" x14ac:dyDescent="0.3">
      <c r="A1990" t="s">
        <v>6360</v>
      </c>
      <c r="B1990">
        <v>30</v>
      </c>
      <c r="C1990" t="s">
        <v>15</v>
      </c>
      <c r="D1990" t="s">
        <v>33</v>
      </c>
      <c r="E1990" t="s">
        <v>39</v>
      </c>
      <c r="F1990" s="1">
        <v>44007</v>
      </c>
      <c r="G1990" t="s">
        <v>3947</v>
      </c>
      <c r="H1990" t="s">
        <v>3948</v>
      </c>
      <c r="I1990" t="s">
        <v>20</v>
      </c>
      <c r="J1990">
        <v>26139</v>
      </c>
      <c r="K1990">
        <v>132</v>
      </c>
      <c r="L1990" t="s">
        <v>29</v>
      </c>
      <c r="M1990" s="1">
        <v>44022</v>
      </c>
      <c r="N1990" t="s">
        <v>22</v>
      </c>
      <c r="O1990" t="s">
        <v>43</v>
      </c>
      <c r="P1990" t="str">
        <f t="shared" si="686"/>
        <v>P1989</v>
      </c>
      <c r="Q1990" t="str">
        <f t="shared" si="682"/>
        <v>Endocrinology</v>
      </c>
      <c r="R1990">
        <f t="shared" si="683"/>
        <v>15</v>
      </c>
      <c r="S1990" t="str">
        <f t="shared" ca="1" si="687"/>
        <v>No</v>
      </c>
      <c r="T1990" t="str">
        <f t="shared" ca="1" si="688"/>
        <v>Moderate</v>
      </c>
      <c r="U1990" t="str">
        <f t="shared" ca="1" si="689"/>
        <v>ICU</v>
      </c>
      <c r="V1990" t="str">
        <f t="shared" si="690"/>
        <v>BED1989</v>
      </c>
      <c r="W1990" t="str">
        <f t="shared" ca="1" si="691"/>
        <v>Semi-Private</v>
      </c>
      <c r="X1990" t="str">
        <f t="shared" si="692"/>
        <v>NUR039</v>
      </c>
      <c r="Y1990" t="str">
        <f t="shared" ca="1" si="693"/>
        <v>Night</v>
      </c>
      <c r="Z1990" t="str">
        <f t="shared" ca="1" si="694"/>
        <v>Ultrasound</v>
      </c>
      <c r="AA1990" t="str">
        <f t="shared" ca="1" si="695"/>
        <v>In Use</v>
      </c>
      <c r="AB1990" t="str">
        <f t="shared" ca="1" si="696"/>
        <v>Paid</v>
      </c>
      <c r="AC1990" t="str">
        <f t="shared" ca="1" si="697"/>
        <v>Cash</v>
      </c>
      <c r="AD1990" t="str">
        <f t="shared" ca="1" si="698"/>
        <v>No</v>
      </c>
      <c r="AE1990" t="str">
        <f t="shared" ca="1" si="699"/>
        <v>No</v>
      </c>
      <c r="AF1990" t="str">
        <f t="shared" ca="1" si="700"/>
        <v>Recovered</v>
      </c>
      <c r="AG1990" t="str">
        <f t="shared" ca="1" si="701"/>
        <v>West Coast</v>
      </c>
      <c r="AH1990" t="str">
        <f t="shared" si="684"/>
        <v>June</v>
      </c>
      <c r="AI1990">
        <f t="shared" si="685"/>
        <v>2020</v>
      </c>
      <c r="AJ1990" t="str">
        <f t="shared" ca="1" si="702"/>
        <v>Occupied</v>
      </c>
      <c r="AK1990">
        <f t="shared" ca="1" si="703"/>
        <v>2</v>
      </c>
    </row>
    <row r="1991" spans="1:37" x14ac:dyDescent="0.3">
      <c r="A1991" t="s">
        <v>6361</v>
      </c>
      <c r="B1991">
        <v>25</v>
      </c>
      <c r="C1991" t="s">
        <v>32</v>
      </c>
      <c r="D1991" t="s">
        <v>16</v>
      </c>
      <c r="E1991" t="s">
        <v>17</v>
      </c>
      <c r="F1991" s="1">
        <v>44207</v>
      </c>
      <c r="G1991" t="s">
        <v>3949</v>
      </c>
      <c r="H1991" t="s">
        <v>3950</v>
      </c>
      <c r="I1991" t="s">
        <v>20</v>
      </c>
      <c r="J1991">
        <v>9573</v>
      </c>
      <c r="K1991">
        <v>231</v>
      </c>
      <c r="L1991" t="s">
        <v>29</v>
      </c>
      <c r="M1991" s="1">
        <v>44230</v>
      </c>
      <c r="N1991" t="s">
        <v>47</v>
      </c>
      <c r="O1991" t="s">
        <v>43</v>
      </c>
      <c r="P1991" t="str">
        <f t="shared" si="686"/>
        <v>P1990</v>
      </c>
      <c r="Q1991" t="str">
        <f t="shared" si="682"/>
        <v>Oncology</v>
      </c>
      <c r="R1991">
        <f t="shared" si="683"/>
        <v>23</v>
      </c>
      <c r="S1991" t="str">
        <f t="shared" ca="1" si="687"/>
        <v>No</v>
      </c>
      <c r="T1991" t="str">
        <f t="shared" ca="1" si="688"/>
        <v>Moderate</v>
      </c>
      <c r="U1991" t="str">
        <f t="shared" ca="1" si="689"/>
        <v>ICU</v>
      </c>
      <c r="V1991" t="str">
        <f t="shared" si="690"/>
        <v>BED1990</v>
      </c>
      <c r="W1991" t="str">
        <f t="shared" ca="1" si="691"/>
        <v>Semi-Private</v>
      </c>
      <c r="X1991" t="str">
        <f t="shared" si="692"/>
        <v>NUR040</v>
      </c>
      <c r="Y1991" t="str">
        <f t="shared" ca="1" si="693"/>
        <v>Night</v>
      </c>
      <c r="Z1991" t="str">
        <f t="shared" ca="1" si="694"/>
        <v>Ventilator</v>
      </c>
      <c r="AA1991" t="str">
        <f t="shared" ca="1" si="695"/>
        <v>Available</v>
      </c>
      <c r="AB1991" t="str">
        <f t="shared" ca="1" si="696"/>
        <v>Paid</v>
      </c>
      <c r="AC1991" t="str">
        <f t="shared" ca="1" si="697"/>
        <v>Credit Card</v>
      </c>
      <c r="AD1991" t="str">
        <f t="shared" ca="1" si="698"/>
        <v>No</v>
      </c>
      <c r="AE1991" t="str">
        <f t="shared" ca="1" si="699"/>
        <v>Yes</v>
      </c>
      <c r="AF1991" t="str">
        <f t="shared" ca="1" si="700"/>
        <v>Transferred</v>
      </c>
      <c r="AG1991" t="str">
        <f t="shared" ca="1" si="701"/>
        <v>Midwest</v>
      </c>
      <c r="AH1991" t="str">
        <f t="shared" si="684"/>
        <v>January</v>
      </c>
      <c r="AI1991">
        <f t="shared" si="685"/>
        <v>2021</v>
      </c>
      <c r="AJ1991" t="str">
        <f t="shared" ca="1" si="702"/>
        <v>Occupied</v>
      </c>
      <c r="AK1991">
        <f t="shared" ca="1" si="703"/>
        <v>1</v>
      </c>
    </row>
    <row r="1992" spans="1:37" x14ac:dyDescent="0.3">
      <c r="A1992" t="s">
        <v>6362</v>
      </c>
      <c r="B1992">
        <v>51</v>
      </c>
      <c r="C1992" t="s">
        <v>32</v>
      </c>
      <c r="D1992" t="s">
        <v>16</v>
      </c>
      <c r="E1992" t="s">
        <v>25</v>
      </c>
      <c r="F1992" s="1">
        <v>45367</v>
      </c>
      <c r="G1992" t="s">
        <v>3951</v>
      </c>
      <c r="H1992" t="s">
        <v>3952</v>
      </c>
      <c r="I1992" t="s">
        <v>28</v>
      </c>
      <c r="J1992">
        <v>5264</v>
      </c>
      <c r="K1992">
        <v>459</v>
      </c>
      <c r="L1992" t="s">
        <v>29</v>
      </c>
      <c r="M1992" s="1">
        <v>45369</v>
      </c>
      <c r="N1992" t="s">
        <v>67</v>
      </c>
      <c r="O1992" t="s">
        <v>43</v>
      </c>
      <c r="P1992" t="str">
        <f t="shared" si="686"/>
        <v>P1991</v>
      </c>
      <c r="Q1992" t="str">
        <f t="shared" si="682"/>
        <v>Nutrition</v>
      </c>
      <c r="R1992">
        <f t="shared" si="683"/>
        <v>2</v>
      </c>
      <c r="S1992" t="str">
        <f t="shared" ca="1" si="687"/>
        <v>No</v>
      </c>
      <c r="T1992" t="str">
        <f t="shared" ca="1" si="688"/>
        <v>Moderate</v>
      </c>
      <c r="U1992" t="str">
        <f t="shared" ca="1" si="689"/>
        <v>Semi-Private</v>
      </c>
      <c r="V1992" t="str">
        <f t="shared" si="690"/>
        <v>BED1991</v>
      </c>
      <c r="W1992" t="str">
        <f t="shared" ca="1" si="691"/>
        <v>Private</v>
      </c>
      <c r="X1992" t="str">
        <f t="shared" si="692"/>
        <v>NUR041</v>
      </c>
      <c r="Y1992" t="str">
        <f t="shared" ca="1" si="693"/>
        <v>Evening</v>
      </c>
      <c r="Z1992" t="str">
        <f t="shared" ca="1" si="694"/>
        <v>Ultrasound</v>
      </c>
      <c r="AA1992" t="str">
        <f t="shared" ca="1" si="695"/>
        <v>Maintenance</v>
      </c>
      <c r="AB1992" t="str">
        <f t="shared" ca="1" si="696"/>
        <v>Paid</v>
      </c>
      <c r="AC1992" t="str">
        <f t="shared" ca="1" si="697"/>
        <v>Insurance</v>
      </c>
      <c r="AD1992" t="str">
        <f t="shared" ca="1" si="698"/>
        <v>No</v>
      </c>
      <c r="AE1992" t="str">
        <f t="shared" ca="1" si="699"/>
        <v>Yes</v>
      </c>
      <c r="AF1992" t="str">
        <f t="shared" ca="1" si="700"/>
        <v>Recovered</v>
      </c>
      <c r="AG1992" t="str">
        <f t="shared" ca="1" si="701"/>
        <v>Midwest</v>
      </c>
      <c r="AH1992" t="str">
        <f t="shared" si="684"/>
        <v>March</v>
      </c>
      <c r="AI1992">
        <f t="shared" si="685"/>
        <v>2024</v>
      </c>
      <c r="AJ1992" t="str">
        <f t="shared" ca="1" si="702"/>
        <v>Occupied</v>
      </c>
      <c r="AK1992">
        <f t="shared" ca="1" si="703"/>
        <v>2</v>
      </c>
    </row>
    <row r="1993" spans="1:37" x14ac:dyDescent="0.3">
      <c r="A1993" t="s">
        <v>6363</v>
      </c>
      <c r="B1993">
        <v>71</v>
      </c>
      <c r="C1993" t="s">
        <v>32</v>
      </c>
      <c r="D1993" t="s">
        <v>24</v>
      </c>
      <c r="E1993" t="s">
        <v>17</v>
      </c>
      <c r="F1993" s="1">
        <v>44458</v>
      </c>
      <c r="G1993" t="s">
        <v>3953</v>
      </c>
      <c r="H1993" t="s">
        <v>3954</v>
      </c>
      <c r="I1993" t="s">
        <v>20</v>
      </c>
      <c r="J1993">
        <v>804</v>
      </c>
      <c r="K1993">
        <v>190</v>
      </c>
      <c r="L1993" t="s">
        <v>21</v>
      </c>
      <c r="M1993" s="1">
        <v>44487</v>
      </c>
      <c r="N1993" t="s">
        <v>47</v>
      </c>
      <c r="O1993" t="s">
        <v>23</v>
      </c>
      <c r="P1993" t="str">
        <f t="shared" si="686"/>
        <v>P1992</v>
      </c>
      <c r="Q1993" t="str">
        <f t="shared" si="682"/>
        <v>Oncology</v>
      </c>
      <c r="R1993">
        <f t="shared" si="683"/>
        <v>29</v>
      </c>
      <c r="S1993" t="str">
        <f t="shared" ca="1" si="687"/>
        <v>No</v>
      </c>
      <c r="T1993" t="str">
        <f t="shared" ca="1" si="688"/>
        <v>Critical</v>
      </c>
      <c r="U1993" t="str">
        <f t="shared" ca="1" si="689"/>
        <v>Semi-Private</v>
      </c>
      <c r="V1993" t="str">
        <f t="shared" si="690"/>
        <v>BED1992</v>
      </c>
      <c r="W1993" t="str">
        <f t="shared" ca="1" si="691"/>
        <v>Private</v>
      </c>
      <c r="X1993" t="str">
        <f t="shared" si="692"/>
        <v>NUR042</v>
      </c>
      <c r="Y1993" t="str">
        <f t="shared" ca="1" si="693"/>
        <v>Evening</v>
      </c>
      <c r="Z1993" t="str">
        <f t="shared" ca="1" si="694"/>
        <v>X-Ray</v>
      </c>
      <c r="AA1993" t="str">
        <f t="shared" ca="1" si="695"/>
        <v>In Use</v>
      </c>
      <c r="AB1993" t="str">
        <f t="shared" ca="1" si="696"/>
        <v>Paid</v>
      </c>
      <c r="AC1993" t="str">
        <f t="shared" ca="1" si="697"/>
        <v>Credit Card</v>
      </c>
      <c r="AD1993" t="str">
        <f t="shared" ca="1" si="698"/>
        <v>No</v>
      </c>
      <c r="AE1993" t="str">
        <f t="shared" ca="1" si="699"/>
        <v>No</v>
      </c>
      <c r="AF1993" t="str">
        <f t="shared" ca="1" si="700"/>
        <v>Under Observation</v>
      </c>
      <c r="AG1993" t="str">
        <f t="shared" ca="1" si="701"/>
        <v>West Coast</v>
      </c>
      <c r="AH1993" t="str">
        <f t="shared" si="684"/>
        <v>September</v>
      </c>
      <c r="AI1993">
        <f t="shared" si="685"/>
        <v>2021</v>
      </c>
      <c r="AJ1993" t="str">
        <f t="shared" ca="1" si="702"/>
        <v>Occupied</v>
      </c>
      <c r="AK1993">
        <f t="shared" ca="1" si="703"/>
        <v>2</v>
      </c>
    </row>
    <row r="1994" spans="1:37" x14ac:dyDescent="0.3">
      <c r="A1994" t="s">
        <v>6364</v>
      </c>
      <c r="B1994">
        <v>81</v>
      </c>
      <c r="C1994" t="s">
        <v>32</v>
      </c>
      <c r="D1994" t="s">
        <v>33</v>
      </c>
      <c r="E1994" t="s">
        <v>76</v>
      </c>
      <c r="F1994" s="1">
        <v>44176</v>
      </c>
      <c r="G1994" t="s">
        <v>3955</v>
      </c>
      <c r="H1994" t="s">
        <v>3956</v>
      </c>
      <c r="I1994" t="s">
        <v>51</v>
      </c>
      <c r="J1994">
        <v>13386</v>
      </c>
      <c r="K1994">
        <v>189</v>
      </c>
      <c r="L1994" t="s">
        <v>21</v>
      </c>
      <c r="M1994" s="1">
        <v>44177</v>
      </c>
      <c r="N1994" t="s">
        <v>67</v>
      </c>
      <c r="O1994" t="s">
        <v>31</v>
      </c>
      <c r="P1994" t="str">
        <f t="shared" si="686"/>
        <v>P1993</v>
      </c>
      <c r="Q1994" t="str">
        <f t="shared" si="682"/>
        <v>Orthopedics</v>
      </c>
      <c r="R1994">
        <f t="shared" si="683"/>
        <v>1</v>
      </c>
      <c r="S1994" t="str">
        <f t="shared" ca="1" si="687"/>
        <v>No</v>
      </c>
      <c r="T1994" t="str">
        <f t="shared" ca="1" si="688"/>
        <v>Mild</v>
      </c>
      <c r="U1994" t="str">
        <f t="shared" ca="1" si="689"/>
        <v>Emergency</v>
      </c>
      <c r="V1994" t="str">
        <f t="shared" si="690"/>
        <v>BED1993</v>
      </c>
      <c r="W1994" t="str">
        <f t="shared" ca="1" si="691"/>
        <v>Private</v>
      </c>
      <c r="X1994" t="str">
        <f t="shared" si="692"/>
        <v>NUR043</v>
      </c>
      <c r="Y1994" t="str">
        <f t="shared" ca="1" si="693"/>
        <v>Night</v>
      </c>
      <c r="Z1994" t="str">
        <f t="shared" ca="1" si="694"/>
        <v>X-Ray</v>
      </c>
      <c r="AA1994" t="str">
        <f t="shared" ca="1" si="695"/>
        <v>Available</v>
      </c>
      <c r="AB1994" t="str">
        <f t="shared" ca="1" si="696"/>
        <v>Pending</v>
      </c>
      <c r="AC1994" t="str">
        <f t="shared" ca="1" si="697"/>
        <v>Cash</v>
      </c>
      <c r="AD1994" t="str">
        <f t="shared" ca="1" si="698"/>
        <v>No</v>
      </c>
      <c r="AE1994" t="str">
        <f t="shared" ca="1" si="699"/>
        <v>No</v>
      </c>
      <c r="AF1994" t="str">
        <f t="shared" ca="1" si="700"/>
        <v>Recovered</v>
      </c>
      <c r="AG1994" t="str">
        <f t="shared" ca="1" si="701"/>
        <v>West Coast</v>
      </c>
      <c r="AH1994" t="str">
        <f t="shared" si="684"/>
        <v>December</v>
      </c>
      <c r="AI1994">
        <f t="shared" si="685"/>
        <v>2020</v>
      </c>
      <c r="AJ1994" t="str">
        <f t="shared" ca="1" si="702"/>
        <v>Occupied</v>
      </c>
      <c r="AK1994">
        <f t="shared" ca="1" si="703"/>
        <v>2</v>
      </c>
    </row>
    <row r="1995" spans="1:37" x14ac:dyDescent="0.3">
      <c r="A1995" t="s">
        <v>6365</v>
      </c>
      <c r="B1995">
        <v>27</v>
      </c>
      <c r="C1995" t="s">
        <v>15</v>
      </c>
      <c r="D1995" t="s">
        <v>44</v>
      </c>
      <c r="E1995" t="s">
        <v>17</v>
      </c>
      <c r="F1995" s="1">
        <v>44968</v>
      </c>
      <c r="G1995" t="s">
        <v>3957</v>
      </c>
      <c r="H1995" t="s">
        <v>3958</v>
      </c>
      <c r="I1995" t="s">
        <v>20</v>
      </c>
      <c r="J1995">
        <v>21528</v>
      </c>
      <c r="K1995">
        <v>180</v>
      </c>
      <c r="L1995" t="s">
        <v>21</v>
      </c>
      <c r="M1995" s="1">
        <v>44987</v>
      </c>
      <c r="N1995" t="s">
        <v>47</v>
      </c>
      <c r="O1995" t="s">
        <v>23</v>
      </c>
      <c r="P1995" t="str">
        <f t="shared" si="686"/>
        <v>P1994</v>
      </c>
      <c r="Q1995" t="str">
        <f t="shared" si="682"/>
        <v>Oncology</v>
      </c>
      <c r="R1995">
        <f t="shared" si="683"/>
        <v>19</v>
      </c>
      <c r="S1995" t="str">
        <f t="shared" ca="1" si="687"/>
        <v>No</v>
      </c>
      <c r="T1995" t="str">
        <f t="shared" ca="1" si="688"/>
        <v>Mild</v>
      </c>
      <c r="U1995" t="str">
        <f t="shared" ca="1" si="689"/>
        <v>ICU</v>
      </c>
      <c r="V1995" t="str">
        <f t="shared" si="690"/>
        <v>BED1994</v>
      </c>
      <c r="W1995" t="str">
        <f t="shared" ca="1" si="691"/>
        <v>ICU</v>
      </c>
      <c r="X1995" t="str">
        <f t="shared" si="692"/>
        <v>NUR044</v>
      </c>
      <c r="Y1995" t="str">
        <f t="shared" ca="1" si="693"/>
        <v>Morning</v>
      </c>
      <c r="Z1995" t="str">
        <f t="shared" ca="1" si="694"/>
        <v>CT Scanner</v>
      </c>
      <c r="AA1995" t="str">
        <f t="shared" ca="1" si="695"/>
        <v>Maintenance</v>
      </c>
      <c r="AB1995" t="str">
        <f t="shared" ca="1" si="696"/>
        <v>Paid</v>
      </c>
      <c r="AC1995" t="str">
        <f t="shared" ca="1" si="697"/>
        <v>Bank Transfer</v>
      </c>
      <c r="AD1995" t="str">
        <f t="shared" ca="1" si="698"/>
        <v>Yes</v>
      </c>
      <c r="AE1995" t="str">
        <f t="shared" ca="1" si="699"/>
        <v>No</v>
      </c>
      <c r="AF1995" t="str">
        <f t="shared" ca="1" si="700"/>
        <v>Transferred</v>
      </c>
      <c r="AG1995" t="str">
        <f t="shared" ca="1" si="701"/>
        <v>Southwest</v>
      </c>
      <c r="AH1995" t="str">
        <f t="shared" si="684"/>
        <v>February</v>
      </c>
      <c r="AI1995">
        <f t="shared" si="685"/>
        <v>2023</v>
      </c>
      <c r="AJ1995" t="str">
        <f t="shared" ca="1" si="702"/>
        <v>Vacant</v>
      </c>
      <c r="AK1995">
        <f t="shared" ca="1" si="703"/>
        <v>2</v>
      </c>
    </row>
    <row r="1996" spans="1:37" x14ac:dyDescent="0.3">
      <c r="A1996" t="s">
        <v>6366</v>
      </c>
      <c r="B1996">
        <v>34</v>
      </c>
      <c r="C1996" t="s">
        <v>32</v>
      </c>
      <c r="D1996" t="s">
        <v>83</v>
      </c>
      <c r="E1996" t="s">
        <v>64</v>
      </c>
      <c r="F1996" s="1">
        <v>45388</v>
      </c>
      <c r="G1996" t="s">
        <v>3959</v>
      </c>
      <c r="H1996" t="s">
        <v>3960</v>
      </c>
      <c r="I1996" t="s">
        <v>57</v>
      </c>
      <c r="J1996">
        <v>10653</v>
      </c>
      <c r="K1996">
        <v>435</v>
      </c>
      <c r="L1996" t="s">
        <v>42</v>
      </c>
      <c r="M1996" s="1">
        <v>45405</v>
      </c>
      <c r="N1996" t="s">
        <v>67</v>
      </c>
      <c r="O1996" t="s">
        <v>43</v>
      </c>
      <c r="P1996" t="str">
        <f t="shared" si="686"/>
        <v>P1995</v>
      </c>
      <c r="Q1996" t="str">
        <f t="shared" si="682"/>
        <v>Cardiology</v>
      </c>
      <c r="R1996">
        <f t="shared" si="683"/>
        <v>17</v>
      </c>
      <c r="S1996" t="str">
        <f t="shared" ca="1" si="687"/>
        <v>No</v>
      </c>
      <c r="T1996" t="str">
        <f t="shared" ca="1" si="688"/>
        <v>Critical</v>
      </c>
      <c r="U1996" t="str">
        <f t="shared" ca="1" si="689"/>
        <v>Semi-Private</v>
      </c>
      <c r="V1996" t="str">
        <f t="shared" si="690"/>
        <v>BED1995</v>
      </c>
      <c r="W1996" t="str">
        <f t="shared" ca="1" si="691"/>
        <v>Private</v>
      </c>
      <c r="X1996" t="str">
        <f t="shared" si="692"/>
        <v>NUR045</v>
      </c>
      <c r="Y1996" t="str">
        <f t="shared" ca="1" si="693"/>
        <v>Evening</v>
      </c>
      <c r="Z1996" t="str">
        <f t="shared" ca="1" si="694"/>
        <v>Ventilator</v>
      </c>
      <c r="AA1996" t="str">
        <f t="shared" ca="1" si="695"/>
        <v>Available</v>
      </c>
      <c r="AB1996" t="str">
        <f t="shared" ca="1" si="696"/>
        <v>Paid</v>
      </c>
      <c r="AC1996" t="str">
        <f t="shared" ca="1" si="697"/>
        <v>Debit Card</v>
      </c>
      <c r="AD1996" t="str">
        <f t="shared" ca="1" si="698"/>
        <v>Yes</v>
      </c>
      <c r="AE1996" t="str">
        <f t="shared" ca="1" si="699"/>
        <v>Yes</v>
      </c>
      <c r="AF1996" t="str">
        <f t="shared" ca="1" si="700"/>
        <v>Recovered</v>
      </c>
      <c r="AG1996" t="str">
        <f t="shared" ca="1" si="701"/>
        <v>Southeast</v>
      </c>
      <c r="AH1996" t="str">
        <f t="shared" si="684"/>
        <v>April</v>
      </c>
      <c r="AI1996">
        <f t="shared" si="685"/>
        <v>2024</v>
      </c>
      <c r="AJ1996" t="str">
        <f t="shared" ca="1" si="702"/>
        <v>Occupied</v>
      </c>
      <c r="AK1996">
        <f t="shared" ca="1" si="703"/>
        <v>4</v>
      </c>
    </row>
    <row r="1997" spans="1:37" x14ac:dyDescent="0.3">
      <c r="A1997" t="s">
        <v>6367</v>
      </c>
      <c r="B1997">
        <v>42</v>
      </c>
      <c r="C1997" t="s">
        <v>32</v>
      </c>
      <c r="D1997" t="s">
        <v>98</v>
      </c>
      <c r="E1997" t="s">
        <v>76</v>
      </c>
      <c r="F1997" s="1">
        <v>44669</v>
      </c>
      <c r="G1997" t="s">
        <v>3961</v>
      </c>
      <c r="H1997" t="s">
        <v>3962</v>
      </c>
      <c r="I1997" t="s">
        <v>51</v>
      </c>
      <c r="J1997">
        <v>44407</v>
      </c>
      <c r="K1997">
        <v>192</v>
      </c>
      <c r="L1997" t="s">
        <v>21</v>
      </c>
      <c r="M1997" s="1">
        <v>44673</v>
      </c>
      <c r="N1997" t="s">
        <v>22</v>
      </c>
      <c r="O1997" t="s">
        <v>43</v>
      </c>
      <c r="P1997" t="str">
        <f t="shared" si="686"/>
        <v>P1996</v>
      </c>
      <c r="Q1997" t="str">
        <f t="shared" si="682"/>
        <v>Orthopedics</v>
      </c>
      <c r="R1997">
        <f t="shared" si="683"/>
        <v>4</v>
      </c>
      <c r="S1997" t="str">
        <f t="shared" ca="1" si="687"/>
        <v>No</v>
      </c>
      <c r="T1997" t="str">
        <f t="shared" ca="1" si="688"/>
        <v>Severe</v>
      </c>
      <c r="U1997" t="str">
        <f t="shared" ca="1" si="689"/>
        <v>Semi-Private</v>
      </c>
      <c r="V1997" t="str">
        <f t="shared" si="690"/>
        <v>BED1996</v>
      </c>
      <c r="W1997" t="str">
        <f t="shared" ca="1" si="691"/>
        <v>Private</v>
      </c>
      <c r="X1997" t="str">
        <f t="shared" si="692"/>
        <v>NUR046</v>
      </c>
      <c r="Y1997" t="str">
        <f t="shared" ca="1" si="693"/>
        <v>Morning</v>
      </c>
      <c r="Z1997" t="str">
        <f t="shared" ca="1" si="694"/>
        <v>MRI Scanner</v>
      </c>
      <c r="AA1997" t="str">
        <f t="shared" ca="1" si="695"/>
        <v>Available</v>
      </c>
      <c r="AB1997" t="str">
        <f t="shared" ca="1" si="696"/>
        <v>Partially Paid</v>
      </c>
      <c r="AC1997" t="str">
        <f t="shared" ca="1" si="697"/>
        <v>Insurance</v>
      </c>
      <c r="AD1997" t="str">
        <f t="shared" ca="1" si="698"/>
        <v>No</v>
      </c>
      <c r="AE1997" t="str">
        <f t="shared" ca="1" si="699"/>
        <v>No</v>
      </c>
      <c r="AF1997" t="str">
        <f t="shared" ca="1" si="700"/>
        <v>Under Observation</v>
      </c>
      <c r="AG1997" t="str">
        <f t="shared" ca="1" si="701"/>
        <v>Northeast</v>
      </c>
      <c r="AH1997" t="str">
        <f t="shared" si="684"/>
        <v>April</v>
      </c>
      <c r="AI1997">
        <f t="shared" si="685"/>
        <v>2022</v>
      </c>
      <c r="AJ1997" t="str">
        <f t="shared" ca="1" si="702"/>
        <v>Occupied</v>
      </c>
      <c r="AK1997">
        <f t="shared" ca="1" si="703"/>
        <v>1</v>
      </c>
    </row>
    <row r="1998" spans="1:37" x14ac:dyDescent="0.3">
      <c r="A1998" t="s">
        <v>6368</v>
      </c>
      <c r="B1998">
        <v>26</v>
      </c>
      <c r="C1998" t="s">
        <v>15</v>
      </c>
      <c r="D1998" t="s">
        <v>24</v>
      </c>
      <c r="E1998" t="s">
        <v>39</v>
      </c>
      <c r="F1998" s="1">
        <v>45412</v>
      </c>
      <c r="G1998" t="s">
        <v>3963</v>
      </c>
      <c r="H1998" t="s">
        <v>3964</v>
      </c>
      <c r="I1998" t="s">
        <v>51</v>
      </c>
      <c r="J1998">
        <v>26686</v>
      </c>
      <c r="K1998">
        <v>156</v>
      </c>
      <c r="L1998" t="s">
        <v>42</v>
      </c>
      <c r="M1998" s="1">
        <v>45428</v>
      </c>
      <c r="N1998" t="s">
        <v>37</v>
      </c>
      <c r="O1998" t="s">
        <v>23</v>
      </c>
      <c r="P1998" t="str">
        <f t="shared" si="686"/>
        <v>P1997</v>
      </c>
      <c r="Q1998" t="str">
        <f t="shared" si="682"/>
        <v>Endocrinology</v>
      </c>
      <c r="R1998">
        <f t="shared" si="683"/>
        <v>16</v>
      </c>
      <c r="S1998" t="str">
        <f t="shared" ca="1" si="687"/>
        <v>Yes</v>
      </c>
      <c r="T1998" t="str">
        <f t="shared" ca="1" si="688"/>
        <v>Moderate</v>
      </c>
      <c r="U1998" t="str">
        <f t="shared" ca="1" si="689"/>
        <v>General Ward</v>
      </c>
      <c r="V1998" t="str">
        <f t="shared" si="690"/>
        <v>BED1997</v>
      </c>
      <c r="W1998" t="str">
        <f t="shared" ca="1" si="691"/>
        <v>Private</v>
      </c>
      <c r="X1998" t="str">
        <f t="shared" si="692"/>
        <v>NUR047</v>
      </c>
      <c r="Y1998" t="str">
        <f t="shared" ca="1" si="693"/>
        <v>Evening</v>
      </c>
      <c r="Z1998" t="str">
        <f t="shared" ca="1" si="694"/>
        <v>X-Ray</v>
      </c>
      <c r="AA1998" t="str">
        <f t="shared" ca="1" si="695"/>
        <v>Maintenance</v>
      </c>
      <c r="AB1998" t="str">
        <f t="shared" ca="1" si="696"/>
        <v>Paid</v>
      </c>
      <c r="AC1998" t="str">
        <f t="shared" ca="1" si="697"/>
        <v>Credit Card</v>
      </c>
      <c r="AD1998" t="str">
        <f t="shared" ca="1" si="698"/>
        <v>No</v>
      </c>
      <c r="AE1998" t="str">
        <f t="shared" ca="1" si="699"/>
        <v>No</v>
      </c>
      <c r="AF1998" t="str">
        <f t="shared" ca="1" si="700"/>
        <v>Recovered</v>
      </c>
      <c r="AG1998" t="str">
        <f t="shared" ca="1" si="701"/>
        <v>Southwest</v>
      </c>
      <c r="AH1998" t="str">
        <f t="shared" si="684"/>
        <v>April</v>
      </c>
      <c r="AI1998">
        <f t="shared" si="685"/>
        <v>2024</v>
      </c>
      <c r="AJ1998" t="str">
        <f t="shared" ca="1" si="702"/>
        <v>Vacant</v>
      </c>
      <c r="AK1998">
        <f t="shared" ca="1" si="703"/>
        <v>1</v>
      </c>
    </row>
    <row r="1999" spans="1:37" x14ac:dyDescent="0.3">
      <c r="A1999" t="s">
        <v>6369</v>
      </c>
      <c r="B1999">
        <v>75</v>
      </c>
      <c r="C1999" t="s">
        <v>15</v>
      </c>
      <c r="D1999" t="s">
        <v>16</v>
      </c>
      <c r="E1999" t="s">
        <v>76</v>
      </c>
      <c r="F1999" s="1">
        <v>44986</v>
      </c>
      <c r="G1999" t="s">
        <v>3965</v>
      </c>
      <c r="H1999" t="s">
        <v>1228</v>
      </c>
      <c r="I1999" t="s">
        <v>36</v>
      </c>
      <c r="J1999">
        <v>38161</v>
      </c>
      <c r="K1999">
        <v>319</v>
      </c>
      <c r="L1999" t="s">
        <v>21</v>
      </c>
      <c r="M1999" s="1">
        <v>44990</v>
      </c>
      <c r="N1999" t="s">
        <v>37</v>
      </c>
      <c r="O1999" t="s">
        <v>23</v>
      </c>
      <c r="P1999" t="str">
        <f t="shared" si="686"/>
        <v>P1998</v>
      </c>
      <c r="Q1999" t="str">
        <f t="shared" si="682"/>
        <v>Orthopedics</v>
      </c>
      <c r="R1999">
        <f t="shared" si="683"/>
        <v>4</v>
      </c>
      <c r="S1999" t="str">
        <f t="shared" ca="1" si="687"/>
        <v>No</v>
      </c>
      <c r="T1999" t="str">
        <f t="shared" ca="1" si="688"/>
        <v>Moderate</v>
      </c>
      <c r="U1999" t="str">
        <f t="shared" ca="1" si="689"/>
        <v>Semi-Private</v>
      </c>
      <c r="V1999" t="str">
        <f t="shared" si="690"/>
        <v>BED1998</v>
      </c>
      <c r="W1999" t="str">
        <f t="shared" ca="1" si="691"/>
        <v>General</v>
      </c>
      <c r="X1999" t="str">
        <f t="shared" si="692"/>
        <v>NUR048</v>
      </c>
      <c r="Y1999" t="str">
        <f t="shared" ca="1" si="693"/>
        <v>Morning</v>
      </c>
      <c r="Z1999" t="str">
        <f t="shared" ca="1" si="694"/>
        <v>Ventilator</v>
      </c>
      <c r="AA1999" t="str">
        <f t="shared" ca="1" si="695"/>
        <v>In Use</v>
      </c>
      <c r="AB1999" t="str">
        <f t="shared" ca="1" si="696"/>
        <v>Paid</v>
      </c>
      <c r="AC1999" t="str">
        <f t="shared" ca="1" si="697"/>
        <v>Bank Transfer</v>
      </c>
      <c r="AD1999" t="str">
        <f t="shared" ca="1" si="698"/>
        <v>No</v>
      </c>
      <c r="AE1999" t="str">
        <f t="shared" ca="1" si="699"/>
        <v>No</v>
      </c>
      <c r="AF1999" t="str">
        <f t="shared" ca="1" si="700"/>
        <v>Under Observation</v>
      </c>
      <c r="AG1999" t="str">
        <f t="shared" ca="1" si="701"/>
        <v>Southeast</v>
      </c>
      <c r="AH1999" t="str">
        <f t="shared" si="684"/>
        <v>March</v>
      </c>
      <c r="AI1999">
        <f t="shared" si="685"/>
        <v>2023</v>
      </c>
      <c r="AJ1999" t="str">
        <f t="shared" ca="1" si="702"/>
        <v>Occupied</v>
      </c>
      <c r="AK1999">
        <f t="shared" ca="1" si="703"/>
        <v>1</v>
      </c>
    </row>
    <row r="2000" spans="1:37" x14ac:dyDescent="0.3">
      <c r="A2000" t="s">
        <v>6370</v>
      </c>
      <c r="B2000">
        <v>50</v>
      </c>
      <c r="C2000" t="s">
        <v>15</v>
      </c>
      <c r="D2000" t="s">
        <v>33</v>
      </c>
      <c r="E2000" t="s">
        <v>64</v>
      </c>
      <c r="F2000" s="1">
        <v>44732</v>
      </c>
      <c r="G2000" t="s">
        <v>3966</v>
      </c>
      <c r="H2000" t="s">
        <v>3967</v>
      </c>
      <c r="I2000" t="s">
        <v>28</v>
      </c>
      <c r="J2000">
        <v>35726</v>
      </c>
      <c r="K2000">
        <v>248</v>
      </c>
      <c r="L2000" t="s">
        <v>21</v>
      </c>
      <c r="M2000" s="1">
        <v>44741</v>
      </c>
      <c r="N2000" t="s">
        <v>22</v>
      </c>
      <c r="O2000" t="s">
        <v>31</v>
      </c>
      <c r="P2000" t="str">
        <f t="shared" si="686"/>
        <v>P1999</v>
      </c>
      <c r="Q2000" t="str">
        <f t="shared" si="682"/>
        <v>Cardiology</v>
      </c>
      <c r="R2000">
        <f t="shared" si="683"/>
        <v>9</v>
      </c>
      <c r="S2000" t="str">
        <f t="shared" ca="1" si="687"/>
        <v>No</v>
      </c>
      <c r="T2000" t="str">
        <f t="shared" ca="1" si="688"/>
        <v>Moderate</v>
      </c>
      <c r="U2000" t="str">
        <f t="shared" ca="1" si="689"/>
        <v>ICU</v>
      </c>
      <c r="V2000" t="str">
        <f t="shared" si="690"/>
        <v>BED1999</v>
      </c>
      <c r="W2000" t="str">
        <f t="shared" ca="1" si="691"/>
        <v>Private</v>
      </c>
      <c r="X2000" t="str">
        <f t="shared" si="692"/>
        <v>NUR049</v>
      </c>
      <c r="Y2000" t="str">
        <f t="shared" ca="1" si="693"/>
        <v>Evening</v>
      </c>
      <c r="Z2000" t="str">
        <f t="shared" ca="1" si="694"/>
        <v>CT Scanner</v>
      </c>
      <c r="AA2000" t="str">
        <f t="shared" ca="1" si="695"/>
        <v>Maintenance</v>
      </c>
      <c r="AB2000" t="str">
        <f t="shared" ca="1" si="696"/>
        <v>Partially Paid</v>
      </c>
      <c r="AC2000" t="str">
        <f t="shared" ca="1" si="697"/>
        <v>Debit Card</v>
      </c>
      <c r="AD2000" t="str">
        <f t="shared" ca="1" si="698"/>
        <v>No</v>
      </c>
      <c r="AE2000" t="str">
        <f t="shared" ca="1" si="699"/>
        <v>No</v>
      </c>
      <c r="AF2000" t="str">
        <f t="shared" ca="1" si="700"/>
        <v>Recovered</v>
      </c>
      <c r="AG2000" t="str">
        <f t="shared" ca="1" si="701"/>
        <v>Southwest</v>
      </c>
      <c r="AH2000" t="str">
        <f t="shared" si="684"/>
        <v>June</v>
      </c>
      <c r="AI2000">
        <f t="shared" si="685"/>
        <v>2022</v>
      </c>
      <c r="AJ2000" t="str">
        <f t="shared" ca="1" si="702"/>
        <v>Occupied</v>
      </c>
      <c r="AK2000">
        <f t="shared" ca="1" si="703"/>
        <v>4</v>
      </c>
    </row>
    <row r="2001" spans="1:37" x14ac:dyDescent="0.3">
      <c r="A2001" t="s">
        <v>6371</v>
      </c>
      <c r="B2001">
        <v>23</v>
      </c>
      <c r="C2001" t="s">
        <v>15</v>
      </c>
      <c r="D2001" t="s">
        <v>98</v>
      </c>
      <c r="E2001" t="s">
        <v>25</v>
      </c>
      <c r="F2001" s="1">
        <v>44134</v>
      </c>
      <c r="G2001" t="s">
        <v>3968</v>
      </c>
      <c r="H2001" t="s">
        <v>1832</v>
      </c>
      <c r="I2001" t="s">
        <v>28</v>
      </c>
      <c r="J2001">
        <v>42346</v>
      </c>
      <c r="K2001">
        <v>407</v>
      </c>
      <c r="L2001" t="s">
        <v>29</v>
      </c>
      <c r="M2001" s="1">
        <v>44164</v>
      </c>
      <c r="N2001" t="s">
        <v>30</v>
      </c>
      <c r="O2001" t="s">
        <v>43</v>
      </c>
      <c r="P2001" t="str">
        <f t="shared" si="686"/>
        <v>P2000</v>
      </c>
      <c r="Q2001" t="str">
        <f t="shared" si="682"/>
        <v>Nutrition</v>
      </c>
      <c r="R2001">
        <f t="shared" si="683"/>
        <v>30</v>
      </c>
      <c r="S2001" t="str">
        <f t="shared" ca="1" si="687"/>
        <v>No</v>
      </c>
      <c r="T2001" t="str">
        <f t="shared" ca="1" si="688"/>
        <v>Moderate</v>
      </c>
      <c r="U2001" t="str">
        <f t="shared" ca="1" si="689"/>
        <v>Semi-Private</v>
      </c>
      <c r="V2001" t="str">
        <f t="shared" si="690"/>
        <v>BED2000</v>
      </c>
      <c r="W2001" t="str">
        <f t="shared" ca="1" si="691"/>
        <v>ICU</v>
      </c>
      <c r="X2001" t="str">
        <f t="shared" si="692"/>
        <v>NUR050</v>
      </c>
      <c r="Y2001" t="str">
        <f t="shared" ca="1" si="693"/>
        <v>Night</v>
      </c>
      <c r="Z2001" t="str">
        <f t="shared" ca="1" si="694"/>
        <v>ECG Machine</v>
      </c>
      <c r="AA2001" t="str">
        <f t="shared" ca="1" si="695"/>
        <v>Available</v>
      </c>
      <c r="AB2001" t="str">
        <f t="shared" ca="1" si="696"/>
        <v>Pending</v>
      </c>
      <c r="AC2001" t="str">
        <f t="shared" ca="1" si="697"/>
        <v>Cash</v>
      </c>
      <c r="AD2001" t="str">
        <f t="shared" ca="1" si="698"/>
        <v>No</v>
      </c>
      <c r="AE2001" t="str">
        <f t="shared" ca="1" si="699"/>
        <v>No</v>
      </c>
      <c r="AF2001" t="str">
        <f t="shared" ca="1" si="700"/>
        <v>Recovered</v>
      </c>
      <c r="AG2001" t="str">
        <f t="shared" ca="1" si="701"/>
        <v>Southwest</v>
      </c>
      <c r="AH2001" t="str">
        <f t="shared" si="684"/>
        <v>October</v>
      </c>
      <c r="AI2001">
        <f t="shared" si="685"/>
        <v>2020</v>
      </c>
      <c r="AJ2001" t="str">
        <f t="shared" ca="1" si="702"/>
        <v>Occupied</v>
      </c>
      <c r="AK2001">
        <f t="shared" ca="1" si="703"/>
        <v>1</v>
      </c>
    </row>
    <row r="2002" spans="1:37" x14ac:dyDescent="0.3">
      <c r="A2002" t="s">
        <v>6372</v>
      </c>
      <c r="B2002">
        <v>35</v>
      </c>
      <c r="C2002" t="s">
        <v>32</v>
      </c>
      <c r="D2002" t="s">
        <v>33</v>
      </c>
      <c r="E2002" t="s">
        <v>17</v>
      </c>
      <c r="F2002" s="1">
        <v>44541</v>
      </c>
      <c r="G2002" t="s">
        <v>3969</v>
      </c>
      <c r="H2002" t="s">
        <v>3970</v>
      </c>
      <c r="I2002" t="s">
        <v>57</v>
      </c>
      <c r="J2002">
        <v>10499</v>
      </c>
      <c r="K2002">
        <v>426</v>
      </c>
      <c r="L2002" t="s">
        <v>42</v>
      </c>
      <c r="M2002" s="1">
        <v>44547</v>
      </c>
      <c r="N2002" t="s">
        <v>37</v>
      </c>
      <c r="O2002" t="s">
        <v>31</v>
      </c>
      <c r="P2002" t="str">
        <f t="shared" si="686"/>
        <v>P2001</v>
      </c>
      <c r="Q2002" t="str">
        <f t="shared" si="682"/>
        <v>Oncology</v>
      </c>
      <c r="R2002">
        <f t="shared" si="683"/>
        <v>6</v>
      </c>
      <c r="S2002" t="str">
        <f t="shared" ca="1" si="687"/>
        <v>No</v>
      </c>
      <c r="T2002" t="str">
        <f t="shared" ca="1" si="688"/>
        <v>Moderate</v>
      </c>
      <c r="U2002" t="str">
        <f t="shared" ca="1" si="689"/>
        <v>General Ward</v>
      </c>
      <c r="V2002" t="str">
        <f t="shared" si="690"/>
        <v>BED2001</v>
      </c>
      <c r="W2002" t="str">
        <f t="shared" ca="1" si="691"/>
        <v>ICU</v>
      </c>
      <c r="X2002" t="str">
        <f t="shared" si="692"/>
        <v>NUR001</v>
      </c>
      <c r="Y2002" t="str">
        <f t="shared" ca="1" si="693"/>
        <v>Evening</v>
      </c>
      <c r="Z2002" t="str">
        <f t="shared" ca="1" si="694"/>
        <v>X-Ray</v>
      </c>
      <c r="AA2002" t="str">
        <f t="shared" ca="1" si="695"/>
        <v>In Use</v>
      </c>
      <c r="AB2002" t="str">
        <f t="shared" ca="1" si="696"/>
        <v>Pending</v>
      </c>
      <c r="AC2002" t="str">
        <f t="shared" ca="1" si="697"/>
        <v>Credit Card</v>
      </c>
      <c r="AD2002" t="str">
        <f t="shared" ca="1" si="698"/>
        <v>No</v>
      </c>
      <c r="AE2002" t="str">
        <f t="shared" ca="1" si="699"/>
        <v>No</v>
      </c>
      <c r="AF2002" t="str">
        <f t="shared" ca="1" si="700"/>
        <v>Transferred</v>
      </c>
      <c r="AG2002" t="str">
        <f t="shared" ca="1" si="701"/>
        <v>West Coast</v>
      </c>
      <c r="AH2002" t="str">
        <f t="shared" si="684"/>
        <v>December</v>
      </c>
      <c r="AI2002">
        <f t="shared" si="685"/>
        <v>2021</v>
      </c>
      <c r="AJ2002" t="str">
        <f t="shared" ca="1" si="702"/>
        <v>Occupied</v>
      </c>
      <c r="AK2002">
        <f t="shared" ca="1" si="703"/>
        <v>2</v>
      </c>
    </row>
    <row r="2003" spans="1:37" x14ac:dyDescent="0.3">
      <c r="A2003" t="s">
        <v>6373</v>
      </c>
      <c r="B2003">
        <v>27</v>
      </c>
      <c r="C2003" t="s">
        <v>15</v>
      </c>
      <c r="D2003" t="s">
        <v>16</v>
      </c>
      <c r="E2003" t="s">
        <v>64</v>
      </c>
      <c r="F2003" s="1">
        <v>45134</v>
      </c>
      <c r="G2003" t="s">
        <v>3971</v>
      </c>
      <c r="H2003" t="s">
        <v>3972</v>
      </c>
      <c r="I2003" t="s">
        <v>28</v>
      </c>
      <c r="J2003">
        <v>14030</v>
      </c>
      <c r="K2003">
        <v>379</v>
      </c>
      <c r="L2003" t="s">
        <v>21</v>
      </c>
      <c r="M2003" s="1">
        <v>45156</v>
      </c>
      <c r="N2003" t="s">
        <v>67</v>
      </c>
      <c r="O2003" t="s">
        <v>23</v>
      </c>
      <c r="P2003" t="str">
        <f t="shared" si="686"/>
        <v>P2002</v>
      </c>
      <c r="Q2003" t="str">
        <f t="shared" si="682"/>
        <v>Cardiology</v>
      </c>
      <c r="R2003">
        <f t="shared" si="683"/>
        <v>22</v>
      </c>
      <c r="S2003" t="str">
        <f t="shared" ca="1" si="687"/>
        <v>No</v>
      </c>
      <c r="T2003" t="str">
        <f t="shared" ca="1" si="688"/>
        <v>Critical</v>
      </c>
      <c r="U2003" t="str">
        <f t="shared" ca="1" si="689"/>
        <v>Semi-Private</v>
      </c>
      <c r="V2003" t="str">
        <f t="shared" si="690"/>
        <v>BED2002</v>
      </c>
      <c r="W2003" t="str">
        <f t="shared" ca="1" si="691"/>
        <v>ICU</v>
      </c>
      <c r="X2003" t="str">
        <f t="shared" si="692"/>
        <v>NUR002</v>
      </c>
      <c r="Y2003" t="str">
        <f t="shared" ca="1" si="693"/>
        <v>Evening</v>
      </c>
      <c r="Z2003" t="str">
        <f t="shared" ca="1" si="694"/>
        <v>CT Scanner</v>
      </c>
      <c r="AA2003" t="str">
        <f t="shared" ca="1" si="695"/>
        <v>In Use</v>
      </c>
      <c r="AB2003" t="str">
        <f t="shared" ca="1" si="696"/>
        <v>Partially Paid</v>
      </c>
      <c r="AC2003" t="str">
        <f t="shared" ca="1" si="697"/>
        <v>Credit Card</v>
      </c>
      <c r="AD2003" t="str">
        <f t="shared" ca="1" si="698"/>
        <v>No</v>
      </c>
      <c r="AE2003" t="str">
        <f t="shared" ca="1" si="699"/>
        <v>No</v>
      </c>
      <c r="AF2003" t="str">
        <f t="shared" ca="1" si="700"/>
        <v>Under Observation</v>
      </c>
      <c r="AG2003" t="str">
        <f t="shared" ca="1" si="701"/>
        <v>Northeast</v>
      </c>
      <c r="AH2003" t="str">
        <f t="shared" si="684"/>
        <v>July</v>
      </c>
      <c r="AI2003">
        <f t="shared" si="685"/>
        <v>2023</v>
      </c>
      <c r="AJ2003" t="str">
        <f t="shared" ca="1" si="702"/>
        <v>Occupied</v>
      </c>
      <c r="AK2003">
        <f t="shared" ca="1" si="703"/>
        <v>2</v>
      </c>
    </row>
    <row r="2004" spans="1:37" x14ac:dyDescent="0.3">
      <c r="A2004" t="s">
        <v>6374</v>
      </c>
      <c r="B2004">
        <v>44</v>
      </c>
      <c r="C2004" t="s">
        <v>15</v>
      </c>
      <c r="D2004" t="s">
        <v>24</v>
      </c>
      <c r="E2004" t="s">
        <v>39</v>
      </c>
      <c r="F2004" s="1">
        <v>44046</v>
      </c>
      <c r="G2004" t="s">
        <v>3973</v>
      </c>
      <c r="H2004" t="s">
        <v>3974</v>
      </c>
      <c r="I2004" t="s">
        <v>51</v>
      </c>
      <c r="J2004">
        <v>14558</v>
      </c>
      <c r="K2004">
        <v>121</v>
      </c>
      <c r="L2004" t="s">
        <v>42</v>
      </c>
      <c r="M2004" s="1">
        <v>44074</v>
      </c>
      <c r="N2004" t="s">
        <v>30</v>
      </c>
      <c r="O2004" t="s">
        <v>31</v>
      </c>
      <c r="P2004" t="str">
        <f t="shared" si="686"/>
        <v>P2003</v>
      </c>
      <c r="Q2004" t="str">
        <f t="shared" si="682"/>
        <v>Endocrinology</v>
      </c>
      <c r="R2004">
        <f t="shared" si="683"/>
        <v>28</v>
      </c>
      <c r="S2004" t="str">
        <f t="shared" ca="1" si="687"/>
        <v>No</v>
      </c>
      <c r="T2004" t="str">
        <f t="shared" ca="1" si="688"/>
        <v>Moderate</v>
      </c>
      <c r="U2004" t="str">
        <f t="shared" ca="1" si="689"/>
        <v>ICU</v>
      </c>
      <c r="V2004" t="str">
        <f t="shared" si="690"/>
        <v>BED2003</v>
      </c>
      <c r="W2004" t="str">
        <f t="shared" ca="1" si="691"/>
        <v>Private</v>
      </c>
      <c r="X2004" t="str">
        <f t="shared" si="692"/>
        <v>NUR003</v>
      </c>
      <c r="Y2004" t="str">
        <f t="shared" ca="1" si="693"/>
        <v>Morning</v>
      </c>
      <c r="Z2004" t="str">
        <f t="shared" ca="1" si="694"/>
        <v>Ultrasound</v>
      </c>
      <c r="AA2004" t="str">
        <f t="shared" ca="1" si="695"/>
        <v>In Use</v>
      </c>
      <c r="AB2004" t="str">
        <f t="shared" ca="1" si="696"/>
        <v>Paid</v>
      </c>
      <c r="AC2004" t="str">
        <f t="shared" ca="1" si="697"/>
        <v>Debit Card</v>
      </c>
      <c r="AD2004" t="str">
        <f t="shared" ca="1" si="698"/>
        <v>No</v>
      </c>
      <c r="AE2004" t="str">
        <f t="shared" ca="1" si="699"/>
        <v>No</v>
      </c>
      <c r="AF2004" t="str">
        <f t="shared" ca="1" si="700"/>
        <v>Under Observation</v>
      </c>
      <c r="AG2004" t="str">
        <f t="shared" ca="1" si="701"/>
        <v>Midwest</v>
      </c>
      <c r="AH2004" t="str">
        <f t="shared" si="684"/>
        <v>August</v>
      </c>
      <c r="AI2004">
        <f t="shared" si="685"/>
        <v>2020</v>
      </c>
      <c r="AJ2004" t="str">
        <f t="shared" ca="1" si="702"/>
        <v>Occupied</v>
      </c>
      <c r="AK2004">
        <f t="shared" ca="1" si="703"/>
        <v>4</v>
      </c>
    </row>
    <row r="2005" spans="1:37" x14ac:dyDescent="0.3">
      <c r="A2005" t="s">
        <v>6375</v>
      </c>
      <c r="B2005">
        <v>80</v>
      </c>
      <c r="C2005" t="s">
        <v>15</v>
      </c>
      <c r="D2005" t="s">
        <v>38</v>
      </c>
      <c r="E2005" t="s">
        <v>39</v>
      </c>
      <c r="F2005" s="1">
        <v>44619</v>
      </c>
      <c r="G2005" t="s">
        <v>3975</v>
      </c>
      <c r="H2005" t="s">
        <v>3976</v>
      </c>
      <c r="I2005" t="s">
        <v>36</v>
      </c>
      <c r="J2005">
        <v>3028</v>
      </c>
      <c r="K2005">
        <v>176</v>
      </c>
      <c r="L2005" t="s">
        <v>42</v>
      </c>
      <c r="M2005" s="1">
        <v>44620</v>
      </c>
      <c r="N2005" t="s">
        <v>37</v>
      </c>
      <c r="O2005" t="s">
        <v>23</v>
      </c>
      <c r="P2005" t="str">
        <f t="shared" si="686"/>
        <v>P2004</v>
      </c>
      <c r="Q2005" t="str">
        <f t="shared" si="682"/>
        <v>Endocrinology</v>
      </c>
      <c r="R2005">
        <f t="shared" si="683"/>
        <v>1</v>
      </c>
      <c r="S2005" t="str">
        <f t="shared" ca="1" si="687"/>
        <v>No</v>
      </c>
      <c r="T2005" t="str">
        <f t="shared" ca="1" si="688"/>
        <v>Moderate</v>
      </c>
      <c r="U2005" t="str">
        <f t="shared" ca="1" si="689"/>
        <v>ICU</v>
      </c>
      <c r="V2005" t="str">
        <f t="shared" si="690"/>
        <v>BED2004</v>
      </c>
      <c r="W2005" t="str">
        <f t="shared" ca="1" si="691"/>
        <v>Semi-Private</v>
      </c>
      <c r="X2005" t="str">
        <f t="shared" si="692"/>
        <v>NUR004</v>
      </c>
      <c r="Y2005" t="str">
        <f t="shared" ca="1" si="693"/>
        <v>Evening</v>
      </c>
      <c r="Z2005" t="str">
        <f t="shared" ca="1" si="694"/>
        <v>CT Scanner</v>
      </c>
      <c r="AA2005" t="str">
        <f t="shared" ca="1" si="695"/>
        <v>In Use</v>
      </c>
      <c r="AB2005" t="str">
        <f t="shared" ca="1" si="696"/>
        <v>Partially Paid</v>
      </c>
      <c r="AC2005" t="str">
        <f t="shared" ca="1" si="697"/>
        <v>Debit Card</v>
      </c>
      <c r="AD2005" t="str">
        <f t="shared" ca="1" si="698"/>
        <v>No</v>
      </c>
      <c r="AE2005" t="str">
        <f t="shared" ca="1" si="699"/>
        <v>No</v>
      </c>
      <c r="AF2005" t="str">
        <f t="shared" ca="1" si="700"/>
        <v>Under Observation</v>
      </c>
      <c r="AG2005" t="str">
        <f t="shared" ca="1" si="701"/>
        <v>Midwest</v>
      </c>
      <c r="AH2005" t="str">
        <f t="shared" si="684"/>
        <v>February</v>
      </c>
      <c r="AI2005">
        <f t="shared" si="685"/>
        <v>2022</v>
      </c>
      <c r="AJ2005" t="str">
        <f t="shared" ca="1" si="702"/>
        <v>Occupied</v>
      </c>
      <c r="AK2005">
        <f t="shared" ca="1" si="703"/>
        <v>1</v>
      </c>
    </row>
    <row r="2006" spans="1:37" x14ac:dyDescent="0.3">
      <c r="A2006" t="s">
        <v>6376</v>
      </c>
      <c r="B2006">
        <v>75</v>
      </c>
      <c r="C2006" t="s">
        <v>15</v>
      </c>
      <c r="D2006" t="s">
        <v>24</v>
      </c>
      <c r="E2006" t="s">
        <v>25</v>
      </c>
      <c r="F2006" s="1">
        <v>45355</v>
      </c>
      <c r="G2006" t="s">
        <v>3977</v>
      </c>
      <c r="H2006" t="s">
        <v>3978</v>
      </c>
      <c r="I2006" t="s">
        <v>20</v>
      </c>
      <c r="J2006">
        <v>35295</v>
      </c>
      <c r="K2006">
        <v>131</v>
      </c>
      <c r="L2006" t="s">
        <v>29</v>
      </c>
      <c r="M2006" s="1">
        <v>45369</v>
      </c>
      <c r="N2006" t="s">
        <v>22</v>
      </c>
      <c r="O2006" t="s">
        <v>31</v>
      </c>
      <c r="P2006" t="str">
        <f t="shared" si="686"/>
        <v>P2005</v>
      </c>
      <c r="Q2006" t="str">
        <f t="shared" si="682"/>
        <v>Nutrition</v>
      </c>
      <c r="R2006">
        <f t="shared" si="683"/>
        <v>14</v>
      </c>
      <c r="S2006" t="str">
        <f t="shared" ca="1" si="687"/>
        <v>No</v>
      </c>
      <c r="T2006" t="str">
        <f t="shared" ca="1" si="688"/>
        <v>Severe</v>
      </c>
      <c r="U2006" t="str">
        <f t="shared" ca="1" si="689"/>
        <v>General Ward</v>
      </c>
      <c r="V2006" t="str">
        <f t="shared" si="690"/>
        <v>BED2005</v>
      </c>
      <c r="W2006" t="str">
        <f t="shared" ca="1" si="691"/>
        <v>Semi-Private</v>
      </c>
      <c r="X2006" t="str">
        <f t="shared" si="692"/>
        <v>NUR005</v>
      </c>
      <c r="Y2006" t="str">
        <f t="shared" ca="1" si="693"/>
        <v>Morning</v>
      </c>
      <c r="Z2006" t="str">
        <f t="shared" ca="1" si="694"/>
        <v>ECG Machine</v>
      </c>
      <c r="AA2006" t="str">
        <f t="shared" ca="1" si="695"/>
        <v>In Use</v>
      </c>
      <c r="AB2006" t="str">
        <f t="shared" ca="1" si="696"/>
        <v>Partially Paid</v>
      </c>
      <c r="AC2006" t="str">
        <f t="shared" ca="1" si="697"/>
        <v>Insurance</v>
      </c>
      <c r="AD2006" t="str">
        <f t="shared" ca="1" si="698"/>
        <v>No</v>
      </c>
      <c r="AE2006" t="str">
        <f t="shared" ca="1" si="699"/>
        <v>No</v>
      </c>
      <c r="AF2006" t="str">
        <f t="shared" ca="1" si="700"/>
        <v>Transferred</v>
      </c>
      <c r="AG2006" t="str">
        <f t="shared" ca="1" si="701"/>
        <v>Midwest</v>
      </c>
      <c r="AH2006" t="str">
        <f t="shared" si="684"/>
        <v>March</v>
      </c>
      <c r="AI2006">
        <f t="shared" si="685"/>
        <v>2024</v>
      </c>
      <c r="AJ2006" t="str">
        <f t="shared" ca="1" si="702"/>
        <v>Occupied</v>
      </c>
      <c r="AK2006">
        <f t="shared" ca="1" si="703"/>
        <v>1</v>
      </c>
    </row>
    <row r="2007" spans="1:37" x14ac:dyDescent="0.3">
      <c r="A2007" t="s">
        <v>6377</v>
      </c>
      <c r="B2007">
        <v>49</v>
      </c>
      <c r="C2007" t="s">
        <v>32</v>
      </c>
      <c r="D2007" t="s">
        <v>38</v>
      </c>
      <c r="E2007" t="s">
        <v>25</v>
      </c>
      <c r="F2007" s="1">
        <v>43849</v>
      </c>
      <c r="G2007" t="s">
        <v>3979</v>
      </c>
      <c r="H2007" t="s">
        <v>3980</v>
      </c>
      <c r="I2007" t="s">
        <v>20</v>
      </c>
      <c r="J2007">
        <v>18182</v>
      </c>
      <c r="K2007">
        <v>416</v>
      </c>
      <c r="L2007" t="s">
        <v>29</v>
      </c>
      <c r="M2007" s="1">
        <v>43871</v>
      </c>
      <c r="N2007" t="s">
        <v>37</v>
      </c>
      <c r="O2007" t="s">
        <v>31</v>
      </c>
      <c r="P2007" t="str">
        <f t="shared" si="686"/>
        <v>P2006</v>
      </c>
      <c r="Q2007" t="str">
        <f t="shared" si="682"/>
        <v>Nutrition</v>
      </c>
      <c r="R2007">
        <f t="shared" si="683"/>
        <v>22</v>
      </c>
      <c r="S2007" t="str">
        <f t="shared" ca="1" si="687"/>
        <v>No</v>
      </c>
      <c r="T2007" t="str">
        <f t="shared" ca="1" si="688"/>
        <v>Mild</v>
      </c>
      <c r="U2007" t="str">
        <f t="shared" ca="1" si="689"/>
        <v>General Ward</v>
      </c>
      <c r="V2007" t="str">
        <f t="shared" si="690"/>
        <v>BED2006</v>
      </c>
      <c r="W2007" t="str">
        <f t="shared" ca="1" si="691"/>
        <v>ICU</v>
      </c>
      <c r="X2007" t="str">
        <f t="shared" si="692"/>
        <v>NUR006</v>
      </c>
      <c r="Y2007" t="str">
        <f t="shared" ca="1" si="693"/>
        <v>Evening</v>
      </c>
      <c r="Z2007" t="str">
        <f t="shared" ca="1" si="694"/>
        <v>ECG Machine</v>
      </c>
      <c r="AA2007" t="str">
        <f t="shared" ca="1" si="695"/>
        <v>Available</v>
      </c>
      <c r="AB2007" t="str">
        <f t="shared" ca="1" si="696"/>
        <v>Pending</v>
      </c>
      <c r="AC2007" t="str">
        <f t="shared" ca="1" si="697"/>
        <v>Credit Card</v>
      </c>
      <c r="AD2007" t="str">
        <f t="shared" ca="1" si="698"/>
        <v>No</v>
      </c>
      <c r="AE2007" t="str">
        <f t="shared" ca="1" si="699"/>
        <v>No</v>
      </c>
      <c r="AF2007" t="str">
        <f t="shared" ca="1" si="700"/>
        <v>Recovered</v>
      </c>
      <c r="AG2007" t="str">
        <f t="shared" ca="1" si="701"/>
        <v>Southeast</v>
      </c>
      <c r="AH2007" t="str">
        <f t="shared" si="684"/>
        <v>January</v>
      </c>
      <c r="AI2007">
        <f t="shared" si="685"/>
        <v>2020</v>
      </c>
      <c r="AJ2007" t="str">
        <f t="shared" ca="1" si="702"/>
        <v>Vacant</v>
      </c>
      <c r="AK2007">
        <f t="shared" ca="1" si="703"/>
        <v>1</v>
      </c>
    </row>
    <row r="2008" spans="1:37" x14ac:dyDescent="0.3">
      <c r="A2008" t="s">
        <v>6378</v>
      </c>
      <c r="B2008">
        <v>58</v>
      </c>
      <c r="C2008" t="s">
        <v>15</v>
      </c>
      <c r="D2008" t="s">
        <v>83</v>
      </c>
      <c r="E2008" t="s">
        <v>64</v>
      </c>
      <c r="F2008" s="1">
        <v>45367</v>
      </c>
      <c r="G2008" t="s">
        <v>3981</v>
      </c>
      <c r="H2008" t="s">
        <v>3982</v>
      </c>
      <c r="I2008" t="s">
        <v>57</v>
      </c>
      <c r="J2008">
        <v>29951</v>
      </c>
      <c r="K2008">
        <v>230</v>
      </c>
      <c r="L2008" t="s">
        <v>21</v>
      </c>
      <c r="M2008" s="1">
        <v>45368</v>
      </c>
      <c r="N2008" t="s">
        <v>67</v>
      </c>
      <c r="O2008" t="s">
        <v>31</v>
      </c>
      <c r="P2008" t="str">
        <f t="shared" si="686"/>
        <v>P2007</v>
      </c>
      <c r="Q2008" t="str">
        <f t="shared" si="682"/>
        <v>Cardiology</v>
      </c>
      <c r="R2008">
        <f t="shared" si="683"/>
        <v>1</v>
      </c>
      <c r="S2008" t="str">
        <f t="shared" ca="1" si="687"/>
        <v>No</v>
      </c>
      <c r="T2008" t="str">
        <f t="shared" ca="1" si="688"/>
        <v>Critical</v>
      </c>
      <c r="U2008" t="str">
        <f t="shared" ca="1" si="689"/>
        <v>General Ward</v>
      </c>
      <c r="V2008" t="str">
        <f t="shared" si="690"/>
        <v>BED2007</v>
      </c>
      <c r="W2008" t="str">
        <f t="shared" ca="1" si="691"/>
        <v>General</v>
      </c>
      <c r="X2008" t="str">
        <f t="shared" si="692"/>
        <v>NUR007</v>
      </c>
      <c r="Y2008" t="str">
        <f t="shared" ca="1" si="693"/>
        <v>Evening</v>
      </c>
      <c r="Z2008" t="str">
        <f t="shared" ca="1" si="694"/>
        <v>ECG Machine</v>
      </c>
      <c r="AA2008" t="str">
        <f t="shared" ca="1" si="695"/>
        <v>Maintenance</v>
      </c>
      <c r="AB2008" t="str">
        <f t="shared" ca="1" si="696"/>
        <v>Pending</v>
      </c>
      <c r="AC2008" t="str">
        <f t="shared" ca="1" si="697"/>
        <v>Credit Card</v>
      </c>
      <c r="AD2008" t="str">
        <f t="shared" ca="1" si="698"/>
        <v>Yes</v>
      </c>
      <c r="AE2008" t="str">
        <f t="shared" ca="1" si="699"/>
        <v>No</v>
      </c>
      <c r="AF2008" t="str">
        <f t="shared" ca="1" si="700"/>
        <v>Transferred</v>
      </c>
      <c r="AG2008" t="str">
        <f t="shared" ca="1" si="701"/>
        <v>West Coast</v>
      </c>
      <c r="AH2008" t="str">
        <f t="shared" si="684"/>
        <v>March</v>
      </c>
      <c r="AI2008">
        <f t="shared" si="685"/>
        <v>2024</v>
      </c>
      <c r="AJ2008" t="str">
        <f t="shared" ca="1" si="702"/>
        <v>Vacant</v>
      </c>
      <c r="AK2008">
        <f t="shared" ca="1" si="703"/>
        <v>2</v>
      </c>
    </row>
    <row r="2009" spans="1:37" x14ac:dyDescent="0.3">
      <c r="A2009" t="s">
        <v>6379</v>
      </c>
      <c r="B2009">
        <v>52</v>
      </c>
      <c r="C2009" t="s">
        <v>15</v>
      </c>
      <c r="D2009" t="s">
        <v>33</v>
      </c>
      <c r="E2009" t="s">
        <v>39</v>
      </c>
      <c r="F2009" s="1">
        <v>44007</v>
      </c>
      <c r="G2009" t="s">
        <v>3983</v>
      </c>
      <c r="H2009" t="s">
        <v>3984</v>
      </c>
      <c r="I2009" t="s">
        <v>57</v>
      </c>
      <c r="J2009">
        <v>13661</v>
      </c>
      <c r="K2009">
        <v>208</v>
      </c>
      <c r="L2009" t="s">
        <v>21</v>
      </c>
      <c r="M2009" s="1">
        <v>44036</v>
      </c>
      <c r="N2009" t="s">
        <v>67</v>
      </c>
      <c r="O2009" t="s">
        <v>43</v>
      </c>
      <c r="P2009" t="str">
        <f t="shared" si="686"/>
        <v>P2008</v>
      </c>
      <c r="Q2009" t="str">
        <f t="shared" si="682"/>
        <v>Endocrinology</v>
      </c>
      <c r="R2009">
        <f t="shared" si="683"/>
        <v>29</v>
      </c>
      <c r="S2009" t="str">
        <f t="shared" ca="1" si="687"/>
        <v>No</v>
      </c>
      <c r="T2009" t="str">
        <f t="shared" ca="1" si="688"/>
        <v>Mild</v>
      </c>
      <c r="U2009" t="str">
        <f t="shared" ca="1" si="689"/>
        <v>Private Ward</v>
      </c>
      <c r="V2009" t="str">
        <f t="shared" si="690"/>
        <v>BED2008</v>
      </c>
      <c r="W2009" t="str">
        <f t="shared" ca="1" si="691"/>
        <v>Semi-Private</v>
      </c>
      <c r="X2009" t="str">
        <f t="shared" si="692"/>
        <v>NUR008</v>
      </c>
      <c r="Y2009" t="str">
        <f t="shared" ca="1" si="693"/>
        <v>Night</v>
      </c>
      <c r="Z2009" t="str">
        <f t="shared" ca="1" si="694"/>
        <v>MRI Scanner</v>
      </c>
      <c r="AA2009" t="str">
        <f t="shared" ca="1" si="695"/>
        <v>Available</v>
      </c>
      <c r="AB2009" t="str">
        <f t="shared" ca="1" si="696"/>
        <v>Paid</v>
      </c>
      <c r="AC2009" t="str">
        <f t="shared" ca="1" si="697"/>
        <v>Credit Card</v>
      </c>
      <c r="AD2009" t="str">
        <f t="shared" ca="1" si="698"/>
        <v>No</v>
      </c>
      <c r="AE2009" t="str">
        <f t="shared" ca="1" si="699"/>
        <v>No</v>
      </c>
      <c r="AF2009" t="str">
        <f t="shared" ca="1" si="700"/>
        <v>Transferred</v>
      </c>
      <c r="AG2009" t="str">
        <f t="shared" ca="1" si="701"/>
        <v>West Coast</v>
      </c>
      <c r="AH2009" t="str">
        <f t="shared" si="684"/>
        <v>June</v>
      </c>
      <c r="AI2009">
        <f t="shared" si="685"/>
        <v>2020</v>
      </c>
      <c r="AJ2009" t="str">
        <f t="shared" ca="1" si="702"/>
        <v>Occupied</v>
      </c>
      <c r="AK2009">
        <f t="shared" ca="1" si="703"/>
        <v>4</v>
      </c>
    </row>
    <row r="2010" spans="1:37" x14ac:dyDescent="0.3">
      <c r="A2010" t="s">
        <v>6380</v>
      </c>
      <c r="B2010">
        <v>77</v>
      </c>
      <c r="C2010" t="s">
        <v>32</v>
      </c>
      <c r="D2010" t="s">
        <v>98</v>
      </c>
      <c r="E2010" t="s">
        <v>64</v>
      </c>
      <c r="F2010" s="1">
        <v>45403</v>
      </c>
      <c r="G2010" t="s">
        <v>1602</v>
      </c>
      <c r="H2010" t="s">
        <v>3985</v>
      </c>
      <c r="I2010" t="s">
        <v>28</v>
      </c>
      <c r="J2010">
        <v>32858</v>
      </c>
      <c r="K2010">
        <v>364</v>
      </c>
      <c r="L2010" t="s">
        <v>21</v>
      </c>
      <c r="M2010" s="1">
        <v>45408</v>
      </c>
      <c r="N2010" t="s">
        <v>30</v>
      </c>
      <c r="O2010" t="s">
        <v>23</v>
      </c>
      <c r="P2010" t="str">
        <f t="shared" si="686"/>
        <v>P2009</v>
      </c>
      <c r="Q2010" t="str">
        <f t="shared" si="682"/>
        <v>Cardiology</v>
      </c>
      <c r="R2010">
        <f t="shared" si="683"/>
        <v>5</v>
      </c>
      <c r="S2010" t="str">
        <f t="shared" ca="1" si="687"/>
        <v>No</v>
      </c>
      <c r="T2010" t="str">
        <f t="shared" ca="1" si="688"/>
        <v>Moderate</v>
      </c>
      <c r="U2010" t="str">
        <f t="shared" ca="1" si="689"/>
        <v>Semi-Private</v>
      </c>
      <c r="V2010" t="str">
        <f t="shared" si="690"/>
        <v>BED2009</v>
      </c>
      <c r="W2010" t="str">
        <f t="shared" ca="1" si="691"/>
        <v>ICU</v>
      </c>
      <c r="X2010" t="str">
        <f t="shared" si="692"/>
        <v>NUR009</v>
      </c>
      <c r="Y2010" t="str">
        <f t="shared" ca="1" si="693"/>
        <v>Night</v>
      </c>
      <c r="Z2010" t="str">
        <f t="shared" ca="1" si="694"/>
        <v>CT Scanner</v>
      </c>
      <c r="AA2010" t="str">
        <f t="shared" ca="1" si="695"/>
        <v>Maintenance</v>
      </c>
      <c r="AB2010" t="str">
        <f t="shared" ca="1" si="696"/>
        <v>Pending</v>
      </c>
      <c r="AC2010" t="str">
        <f t="shared" ca="1" si="697"/>
        <v>Bank Transfer</v>
      </c>
      <c r="AD2010" t="str">
        <f t="shared" ca="1" si="698"/>
        <v>No</v>
      </c>
      <c r="AE2010" t="str">
        <f t="shared" ca="1" si="699"/>
        <v>No</v>
      </c>
      <c r="AF2010" t="str">
        <f t="shared" ca="1" si="700"/>
        <v>Recovered</v>
      </c>
      <c r="AG2010" t="str">
        <f t="shared" ca="1" si="701"/>
        <v>Northeast</v>
      </c>
      <c r="AH2010" t="str">
        <f t="shared" si="684"/>
        <v>April</v>
      </c>
      <c r="AI2010">
        <f t="shared" si="685"/>
        <v>2024</v>
      </c>
      <c r="AJ2010" t="str">
        <f t="shared" ca="1" si="702"/>
        <v>Occupied</v>
      </c>
      <c r="AK2010">
        <f t="shared" ca="1" si="703"/>
        <v>4</v>
      </c>
    </row>
    <row r="2011" spans="1:37" x14ac:dyDescent="0.3">
      <c r="A2011" t="s">
        <v>6381</v>
      </c>
      <c r="B2011">
        <v>79</v>
      </c>
      <c r="C2011" t="s">
        <v>15</v>
      </c>
      <c r="D2011" t="s">
        <v>24</v>
      </c>
      <c r="E2011" t="s">
        <v>17</v>
      </c>
      <c r="F2011" s="1">
        <v>44857</v>
      </c>
      <c r="G2011" t="s">
        <v>3986</v>
      </c>
      <c r="H2011" t="s">
        <v>3987</v>
      </c>
      <c r="I2011" t="s">
        <v>51</v>
      </c>
      <c r="J2011">
        <v>15702</v>
      </c>
      <c r="K2011">
        <v>137</v>
      </c>
      <c r="L2011" t="s">
        <v>29</v>
      </c>
      <c r="M2011" s="1">
        <v>44861</v>
      </c>
      <c r="N2011" t="s">
        <v>37</v>
      </c>
      <c r="O2011" t="s">
        <v>23</v>
      </c>
      <c r="P2011" t="str">
        <f t="shared" si="686"/>
        <v>P2010</v>
      </c>
      <c r="Q2011" t="str">
        <f t="shared" si="682"/>
        <v>Oncology</v>
      </c>
      <c r="R2011">
        <f t="shared" si="683"/>
        <v>4</v>
      </c>
      <c r="S2011" t="str">
        <f t="shared" ca="1" si="687"/>
        <v>Yes</v>
      </c>
      <c r="T2011" t="str">
        <f t="shared" ca="1" si="688"/>
        <v>Severe</v>
      </c>
      <c r="U2011" t="str">
        <f t="shared" ca="1" si="689"/>
        <v>Emergency</v>
      </c>
      <c r="V2011" t="str">
        <f t="shared" si="690"/>
        <v>BED2010</v>
      </c>
      <c r="W2011" t="str">
        <f t="shared" ca="1" si="691"/>
        <v>ICU</v>
      </c>
      <c r="X2011" t="str">
        <f t="shared" si="692"/>
        <v>NUR010</v>
      </c>
      <c r="Y2011" t="str">
        <f t="shared" ca="1" si="693"/>
        <v>Evening</v>
      </c>
      <c r="Z2011" t="str">
        <f t="shared" ca="1" si="694"/>
        <v>CT Scanner</v>
      </c>
      <c r="AA2011" t="str">
        <f t="shared" ca="1" si="695"/>
        <v>In Use</v>
      </c>
      <c r="AB2011" t="str">
        <f t="shared" ca="1" si="696"/>
        <v>Paid</v>
      </c>
      <c r="AC2011" t="str">
        <f t="shared" ca="1" si="697"/>
        <v>Debit Card</v>
      </c>
      <c r="AD2011" t="str">
        <f t="shared" ca="1" si="698"/>
        <v>No</v>
      </c>
      <c r="AE2011" t="str">
        <f t="shared" ca="1" si="699"/>
        <v>No</v>
      </c>
      <c r="AF2011" t="str">
        <f t="shared" ca="1" si="700"/>
        <v>Recovered</v>
      </c>
      <c r="AG2011" t="str">
        <f t="shared" ca="1" si="701"/>
        <v>Southwest</v>
      </c>
      <c r="AH2011" t="str">
        <f t="shared" si="684"/>
        <v>October</v>
      </c>
      <c r="AI2011">
        <f t="shared" si="685"/>
        <v>2022</v>
      </c>
      <c r="AJ2011" t="str">
        <f t="shared" ca="1" si="702"/>
        <v>Occupied</v>
      </c>
      <c r="AK2011">
        <f t="shared" ca="1" si="703"/>
        <v>1</v>
      </c>
    </row>
    <row r="2012" spans="1:37" x14ac:dyDescent="0.3">
      <c r="A2012" t="s">
        <v>6382</v>
      </c>
      <c r="B2012">
        <v>84</v>
      </c>
      <c r="C2012" t="s">
        <v>32</v>
      </c>
      <c r="D2012" t="s">
        <v>44</v>
      </c>
      <c r="E2012" t="s">
        <v>17</v>
      </c>
      <c r="F2012" s="1">
        <v>45094</v>
      </c>
      <c r="G2012" t="s">
        <v>3988</v>
      </c>
      <c r="H2012" t="s">
        <v>3989</v>
      </c>
      <c r="I2012" t="s">
        <v>20</v>
      </c>
      <c r="J2012">
        <v>41949</v>
      </c>
      <c r="K2012">
        <v>376</v>
      </c>
      <c r="L2012" t="s">
        <v>21</v>
      </c>
      <c r="M2012" s="1">
        <v>45119</v>
      </c>
      <c r="N2012" t="s">
        <v>37</v>
      </c>
      <c r="O2012" t="s">
        <v>31</v>
      </c>
      <c r="P2012" t="str">
        <f t="shared" si="686"/>
        <v>P2011</v>
      </c>
      <c r="Q2012" t="str">
        <f t="shared" si="682"/>
        <v>Oncology</v>
      </c>
      <c r="R2012">
        <f t="shared" si="683"/>
        <v>25</v>
      </c>
      <c r="S2012" t="str">
        <f t="shared" ca="1" si="687"/>
        <v>Yes</v>
      </c>
      <c r="T2012" t="str">
        <f t="shared" ca="1" si="688"/>
        <v>Critical</v>
      </c>
      <c r="U2012" t="str">
        <f t="shared" ca="1" si="689"/>
        <v>Emergency</v>
      </c>
      <c r="V2012" t="str">
        <f t="shared" si="690"/>
        <v>BED2011</v>
      </c>
      <c r="W2012" t="str">
        <f t="shared" ca="1" si="691"/>
        <v>General</v>
      </c>
      <c r="X2012" t="str">
        <f t="shared" si="692"/>
        <v>NUR011</v>
      </c>
      <c r="Y2012" t="str">
        <f t="shared" ca="1" si="693"/>
        <v>Evening</v>
      </c>
      <c r="Z2012" t="str">
        <f t="shared" ca="1" si="694"/>
        <v>Ventilator</v>
      </c>
      <c r="AA2012" t="str">
        <f t="shared" ca="1" si="695"/>
        <v>Available</v>
      </c>
      <c r="AB2012" t="str">
        <f t="shared" ca="1" si="696"/>
        <v>Partially Paid</v>
      </c>
      <c r="AC2012" t="str">
        <f t="shared" ca="1" si="697"/>
        <v>Credit Card</v>
      </c>
      <c r="AD2012" t="str">
        <f t="shared" ca="1" si="698"/>
        <v>No</v>
      </c>
      <c r="AE2012" t="str">
        <f t="shared" ca="1" si="699"/>
        <v>No</v>
      </c>
      <c r="AF2012" t="str">
        <f t="shared" ca="1" si="700"/>
        <v>Under Observation</v>
      </c>
      <c r="AG2012" t="str">
        <f t="shared" ca="1" si="701"/>
        <v>Midwest</v>
      </c>
      <c r="AH2012" t="str">
        <f t="shared" si="684"/>
        <v>June</v>
      </c>
      <c r="AI2012">
        <f t="shared" si="685"/>
        <v>2023</v>
      </c>
      <c r="AJ2012" t="str">
        <f t="shared" ca="1" si="702"/>
        <v>Occupied</v>
      </c>
      <c r="AK2012">
        <f t="shared" ca="1" si="703"/>
        <v>1</v>
      </c>
    </row>
    <row r="2013" spans="1:37" x14ac:dyDescent="0.3">
      <c r="A2013" t="s">
        <v>6383</v>
      </c>
      <c r="B2013">
        <v>75</v>
      </c>
      <c r="C2013" t="s">
        <v>15</v>
      </c>
      <c r="D2013" t="s">
        <v>24</v>
      </c>
      <c r="E2013" t="s">
        <v>64</v>
      </c>
      <c r="F2013" s="1">
        <v>43779</v>
      </c>
      <c r="G2013" t="s">
        <v>3990</v>
      </c>
      <c r="H2013" t="s">
        <v>3991</v>
      </c>
      <c r="I2013" t="s">
        <v>57</v>
      </c>
      <c r="J2013">
        <v>35792</v>
      </c>
      <c r="K2013">
        <v>406</v>
      </c>
      <c r="L2013" t="s">
        <v>42</v>
      </c>
      <c r="M2013" s="1">
        <v>43808</v>
      </c>
      <c r="N2013" t="s">
        <v>30</v>
      </c>
      <c r="O2013" t="s">
        <v>23</v>
      </c>
      <c r="P2013" t="str">
        <f t="shared" si="686"/>
        <v>P2012</v>
      </c>
      <c r="Q2013" t="str">
        <f t="shared" si="682"/>
        <v>Cardiology</v>
      </c>
      <c r="R2013">
        <f t="shared" si="683"/>
        <v>29</v>
      </c>
      <c r="S2013" t="str">
        <f t="shared" ca="1" si="687"/>
        <v>Yes</v>
      </c>
      <c r="T2013" t="str">
        <f t="shared" ca="1" si="688"/>
        <v>Severe</v>
      </c>
      <c r="U2013" t="str">
        <f t="shared" ca="1" si="689"/>
        <v>Emergency</v>
      </c>
      <c r="V2013" t="str">
        <f t="shared" si="690"/>
        <v>BED2012</v>
      </c>
      <c r="W2013" t="str">
        <f t="shared" ca="1" si="691"/>
        <v>Semi-Private</v>
      </c>
      <c r="X2013" t="str">
        <f t="shared" si="692"/>
        <v>NUR012</v>
      </c>
      <c r="Y2013" t="str">
        <f t="shared" ca="1" si="693"/>
        <v>Evening</v>
      </c>
      <c r="Z2013" t="str">
        <f t="shared" ca="1" si="694"/>
        <v>MRI Scanner</v>
      </c>
      <c r="AA2013" t="str">
        <f t="shared" ca="1" si="695"/>
        <v>Available</v>
      </c>
      <c r="AB2013" t="str">
        <f t="shared" ca="1" si="696"/>
        <v>Pending</v>
      </c>
      <c r="AC2013" t="str">
        <f t="shared" ca="1" si="697"/>
        <v>Bank Transfer</v>
      </c>
      <c r="AD2013" t="str">
        <f t="shared" ca="1" si="698"/>
        <v>No</v>
      </c>
      <c r="AE2013" t="str">
        <f t="shared" ca="1" si="699"/>
        <v>No</v>
      </c>
      <c r="AF2013" t="str">
        <f t="shared" ca="1" si="700"/>
        <v>Recovered</v>
      </c>
      <c r="AG2013" t="str">
        <f t="shared" ca="1" si="701"/>
        <v>Midwest</v>
      </c>
      <c r="AH2013" t="str">
        <f t="shared" si="684"/>
        <v>November</v>
      </c>
      <c r="AI2013">
        <f t="shared" si="685"/>
        <v>2019</v>
      </c>
      <c r="AJ2013" t="str">
        <f t="shared" ca="1" si="702"/>
        <v>Vacant</v>
      </c>
      <c r="AK2013">
        <f t="shared" ca="1" si="703"/>
        <v>1</v>
      </c>
    </row>
    <row r="2014" spans="1:37" x14ac:dyDescent="0.3">
      <c r="A2014" t="s">
        <v>6384</v>
      </c>
      <c r="B2014">
        <v>74</v>
      </c>
      <c r="C2014" t="s">
        <v>15</v>
      </c>
      <c r="D2014" t="s">
        <v>24</v>
      </c>
      <c r="E2014" t="s">
        <v>48</v>
      </c>
      <c r="F2014" s="1">
        <v>44014</v>
      </c>
      <c r="G2014" t="s">
        <v>3992</v>
      </c>
      <c r="H2014" t="s">
        <v>3993</v>
      </c>
      <c r="I2014" t="s">
        <v>36</v>
      </c>
      <c r="J2014">
        <v>47540</v>
      </c>
      <c r="K2014">
        <v>230</v>
      </c>
      <c r="L2014" t="s">
        <v>21</v>
      </c>
      <c r="M2014" s="1">
        <v>44017</v>
      </c>
      <c r="N2014" t="s">
        <v>22</v>
      </c>
      <c r="O2014" t="s">
        <v>31</v>
      </c>
      <c r="P2014" t="str">
        <f t="shared" si="686"/>
        <v>P2013</v>
      </c>
      <c r="Q2014" t="str">
        <f t="shared" si="682"/>
        <v>Pulmonology</v>
      </c>
      <c r="R2014">
        <f t="shared" si="683"/>
        <v>3</v>
      </c>
      <c r="S2014" t="str">
        <f t="shared" ca="1" si="687"/>
        <v>Yes</v>
      </c>
      <c r="T2014" t="str">
        <f t="shared" ca="1" si="688"/>
        <v>Mild</v>
      </c>
      <c r="U2014" t="str">
        <f t="shared" ca="1" si="689"/>
        <v>ICU</v>
      </c>
      <c r="V2014" t="str">
        <f t="shared" si="690"/>
        <v>BED2013</v>
      </c>
      <c r="W2014" t="str">
        <f t="shared" ca="1" si="691"/>
        <v>ICU</v>
      </c>
      <c r="X2014" t="str">
        <f t="shared" si="692"/>
        <v>NUR013</v>
      </c>
      <c r="Y2014" t="str">
        <f t="shared" ca="1" si="693"/>
        <v>Evening</v>
      </c>
      <c r="Z2014" t="str">
        <f t="shared" ca="1" si="694"/>
        <v>Ultrasound</v>
      </c>
      <c r="AA2014" t="str">
        <f t="shared" ca="1" si="695"/>
        <v>Available</v>
      </c>
      <c r="AB2014" t="str">
        <f t="shared" ca="1" si="696"/>
        <v>Partially Paid</v>
      </c>
      <c r="AC2014" t="str">
        <f t="shared" ca="1" si="697"/>
        <v>Debit Card</v>
      </c>
      <c r="AD2014" t="str">
        <f t="shared" ca="1" si="698"/>
        <v>No</v>
      </c>
      <c r="AE2014" t="str">
        <f t="shared" ca="1" si="699"/>
        <v>No</v>
      </c>
      <c r="AF2014" t="str">
        <f t="shared" ca="1" si="700"/>
        <v>Transferred</v>
      </c>
      <c r="AG2014" t="str">
        <f t="shared" ca="1" si="701"/>
        <v>West Coast</v>
      </c>
      <c r="AH2014" t="str">
        <f t="shared" si="684"/>
        <v>July</v>
      </c>
      <c r="AI2014">
        <f t="shared" si="685"/>
        <v>2020</v>
      </c>
      <c r="AJ2014" t="str">
        <f t="shared" ca="1" si="702"/>
        <v>Occupied</v>
      </c>
      <c r="AK2014">
        <f t="shared" ca="1" si="703"/>
        <v>4</v>
      </c>
    </row>
    <row r="2015" spans="1:37" x14ac:dyDescent="0.3">
      <c r="A2015" t="s">
        <v>6385</v>
      </c>
      <c r="B2015">
        <v>68</v>
      </c>
      <c r="C2015" t="s">
        <v>15</v>
      </c>
      <c r="D2015" t="s">
        <v>44</v>
      </c>
      <c r="E2015" t="s">
        <v>25</v>
      </c>
      <c r="F2015" s="1">
        <v>44044</v>
      </c>
      <c r="G2015" t="s">
        <v>3994</v>
      </c>
      <c r="H2015" t="s">
        <v>3995</v>
      </c>
      <c r="I2015" t="s">
        <v>57</v>
      </c>
      <c r="J2015">
        <v>6665</v>
      </c>
      <c r="K2015">
        <v>202</v>
      </c>
      <c r="L2015" t="s">
        <v>21</v>
      </c>
      <c r="M2015" s="1">
        <v>44052</v>
      </c>
      <c r="N2015" t="s">
        <v>37</v>
      </c>
      <c r="O2015" t="s">
        <v>31</v>
      </c>
      <c r="P2015" t="str">
        <f t="shared" si="686"/>
        <v>P2014</v>
      </c>
      <c r="Q2015" t="str">
        <f t="shared" si="682"/>
        <v>Nutrition</v>
      </c>
      <c r="R2015">
        <f t="shared" si="683"/>
        <v>8</v>
      </c>
      <c r="S2015" t="str">
        <f t="shared" ca="1" si="687"/>
        <v>No</v>
      </c>
      <c r="T2015" t="str">
        <f t="shared" ca="1" si="688"/>
        <v>Critical</v>
      </c>
      <c r="U2015" t="str">
        <f t="shared" ca="1" si="689"/>
        <v>Private Ward</v>
      </c>
      <c r="V2015" t="str">
        <f t="shared" si="690"/>
        <v>BED2014</v>
      </c>
      <c r="W2015" t="str">
        <f t="shared" ca="1" si="691"/>
        <v>ICU</v>
      </c>
      <c r="X2015" t="str">
        <f t="shared" si="692"/>
        <v>NUR014</v>
      </c>
      <c r="Y2015" t="str">
        <f t="shared" ca="1" si="693"/>
        <v>Evening</v>
      </c>
      <c r="Z2015" t="str">
        <f t="shared" ca="1" si="694"/>
        <v>Ultrasound</v>
      </c>
      <c r="AA2015" t="str">
        <f t="shared" ca="1" si="695"/>
        <v>In Use</v>
      </c>
      <c r="AB2015" t="str">
        <f t="shared" ca="1" si="696"/>
        <v>Partially Paid</v>
      </c>
      <c r="AC2015" t="str">
        <f t="shared" ca="1" si="697"/>
        <v>Credit Card</v>
      </c>
      <c r="AD2015" t="str">
        <f t="shared" ca="1" si="698"/>
        <v>No</v>
      </c>
      <c r="AE2015" t="str">
        <f t="shared" ca="1" si="699"/>
        <v>No</v>
      </c>
      <c r="AF2015" t="str">
        <f t="shared" ca="1" si="700"/>
        <v>Transferred</v>
      </c>
      <c r="AG2015" t="str">
        <f t="shared" ca="1" si="701"/>
        <v>Midwest</v>
      </c>
      <c r="AH2015" t="str">
        <f t="shared" si="684"/>
        <v>August</v>
      </c>
      <c r="AI2015">
        <f t="shared" si="685"/>
        <v>2020</v>
      </c>
      <c r="AJ2015" t="str">
        <f t="shared" ca="1" si="702"/>
        <v>Vacant</v>
      </c>
      <c r="AK2015">
        <f t="shared" ca="1" si="703"/>
        <v>2</v>
      </c>
    </row>
    <row r="2016" spans="1:37" x14ac:dyDescent="0.3">
      <c r="A2016" t="s">
        <v>5200</v>
      </c>
      <c r="B2016">
        <v>19</v>
      </c>
      <c r="C2016" t="s">
        <v>32</v>
      </c>
      <c r="D2016" t="s">
        <v>33</v>
      </c>
      <c r="E2016" t="s">
        <v>48</v>
      </c>
      <c r="F2016" s="1">
        <v>43850</v>
      </c>
      <c r="G2016" t="s">
        <v>3996</v>
      </c>
      <c r="H2016" t="s">
        <v>3997</v>
      </c>
      <c r="I2016" t="s">
        <v>28</v>
      </c>
      <c r="J2016">
        <v>37765</v>
      </c>
      <c r="K2016">
        <v>352</v>
      </c>
      <c r="L2016" t="s">
        <v>29</v>
      </c>
      <c r="M2016" s="1">
        <v>43860</v>
      </c>
      <c r="N2016" t="s">
        <v>30</v>
      </c>
      <c r="O2016" t="s">
        <v>31</v>
      </c>
      <c r="P2016" t="str">
        <f t="shared" si="686"/>
        <v>P2015</v>
      </c>
      <c r="Q2016" t="str">
        <f t="shared" si="682"/>
        <v>Pulmonology</v>
      </c>
      <c r="R2016">
        <f t="shared" si="683"/>
        <v>10</v>
      </c>
      <c r="S2016" t="str">
        <f t="shared" ca="1" si="687"/>
        <v>No</v>
      </c>
      <c r="T2016" t="str">
        <f t="shared" ca="1" si="688"/>
        <v>Severe</v>
      </c>
      <c r="U2016" t="str">
        <f t="shared" ca="1" si="689"/>
        <v>General Ward</v>
      </c>
      <c r="V2016" t="str">
        <f t="shared" si="690"/>
        <v>BED2015</v>
      </c>
      <c r="W2016" t="str">
        <f t="shared" ca="1" si="691"/>
        <v>General</v>
      </c>
      <c r="X2016" t="str">
        <f t="shared" si="692"/>
        <v>NUR015</v>
      </c>
      <c r="Y2016" t="str">
        <f t="shared" ca="1" si="693"/>
        <v>Night</v>
      </c>
      <c r="Z2016" t="str">
        <f t="shared" ca="1" si="694"/>
        <v>Ventilator</v>
      </c>
      <c r="AA2016" t="str">
        <f t="shared" ca="1" si="695"/>
        <v>In Use</v>
      </c>
      <c r="AB2016" t="str">
        <f t="shared" ca="1" si="696"/>
        <v>Partially Paid</v>
      </c>
      <c r="AC2016" t="str">
        <f t="shared" ca="1" si="697"/>
        <v>Insurance</v>
      </c>
      <c r="AD2016" t="str">
        <f t="shared" ca="1" si="698"/>
        <v>Yes</v>
      </c>
      <c r="AE2016" t="str">
        <f t="shared" ca="1" si="699"/>
        <v>No</v>
      </c>
      <c r="AF2016" t="str">
        <f t="shared" ca="1" si="700"/>
        <v>Under Observation</v>
      </c>
      <c r="AG2016" t="str">
        <f t="shared" ca="1" si="701"/>
        <v>Southeast</v>
      </c>
      <c r="AH2016" t="str">
        <f t="shared" si="684"/>
        <v>January</v>
      </c>
      <c r="AI2016">
        <f t="shared" si="685"/>
        <v>2020</v>
      </c>
      <c r="AJ2016" t="str">
        <f t="shared" ca="1" si="702"/>
        <v>Vacant</v>
      </c>
      <c r="AK2016">
        <f t="shared" ca="1" si="703"/>
        <v>4</v>
      </c>
    </row>
    <row r="2017" spans="1:37" x14ac:dyDescent="0.3">
      <c r="A2017" t="s">
        <v>6386</v>
      </c>
      <c r="B2017">
        <v>79</v>
      </c>
      <c r="C2017" t="s">
        <v>32</v>
      </c>
      <c r="D2017" t="s">
        <v>38</v>
      </c>
      <c r="E2017" t="s">
        <v>76</v>
      </c>
      <c r="F2017" s="1">
        <v>44518</v>
      </c>
      <c r="G2017" t="s">
        <v>3998</v>
      </c>
      <c r="H2017" t="s">
        <v>3999</v>
      </c>
      <c r="I2017" t="s">
        <v>36</v>
      </c>
      <c r="J2017">
        <v>25975</v>
      </c>
      <c r="K2017">
        <v>425</v>
      </c>
      <c r="L2017" t="s">
        <v>21</v>
      </c>
      <c r="M2017" s="1">
        <v>44545</v>
      </c>
      <c r="N2017" t="s">
        <v>22</v>
      </c>
      <c r="O2017" t="s">
        <v>23</v>
      </c>
      <c r="P2017" t="str">
        <f t="shared" si="686"/>
        <v>P2016</v>
      </c>
      <c r="Q2017" t="str">
        <f t="shared" si="682"/>
        <v>Orthopedics</v>
      </c>
      <c r="R2017">
        <f t="shared" si="683"/>
        <v>27</v>
      </c>
      <c r="S2017" t="str">
        <f t="shared" ca="1" si="687"/>
        <v>No</v>
      </c>
      <c r="T2017" t="str">
        <f t="shared" ca="1" si="688"/>
        <v>Mild</v>
      </c>
      <c r="U2017" t="str">
        <f t="shared" ca="1" si="689"/>
        <v>Emergency</v>
      </c>
      <c r="V2017" t="str">
        <f t="shared" si="690"/>
        <v>BED2016</v>
      </c>
      <c r="W2017" t="str">
        <f t="shared" ca="1" si="691"/>
        <v>ICU</v>
      </c>
      <c r="X2017" t="str">
        <f t="shared" si="692"/>
        <v>NUR016</v>
      </c>
      <c r="Y2017" t="str">
        <f t="shared" ca="1" si="693"/>
        <v>Night</v>
      </c>
      <c r="Z2017" t="str">
        <f t="shared" ca="1" si="694"/>
        <v>Ventilator</v>
      </c>
      <c r="AA2017" t="str">
        <f t="shared" ca="1" si="695"/>
        <v>Available</v>
      </c>
      <c r="AB2017" t="str">
        <f t="shared" ca="1" si="696"/>
        <v>Pending</v>
      </c>
      <c r="AC2017" t="str">
        <f t="shared" ca="1" si="697"/>
        <v>Cash</v>
      </c>
      <c r="AD2017" t="str">
        <f t="shared" ca="1" si="698"/>
        <v>Yes</v>
      </c>
      <c r="AE2017" t="str">
        <f t="shared" ca="1" si="699"/>
        <v>Yes</v>
      </c>
      <c r="AF2017" t="str">
        <f t="shared" ca="1" si="700"/>
        <v>Under Observation</v>
      </c>
      <c r="AG2017" t="str">
        <f t="shared" ca="1" si="701"/>
        <v>West Coast</v>
      </c>
      <c r="AH2017" t="str">
        <f t="shared" si="684"/>
        <v>November</v>
      </c>
      <c r="AI2017">
        <f t="shared" si="685"/>
        <v>2021</v>
      </c>
      <c r="AJ2017" t="str">
        <f t="shared" ca="1" si="702"/>
        <v>Vacant</v>
      </c>
      <c r="AK2017">
        <f t="shared" ca="1" si="703"/>
        <v>2</v>
      </c>
    </row>
    <row r="2018" spans="1:37" x14ac:dyDescent="0.3">
      <c r="A2018" t="s">
        <v>6387</v>
      </c>
      <c r="B2018">
        <v>38</v>
      </c>
      <c r="C2018" t="s">
        <v>15</v>
      </c>
      <c r="D2018" t="s">
        <v>83</v>
      </c>
      <c r="E2018" t="s">
        <v>48</v>
      </c>
      <c r="F2018" s="1">
        <v>44672</v>
      </c>
      <c r="G2018" t="s">
        <v>4000</v>
      </c>
      <c r="H2018" t="s">
        <v>4001</v>
      </c>
      <c r="I2018" t="s">
        <v>57</v>
      </c>
      <c r="J2018">
        <v>43631</v>
      </c>
      <c r="K2018">
        <v>207</v>
      </c>
      <c r="L2018" t="s">
        <v>29</v>
      </c>
      <c r="M2018" s="1">
        <v>44684</v>
      </c>
      <c r="N2018" t="s">
        <v>22</v>
      </c>
      <c r="O2018" t="s">
        <v>31</v>
      </c>
      <c r="P2018" t="str">
        <f t="shared" si="686"/>
        <v>P2017</v>
      </c>
      <c r="Q2018" t="str">
        <f t="shared" si="682"/>
        <v>Pulmonology</v>
      </c>
      <c r="R2018">
        <f t="shared" si="683"/>
        <v>12</v>
      </c>
      <c r="S2018" t="str">
        <f t="shared" ca="1" si="687"/>
        <v>No</v>
      </c>
      <c r="T2018" t="str">
        <f t="shared" ca="1" si="688"/>
        <v>Critical</v>
      </c>
      <c r="U2018" t="str">
        <f t="shared" ca="1" si="689"/>
        <v>ICU</v>
      </c>
      <c r="V2018" t="str">
        <f t="shared" si="690"/>
        <v>BED2017</v>
      </c>
      <c r="W2018" t="str">
        <f t="shared" ca="1" si="691"/>
        <v>ICU</v>
      </c>
      <c r="X2018" t="str">
        <f t="shared" si="692"/>
        <v>NUR017</v>
      </c>
      <c r="Y2018" t="str">
        <f t="shared" ca="1" si="693"/>
        <v>Night</v>
      </c>
      <c r="Z2018" t="str">
        <f t="shared" ca="1" si="694"/>
        <v>CT Scanner</v>
      </c>
      <c r="AA2018" t="str">
        <f t="shared" ca="1" si="695"/>
        <v>In Use</v>
      </c>
      <c r="AB2018" t="str">
        <f t="shared" ca="1" si="696"/>
        <v>Paid</v>
      </c>
      <c r="AC2018" t="str">
        <f t="shared" ca="1" si="697"/>
        <v>Bank Transfer</v>
      </c>
      <c r="AD2018" t="str">
        <f t="shared" ca="1" si="698"/>
        <v>No</v>
      </c>
      <c r="AE2018" t="str">
        <f t="shared" ca="1" si="699"/>
        <v>No</v>
      </c>
      <c r="AF2018" t="str">
        <f t="shared" ca="1" si="700"/>
        <v>Recovered</v>
      </c>
      <c r="AG2018" t="str">
        <f t="shared" ca="1" si="701"/>
        <v>Southwest</v>
      </c>
      <c r="AH2018" t="str">
        <f t="shared" si="684"/>
        <v>April</v>
      </c>
      <c r="AI2018">
        <f t="shared" si="685"/>
        <v>2022</v>
      </c>
      <c r="AJ2018" t="str">
        <f t="shared" ca="1" si="702"/>
        <v>Vacant</v>
      </c>
      <c r="AK2018">
        <f t="shared" ca="1" si="703"/>
        <v>2</v>
      </c>
    </row>
    <row r="2019" spans="1:37" x14ac:dyDescent="0.3">
      <c r="A2019" t="s">
        <v>6388</v>
      </c>
      <c r="B2019">
        <v>25</v>
      </c>
      <c r="C2019" t="s">
        <v>15</v>
      </c>
      <c r="D2019" t="s">
        <v>52</v>
      </c>
      <c r="E2019" t="s">
        <v>48</v>
      </c>
      <c r="F2019" s="1">
        <v>44784</v>
      </c>
      <c r="G2019" t="s">
        <v>4002</v>
      </c>
      <c r="H2019" t="s">
        <v>4003</v>
      </c>
      <c r="I2019" t="s">
        <v>36</v>
      </c>
      <c r="J2019">
        <v>6948</v>
      </c>
      <c r="K2019">
        <v>156</v>
      </c>
      <c r="L2019" t="s">
        <v>42</v>
      </c>
      <c r="M2019" s="1">
        <v>44785</v>
      </c>
      <c r="N2019" t="s">
        <v>30</v>
      </c>
      <c r="O2019" t="s">
        <v>23</v>
      </c>
      <c r="P2019" t="str">
        <f t="shared" si="686"/>
        <v>P2018</v>
      </c>
      <c r="Q2019" t="str">
        <f t="shared" si="682"/>
        <v>Pulmonology</v>
      </c>
      <c r="R2019">
        <f t="shared" si="683"/>
        <v>1</v>
      </c>
      <c r="S2019" t="str">
        <f t="shared" ca="1" si="687"/>
        <v>No</v>
      </c>
      <c r="T2019" t="str">
        <f t="shared" ca="1" si="688"/>
        <v>Severe</v>
      </c>
      <c r="U2019" t="str">
        <f t="shared" ca="1" si="689"/>
        <v>ICU</v>
      </c>
      <c r="V2019" t="str">
        <f t="shared" si="690"/>
        <v>BED2018</v>
      </c>
      <c r="W2019" t="str">
        <f t="shared" ca="1" si="691"/>
        <v>Semi-Private</v>
      </c>
      <c r="X2019" t="str">
        <f t="shared" si="692"/>
        <v>NUR018</v>
      </c>
      <c r="Y2019" t="str">
        <f t="shared" ca="1" si="693"/>
        <v>Morning</v>
      </c>
      <c r="Z2019" t="str">
        <f t="shared" ca="1" si="694"/>
        <v>Ventilator</v>
      </c>
      <c r="AA2019" t="str">
        <f t="shared" ca="1" si="695"/>
        <v>Maintenance</v>
      </c>
      <c r="AB2019" t="str">
        <f t="shared" ca="1" si="696"/>
        <v>Partially Paid</v>
      </c>
      <c r="AC2019" t="str">
        <f t="shared" ca="1" si="697"/>
        <v>Insurance</v>
      </c>
      <c r="AD2019" t="str">
        <f t="shared" ca="1" si="698"/>
        <v>Yes</v>
      </c>
      <c r="AE2019" t="str">
        <f t="shared" ca="1" si="699"/>
        <v>No</v>
      </c>
      <c r="AF2019" t="str">
        <f t="shared" ca="1" si="700"/>
        <v>Under Observation</v>
      </c>
      <c r="AG2019" t="str">
        <f t="shared" ca="1" si="701"/>
        <v>Northeast</v>
      </c>
      <c r="AH2019" t="str">
        <f t="shared" si="684"/>
        <v>August</v>
      </c>
      <c r="AI2019">
        <f t="shared" si="685"/>
        <v>2022</v>
      </c>
      <c r="AJ2019" t="str">
        <f t="shared" ca="1" si="702"/>
        <v>Vacant</v>
      </c>
      <c r="AK2019">
        <f t="shared" ca="1" si="703"/>
        <v>2</v>
      </c>
    </row>
    <row r="2020" spans="1:37" x14ac:dyDescent="0.3">
      <c r="A2020" t="s">
        <v>6389</v>
      </c>
      <c r="B2020">
        <v>66</v>
      </c>
      <c r="C2020" t="s">
        <v>15</v>
      </c>
      <c r="D2020" t="s">
        <v>83</v>
      </c>
      <c r="E2020" t="s">
        <v>17</v>
      </c>
      <c r="F2020" s="1">
        <v>44053</v>
      </c>
      <c r="G2020" t="s">
        <v>4004</v>
      </c>
      <c r="H2020" t="s">
        <v>4005</v>
      </c>
      <c r="I2020" t="s">
        <v>20</v>
      </c>
      <c r="J2020">
        <v>1773</v>
      </c>
      <c r="K2020">
        <v>480</v>
      </c>
      <c r="L2020" t="s">
        <v>42</v>
      </c>
      <c r="M2020" s="1">
        <v>44069</v>
      </c>
      <c r="N2020" t="s">
        <v>22</v>
      </c>
      <c r="O2020" t="s">
        <v>23</v>
      </c>
      <c r="P2020" t="str">
        <f t="shared" si="686"/>
        <v>P2019</v>
      </c>
      <c r="Q2020" t="str">
        <f t="shared" si="682"/>
        <v>Oncology</v>
      </c>
      <c r="R2020">
        <f t="shared" si="683"/>
        <v>16</v>
      </c>
      <c r="S2020" t="str">
        <f t="shared" ca="1" si="687"/>
        <v>No</v>
      </c>
      <c r="T2020" t="str">
        <f t="shared" ca="1" si="688"/>
        <v>Moderate</v>
      </c>
      <c r="U2020" t="str">
        <f t="shared" ca="1" si="689"/>
        <v>Emergency</v>
      </c>
      <c r="V2020" t="str">
        <f t="shared" si="690"/>
        <v>BED2019</v>
      </c>
      <c r="W2020" t="str">
        <f t="shared" ca="1" si="691"/>
        <v>General</v>
      </c>
      <c r="X2020" t="str">
        <f t="shared" si="692"/>
        <v>NUR019</v>
      </c>
      <c r="Y2020" t="str">
        <f t="shared" ca="1" si="693"/>
        <v>Night</v>
      </c>
      <c r="Z2020" t="str">
        <f t="shared" ca="1" si="694"/>
        <v>CT Scanner</v>
      </c>
      <c r="AA2020" t="str">
        <f t="shared" ca="1" si="695"/>
        <v>Maintenance</v>
      </c>
      <c r="AB2020" t="str">
        <f t="shared" ca="1" si="696"/>
        <v>Pending</v>
      </c>
      <c r="AC2020" t="str">
        <f t="shared" ca="1" si="697"/>
        <v>Insurance</v>
      </c>
      <c r="AD2020" t="str">
        <f t="shared" ca="1" si="698"/>
        <v>No</v>
      </c>
      <c r="AE2020" t="str">
        <f t="shared" ca="1" si="699"/>
        <v>No</v>
      </c>
      <c r="AF2020" t="str">
        <f t="shared" ca="1" si="700"/>
        <v>Transferred</v>
      </c>
      <c r="AG2020" t="str">
        <f t="shared" ca="1" si="701"/>
        <v>Southwest</v>
      </c>
      <c r="AH2020" t="str">
        <f t="shared" si="684"/>
        <v>August</v>
      </c>
      <c r="AI2020">
        <f t="shared" si="685"/>
        <v>2020</v>
      </c>
      <c r="AJ2020" t="str">
        <f t="shared" ca="1" si="702"/>
        <v>Vacant</v>
      </c>
      <c r="AK2020">
        <f t="shared" ca="1" si="703"/>
        <v>1</v>
      </c>
    </row>
    <row r="2021" spans="1:37" x14ac:dyDescent="0.3">
      <c r="A2021" t="s">
        <v>6390</v>
      </c>
      <c r="B2021">
        <v>25</v>
      </c>
      <c r="C2021" t="s">
        <v>32</v>
      </c>
      <c r="D2021" t="s">
        <v>83</v>
      </c>
      <c r="E2021" t="s">
        <v>64</v>
      </c>
      <c r="F2021" s="1">
        <v>44603</v>
      </c>
      <c r="G2021" t="s">
        <v>4006</v>
      </c>
      <c r="H2021" t="s">
        <v>4007</v>
      </c>
      <c r="I2021" t="s">
        <v>57</v>
      </c>
      <c r="J2021">
        <v>4525</v>
      </c>
      <c r="K2021">
        <v>493</v>
      </c>
      <c r="L2021" t="s">
        <v>21</v>
      </c>
      <c r="M2021" s="1">
        <v>44620</v>
      </c>
      <c r="N2021" t="s">
        <v>30</v>
      </c>
      <c r="O2021" t="s">
        <v>31</v>
      </c>
      <c r="P2021" t="str">
        <f t="shared" si="686"/>
        <v>P2020</v>
      </c>
      <c r="Q2021" t="str">
        <f t="shared" si="682"/>
        <v>Cardiology</v>
      </c>
      <c r="R2021">
        <f t="shared" si="683"/>
        <v>17</v>
      </c>
      <c r="S2021" t="str">
        <f t="shared" ca="1" si="687"/>
        <v>No</v>
      </c>
      <c r="T2021" t="str">
        <f t="shared" ca="1" si="688"/>
        <v>Moderate</v>
      </c>
      <c r="U2021" t="str">
        <f t="shared" ca="1" si="689"/>
        <v>Emergency</v>
      </c>
      <c r="V2021" t="str">
        <f t="shared" si="690"/>
        <v>BED2020</v>
      </c>
      <c r="W2021" t="str">
        <f t="shared" ca="1" si="691"/>
        <v>Private</v>
      </c>
      <c r="X2021" t="str">
        <f t="shared" si="692"/>
        <v>NUR020</v>
      </c>
      <c r="Y2021" t="str">
        <f t="shared" ca="1" si="693"/>
        <v>Night</v>
      </c>
      <c r="Z2021" t="str">
        <f t="shared" ca="1" si="694"/>
        <v>CT Scanner</v>
      </c>
      <c r="AA2021" t="str">
        <f t="shared" ca="1" si="695"/>
        <v>Maintenance</v>
      </c>
      <c r="AB2021" t="str">
        <f t="shared" ca="1" si="696"/>
        <v>Pending</v>
      </c>
      <c r="AC2021" t="str">
        <f t="shared" ca="1" si="697"/>
        <v>Cash</v>
      </c>
      <c r="AD2021" t="str">
        <f t="shared" ca="1" si="698"/>
        <v>No</v>
      </c>
      <c r="AE2021" t="str">
        <f t="shared" ca="1" si="699"/>
        <v>No</v>
      </c>
      <c r="AF2021" t="str">
        <f t="shared" ca="1" si="700"/>
        <v>Under Observation</v>
      </c>
      <c r="AG2021" t="str">
        <f t="shared" ca="1" si="701"/>
        <v>Northeast</v>
      </c>
      <c r="AH2021" t="str">
        <f t="shared" si="684"/>
        <v>February</v>
      </c>
      <c r="AI2021">
        <f t="shared" si="685"/>
        <v>2022</v>
      </c>
      <c r="AJ2021" t="str">
        <f t="shared" ca="1" si="702"/>
        <v>Occupied</v>
      </c>
      <c r="AK2021">
        <f t="shared" ca="1" si="703"/>
        <v>4</v>
      </c>
    </row>
    <row r="2022" spans="1:37" x14ac:dyDescent="0.3">
      <c r="A2022" t="s">
        <v>6391</v>
      </c>
      <c r="B2022">
        <v>20</v>
      </c>
      <c r="C2022" t="s">
        <v>32</v>
      </c>
      <c r="D2022" t="s">
        <v>33</v>
      </c>
      <c r="E2022" t="s">
        <v>17</v>
      </c>
      <c r="F2022" s="1">
        <v>43709</v>
      </c>
      <c r="G2022" t="s">
        <v>4008</v>
      </c>
      <c r="H2022" t="s">
        <v>4009</v>
      </c>
      <c r="I2022" t="s">
        <v>57</v>
      </c>
      <c r="J2022">
        <v>2251</v>
      </c>
      <c r="K2022">
        <v>497</v>
      </c>
      <c r="L2022" t="s">
        <v>21</v>
      </c>
      <c r="M2022" s="1">
        <v>43714</v>
      </c>
      <c r="N2022" t="s">
        <v>30</v>
      </c>
      <c r="O2022" t="s">
        <v>31</v>
      </c>
      <c r="P2022" t="str">
        <f t="shared" si="686"/>
        <v>P2021</v>
      </c>
      <c r="Q2022" t="str">
        <f t="shared" si="682"/>
        <v>Oncology</v>
      </c>
      <c r="R2022">
        <f t="shared" si="683"/>
        <v>5</v>
      </c>
      <c r="S2022" t="str">
        <f t="shared" ca="1" si="687"/>
        <v>No</v>
      </c>
      <c r="T2022" t="str">
        <f t="shared" ca="1" si="688"/>
        <v>Critical</v>
      </c>
      <c r="U2022" t="str">
        <f t="shared" ca="1" si="689"/>
        <v>Private Ward</v>
      </c>
      <c r="V2022" t="str">
        <f t="shared" si="690"/>
        <v>BED2021</v>
      </c>
      <c r="W2022" t="str">
        <f t="shared" ca="1" si="691"/>
        <v>General</v>
      </c>
      <c r="X2022" t="str">
        <f t="shared" si="692"/>
        <v>NUR021</v>
      </c>
      <c r="Y2022" t="str">
        <f t="shared" ca="1" si="693"/>
        <v>Evening</v>
      </c>
      <c r="Z2022" t="str">
        <f t="shared" ca="1" si="694"/>
        <v>ECG Machine</v>
      </c>
      <c r="AA2022" t="str">
        <f t="shared" ca="1" si="695"/>
        <v>In Use</v>
      </c>
      <c r="AB2022" t="str">
        <f t="shared" ca="1" si="696"/>
        <v>Partially Paid</v>
      </c>
      <c r="AC2022" t="str">
        <f t="shared" ca="1" si="697"/>
        <v>Cash</v>
      </c>
      <c r="AD2022" t="str">
        <f t="shared" ca="1" si="698"/>
        <v>Yes</v>
      </c>
      <c r="AE2022" t="str">
        <f t="shared" ca="1" si="699"/>
        <v>No</v>
      </c>
      <c r="AF2022" t="str">
        <f t="shared" ca="1" si="700"/>
        <v>Transferred</v>
      </c>
      <c r="AG2022" t="str">
        <f t="shared" ca="1" si="701"/>
        <v>Southeast</v>
      </c>
      <c r="AH2022" t="str">
        <f t="shared" si="684"/>
        <v>September</v>
      </c>
      <c r="AI2022">
        <f t="shared" si="685"/>
        <v>2019</v>
      </c>
      <c r="AJ2022" t="str">
        <f t="shared" ca="1" si="702"/>
        <v>Occupied</v>
      </c>
      <c r="AK2022">
        <f t="shared" ca="1" si="703"/>
        <v>2</v>
      </c>
    </row>
    <row r="2023" spans="1:37" x14ac:dyDescent="0.3">
      <c r="A2023" t="s">
        <v>6392</v>
      </c>
      <c r="B2023">
        <v>38</v>
      </c>
      <c r="C2023" t="s">
        <v>15</v>
      </c>
      <c r="D2023" t="s">
        <v>52</v>
      </c>
      <c r="E2023" t="s">
        <v>17</v>
      </c>
      <c r="F2023" s="1">
        <v>44415</v>
      </c>
      <c r="G2023" t="s">
        <v>4010</v>
      </c>
      <c r="H2023" t="s">
        <v>4011</v>
      </c>
      <c r="I2023" t="s">
        <v>51</v>
      </c>
      <c r="J2023">
        <v>47512</v>
      </c>
      <c r="K2023">
        <v>327</v>
      </c>
      <c r="L2023" t="s">
        <v>21</v>
      </c>
      <c r="M2023" s="1">
        <v>44422</v>
      </c>
      <c r="N2023" t="s">
        <v>67</v>
      </c>
      <c r="O2023" t="s">
        <v>23</v>
      </c>
      <c r="P2023" t="str">
        <f t="shared" si="686"/>
        <v>P2022</v>
      </c>
      <c r="Q2023" t="str">
        <f t="shared" si="682"/>
        <v>Oncology</v>
      </c>
      <c r="R2023">
        <f t="shared" si="683"/>
        <v>7</v>
      </c>
      <c r="S2023" t="str">
        <f t="shared" ca="1" si="687"/>
        <v>No</v>
      </c>
      <c r="T2023" t="str">
        <f t="shared" ca="1" si="688"/>
        <v>Mild</v>
      </c>
      <c r="U2023" t="str">
        <f t="shared" ca="1" si="689"/>
        <v>General Ward</v>
      </c>
      <c r="V2023" t="str">
        <f t="shared" si="690"/>
        <v>BED2022</v>
      </c>
      <c r="W2023" t="str">
        <f t="shared" ca="1" si="691"/>
        <v>General</v>
      </c>
      <c r="X2023" t="str">
        <f t="shared" si="692"/>
        <v>NUR022</v>
      </c>
      <c r="Y2023" t="str">
        <f t="shared" ca="1" si="693"/>
        <v>Evening</v>
      </c>
      <c r="Z2023" t="str">
        <f t="shared" ca="1" si="694"/>
        <v>CT Scanner</v>
      </c>
      <c r="AA2023" t="str">
        <f t="shared" ca="1" si="695"/>
        <v>Available</v>
      </c>
      <c r="AB2023" t="str">
        <f t="shared" ca="1" si="696"/>
        <v>Pending</v>
      </c>
      <c r="AC2023" t="str">
        <f t="shared" ca="1" si="697"/>
        <v>Bank Transfer</v>
      </c>
      <c r="AD2023" t="str">
        <f t="shared" ca="1" si="698"/>
        <v>No</v>
      </c>
      <c r="AE2023" t="str">
        <f t="shared" ca="1" si="699"/>
        <v>No</v>
      </c>
      <c r="AF2023" t="str">
        <f t="shared" ca="1" si="700"/>
        <v>Recovered</v>
      </c>
      <c r="AG2023" t="str">
        <f t="shared" ca="1" si="701"/>
        <v>Southeast</v>
      </c>
      <c r="AH2023" t="str">
        <f t="shared" si="684"/>
        <v>August</v>
      </c>
      <c r="AI2023">
        <f t="shared" si="685"/>
        <v>2021</v>
      </c>
      <c r="AJ2023" t="str">
        <f t="shared" ca="1" si="702"/>
        <v>Occupied</v>
      </c>
      <c r="AK2023">
        <f t="shared" ca="1" si="703"/>
        <v>4</v>
      </c>
    </row>
    <row r="2024" spans="1:37" x14ac:dyDescent="0.3">
      <c r="A2024" t="s">
        <v>6393</v>
      </c>
      <c r="B2024">
        <v>68</v>
      </c>
      <c r="C2024" t="s">
        <v>32</v>
      </c>
      <c r="D2024" t="s">
        <v>98</v>
      </c>
      <c r="E2024" t="s">
        <v>64</v>
      </c>
      <c r="F2024" s="1">
        <v>44251</v>
      </c>
      <c r="G2024" t="s">
        <v>4012</v>
      </c>
      <c r="H2024" t="s">
        <v>4013</v>
      </c>
      <c r="I2024" t="s">
        <v>20</v>
      </c>
      <c r="J2024">
        <v>19390</v>
      </c>
      <c r="K2024">
        <v>393</v>
      </c>
      <c r="L2024" t="s">
        <v>42</v>
      </c>
      <c r="M2024" s="1">
        <v>44253</v>
      </c>
      <c r="N2024" t="s">
        <v>37</v>
      </c>
      <c r="O2024" t="s">
        <v>43</v>
      </c>
      <c r="P2024" t="str">
        <f t="shared" si="686"/>
        <v>P2023</v>
      </c>
      <c r="Q2024" t="str">
        <f t="shared" si="682"/>
        <v>Cardiology</v>
      </c>
      <c r="R2024">
        <f t="shared" si="683"/>
        <v>2</v>
      </c>
      <c r="S2024" t="str">
        <f t="shared" ca="1" si="687"/>
        <v>Yes</v>
      </c>
      <c r="T2024" t="str">
        <f t="shared" ca="1" si="688"/>
        <v>Critical</v>
      </c>
      <c r="U2024" t="str">
        <f t="shared" ca="1" si="689"/>
        <v>General Ward</v>
      </c>
      <c r="V2024" t="str">
        <f t="shared" si="690"/>
        <v>BED2023</v>
      </c>
      <c r="W2024" t="str">
        <f t="shared" ca="1" si="691"/>
        <v>ICU</v>
      </c>
      <c r="X2024" t="str">
        <f t="shared" si="692"/>
        <v>NUR023</v>
      </c>
      <c r="Y2024" t="str">
        <f t="shared" ca="1" si="693"/>
        <v>Night</v>
      </c>
      <c r="Z2024" t="str">
        <f t="shared" ca="1" si="694"/>
        <v>Ultrasound</v>
      </c>
      <c r="AA2024" t="str">
        <f t="shared" ca="1" si="695"/>
        <v>In Use</v>
      </c>
      <c r="AB2024" t="str">
        <f t="shared" ca="1" si="696"/>
        <v>Pending</v>
      </c>
      <c r="AC2024" t="str">
        <f t="shared" ca="1" si="697"/>
        <v>Insurance</v>
      </c>
      <c r="AD2024" t="str">
        <f t="shared" ca="1" si="698"/>
        <v>No</v>
      </c>
      <c r="AE2024" t="str">
        <f t="shared" ca="1" si="699"/>
        <v>No</v>
      </c>
      <c r="AF2024" t="str">
        <f t="shared" ca="1" si="700"/>
        <v>Transferred</v>
      </c>
      <c r="AG2024" t="str">
        <f t="shared" ca="1" si="701"/>
        <v>West Coast</v>
      </c>
      <c r="AH2024" t="str">
        <f t="shared" si="684"/>
        <v>February</v>
      </c>
      <c r="AI2024">
        <f t="shared" si="685"/>
        <v>2021</v>
      </c>
      <c r="AJ2024" t="str">
        <f t="shared" ca="1" si="702"/>
        <v>Vacant</v>
      </c>
      <c r="AK2024">
        <f t="shared" ca="1" si="703"/>
        <v>2</v>
      </c>
    </row>
    <row r="2025" spans="1:37" x14ac:dyDescent="0.3">
      <c r="A2025" t="s">
        <v>6394</v>
      </c>
      <c r="B2025">
        <v>43</v>
      </c>
      <c r="C2025" t="s">
        <v>32</v>
      </c>
      <c r="D2025" t="s">
        <v>38</v>
      </c>
      <c r="E2025" t="s">
        <v>17</v>
      </c>
      <c r="F2025" s="1">
        <v>44877</v>
      </c>
      <c r="G2025" t="s">
        <v>4014</v>
      </c>
      <c r="H2025" t="s">
        <v>4015</v>
      </c>
      <c r="I2025" t="s">
        <v>36</v>
      </c>
      <c r="J2025">
        <v>12377</v>
      </c>
      <c r="K2025">
        <v>203</v>
      </c>
      <c r="L2025" t="s">
        <v>29</v>
      </c>
      <c r="M2025" s="1">
        <v>44889</v>
      </c>
      <c r="N2025" t="s">
        <v>47</v>
      </c>
      <c r="O2025" t="s">
        <v>23</v>
      </c>
      <c r="P2025" t="str">
        <f t="shared" si="686"/>
        <v>P2024</v>
      </c>
      <c r="Q2025" t="str">
        <f t="shared" si="682"/>
        <v>Oncology</v>
      </c>
      <c r="R2025">
        <f t="shared" si="683"/>
        <v>12</v>
      </c>
      <c r="S2025" t="str">
        <f t="shared" ca="1" si="687"/>
        <v>No</v>
      </c>
      <c r="T2025" t="str">
        <f t="shared" ca="1" si="688"/>
        <v>Severe</v>
      </c>
      <c r="U2025" t="str">
        <f t="shared" ca="1" si="689"/>
        <v>General Ward</v>
      </c>
      <c r="V2025" t="str">
        <f t="shared" si="690"/>
        <v>BED2024</v>
      </c>
      <c r="W2025" t="str">
        <f t="shared" ca="1" si="691"/>
        <v>Semi-Private</v>
      </c>
      <c r="X2025" t="str">
        <f t="shared" si="692"/>
        <v>NUR024</v>
      </c>
      <c r="Y2025" t="str">
        <f t="shared" ca="1" si="693"/>
        <v>Night</v>
      </c>
      <c r="Z2025" t="str">
        <f t="shared" ca="1" si="694"/>
        <v>Ventilator</v>
      </c>
      <c r="AA2025" t="str">
        <f t="shared" ca="1" si="695"/>
        <v>Maintenance</v>
      </c>
      <c r="AB2025" t="str">
        <f t="shared" ca="1" si="696"/>
        <v>Pending</v>
      </c>
      <c r="AC2025" t="str">
        <f t="shared" ca="1" si="697"/>
        <v>Insurance</v>
      </c>
      <c r="AD2025" t="str">
        <f t="shared" ca="1" si="698"/>
        <v>No</v>
      </c>
      <c r="AE2025" t="str">
        <f t="shared" ca="1" si="699"/>
        <v>No</v>
      </c>
      <c r="AF2025" t="str">
        <f t="shared" ca="1" si="700"/>
        <v>Transferred</v>
      </c>
      <c r="AG2025" t="str">
        <f t="shared" ca="1" si="701"/>
        <v>West Coast</v>
      </c>
      <c r="AH2025" t="str">
        <f t="shared" si="684"/>
        <v>November</v>
      </c>
      <c r="AI2025">
        <f t="shared" si="685"/>
        <v>2022</v>
      </c>
      <c r="AJ2025" t="str">
        <f t="shared" ca="1" si="702"/>
        <v>Occupied</v>
      </c>
      <c r="AK2025">
        <f t="shared" ca="1" si="703"/>
        <v>1</v>
      </c>
    </row>
    <row r="2026" spans="1:37" x14ac:dyDescent="0.3">
      <c r="A2026" t="s">
        <v>6395</v>
      </c>
      <c r="B2026">
        <v>73</v>
      </c>
      <c r="C2026" t="s">
        <v>15</v>
      </c>
      <c r="D2026" t="s">
        <v>44</v>
      </c>
      <c r="E2026" t="s">
        <v>48</v>
      </c>
      <c r="F2026" s="1">
        <v>44190</v>
      </c>
      <c r="G2026" t="s">
        <v>4016</v>
      </c>
      <c r="H2026" t="s">
        <v>4017</v>
      </c>
      <c r="I2026" t="s">
        <v>20</v>
      </c>
      <c r="J2026">
        <v>23934</v>
      </c>
      <c r="K2026">
        <v>366</v>
      </c>
      <c r="L2026" t="s">
        <v>21</v>
      </c>
      <c r="M2026" s="1">
        <v>44207</v>
      </c>
      <c r="N2026" t="s">
        <v>47</v>
      </c>
      <c r="O2026" t="s">
        <v>23</v>
      </c>
      <c r="P2026" t="str">
        <f t="shared" si="686"/>
        <v>P2025</v>
      </c>
      <c r="Q2026" t="str">
        <f t="shared" si="682"/>
        <v>Pulmonology</v>
      </c>
      <c r="R2026">
        <f t="shared" si="683"/>
        <v>17</v>
      </c>
      <c r="S2026" t="str">
        <f t="shared" ca="1" si="687"/>
        <v>Yes</v>
      </c>
      <c r="T2026" t="str">
        <f t="shared" ca="1" si="688"/>
        <v>Moderate</v>
      </c>
      <c r="U2026" t="str">
        <f t="shared" ca="1" si="689"/>
        <v>Private Ward</v>
      </c>
      <c r="V2026" t="str">
        <f t="shared" si="690"/>
        <v>BED2025</v>
      </c>
      <c r="W2026" t="str">
        <f t="shared" ca="1" si="691"/>
        <v>Semi-Private</v>
      </c>
      <c r="X2026" t="str">
        <f t="shared" si="692"/>
        <v>NUR025</v>
      </c>
      <c r="Y2026" t="str">
        <f t="shared" ca="1" si="693"/>
        <v>Morning</v>
      </c>
      <c r="Z2026" t="str">
        <f t="shared" ca="1" si="694"/>
        <v>Ventilator</v>
      </c>
      <c r="AA2026" t="str">
        <f t="shared" ca="1" si="695"/>
        <v>Available</v>
      </c>
      <c r="AB2026" t="str">
        <f t="shared" ca="1" si="696"/>
        <v>Partially Paid</v>
      </c>
      <c r="AC2026" t="str">
        <f t="shared" ca="1" si="697"/>
        <v>Debit Card</v>
      </c>
      <c r="AD2026" t="str">
        <f t="shared" ca="1" si="698"/>
        <v>No</v>
      </c>
      <c r="AE2026" t="str">
        <f t="shared" ca="1" si="699"/>
        <v>No</v>
      </c>
      <c r="AF2026" t="str">
        <f t="shared" ca="1" si="700"/>
        <v>Transferred</v>
      </c>
      <c r="AG2026" t="str">
        <f t="shared" ca="1" si="701"/>
        <v>Midwest</v>
      </c>
      <c r="AH2026" t="str">
        <f t="shared" si="684"/>
        <v>December</v>
      </c>
      <c r="AI2026">
        <f t="shared" si="685"/>
        <v>2020</v>
      </c>
      <c r="AJ2026" t="str">
        <f t="shared" ca="1" si="702"/>
        <v>Occupied</v>
      </c>
      <c r="AK2026">
        <f t="shared" ca="1" si="703"/>
        <v>2</v>
      </c>
    </row>
    <row r="2027" spans="1:37" x14ac:dyDescent="0.3">
      <c r="A2027" t="s">
        <v>6396</v>
      </c>
      <c r="B2027">
        <v>65</v>
      </c>
      <c r="C2027" t="s">
        <v>15</v>
      </c>
      <c r="D2027" t="s">
        <v>83</v>
      </c>
      <c r="E2027" t="s">
        <v>48</v>
      </c>
      <c r="F2027" s="1">
        <v>45404</v>
      </c>
      <c r="G2027" t="s">
        <v>4018</v>
      </c>
      <c r="H2027" t="s">
        <v>4019</v>
      </c>
      <c r="I2027" t="s">
        <v>36</v>
      </c>
      <c r="J2027">
        <v>8896</v>
      </c>
      <c r="K2027">
        <v>484</v>
      </c>
      <c r="L2027" t="s">
        <v>21</v>
      </c>
      <c r="M2027" s="1">
        <v>45416</v>
      </c>
      <c r="N2027" t="s">
        <v>30</v>
      </c>
      <c r="O2027" t="s">
        <v>23</v>
      </c>
      <c r="P2027" t="str">
        <f t="shared" si="686"/>
        <v>P2026</v>
      </c>
      <c r="Q2027" t="str">
        <f t="shared" si="682"/>
        <v>Pulmonology</v>
      </c>
      <c r="R2027">
        <f t="shared" si="683"/>
        <v>12</v>
      </c>
      <c r="S2027" t="str">
        <f t="shared" ca="1" si="687"/>
        <v>No</v>
      </c>
      <c r="T2027" t="str">
        <f t="shared" ca="1" si="688"/>
        <v>Severe</v>
      </c>
      <c r="U2027" t="str">
        <f t="shared" ca="1" si="689"/>
        <v>General Ward</v>
      </c>
      <c r="V2027" t="str">
        <f t="shared" si="690"/>
        <v>BED2026</v>
      </c>
      <c r="W2027" t="str">
        <f t="shared" ca="1" si="691"/>
        <v>ICU</v>
      </c>
      <c r="X2027" t="str">
        <f t="shared" si="692"/>
        <v>NUR026</v>
      </c>
      <c r="Y2027" t="str">
        <f t="shared" ca="1" si="693"/>
        <v>Evening</v>
      </c>
      <c r="Z2027" t="str">
        <f t="shared" ca="1" si="694"/>
        <v>X-Ray</v>
      </c>
      <c r="AA2027" t="str">
        <f t="shared" ca="1" si="695"/>
        <v>Available</v>
      </c>
      <c r="AB2027" t="str">
        <f t="shared" ca="1" si="696"/>
        <v>Paid</v>
      </c>
      <c r="AC2027" t="str">
        <f t="shared" ca="1" si="697"/>
        <v>Insurance</v>
      </c>
      <c r="AD2027" t="str">
        <f t="shared" ca="1" si="698"/>
        <v>No</v>
      </c>
      <c r="AE2027" t="str">
        <f t="shared" ca="1" si="699"/>
        <v>Yes</v>
      </c>
      <c r="AF2027" t="str">
        <f t="shared" ca="1" si="700"/>
        <v>Transferred</v>
      </c>
      <c r="AG2027" t="str">
        <f t="shared" ca="1" si="701"/>
        <v>Northeast</v>
      </c>
      <c r="AH2027" t="str">
        <f t="shared" si="684"/>
        <v>April</v>
      </c>
      <c r="AI2027">
        <f t="shared" si="685"/>
        <v>2024</v>
      </c>
      <c r="AJ2027" t="str">
        <f t="shared" ca="1" si="702"/>
        <v>Occupied</v>
      </c>
      <c r="AK2027">
        <f t="shared" ca="1" si="703"/>
        <v>4</v>
      </c>
    </row>
    <row r="2028" spans="1:37" x14ac:dyDescent="0.3">
      <c r="A2028" t="s">
        <v>6397</v>
      </c>
      <c r="B2028">
        <v>80</v>
      </c>
      <c r="C2028" t="s">
        <v>32</v>
      </c>
      <c r="D2028" t="s">
        <v>52</v>
      </c>
      <c r="E2028" t="s">
        <v>76</v>
      </c>
      <c r="F2028" s="1">
        <v>45165</v>
      </c>
      <c r="G2028" t="s">
        <v>4020</v>
      </c>
      <c r="H2028" t="s">
        <v>4021</v>
      </c>
      <c r="I2028" t="s">
        <v>57</v>
      </c>
      <c r="J2028">
        <v>35514</v>
      </c>
      <c r="K2028">
        <v>165</v>
      </c>
      <c r="L2028" t="s">
        <v>29</v>
      </c>
      <c r="M2028" s="1">
        <v>45194</v>
      </c>
      <c r="N2028" t="s">
        <v>47</v>
      </c>
      <c r="O2028" t="s">
        <v>23</v>
      </c>
      <c r="P2028" t="str">
        <f t="shared" si="686"/>
        <v>P2027</v>
      </c>
      <c r="Q2028" t="str">
        <f t="shared" si="682"/>
        <v>Orthopedics</v>
      </c>
      <c r="R2028">
        <f t="shared" si="683"/>
        <v>29</v>
      </c>
      <c r="S2028" t="str">
        <f t="shared" ca="1" si="687"/>
        <v>No</v>
      </c>
      <c r="T2028" t="str">
        <f t="shared" ca="1" si="688"/>
        <v>Moderate</v>
      </c>
      <c r="U2028" t="str">
        <f t="shared" ca="1" si="689"/>
        <v>Private Ward</v>
      </c>
      <c r="V2028" t="str">
        <f t="shared" si="690"/>
        <v>BED2027</v>
      </c>
      <c r="W2028" t="str">
        <f t="shared" ca="1" si="691"/>
        <v>General</v>
      </c>
      <c r="X2028" t="str">
        <f t="shared" si="692"/>
        <v>NUR027</v>
      </c>
      <c r="Y2028" t="str">
        <f t="shared" ca="1" si="693"/>
        <v>Night</v>
      </c>
      <c r="Z2028" t="str">
        <f t="shared" ca="1" si="694"/>
        <v>Ultrasound</v>
      </c>
      <c r="AA2028" t="str">
        <f t="shared" ca="1" si="695"/>
        <v>Available</v>
      </c>
      <c r="AB2028" t="str">
        <f t="shared" ca="1" si="696"/>
        <v>Paid</v>
      </c>
      <c r="AC2028" t="str">
        <f t="shared" ca="1" si="697"/>
        <v>Cash</v>
      </c>
      <c r="AD2028" t="str">
        <f t="shared" ca="1" si="698"/>
        <v>No</v>
      </c>
      <c r="AE2028" t="str">
        <f t="shared" ca="1" si="699"/>
        <v>No</v>
      </c>
      <c r="AF2028" t="str">
        <f t="shared" ca="1" si="700"/>
        <v>Transferred</v>
      </c>
      <c r="AG2028" t="str">
        <f t="shared" ca="1" si="701"/>
        <v>West Coast</v>
      </c>
      <c r="AH2028" t="str">
        <f t="shared" si="684"/>
        <v>August</v>
      </c>
      <c r="AI2028">
        <f t="shared" si="685"/>
        <v>2023</v>
      </c>
      <c r="AJ2028" t="str">
        <f t="shared" ca="1" si="702"/>
        <v>Vacant</v>
      </c>
      <c r="AK2028">
        <f t="shared" ca="1" si="703"/>
        <v>4</v>
      </c>
    </row>
    <row r="2029" spans="1:37" x14ac:dyDescent="0.3">
      <c r="A2029" t="s">
        <v>6398</v>
      </c>
      <c r="B2029">
        <v>40</v>
      </c>
      <c r="C2029" t="s">
        <v>15</v>
      </c>
      <c r="D2029" t="s">
        <v>83</v>
      </c>
      <c r="E2029" t="s">
        <v>64</v>
      </c>
      <c r="F2029" s="1">
        <v>44676</v>
      </c>
      <c r="G2029" t="s">
        <v>4022</v>
      </c>
      <c r="H2029" t="s">
        <v>4023</v>
      </c>
      <c r="I2029" t="s">
        <v>28</v>
      </c>
      <c r="J2029">
        <v>41365</v>
      </c>
      <c r="K2029">
        <v>265</v>
      </c>
      <c r="L2029" t="s">
        <v>42</v>
      </c>
      <c r="M2029" s="1">
        <v>44680</v>
      </c>
      <c r="N2029" t="s">
        <v>22</v>
      </c>
      <c r="O2029" t="s">
        <v>31</v>
      </c>
      <c r="P2029" t="str">
        <f t="shared" si="686"/>
        <v>P2028</v>
      </c>
      <c r="Q2029" t="str">
        <f t="shared" si="682"/>
        <v>Cardiology</v>
      </c>
      <c r="R2029">
        <f t="shared" si="683"/>
        <v>4</v>
      </c>
      <c r="S2029" t="str">
        <f t="shared" ca="1" si="687"/>
        <v>No</v>
      </c>
      <c r="T2029" t="str">
        <f t="shared" ca="1" si="688"/>
        <v>Mild</v>
      </c>
      <c r="U2029" t="str">
        <f t="shared" ca="1" si="689"/>
        <v>ICU</v>
      </c>
      <c r="V2029" t="str">
        <f t="shared" si="690"/>
        <v>BED2028</v>
      </c>
      <c r="W2029" t="str">
        <f t="shared" ca="1" si="691"/>
        <v>Semi-Private</v>
      </c>
      <c r="X2029" t="str">
        <f t="shared" si="692"/>
        <v>NUR028</v>
      </c>
      <c r="Y2029" t="str">
        <f t="shared" ca="1" si="693"/>
        <v>Night</v>
      </c>
      <c r="Z2029" t="str">
        <f t="shared" ca="1" si="694"/>
        <v>MRI Scanner</v>
      </c>
      <c r="AA2029" t="str">
        <f t="shared" ca="1" si="695"/>
        <v>Available</v>
      </c>
      <c r="AB2029" t="str">
        <f t="shared" ca="1" si="696"/>
        <v>Pending</v>
      </c>
      <c r="AC2029" t="str">
        <f t="shared" ca="1" si="697"/>
        <v>Debit Card</v>
      </c>
      <c r="AD2029" t="str">
        <f t="shared" ca="1" si="698"/>
        <v>No</v>
      </c>
      <c r="AE2029" t="str">
        <f t="shared" ca="1" si="699"/>
        <v>No</v>
      </c>
      <c r="AF2029" t="str">
        <f t="shared" ca="1" si="700"/>
        <v>Under Observation</v>
      </c>
      <c r="AG2029" t="str">
        <f t="shared" ca="1" si="701"/>
        <v>Northeast</v>
      </c>
      <c r="AH2029" t="str">
        <f t="shared" si="684"/>
        <v>April</v>
      </c>
      <c r="AI2029">
        <f t="shared" si="685"/>
        <v>2022</v>
      </c>
      <c r="AJ2029" t="str">
        <f t="shared" ca="1" si="702"/>
        <v>Occupied</v>
      </c>
      <c r="AK2029">
        <f t="shared" ca="1" si="703"/>
        <v>4</v>
      </c>
    </row>
    <row r="2030" spans="1:37" x14ac:dyDescent="0.3">
      <c r="A2030" t="s">
        <v>6399</v>
      </c>
      <c r="B2030">
        <v>76</v>
      </c>
      <c r="C2030" t="s">
        <v>32</v>
      </c>
      <c r="D2030" t="s">
        <v>24</v>
      </c>
      <c r="E2030" t="s">
        <v>39</v>
      </c>
      <c r="F2030" s="1">
        <v>44237</v>
      </c>
      <c r="G2030" t="s">
        <v>4024</v>
      </c>
      <c r="H2030" t="s">
        <v>4025</v>
      </c>
      <c r="I2030" t="s">
        <v>28</v>
      </c>
      <c r="J2030">
        <v>2777</v>
      </c>
      <c r="K2030">
        <v>137</v>
      </c>
      <c r="L2030" t="s">
        <v>29</v>
      </c>
      <c r="M2030" s="1">
        <v>44259</v>
      </c>
      <c r="N2030" t="s">
        <v>30</v>
      </c>
      <c r="O2030" t="s">
        <v>23</v>
      </c>
      <c r="P2030" t="str">
        <f t="shared" si="686"/>
        <v>P2029</v>
      </c>
      <c r="Q2030" t="str">
        <f t="shared" si="682"/>
        <v>Endocrinology</v>
      </c>
      <c r="R2030">
        <f t="shared" si="683"/>
        <v>22</v>
      </c>
      <c r="S2030" t="str">
        <f t="shared" ca="1" si="687"/>
        <v>No</v>
      </c>
      <c r="T2030" t="str">
        <f t="shared" ca="1" si="688"/>
        <v>Mild</v>
      </c>
      <c r="U2030" t="str">
        <f t="shared" ca="1" si="689"/>
        <v>Emergency</v>
      </c>
      <c r="V2030" t="str">
        <f t="shared" si="690"/>
        <v>BED2029</v>
      </c>
      <c r="W2030" t="str">
        <f t="shared" ca="1" si="691"/>
        <v>ICU</v>
      </c>
      <c r="X2030" t="str">
        <f t="shared" si="692"/>
        <v>NUR029</v>
      </c>
      <c r="Y2030" t="str">
        <f t="shared" ca="1" si="693"/>
        <v>Night</v>
      </c>
      <c r="Z2030" t="str">
        <f t="shared" ca="1" si="694"/>
        <v>CT Scanner</v>
      </c>
      <c r="AA2030" t="str">
        <f t="shared" ca="1" si="695"/>
        <v>In Use</v>
      </c>
      <c r="AB2030" t="str">
        <f t="shared" ca="1" si="696"/>
        <v>Pending</v>
      </c>
      <c r="AC2030" t="str">
        <f t="shared" ca="1" si="697"/>
        <v>Insurance</v>
      </c>
      <c r="AD2030" t="str">
        <f t="shared" ca="1" si="698"/>
        <v>No</v>
      </c>
      <c r="AE2030" t="str">
        <f t="shared" ca="1" si="699"/>
        <v>No</v>
      </c>
      <c r="AF2030" t="str">
        <f t="shared" ca="1" si="700"/>
        <v>Under Observation</v>
      </c>
      <c r="AG2030" t="str">
        <f t="shared" ca="1" si="701"/>
        <v>Southwest</v>
      </c>
      <c r="AH2030" t="str">
        <f t="shared" si="684"/>
        <v>February</v>
      </c>
      <c r="AI2030">
        <f t="shared" si="685"/>
        <v>2021</v>
      </c>
      <c r="AJ2030" t="str">
        <f t="shared" ca="1" si="702"/>
        <v>Occupied</v>
      </c>
      <c r="AK2030">
        <f t="shared" ca="1" si="703"/>
        <v>4</v>
      </c>
    </row>
    <row r="2031" spans="1:37" x14ac:dyDescent="0.3">
      <c r="A2031" t="s">
        <v>6400</v>
      </c>
      <c r="B2031">
        <v>81</v>
      </c>
      <c r="C2031" t="s">
        <v>15</v>
      </c>
      <c r="D2031" t="s">
        <v>38</v>
      </c>
      <c r="E2031" t="s">
        <v>17</v>
      </c>
      <c r="F2031" s="1">
        <v>44924</v>
      </c>
      <c r="G2031" t="s">
        <v>4026</v>
      </c>
      <c r="H2031" t="s">
        <v>4027</v>
      </c>
      <c r="I2031" t="s">
        <v>36</v>
      </c>
      <c r="J2031">
        <v>33474</v>
      </c>
      <c r="K2031">
        <v>132</v>
      </c>
      <c r="L2031" t="s">
        <v>42</v>
      </c>
      <c r="M2031" s="1">
        <v>44930</v>
      </c>
      <c r="N2031" t="s">
        <v>67</v>
      </c>
      <c r="O2031" t="s">
        <v>31</v>
      </c>
      <c r="P2031" t="str">
        <f t="shared" si="686"/>
        <v>P2030</v>
      </c>
      <c r="Q2031" t="str">
        <f t="shared" si="682"/>
        <v>Oncology</v>
      </c>
      <c r="R2031">
        <f t="shared" si="683"/>
        <v>6</v>
      </c>
      <c r="S2031" t="str">
        <f t="shared" ca="1" si="687"/>
        <v>No</v>
      </c>
      <c r="T2031" t="str">
        <f t="shared" ca="1" si="688"/>
        <v>Critical</v>
      </c>
      <c r="U2031" t="str">
        <f t="shared" ca="1" si="689"/>
        <v>Semi-Private</v>
      </c>
      <c r="V2031" t="str">
        <f t="shared" si="690"/>
        <v>BED2030</v>
      </c>
      <c r="W2031" t="str">
        <f t="shared" ca="1" si="691"/>
        <v>Semi-Private</v>
      </c>
      <c r="X2031" t="str">
        <f t="shared" si="692"/>
        <v>NUR030</v>
      </c>
      <c r="Y2031" t="str">
        <f t="shared" ca="1" si="693"/>
        <v>Night</v>
      </c>
      <c r="Z2031" t="str">
        <f t="shared" ca="1" si="694"/>
        <v>MRI Scanner</v>
      </c>
      <c r="AA2031" t="str">
        <f t="shared" ca="1" si="695"/>
        <v>Maintenance</v>
      </c>
      <c r="AB2031" t="str">
        <f t="shared" ca="1" si="696"/>
        <v>Partially Paid</v>
      </c>
      <c r="AC2031" t="str">
        <f t="shared" ca="1" si="697"/>
        <v>Debit Card</v>
      </c>
      <c r="AD2031" t="str">
        <f t="shared" ca="1" si="698"/>
        <v>No</v>
      </c>
      <c r="AE2031" t="str">
        <f t="shared" ca="1" si="699"/>
        <v>No</v>
      </c>
      <c r="AF2031" t="str">
        <f t="shared" ca="1" si="700"/>
        <v>Transferred</v>
      </c>
      <c r="AG2031" t="str">
        <f t="shared" ca="1" si="701"/>
        <v>Southwest</v>
      </c>
      <c r="AH2031" t="str">
        <f t="shared" si="684"/>
        <v>December</v>
      </c>
      <c r="AI2031">
        <f t="shared" si="685"/>
        <v>2022</v>
      </c>
      <c r="AJ2031" t="str">
        <f t="shared" ca="1" si="702"/>
        <v>Occupied</v>
      </c>
      <c r="AK2031">
        <f t="shared" ca="1" si="703"/>
        <v>2</v>
      </c>
    </row>
    <row r="2032" spans="1:37" x14ac:dyDescent="0.3">
      <c r="A2032" t="s">
        <v>6401</v>
      </c>
      <c r="B2032">
        <v>48</v>
      </c>
      <c r="C2032" t="s">
        <v>15</v>
      </c>
      <c r="D2032" t="s">
        <v>33</v>
      </c>
      <c r="E2032" t="s">
        <v>76</v>
      </c>
      <c r="F2032" s="1">
        <v>44960</v>
      </c>
      <c r="G2032" t="s">
        <v>4028</v>
      </c>
      <c r="H2032" t="s">
        <v>4029</v>
      </c>
      <c r="I2032" t="s">
        <v>51</v>
      </c>
      <c r="J2032">
        <v>46947</v>
      </c>
      <c r="K2032">
        <v>160</v>
      </c>
      <c r="L2032" t="s">
        <v>29</v>
      </c>
      <c r="M2032" s="1">
        <v>44965</v>
      </c>
      <c r="N2032" t="s">
        <v>30</v>
      </c>
      <c r="O2032" t="s">
        <v>43</v>
      </c>
      <c r="P2032" t="str">
        <f t="shared" si="686"/>
        <v>P2031</v>
      </c>
      <c r="Q2032" t="str">
        <f t="shared" si="682"/>
        <v>Orthopedics</v>
      </c>
      <c r="R2032">
        <f t="shared" si="683"/>
        <v>5</v>
      </c>
      <c r="S2032" t="str">
        <f t="shared" ca="1" si="687"/>
        <v>No</v>
      </c>
      <c r="T2032" t="str">
        <f t="shared" ca="1" si="688"/>
        <v>Severe</v>
      </c>
      <c r="U2032" t="str">
        <f t="shared" ca="1" si="689"/>
        <v>General Ward</v>
      </c>
      <c r="V2032" t="str">
        <f t="shared" si="690"/>
        <v>BED2031</v>
      </c>
      <c r="W2032" t="str">
        <f t="shared" ca="1" si="691"/>
        <v>Semi-Private</v>
      </c>
      <c r="X2032" t="str">
        <f t="shared" si="692"/>
        <v>NUR031</v>
      </c>
      <c r="Y2032" t="str">
        <f t="shared" ca="1" si="693"/>
        <v>Night</v>
      </c>
      <c r="Z2032" t="str">
        <f t="shared" ca="1" si="694"/>
        <v>CT Scanner</v>
      </c>
      <c r="AA2032" t="str">
        <f t="shared" ca="1" si="695"/>
        <v>In Use</v>
      </c>
      <c r="AB2032" t="str">
        <f t="shared" ca="1" si="696"/>
        <v>Paid</v>
      </c>
      <c r="AC2032" t="str">
        <f t="shared" ca="1" si="697"/>
        <v>Credit Card</v>
      </c>
      <c r="AD2032" t="str">
        <f t="shared" ca="1" si="698"/>
        <v>No</v>
      </c>
      <c r="AE2032" t="str">
        <f t="shared" ca="1" si="699"/>
        <v>No</v>
      </c>
      <c r="AF2032" t="str">
        <f t="shared" ca="1" si="700"/>
        <v>Under Observation</v>
      </c>
      <c r="AG2032" t="str">
        <f t="shared" ca="1" si="701"/>
        <v>Southwest</v>
      </c>
      <c r="AH2032" t="str">
        <f t="shared" si="684"/>
        <v>February</v>
      </c>
      <c r="AI2032">
        <f t="shared" si="685"/>
        <v>2023</v>
      </c>
      <c r="AJ2032" t="str">
        <f t="shared" ca="1" si="702"/>
        <v>Occupied</v>
      </c>
      <c r="AK2032">
        <f t="shared" ca="1" si="703"/>
        <v>1</v>
      </c>
    </row>
    <row r="2033" spans="1:37" x14ac:dyDescent="0.3">
      <c r="A2033" t="s">
        <v>6402</v>
      </c>
      <c r="B2033">
        <v>38</v>
      </c>
      <c r="C2033" t="s">
        <v>32</v>
      </c>
      <c r="D2033" t="s">
        <v>38</v>
      </c>
      <c r="E2033" t="s">
        <v>25</v>
      </c>
      <c r="F2033" s="1">
        <v>44254</v>
      </c>
      <c r="G2033" t="s">
        <v>4030</v>
      </c>
      <c r="H2033" t="s">
        <v>4031</v>
      </c>
      <c r="I2033" t="s">
        <v>20</v>
      </c>
      <c r="J2033">
        <v>31014</v>
      </c>
      <c r="K2033">
        <v>317</v>
      </c>
      <c r="L2033" t="s">
        <v>21</v>
      </c>
      <c r="M2033" s="1">
        <v>44271</v>
      </c>
      <c r="N2033" t="s">
        <v>37</v>
      </c>
      <c r="O2033" t="s">
        <v>31</v>
      </c>
      <c r="P2033" t="str">
        <f t="shared" si="686"/>
        <v>P2032</v>
      </c>
      <c r="Q2033" t="str">
        <f t="shared" si="682"/>
        <v>Nutrition</v>
      </c>
      <c r="R2033">
        <f t="shared" si="683"/>
        <v>17</v>
      </c>
      <c r="S2033" t="str">
        <f t="shared" ca="1" si="687"/>
        <v>No</v>
      </c>
      <c r="T2033" t="str">
        <f t="shared" ca="1" si="688"/>
        <v>Severe</v>
      </c>
      <c r="U2033" t="str">
        <f t="shared" ca="1" si="689"/>
        <v>Private Ward</v>
      </c>
      <c r="V2033" t="str">
        <f t="shared" si="690"/>
        <v>BED2032</v>
      </c>
      <c r="W2033" t="str">
        <f t="shared" ca="1" si="691"/>
        <v>ICU</v>
      </c>
      <c r="X2033" t="str">
        <f t="shared" si="692"/>
        <v>NUR032</v>
      </c>
      <c r="Y2033" t="str">
        <f t="shared" ca="1" si="693"/>
        <v>Night</v>
      </c>
      <c r="Z2033" t="str">
        <f t="shared" ca="1" si="694"/>
        <v>ECG Machine</v>
      </c>
      <c r="AA2033" t="str">
        <f t="shared" ca="1" si="695"/>
        <v>Maintenance</v>
      </c>
      <c r="AB2033" t="str">
        <f t="shared" ca="1" si="696"/>
        <v>Partially Paid</v>
      </c>
      <c r="AC2033" t="str">
        <f t="shared" ca="1" si="697"/>
        <v>Debit Card</v>
      </c>
      <c r="AD2033" t="str">
        <f t="shared" ca="1" si="698"/>
        <v>No</v>
      </c>
      <c r="AE2033" t="str">
        <f t="shared" ca="1" si="699"/>
        <v>No</v>
      </c>
      <c r="AF2033" t="str">
        <f t="shared" ca="1" si="700"/>
        <v>Under Observation</v>
      </c>
      <c r="AG2033" t="str">
        <f t="shared" ca="1" si="701"/>
        <v>Midwest</v>
      </c>
      <c r="AH2033" t="str">
        <f t="shared" si="684"/>
        <v>February</v>
      </c>
      <c r="AI2033">
        <f t="shared" si="685"/>
        <v>2021</v>
      </c>
      <c r="AJ2033" t="str">
        <f t="shared" ca="1" si="702"/>
        <v>Occupied</v>
      </c>
      <c r="AK2033">
        <f t="shared" ca="1" si="703"/>
        <v>1</v>
      </c>
    </row>
    <row r="2034" spans="1:37" x14ac:dyDescent="0.3">
      <c r="A2034" t="s">
        <v>6403</v>
      </c>
      <c r="B2034">
        <v>78</v>
      </c>
      <c r="C2034" t="s">
        <v>15</v>
      </c>
      <c r="D2034" t="s">
        <v>52</v>
      </c>
      <c r="E2034" t="s">
        <v>76</v>
      </c>
      <c r="F2034" s="1">
        <v>45089</v>
      </c>
      <c r="G2034" t="s">
        <v>4032</v>
      </c>
      <c r="H2034" t="s">
        <v>4033</v>
      </c>
      <c r="I2034" t="s">
        <v>28</v>
      </c>
      <c r="J2034">
        <v>32747</v>
      </c>
      <c r="K2034">
        <v>397</v>
      </c>
      <c r="L2034" t="s">
        <v>42</v>
      </c>
      <c r="M2034" s="1">
        <v>45112</v>
      </c>
      <c r="N2034" t="s">
        <v>67</v>
      </c>
      <c r="O2034" t="s">
        <v>31</v>
      </c>
      <c r="P2034" t="str">
        <f t="shared" si="686"/>
        <v>P2033</v>
      </c>
      <c r="Q2034" t="str">
        <f t="shared" si="682"/>
        <v>Orthopedics</v>
      </c>
      <c r="R2034">
        <f t="shared" si="683"/>
        <v>23</v>
      </c>
      <c r="S2034" t="str">
        <f t="shared" ca="1" si="687"/>
        <v>Yes</v>
      </c>
      <c r="T2034" t="str">
        <f t="shared" ca="1" si="688"/>
        <v>Critical</v>
      </c>
      <c r="U2034" t="str">
        <f t="shared" ca="1" si="689"/>
        <v>Private Ward</v>
      </c>
      <c r="V2034" t="str">
        <f t="shared" si="690"/>
        <v>BED2033</v>
      </c>
      <c r="W2034" t="str">
        <f t="shared" ca="1" si="691"/>
        <v>General</v>
      </c>
      <c r="X2034" t="str">
        <f t="shared" si="692"/>
        <v>NUR033</v>
      </c>
      <c r="Y2034" t="str">
        <f t="shared" ca="1" si="693"/>
        <v>Evening</v>
      </c>
      <c r="Z2034" t="str">
        <f t="shared" ca="1" si="694"/>
        <v>X-Ray</v>
      </c>
      <c r="AA2034" t="str">
        <f t="shared" ca="1" si="695"/>
        <v>In Use</v>
      </c>
      <c r="AB2034" t="str">
        <f t="shared" ca="1" si="696"/>
        <v>Paid</v>
      </c>
      <c r="AC2034" t="str">
        <f t="shared" ca="1" si="697"/>
        <v>Credit Card</v>
      </c>
      <c r="AD2034" t="str">
        <f t="shared" ca="1" si="698"/>
        <v>Yes</v>
      </c>
      <c r="AE2034" t="str">
        <f t="shared" ca="1" si="699"/>
        <v>No</v>
      </c>
      <c r="AF2034" t="str">
        <f t="shared" ca="1" si="700"/>
        <v>Transferred</v>
      </c>
      <c r="AG2034" t="str">
        <f t="shared" ca="1" si="701"/>
        <v>Southeast</v>
      </c>
      <c r="AH2034" t="str">
        <f t="shared" si="684"/>
        <v>June</v>
      </c>
      <c r="AI2034">
        <f t="shared" si="685"/>
        <v>2023</v>
      </c>
      <c r="AJ2034" t="str">
        <f t="shared" ca="1" si="702"/>
        <v>Vacant</v>
      </c>
      <c r="AK2034">
        <f t="shared" ca="1" si="703"/>
        <v>2</v>
      </c>
    </row>
    <row r="2035" spans="1:37" x14ac:dyDescent="0.3">
      <c r="A2035" t="s">
        <v>6404</v>
      </c>
      <c r="B2035">
        <v>44</v>
      </c>
      <c r="C2035" t="s">
        <v>32</v>
      </c>
      <c r="D2035" t="s">
        <v>98</v>
      </c>
      <c r="E2035" t="s">
        <v>76</v>
      </c>
      <c r="F2035" s="1">
        <v>45118</v>
      </c>
      <c r="G2035" t="s">
        <v>4034</v>
      </c>
      <c r="H2035" t="s">
        <v>4035</v>
      </c>
      <c r="I2035" t="s">
        <v>51</v>
      </c>
      <c r="J2035">
        <v>24669</v>
      </c>
      <c r="K2035">
        <v>441</v>
      </c>
      <c r="L2035" t="s">
        <v>29</v>
      </c>
      <c r="M2035" s="1">
        <v>45132</v>
      </c>
      <c r="N2035" t="s">
        <v>37</v>
      </c>
      <c r="O2035" t="s">
        <v>31</v>
      </c>
      <c r="P2035" t="str">
        <f t="shared" si="686"/>
        <v>P2034</v>
      </c>
      <c r="Q2035" t="str">
        <f t="shared" si="682"/>
        <v>Orthopedics</v>
      </c>
      <c r="R2035">
        <f t="shared" si="683"/>
        <v>14</v>
      </c>
      <c r="S2035" t="str">
        <f t="shared" ca="1" si="687"/>
        <v>Yes</v>
      </c>
      <c r="T2035" t="str">
        <f t="shared" ca="1" si="688"/>
        <v>Moderate</v>
      </c>
      <c r="U2035" t="str">
        <f t="shared" ca="1" si="689"/>
        <v>Private Ward</v>
      </c>
      <c r="V2035" t="str">
        <f t="shared" si="690"/>
        <v>BED2034</v>
      </c>
      <c r="W2035" t="str">
        <f t="shared" ca="1" si="691"/>
        <v>Semi-Private</v>
      </c>
      <c r="X2035" t="str">
        <f t="shared" si="692"/>
        <v>NUR034</v>
      </c>
      <c r="Y2035" t="str">
        <f t="shared" ca="1" si="693"/>
        <v>Night</v>
      </c>
      <c r="Z2035" t="str">
        <f t="shared" ca="1" si="694"/>
        <v>Ventilator</v>
      </c>
      <c r="AA2035" t="str">
        <f t="shared" ca="1" si="695"/>
        <v>Available</v>
      </c>
      <c r="AB2035" t="str">
        <f t="shared" ca="1" si="696"/>
        <v>Pending</v>
      </c>
      <c r="AC2035" t="str">
        <f t="shared" ca="1" si="697"/>
        <v>Bank Transfer</v>
      </c>
      <c r="AD2035" t="str">
        <f t="shared" ca="1" si="698"/>
        <v>No</v>
      </c>
      <c r="AE2035" t="str">
        <f t="shared" ca="1" si="699"/>
        <v>No</v>
      </c>
      <c r="AF2035" t="str">
        <f t="shared" ca="1" si="700"/>
        <v>Recovered</v>
      </c>
      <c r="AG2035" t="str">
        <f t="shared" ca="1" si="701"/>
        <v>Midwest</v>
      </c>
      <c r="AH2035" t="str">
        <f t="shared" si="684"/>
        <v>July</v>
      </c>
      <c r="AI2035">
        <f t="shared" si="685"/>
        <v>2023</v>
      </c>
      <c r="AJ2035" t="str">
        <f t="shared" ca="1" si="702"/>
        <v>Occupied</v>
      </c>
      <c r="AK2035">
        <f t="shared" ca="1" si="703"/>
        <v>4</v>
      </c>
    </row>
    <row r="2036" spans="1:37" x14ac:dyDescent="0.3">
      <c r="A2036" t="s">
        <v>6405</v>
      </c>
      <c r="B2036">
        <v>48</v>
      </c>
      <c r="C2036" t="s">
        <v>15</v>
      </c>
      <c r="D2036" t="s">
        <v>83</v>
      </c>
      <c r="E2036" t="s">
        <v>17</v>
      </c>
      <c r="F2036" s="1">
        <v>43683</v>
      </c>
      <c r="G2036" t="s">
        <v>4036</v>
      </c>
      <c r="H2036" t="s">
        <v>4037</v>
      </c>
      <c r="I2036" t="s">
        <v>57</v>
      </c>
      <c r="J2036">
        <v>15024</v>
      </c>
      <c r="K2036">
        <v>231</v>
      </c>
      <c r="L2036" t="s">
        <v>29</v>
      </c>
      <c r="M2036" s="1">
        <v>43705</v>
      </c>
      <c r="N2036" t="s">
        <v>47</v>
      </c>
      <c r="O2036" t="s">
        <v>23</v>
      </c>
      <c r="P2036" t="str">
        <f t="shared" si="686"/>
        <v>P2035</v>
      </c>
      <c r="Q2036" t="str">
        <f t="shared" si="682"/>
        <v>Oncology</v>
      </c>
      <c r="R2036">
        <f t="shared" si="683"/>
        <v>22</v>
      </c>
      <c r="S2036" t="str">
        <f t="shared" ca="1" si="687"/>
        <v>No</v>
      </c>
      <c r="T2036" t="str">
        <f t="shared" ca="1" si="688"/>
        <v>Mild</v>
      </c>
      <c r="U2036" t="str">
        <f t="shared" ca="1" si="689"/>
        <v>General Ward</v>
      </c>
      <c r="V2036" t="str">
        <f t="shared" si="690"/>
        <v>BED2035</v>
      </c>
      <c r="W2036" t="str">
        <f t="shared" ca="1" si="691"/>
        <v>General</v>
      </c>
      <c r="X2036" t="str">
        <f t="shared" si="692"/>
        <v>NUR035</v>
      </c>
      <c r="Y2036" t="str">
        <f t="shared" ca="1" si="693"/>
        <v>Evening</v>
      </c>
      <c r="Z2036" t="str">
        <f t="shared" ca="1" si="694"/>
        <v>ECG Machine</v>
      </c>
      <c r="AA2036" t="str">
        <f t="shared" ca="1" si="695"/>
        <v>In Use</v>
      </c>
      <c r="AB2036" t="str">
        <f t="shared" ca="1" si="696"/>
        <v>Paid</v>
      </c>
      <c r="AC2036" t="str">
        <f t="shared" ca="1" si="697"/>
        <v>Cash</v>
      </c>
      <c r="AD2036" t="str">
        <f t="shared" ca="1" si="698"/>
        <v>No</v>
      </c>
      <c r="AE2036" t="str">
        <f t="shared" ca="1" si="699"/>
        <v>No</v>
      </c>
      <c r="AF2036" t="str">
        <f t="shared" ca="1" si="700"/>
        <v>Under Observation</v>
      </c>
      <c r="AG2036" t="str">
        <f t="shared" ca="1" si="701"/>
        <v>West Coast</v>
      </c>
      <c r="AH2036" t="str">
        <f t="shared" si="684"/>
        <v>August</v>
      </c>
      <c r="AI2036">
        <f t="shared" si="685"/>
        <v>2019</v>
      </c>
      <c r="AJ2036" t="str">
        <f t="shared" ca="1" si="702"/>
        <v>Occupied</v>
      </c>
      <c r="AK2036">
        <f t="shared" ca="1" si="703"/>
        <v>2</v>
      </c>
    </row>
    <row r="2037" spans="1:37" x14ac:dyDescent="0.3">
      <c r="A2037" t="s">
        <v>6406</v>
      </c>
      <c r="B2037">
        <v>58</v>
      </c>
      <c r="C2037" t="s">
        <v>32</v>
      </c>
      <c r="D2037" t="s">
        <v>44</v>
      </c>
      <c r="E2037" t="s">
        <v>64</v>
      </c>
      <c r="F2037" s="1">
        <v>45150</v>
      </c>
      <c r="G2037" t="s">
        <v>4038</v>
      </c>
      <c r="H2037" t="s">
        <v>4039</v>
      </c>
      <c r="I2037" t="s">
        <v>36</v>
      </c>
      <c r="J2037">
        <v>41439</v>
      </c>
      <c r="K2037">
        <v>363</v>
      </c>
      <c r="L2037" t="s">
        <v>21</v>
      </c>
      <c r="M2037" s="1">
        <v>45156</v>
      </c>
      <c r="N2037" t="s">
        <v>67</v>
      </c>
      <c r="O2037" t="s">
        <v>31</v>
      </c>
      <c r="P2037" t="str">
        <f t="shared" si="686"/>
        <v>P2036</v>
      </c>
      <c r="Q2037" t="str">
        <f t="shared" si="682"/>
        <v>Cardiology</v>
      </c>
      <c r="R2037">
        <f t="shared" si="683"/>
        <v>6</v>
      </c>
      <c r="S2037" t="str">
        <f t="shared" ca="1" si="687"/>
        <v>No</v>
      </c>
      <c r="T2037" t="str">
        <f t="shared" ca="1" si="688"/>
        <v>Severe</v>
      </c>
      <c r="U2037" t="str">
        <f t="shared" ca="1" si="689"/>
        <v>Emergency</v>
      </c>
      <c r="V2037" t="str">
        <f t="shared" si="690"/>
        <v>BED2036</v>
      </c>
      <c r="W2037" t="str">
        <f t="shared" ca="1" si="691"/>
        <v>ICU</v>
      </c>
      <c r="X2037" t="str">
        <f t="shared" si="692"/>
        <v>NUR036</v>
      </c>
      <c r="Y2037" t="str">
        <f t="shared" ca="1" si="693"/>
        <v>Morning</v>
      </c>
      <c r="Z2037" t="str">
        <f t="shared" ca="1" si="694"/>
        <v>MRI Scanner</v>
      </c>
      <c r="AA2037" t="str">
        <f t="shared" ca="1" si="695"/>
        <v>Maintenance</v>
      </c>
      <c r="AB2037" t="str">
        <f t="shared" ca="1" si="696"/>
        <v>Partially Paid</v>
      </c>
      <c r="AC2037" t="str">
        <f t="shared" ca="1" si="697"/>
        <v>Insurance</v>
      </c>
      <c r="AD2037" t="str">
        <f t="shared" ca="1" si="698"/>
        <v>Yes</v>
      </c>
      <c r="AE2037" t="str">
        <f t="shared" ca="1" si="699"/>
        <v>No</v>
      </c>
      <c r="AF2037" t="str">
        <f t="shared" ca="1" si="700"/>
        <v>Transferred</v>
      </c>
      <c r="AG2037" t="str">
        <f t="shared" ca="1" si="701"/>
        <v>Northeast</v>
      </c>
      <c r="AH2037" t="str">
        <f t="shared" si="684"/>
        <v>August</v>
      </c>
      <c r="AI2037">
        <f t="shared" si="685"/>
        <v>2023</v>
      </c>
      <c r="AJ2037" t="str">
        <f t="shared" ca="1" si="702"/>
        <v>Occupied</v>
      </c>
      <c r="AK2037">
        <f t="shared" ca="1" si="703"/>
        <v>2</v>
      </c>
    </row>
    <row r="2038" spans="1:37" x14ac:dyDescent="0.3">
      <c r="A2038" t="s">
        <v>6407</v>
      </c>
      <c r="B2038">
        <v>38</v>
      </c>
      <c r="C2038" t="s">
        <v>32</v>
      </c>
      <c r="D2038" t="s">
        <v>33</v>
      </c>
      <c r="E2038" t="s">
        <v>17</v>
      </c>
      <c r="F2038" s="1">
        <v>44045</v>
      </c>
      <c r="G2038" t="s">
        <v>4040</v>
      </c>
      <c r="H2038" t="s">
        <v>521</v>
      </c>
      <c r="I2038" t="s">
        <v>57</v>
      </c>
      <c r="J2038">
        <v>31447</v>
      </c>
      <c r="K2038">
        <v>357</v>
      </c>
      <c r="L2038" t="s">
        <v>29</v>
      </c>
      <c r="M2038" s="1">
        <v>44062</v>
      </c>
      <c r="N2038" t="s">
        <v>37</v>
      </c>
      <c r="O2038" t="s">
        <v>31</v>
      </c>
      <c r="P2038" t="str">
        <f t="shared" si="686"/>
        <v>P2037</v>
      </c>
      <c r="Q2038" t="str">
        <f t="shared" si="682"/>
        <v>Oncology</v>
      </c>
      <c r="R2038">
        <f t="shared" si="683"/>
        <v>17</v>
      </c>
      <c r="S2038" t="str">
        <f t="shared" ca="1" si="687"/>
        <v>No</v>
      </c>
      <c r="T2038" t="str">
        <f t="shared" ca="1" si="688"/>
        <v>Critical</v>
      </c>
      <c r="U2038" t="str">
        <f t="shared" ca="1" si="689"/>
        <v>Private Ward</v>
      </c>
      <c r="V2038" t="str">
        <f t="shared" si="690"/>
        <v>BED2037</v>
      </c>
      <c r="W2038" t="str">
        <f t="shared" ca="1" si="691"/>
        <v>ICU</v>
      </c>
      <c r="X2038" t="str">
        <f t="shared" si="692"/>
        <v>NUR037</v>
      </c>
      <c r="Y2038" t="str">
        <f t="shared" ca="1" si="693"/>
        <v>Night</v>
      </c>
      <c r="Z2038" t="str">
        <f t="shared" ca="1" si="694"/>
        <v>Ventilator</v>
      </c>
      <c r="AA2038" t="str">
        <f t="shared" ca="1" si="695"/>
        <v>Maintenance</v>
      </c>
      <c r="AB2038" t="str">
        <f t="shared" ca="1" si="696"/>
        <v>Paid</v>
      </c>
      <c r="AC2038" t="str">
        <f t="shared" ca="1" si="697"/>
        <v>Bank Transfer</v>
      </c>
      <c r="AD2038" t="str">
        <f t="shared" ca="1" si="698"/>
        <v>No</v>
      </c>
      <c r="AE2038" t="str">
        <f t="shared" ca="1" si="699"/>
        <v>No</v>
      </c>
      <c r="AF2038" t="str">
        <f t="shared" ca="1" si="700"/>
        <v>Transferred</v>
      </c>
      <c r="AG2038" t="str">
        <f t="shared" ca="1" si="701"/>
        <v>West Coast</v>
      </c>
      <c r="AH2038" t="str">
        <f t="shared" si="684"/>
        <v>August</v>
      </c>
      <c r="AI2038">
        <f t="shared" si="685"/>
        <v>2020</v>
      </c>
      <c r="AJ2038" t="str">
        <f t="shared" ca="1" si="702"/>
        <v>Occupied</v>
      </c>
      <c r="AK2038">
        <f t="shared" ca="1" si="703"/>
        <v>2</v>
      </c>
    </row>
    <row r="2039" spans="1:37" x14ac:dyDescent="0.3">
      <c r="A2039" t="s">
        <v>6408</v>
      </c>
      <c r="B2039">
        <v>52</v>
      </c>
      <c r="C2039" t="s">
        <v>15</v>
      </c>
      <c r="D2039" t="s">
        <v>24</v>
      </c>
      <c r="E2039" t="s">
        <v>76</v>
      </c>
      <c r="F2039" s="1">
        <v>45121</v>
      </c>
      <c r="G2039" t="s">
        <v>4041</v>
      </c>
      <c r="H2039" t="s">
        <v>4042</v>
      </c>
      <c r="I2039" t="s">
        <v>51</v>
      </c>
      <c r="J2039">
        <v>36047</v>
      </c>
      <c r="K2039">
        <v>263</v>
      </c>
      <c r="L2039" t="s">
        <v>29</v>
      </c>
      <c r="M2039" s="1">
        <v>45127</v>
      </c>
      <c r="N2039" t="s">
        <v>47</v>
      </c>
      <c r="O2039" t="s">
        <v>43</v>
      </c>
      <c r="P2039" t="str">
        <f t="shared" si="686"/>
        <v>P2038</v>
      </c>
      <c r="Q2039" t="str">
        <f t="shared" si="682"/>
        <v>Orthopedics</v>
      </c>
      <c r="R2039">
        <f t="shared" si="683"/>
        <v>6</v>
      </c>
      <c r="S2039" t="str">
        <f t="shared" ca="1" si="687"/>
        <v>Yes</v>
      </c>
      <c r="T2039" t="str">
        <f t="shared" ca="1" si="688"/>
        <v>Critical</v>
      </c>
      <c r="U2039" t="str">
        <f t="shared" ca="1" si="689"/>
        <v>General Ward</v>
      </c>
      <c r="V2039" t="str">
        <f t="shared" si="690"/>
        <v>BED2038</v>
      </c>
      <c r="W2039" t="str">
        <f t="shared" ca="1" si="691"/>
        <v>Semi-Private</v>
      </c>
      <c r="X2039" t="str">
        <f t="shared" si="692"/>
        <v>NUR038</v>
      </c>
      <c r="Y2039" t="str">
        <f t="shared" ca="1" si="693"/>
        <v>Evening</v>
      </c>
      <c r="Z2039" t="str">
        <f t="shared" ca="1" si="694"/>
        <v>CT Scanner</v>
      </c>
      <c r="AA2039" t="str">
        <f t="shared" ca="1" si="695"/>
        <v>Available</v>
      </c>
      <c r="AB2039" t="str">
        <f t="shared" ca="1" si="696"/>
        <v>Partially Paid</v>
      </c>
      <c r="AC2039" t="str">
        <f t="shared" ca="1" si="697"/>
        <v>Debit Card</v>
      </c>
      <c r="AD2039" t="str">
        <f t="shared" ca="1" si="698"/>
        <v>No</v>
      </c>
      <c r="AE2039" t="str">
        <f t="shared" ca="1" si="699"/>
        <v>No</v>
      </c>
      <c r="AF2039" t="str">
        <f t="shared" ca="1" si="700"/>
        <v>Transferred</v>
      </c>
      <c r="AG2039" t="str">
        <f t="shared" ca="1" si="701"/>
        <v>Southeast</v>
      </c>
      <c r="AH2039" t="str">
        <f t="shared" si="684"/>
        <v>July</v>
      </c>
      <c r="AI2039">
        <f t="shared" si="685"/>
        <v>2023</v>
      </c>
      <c r="AJ2039" t="str">
        <f t="shared" ca="1" si="702"/>
        <v>Vacant</v>
      </c>
      <c r="AK2039">
        <f t="shared" ca="1" si="703"/>
        <v>1</v>
      </c>
    </row>
    <row r="2040" spans="1:37" x14ac:dyDescent="0.3">
      <c r="A2040" t="s">
        <v>6409</v>
      </c>
      <c r="B2040">
        <v>67</v>
      </c>
      <c r="C2040" t="s">
        <v>32</v>
      </c>
      <c r="D2040" t="s">
        <v>83</v>
      </c>
      <c r="E2040" t="s">
        <v>48</v>
      </c>
      <c r="F2040" s="1">
        <v>44414</v>
      </c>
      <c r="G2040" t="s">
        <v>4043</v>
      </c>
      <c r="H2040" t="s">
        <v>4044</v>
      </c>
      <c r="I2040" t="s">
        <v>51</v>
      </c>
      <c r="J2040">
        <v>6186</v>
      </c>
      <c r="K2040">
        <v>434</v>
      </c>
      <c r="L2040" t="s">
        <v>21</v>
      </c>
      <c r="M2040" s="1">
        <v>44439</v>
      </c>
      <c r="N2040" t="s">
        <v>47</v>
      </c>
      <c r="O2040" t="s">
        <v>31</v>
      </c>
      <c r="P2040" t="str">
        <f t="shared" si="686"/>
        <v>P2039</v>
      </c>
      <c r="Q2040" t="str">
        <f t="shared" si="682"/>
        <v>Pulmonology</v>
      </c>
      <c r="R2040">
        <f t="shared" si="683"/>
        <v>25</v>
      </c>
      <c r="S2040" t="str">
        <f t="shared" ca="1" si="687"/>
        <v>No</v>
      </c>
      <c r="T2040" t="str">
        <f t="shared" ca="1" si="688"/>
        <v>Severe</v>
      </c>
      <c r="U2040" t="str">
        <f t="shared" ca="1" si="689"/>
        <v>Semi-Private</v>
      </c>
      <c r="V2040" t="str">
        <f t="shared" si="690"/>
        <v>BED2039</v>
      </c>
      <c r="W2040" t="str">
        <f t="shared" ca="1" si="691"/>
        <v>Semi-Private</v>
      </c>
      <c r="X2040" t="str">
        <f t="shared" si="692"/>
        <v>NUR039</v>
      </c>
      <c r="Y2040" t="str">
        <f t="shared" ca="1" si="693"/>
        <v>Evening</v>
      </c>
      <c r="Z2040" t="str">
        <f t="shared" ca="1" si="694"/>
        <v>ECG Machine</v>
      </c>
      <c r="AA2040" t="str">
        <f t="shared" ca="1" si="695"/>
        <v>Maintenance</v>
      </c>
      <c r="AB2040" t="str">
        <f t="shared" ca="1" si="696"/>
        <v>Pending</v>
      </c>
      <c r="AC2040" t="str">
        <f t="shared" ca="1" si="697"/>
        <v>Debit Card</v>
      </c>
      <c r="AD2040" t="str">
        <f t="shared" ca="1" si="698"/>
        <v>Yes</v>
      </c>
      <c r="AE2040" t="str">
        <f t="shared" ca="1" si="699"/>
        <v>No</v>
      </c>
      <c r="AF2040" t="str">
        <f t="shared" ca="1" si="700"/>
        <v>Recovered</v>
      </c>
      <c r="AG2040" t="str">
        <f t="shared" ca="1" si="701"/>
        <v>Northeast</v>
      </c>
      <c r="AH2040" t="str">
        <f t="shared" si="684"/>
        <v>August</v>
      </c>
      <c r="AI2040">
        <f t="shared" si="685"/>
        <v>2021</v>
      </c>
      <c r="AJ2040" t="str">
        <f t="shared" ca="1" si="702"/>
        <v>Vacant</v>
      </c>
      <c r="AK2040">
        <f t="shared" ca="1" si="703"/>
        <v>4</v>
      </c>
    </row>
    <row r="2041" spans="1:37" x14ac:dyDescent="0.3">
      <c r="A2041" t="s">
        <v>6410</v>
      </c>
      <c r="B2041">
        <v>52</v>
      </c>
      <c r="C2041" t="s">
        <v>32</v>
      </c>
      <c r="D2041" t="s">
        <v>98</v>
      </c>
      <c r="E2041" t="s">
        <v>25</v>
      </c>
      <c r="F2041" s="1">
        <v>44066</v>
      </c>
      <c r="G2041" t="s">
        <v>4045</v>
      </c>
      <c r="H2041" t="s">
        <v>4046</v>
      </c>
      <c r="I2041" t="s">
        <v>57</v>
      </c>
      <c r="J2041">
        <v>39189</v>
      </c>
      <c r="K2041">
        <v>272</v>
      </c>
      <c r="L2041" t="s">
        <v>21</v>
      </c>
      <c r="M2041" s="1">
        <v>44077</v>
      </c>
      <c r="N2041" t="s">
        <v>37</v>
      </c>
      <c r="O2041" t="s">
        <v>23</v>
      </c>
      <c r="P2041" t="str">
        <f t="shared" si="686"/>
        <v>P2040</v>
      </c>
      <c r="Q2041" t="str">
        <f t="shared" si="682"/>
        <v>Nutrition</v>
      </c>
      <c r="R2041">
        <f t="shared" si="683"/>
        <v>11</v>
      </c>
      <c r="S2041" t="str">
        <f t="shared" ca="1" si="687"/>
        <v>No</v>
      </c>
      <c r="T2041" t="str">
        <f t="shared" ca="1" si="688"/>
        <v>Mild</v>
      </c>
      <c r="U2041" t="str">
        <f t="shared" ca="1" si="689"/>
        <v>Emergency</v>
      </c>
      <c r="V2041" t="str">
        <f t="shared" si="690"/>
        <v>BED2040</v>
      </c>
      <c r="W2041" t="str">
        <f t="shared" ca="1" si="691"/>
        <v>Private</v>
      </c>
      <c r="X2041" t="str">
        <f t="shared" si="692"/>
        <v>NUR040</v>
      </c>
      <c r="Y2041" t="str">
        <f t="shared" ca="1" si="693"/>
        <v>Evening</v>
      </c>
      <c r="Z2041" t="str">
        <f t="shared" ca="1" si="694"/>
        <v>ECG Machine</v>
      </c>
      <c r="AA2041" t="str">
        <f t="shared" ca="1" si="695"/>
        <v>In Use</v>
      </c>
      <c r="AB2041" t="str">
        <f t="shared" ca="1" si="696"/>
        <v>Pending</v>
      </c>
      <c r="AC2041" t="str">
        <f t="shared" ca="1" si="697"/>
        <v>Insurance</v>
      </c>
      <c r="AD2041" t="str">
        <f t="shared" ca="1" si="698"/>
        <v>No</v>
      </c>
      <c r="AE2041" t="str">
        <f t="shared" ca="1" si="699"/>
        <v>No</v>
      </c>
      <c r="AF2041" t="str">
        <f t="shared" ca="1" si="700"/>
        <v>Transferred</v>
      </c>
      <c r="AG2041" t="str">
        <f t="shared" ca="1" si="701"/>
        <v>West Coast</v>
      </c>
      <c r="AH2041" t="str">
        <f t="shared" si="684"/>
        <v>August</v>
      </c>
      <c r="AI2041">
        <f t="shared" si="685"/>
        <v>2020</v>
      </c>
      <c r="AJ2041" t="str">
        <f t="shared" ca="1" si="702"/>
        <v>Occupied</v>
      </c>
      <c r="AK2041">
        <f t="shared" ca="1" si="703"/>
        <v>4</v>
      </c>
    </row>
    <row r="2042" spans="1:37" x14ac:dyDescent="0.3">
      <c r="A2042" t="s">
        <v>6411</v>
      </c>
      <c r="B2042">
        <v>76</v>
      </c>
      <c r="C2042" t="s">
        <v>32</v>
      </c>
      <c r="D2042" t="s">
        <v>44</v>
      </c>
      <c r="E2042" t="s">
        <v>17</v>
      </c>
      <c r="F2042" s="1">
        <v>44741</v>
      </c>
      <c r="G2042" t="s">
        <v>4047</v>
      </c>
      <c r="H2042" t="s">
        <v>4048</v>
      </c>
      <c r="I2042" t="s">
        <v>51</v>
      </c>
      <c r="J2042">
        <v>8501</v>
      </c>
      <c r="K2042">
        <v>418</v>
      </c>
      <c r="L2042" t="s">
        <v>42</v>
      </c>
      <c r="M2042" s="1">
        <v>44755</v>
      </c>
      <c r="N2042" t="s">
        <v>22</v>
      </c>
      <c r="O2042" t="s">
        <v>43</v>
      </c>
      <c r="P2042" t="str">
        <f t="shared" si="686"/>
        <v>P2041</v>
      </c>
      <c r="Q2042" t="str">
        <f t="shared" si="682"/>
        <v>Oncology</v>
      </c>
      <c r="R2042">
        <f t="shared" si="683"/>
        <v>14</v>
      </c>
      <c r="S2042" t="str">
        <f t="shared" ca="1" si="687"/>
        <v>No</v>
      </c>
      <c r="T2042" t="str">
        <f t="shared" ca="1" si="688"/>
        <v>Severe</v>
      </c>
      <c r="U2042" t="str">
        <f t="shared" ca="1" si="689"/>
        <v>Emergency</v>
      </c>
      <c r="V2042" t="str">
        <f t="shared" si="690"/>
        <v>BED2041</v>
      </c>
      <c r="W2042" t="str">
        <f t="shared" ca="1" si="691"/>
        <v>Semi-Private</v>
      </c>
      <c r="X2042" t="str">
        <f t="shared" si="692"/>
        <v>NUR041</v>
      </c>
      <c r="Y2042" t="str">
        <f t="shared" ca="1" si="693"/>
        <v>Night</v>
      </c>
      <c r="Z2042" t="str">
        <f t="shared" ca="1" si="694"/>
        <v>CT Scanner</v>
      </c>
      <c r="AA2042" t="str">
        <f t="shared" ca="1" si="695"/>
        <v>Maintenance</v>
      </c>
      <c r="AB2042" t="str">
        <f t="shared" ca="1" si="696"/>
        <v>Pending</v>
      </c>
      <c r="AC2042" t="str">
        <f t="shared" ca="1" si="697"/>
        <v>Cash</v>
      </c>
      <c r="AD2042" t="str">
        <f t="shared" ca="1" si="698"/>
        <v>No</v>
      </c>
      <c r="AE2042" t="str">
        <f t="shared" ca="1" si="699"/>
        <v>No</v>
      </c>
      <c r="AF2042" t="str">
        <f t="shared" ca="1" si="700"/>
        <v>Recovered</v>
      </c>
      <c r="AG2042" t="str">
        <f t="shared" ca="1" si="701"/>
        <v>Southeast</v>
      </c>
      <c r="AH2042" t="str">
        <f t="shared" si="684"/>
        <v>June</v>
      </c>
      <c r="AI2042">
        <f t="shared" si="685"/>
        <v>2022</v>
      </c>
      <c r="AJ2042" t="str">
        <f t="shared" ca="1" si="702"/>
        <v>Occupied</v>
      </c>
      <c r="AK2042">
        <f t="shared" ca="1" si="703"/>
        <v>1</v>
      </c>
    </row>
    <row r="2043" spans="1:37" x14ac:dyDescent="0.3">
      <c r="A2043" t="s">
        <v>6412</v>
      </c>
      <c r="B2043">
        <v>67</v>
      </c>
      <c r="C2043" t="s">
        <v>32</v>
      </c>
      <c r="D2043" t="s">
        <v>16</v>
      </c>
      <c r="E2043" t="s">
        <v>39</v>
      </c>
      <c r="F2043" s="1">
        <v>45267</v>
      </c>
      <c r="G2043" t="s">
        <v>4049</v>
      </c>
      <c r="H2043" t="s">
        <v>4050</v>
      </c>
      <c r="I2043" t="s">
        <v>51</v>
      </c>
      <c r="J2043">
        <v>32923</v>
      </c>
      <c r="K2043">
        <v>450</v>
      </c>
      <c r="L2043" t="s">
        <v>21</v>
      </c>
      <c r="M2043" s="1">
        <v>45274</v>
      </c>
      <c r="N2043" t="s">
        <v>67</v>
      </c>
      <c r="O2043" t="s">
        <v>31</v>
      </c>
      <c r="P2043" t="str">
        <f t="shared" si="686"/>
        <v>P2042</v>
      </c>
      <c r="Q2043" t="str">
        <f t="shared" si="682"/>
        <v>Endocrinology</v>
      </c>
      <c r="R2043">
        <f t="shared" si="683"/>
        <v>7</v>
      </c>
      <c r="S2043" t="str">
        <f t="shared" ca="1" si="687"/>
        <v>No</v>
      </c>
      <c r="T2043" t="str">
        <f t="shared" ca="1" si="688"/>
        <v>Severe</v>
      </c>
      <c r="U2043" t="str">
        <f t="shared" ca="1" si="689"/>
        <v>Private Ward</v>
      </c>
      <c r="V2043" t="str">
        <f t="shared" si="690"/>
        <v>BED2042</v>
      </c>
      <c r="W2043" t="str">
        <f t="shared" ca="1" si="691"/>
        <v>Semi-Private</v>
      </c>
      <c r="X2043" t="str">
        <f t="shared" si="692"/>
        <v>NUR042</v>
      </c>
      <c r="Y2043" t="str">
        <f t="shared" ca="1" si="693"/>
        <v>Evening</v>
      </c>
      <c r="Z2043" t="str">
        <f t="shared" ca="1" si="694"/>
        <v>MRI Scanner</v>
      </c>
      <c r="AA2043" t="str">
        <f t="shared" ca="1" si="695"/>
        <v>Maintenance</v>
      </c>
      <c r="AB2043" t="str">
        <f t="shared" ca="1" si="696"/>
        <v>Paid</v>
      </c>
      <c r="AC2043" t="str">
        <f t="shared" ca="1" si="697"/>
        <v>Debit Card</v>
      </c>
      <c r="AD2043" t="str">
        <f t="shared" ca="1" si="698"/>
        <v>Yes</v>
      </c>
      <c r="AE2043" t="str">
        <f t="shared" ca="1" si="699"/>
        <v>No</v>
      </c>
      <c r="AF2043" t="str">
        <f t="shared" ca="1" si="700"/>
        <v>Recovered</v>
      </c>
      <c r="AG2043" t="str">
        <f t="shared" ca="1" si="701"/>
        <v>Midwest</v>
      </c>
      <c r="AH2043" t="str">
        <f t="shared" si="684"/>
        <v>December</v>
      </c>
      <c r="AI2043">
        <f t="shared" si="685"/>
        <v>2023</v>
      </c>
      <c r="AJ2043" t="str">
        <f t="shared" ca="1" si="702"/>
        <v>Occupied</v>
      </c>
      <c r="AK2043">
        <f t="shared" ca="1" si="703"/>
        <v>4</v>
      </c>
    </row>
    <row r="2044" spans="1:37" x14ac:dyDescent="0.3">
      <c r="A2044" t="s">
        <v>6413</v>
      </c>
      <c r="B2044">
        <v>41</v>
      </c>
      <c r="C2044" t="s">
        <v>15</v>
      </c>
      <c r="D2044" t="s">
        <v>16</v>
      </c>
      <c r="E2044" t="s">
        <v>39</v>
      </c>
      <c r="F2044" s="1">
        <v>45088</v>
      </c>
      <c r="G2044" t="s">
        <v>4051</v>
      </c>
      <c r="H2044" t="s">
        <v>4052</v>
      </c>
      <c r="I2044" t="s">
        <v>28</v>
      </c>
      <c r="J2044">
        <v>45006</v>
      </c>
      <c r="K2044">
        <v>155</v>
      </c>
      <c r="L2044" t="s">
        <v>29</v>
      </c>
      <c r="M2044" s="1">
        <v>45090</v>
      </c>
      <c r="N2044" t="s">
        <v>22</v>
      </c>
      <c r="O2044" t="s">
        <v>23</v>
      </c>
      <c r="P2044" t="str">
        <f t="shared" si="686"/>
        <v>P2043</v>
      </c>
      <c r="Q2044" t="str">
        <f t="shared" si="682"/>
        <v>Endocrinology</v>
      </c>
      <c r="R2044">
        <f t="shared" si="683"/>
        <v>2</v>
      </c>
      <c r="S2044" t="str">
        <f t="shared" ca="1" si="687"/>
        <v>No</v>
      </c>
      <c r="T2044" t="str">
        <f t="shared" ca="1" si="688"/>
        <v>Mild</v>
      </c>
      <c r="U2044" t="str">
        <f t="shared" ca="1" si="689"/>
        <v>Private Ward</v>
      </c>
      <c r="V2044" t="str">
        <f t="shared" si="690"/>
        <v>BED2043</v>
      </c>
      <c r="W2044" t="str">
        <f t="shared" ca="1" si="691"/>
        <v>ICU</v>
      </c>
      <c r="X2044" t="str">
        <f t="shared" si="692"/>
        <v>NUR043</v>
      </c>
      <c r="Y2044" t="str">
        <f t="shared" ca="1" si="693"/>
        <v>Night</v>
      </c>
      <c r="Z2044" t="str">
        <f t="shared" ca="1" si="694"/>
        <v>Ventilator</v>
      </c>
      <c r="AA2044" t="str">
        <f t="shared" ca="1" si="695"/>
        <v>In Use</v>
      </c>
      <c r="AB2044" t="str">
        <f t="shared" ca="1" si="696"/>
        <v>Partially Paid</v>
      </c>
      <c r="AC2044" t="str">
        <f t="shared" ca="1" si="697"/>
        <v>Cash</v>
      </c>
      <c r="AD2044" t="str">
        <f t="shared" ca="1" si="698"/>
        <v>No</v>
      </c>
      <c r="AE2044" t="str">
        <f t="shared" ca="1" si="699"/>
        <v>No</v>
      </c>
      <c r="AF2044" t="str">
        <f t="shared" ca="1" si="700"/>
        <v>Transferred</v>
      </c>
      <c r="AG2044" t="str">
        <f t="shared" ca="1" si="701"/>
        <v>West Coast</v>
      </c>
      <c r="AH2044" t="str">
        <f t="shared" si="684"/>
        <v>June</v>
      </c>
      <c r="AI2044">
        <f t="shared" si="685"/>
        <v>2023</v>
      </c>
      <c r="AJ2044" t="str">
        <f t="shared" ca="1" si="702"/>
        <v>Occupied</v>
      </c>
      <c r="AK2044">
        <f t="shared" ca="1" si="703"/>
        <v>1</v>
      </c>
    </row>
    <row r="2045" spans="1:37" x14ac:dyDescent="0.3">
      <c r="A2045" t="s">
        <v>6414</v>
      </c>
      <c r="B2045">
        <v>73</v>
      </c>
      <c r="C2045" t="s">
        <v>32</v>
      </c>
      <c r="D2045" t="s">
        <v>44</v>
      </c>
      <c r="E2045" t="s">
        <v>48</v>
      </c>
      <c r="F2045" s="1">
        <v>43919</v>
      </c>
      <c r="G2045" t="s">
        <v>4053</v>
      </c>
      <c r="H2045" t="s">
        <v>4054</v>
      </c>
      <c r="I2045" t="s">
        <v>20</v>
      </c>
      <c r="J2045">
        <v>20394</v>
      </c>
      <c r="K2045">
        <v>409</v>
      </c>
      <c r="L2045" t="s">
        <v>21</v>
      </c>
      <c r="M2045" s="1">
        <v>43930</v>
      </c>
      <c r="N2045" t="s">
        <v>37</v>
      </c>
      <c r="O2045" t="s">
        <v>23</v>
      </c>
      <c r="P2045" t="str">
        <f t="shared" si="686"/>
        <v>P2044</v>
      </c>
      <c r="Q2045" t="str">
        <f t="shared" si="682"/>
        <v>Pulmonology</v>
      </c>
      <c r="R2045">
        <f t="shared" si="683"/>
        <v>11</v>
      </c>
      <c r="S2045" t="str">
        <f t="shared" ca="1" si="687"/>
        <v>No</v>
      </c>
      <c r="T2045" t="str">
        <f t="shared" ca="1" si="688"/>
        <v>Severe</v>
      </c>
      <c r="U2045" t="str">
        <f t="shared" ca="1" si="689"/>
        <v>Emergency</v>
      </c>
      <c r="V2045" t="str">
        <f t="shared" si="690"/>
        <v>BED2044</v>
      </c>
      <c r="W2045" t="str">
        <f t="shared" ca="1" si="691"/>
        <v>Private</v>
      </c>
      <c r="X2045" t="str">
        <f t="shared" si="692"/>
        <v>NUR044</v>
      </c>
      <c r="Y2045" t="str">
        <f t="shared" ca="1" si="693"/>
        <v>Morning</v>
      </c>
      <c r="Z2045" t="str">
        <f t="shared" ca="1" si="694"/>
        <v>CT Scanner</v>
      </c>
      <c r="AA2045" t="str">
        <f t="shared" ca="1" si="695"/>
        <v>In Use</v>
      </c>
      <c r="AB2045" t="str">
        <f t="shared" ca="1" si="696"/>
        <v>Paid</v>
      </c>
      <c r="AC2045" t="str">
        <f t="shared" ca="1" si="697"/>
        <v>Debit Card</v>
      </c>
      <c r="AD2045" t="str">
        <f t="shared" ca="1" si="698"/>
        <v>No</v>
      </c>
      <c r="AE2045" t="str">
        <f t="shared" ca="1" si="699"/>
        <v>No</v>
      </c>
      <c r="AF2045" t="str">
        <f t="shared" ca="1" si="700"/>
        <v>Transferred</v>
      </c>
      <c r="AG2045" t="str">
        <f t="shared" ca="1" si="701"/>
        <v>West Coast</v>
      </c>
      <c r="AH2045" t="str">
        <f t="shared" si="684"/>
        <v>March</v>
      </c>
      <c r="AI2045">
        <f t="shared" si="685"/>
        <v>2020</v>
      </c>
      <c r="AJ2045" t="str">
        <f t="shared" ca="1" si="702"/>
        <v>Occupied</v>
      </c>
      <c r="AK2045">
        <f t="shared" ca="1" si="703"/>
        <v>2</v>
      </c>
    </row>
    <row r="2046" spans="1:37" x14ac:dyDescent="0.3">
      <c r="A2046" t="s">
        <v>6415</v>
      </c>
      <c r="B2046">
        <v>22</v>
      </c>
      <c r="C2046" t="s">
        <v>15</v>
      </c>
      <c r="D2046" t="s">
        <v>44</v>
      </c>
      <c r="E2046" t="s">
        <v>39</v>
      </c>
      <c r="F2046" s="1">
        <v>44327</v>
      </c>
      <c r="G2046" t="s">
        <v>4055</v>
      </c>
      <c r="H2046" t="s">
        <v>4056</v>
      </c>
      <c r="I2046" t="s">
        <v>36</v>
      </c>
      <c r="J2046">
        <v>20874</v>
      </c>
      <c r="K2046">
        <v>108</v>
      </c>
      <c r="L2046" t="s">
        <v>42</v>
      </c>
      <c r="M2046" s="1">
        <v>44332</v>
      </c>
      <c r="N2046" t="s">
        <v>22</v>
      </c>
      <c r="O2046" t="s">
        <v>31</v>
      </c>
      <c r="P2046" t="str">
        <f t="shared" si="686"/>
        <v>P2045</v>
      </c>
      <c r="Q2046" t="str">
        <f t="shared" si="682"/>
        <v>Endocrinology</v>
      </c>
      <c r="R2046">
        <f t="shared" si="683"/>
        <v>5</v>
      </c>
      <c r="S2046" t="str">
        <f t="shared" ca="1" si="687"/>
        <v>No</v>
      </c>
      <c r="T2046" t="str">
        <f t="shared" ca="1" si="688"/>
        <v>Mild</v>
      </c>
      <c r="U2046" t="str">
        <f t="shared" ca="1" si="689"/>
        <v>ICU</v>
      </c>
      <c r="V2046" t="str">
        <f t="shared" si="690"/>
        <v>BED2045</v>
      </c>
      <c r="W2046" t="str">
        <f t="shared" ca="1" si="691"/>
        <v>Private</v>
      </c>
      <c r="X2046" t="str">
        <f t="shared" si="692"/>
        <v>NUR045</v>
      </c>
      <c r="Y2046" t="str">
        <f t="shared" ca="1" si="693"/>
        <v>Night</v>
      </c>
      <c r="Z2046" t="str">
        <f t="shared" ca="1" si="694"/>
        <v>Ventilator</v>
      </c>
      <c r="AA2046" t="str">
        <f t="shared" ca="1" si="695"/>
        <v>Maintenance</v>
      </c>
      <c r="AB2046" t="str">
        <f t="shared" ca="1" si="696"/>
        <v>Partially Paid</v>
      </c>
      <c r="AC2046" t="str">
        <f t="shared" ca="1" si="697"/>
        <v>Insurance</v>
      </c>
      <c r="AD2046" t="str">
        <f t="shared" ca="1" si="698"/>
        <v>No</v>
      </c>
      <c r="AE2046" t="str">
        <f t="shared" ca="1" si="699"/>
        <v>No</v>
      </c>
      <c r="AF2046" t="str">
        <f t="shared" ca="1" si="700"/>
        <v>Under Observation</v>
      </c>
      <c r="AG2046" t="str">
        <f t="shared" ca="1" si="701"/>
        <v>Southeast</v>
      </c>
      <c r="AH2046" t="str">
        <f t="shared" si="684"/>
        <v>May</v>
      </c>
      <c r="AI2046">
        <f t="shared" si="685"/>
        <v>2021</v>
      </c>
      <c r="AJ2046" t="str">
        <f t="shared" ca="1" si="702"/>
        <v>Occupied</v>
      </c>
      <c r="AK2046">
        <f t="shared" ca="1" si="703"/>
        <v>2</v>
      </c>
    </row>
    <row r="2047" spans="1:37" x14ac:dyDescent="0.3">
      <c r="A2047" t="s">
        <v>6416</v>
      </c>
      <c r="B2047">
        <v>46</v>
      </c>
      <c r="C2047" t="s">
        <v>15</v>
      </c>
      <c r="D2047" t="s">
        <v>33</v>
      </c>
      <c r="E2047" t="s">
        <v>39</v>
      </c>
      <c r="F2047" s="1">
        <v>44276</v>
      </c>
      <c r="G2047" t="s">
        <v>4057</v>
      </c>
      <c r="H2047" t="s">
        <v>4058</v>
      </c>
      <c r="I2047" t="s">
        <v>28</v>
      </c>
      <c r="J2047">
        <v>44525</v>
      </c>
      <c r="K2047">
        <v>196</v>
      </c>
      <c r="L2047" t="s">
        <v>42</v>
      </c>
      <c r="M2047" s="1">
        <v>44305</v>
      </c>
      <c r="N2047" t="s">
        <v>22</v>
      </c>
      <c r="O2047" t="s">
        <v>31</v>
      </c>
      <c r="P2047" t="str">
        <f t="shared" si="686"/>
        <v>P2046</v>
      </c>
      <c r="Q2047" t="str">
        <f t="shared" si="682"/>
        <v>Endocrinology</v>
      </c>
      <c r="R2047">
        <f t="shared" si="683"/>
        <v>29</v>
      </c>
      <c r="S2047" t="str">
        <f t="shared" ca="1" si="687"/>
        <v>Yes</v>
      </c>
      <c r="T2047" t="str">
        <f t="shared" ca="1" si="688"/>
        <v>Moderate</v>
      </c>
      <c r="U2047" t="str">
        <f t="shared" ca="1" si="689"/>
        <v>General Ward</v>
      </c>
      <c r="V2047" t="str">
        <f t="shared" si="690"/>
        <v>BED2046</v>
      </c>
      <c r="W2047" t="str">
        <f t="shared" ca="1" si="691"/>
        <v>General</v>
      </c>
      <c r="X2047" t="str">
        <f t="shared" si="692"/>
        <v>NUR046</v>
      </c>
      <c r="Y2047" t="str">
        <f t="shared" ca="1" si="693"/>
        <v>Morning</v>
      </c>
      <c r="Z2047" t="str">
        <f t="shared" ca="1" si="694"/>
        <v>ECG Machine</v>
      </c>
      <c r="AA2047" t="str">
        <f t="shared" ca="1" si="695"/>
        <v>In Use</v>
      </c>
      <c r="AB2047" t="str">
        <f t="shared" ca="1" si="696"/>
        <v>Pending</v>
      </c>
      <c r="AC2047" t="str">
        <f t="shared" ca="1" si="697"/>
        <v>Credit Card</v>
      </c>
      <c r="AD2047" t="str">
        <f t="shared" ca="1" si="698"/>
        <v>Yes</v>
      </c>
      <c r="AE2047" t="str">
        <f t="shared" ca="1" si="699"/>
        <v>No</v>
      </c>
      <c r="AF2047" t="str">
        <f t="shared" ca="1" si="700"/>
        <v>Recovered</v>
      </c>
      <c r="AG2047" t="str">
        <f t="shared" ca="1" si="701"/>
        <v>Northeast</v>
      </c>
      <c r="AH2047" t="str">
        <f t="shared" si="684"/>
        <v>March</v>
      </c>
      <c r="AI2047">
        <f t="shared" si="685"/>
        <v>2021</v>
      </c>
      <c r="AJ2047" t="str">
        <f t="shared" ca="1" si="702"/>
        <v>Occupied</v>
      </c>
      <c r="AK2047">
        <f t="shared" ca="1" si="703"/>
        <v>4</v>
      </c>
    </row>
    <row r="2048" spans="1:37" x14ac:dyDescent="0.3">
      <c r="A2048" t="s">
        <v>6298</v>
      </c>
      <c r="B2048">
        <v>30</v>
      </c>
      <c r="C2048" t="s">
        <v>32</v>
      </c>
      <c r="D2048" t="s">
        <v>98</v>
      </c>
      <c r="E2048" t="s">
        <v>25</v>
      </c>
      <c r="F2048" s="1">
        <v>43596</v>
      </c>
      <c r="G2048" t="s">
        <v>4059</v>
      </c>
      <c r="H2048" t="s">
        <v>4060</v>
      </c>
      <c r="I2048" t="s">
        <v>51</v>
      </c>
      <c r="J2048">
        <v>6549</v>
      </c>
      <c r="K2048">
        <v>338</v>
      </c>
      <c r="L2048" t="s">
        <v>42</v>
      </c>
      <c r="M2048" s="1">
        <v>43617</v>
      </c>
      <c r="N2048" t="s">
        <v>22</v>
      </c>
      <c r="O2048" t="s">
        <v>43</v>
      </c>
      <c r="P2048" t="str">
        <f t="shared" si="686"/>
        <v>P2047</v>
      </c>
      <c r="Q2048" t="str">
        <f t="shared" si="682"/>
        <v>Nutrition</v>
      </c>
      <c r="R2048">
        <f t="shared" si="683"/>
        <v>21</v>
      </c>
      <c r="S2048" t="str">
        <f t="shared" ca="1" si="687"/>
        <v>No</v>
      </c>
      <c r="T2048" t="str">
        <f t="shared" ca="1" si="688"/>
        <v>Mild</v>
      </c>
      <c r="U2048" t="str">
        <f t="shared" ca="1" si="689"/>
        <v>General Ward</v>
      </c>
      <c r="V2048" t="str">
        <f t="shared" si="690"/>
        <v>BED2047</v>
      </c>
      <c r="W2048" t="str">
        <f t="shared" ca="1" si="691"/>
        <v>General</v>
      </c>
      <c r="X2048" t="str">
        <f t="shared" si="692"/>
        <v>NUR047</v>
      </c>
      <c r="Y2048" t="str">
        <f t="shared" ca="1" si="693"/>
        <v>Morning</v>
      </c>
      <c r="Z2048" t="str">
        <f t="shared" ca="1" si="694"/>
        <v>ECG Machine</v>
      </c>
      <c r="AA2048" t="str">
        <f t="shared" ca="1" si="695"/>
        <v>Maintenance</v>
      </c>
      <c r="AB2048" t="str">
        <f t="shared" ca="1" si="696"/>
        <v>Paid</v>
      </c>
      <c r="AC2048" t="str">
        <f t="shared" ca="1" si="697"/>
        <v>Cash</v>
      </c>
      <c r="AD2048" t="str">
        <f t="shared" ca="1" si="698"/>
        <v>No</v>
      </c>
      <c r="AE2048" t="str">
        <f t="shared" ca="1" si="699"/>
        <v>No</v>
      </c>
      <c r="AF2048" t="str">
        <f t="shared" ca="1" si="700"/>
        <v>Recovered</v>
      </c>
      <c r="AG2048" t="str">
        <f t="shared" ca="1" si="701"/>
        <v>Midwest</v>
      </c>
      <c r="AH2048" t="str">
        <f t="shared" si="684"/>
        <v>May</v>
      </c>
      <c r="AI2048">
        <f t="shared" si="685"/>
        <v>2019</v>
      </c>
      <c r="AJ2048" t="str">
        <f t="shared" ca="1" si="702"/>
        <v>Occupied</v>
      </c>
      <c r="AK2048">
        <f t="shared" ca="1" si="703"/>
        <v>4</v>
      </c>
    </row>
    <row r="2049" spans="1:37" x14ac:dyDescent="0.3">
      <c r="A2049" t="s">
        <v>6417</v>
      </c>
      <c r="B2049">
        <v>55</v>
      </c>
      <c r="C2049" t="s">
        <v>32</v>
      </c>
      <c r="D2049" t="s">
        <v>38</v>
      </c>
      <c r="E2049" t="s">
        <v>17</v>
      </c>
      <c r="F2049" s="1">
        <v>45033</v>
      </c>
      <c r="G2049" t="s">
        <v>4061</v>
      </c>
      <c r="H2049" t="s">
        <v>4062</v>
      </c>
      <c r="I2049" t="s">
        <v>51</v>
      </c>
      <c r="J2049">
        <v>13964</v>
      </c>
      <c r="K2049">
        <v>146</v>
      </c>
      <c r="L2049" t="s">
        <v>29</v>
      </c>
      <c r="M2049" s="1">
        <v>45052</v>
      </c>
      <c r="N2049" t="s">
        <v>30</v>
      </c>
      <c r="O2049" t="s">
        <v>31</v>
      </c>
      <c r="P2049" t="str">
        <f t="shared" si="686"/>
        <v>P2048</v>
      </c>
      <c r="Q2049" t="str">
        <f t="shared" si="682"/>
        <v>Oncology</v>
      </c>
      <c r="R2049">
        <f t="shared" si="683"/>
        <v>19</v>
      </c>
      <c r="S2049" t="str">
        <f t="shared" ca="1" si="687"/>
        <v>No</v>
      </c>
      <c r="T2049" t="str">
        <f t="shared" ca="1" si="688"/>
        <v>Severe</v>
      </c>
      <c r="U2049" t="str">
        <f t="shared" ca="1" si="689"/>
        <v>Private Ward</v>
      </c>
      <c r="V2049" t="str">
        <f t="shared" si="690"/>
        <v>BED2048</v>
      </c>
      <c r="W2049" t="str">
        <f t="shared" ca="1" si="691"/>
        <v>Semi-Private</v>
      </c>
      <c r="X2049" t="str">
        <f t="shared" si="692"/>
        <v>NUR048</v>
      </c>
      <c r="Y2049" t="str">
        <f t="shared" ca="1" si="693"/>
        <v>Morning</v>
      </c>
      <c r="Z2049" t="str">
        <f t="shared" ca="1" si="694"/>
        <v>MRI Scanner</v>
      </c>
      <c r="AA2049" t="str">
        <f t="shared" ca="1" si="695"/>
        <v>In Use</v>
      </c>
      <c r="AB2049" t="str">
        <f t="shared" ca="1" si="696"/>
        <v>Paid</v>
      </c>
      <c r="AC2049" t="str">
        <f t="shared" ca="1" si="697"/>
        <v>Credit Card</v>
      </c>
      <c r="AD2049" t="str">
        <f t="shared" ca="1" si="698"/>
        <v>No</v>
      </c>
      <c r="AE2049" t="str">
        <f t="shared" ca="1" si="699"/>
        <v>No</v>
      </c>
      <c r="AF2049" t="str">
        <f t="shared" ca="1" si="700"/>
        <v>Under Observation</v>
      </c>
      <c r="AG2049" t="str">
        <f t="shared" ca="1" si="701"/>
        <v>West Coast</v>
      </c>
      <c r="AH2049" t="str">
        <f t="shared" si="684"/>
        <v>April</v>
      </c>
      <c r="AI2049">
        <f t="shared" si="685"/>
        <v>2023</v>
      </c>
      <c r="AJ2049" t="str">
        <f t="shared" ca="1" si="702"/>
        <v>Vacant</v>
      </c>
      <c r="AK2049">
        <f t="shared" ca="1" si="703"/>
        <v>4</v>
      </c>
    </row>
    <row r="2050" spans="1:37" x14ac:dyDescent="0.3">
      <c r="A2050" t="s">
        <v>3795</v>
      </c>
      <c r="B2050">
        <v>68</v>
      </c>
      <c r="C2050" t="s">
        <v>32</v>
      </c>
      <c r="D2050" t="s">
        <v>44</v>
      </c>
      <c r="E2050" t="s">
        <v>48</v>
      </c>
      <c r="F2050" s="1">
        <v>44048</v>
      </c>
      <c r="G2050" t="s">
        <v>4063</v>
      </c>
      <c r="H2050" t="s">
        <v>4064</v>
      </c>
      <c r="I2050" t="s">
        <v>57</v>
      </c>
      <c r="J2050">
        <v>35523</v>
      </c>
      <c r="K2050">
        <v>228</v>
      </c>
      <c r="L2050" t="s">
        <v>21</v>
      </c>
      <c r="M2050" s="1">
        <v>44068</v>
      </c>
      <c r="N2050" t="s">
        <v>30</v>
      </c>
      <c r="O2050" t="s">
        <v>31</v>
      </c>
      <c r="P2050" t="str">
        <f t="shared" si="686"/>
        <v>P2049</v>
      </c>
      <c r="Q2050" t="str">
        <f t="shared" ref="Q2050:Q2113" si="704">IF(E2050="Cancer","Oncology",IF(E2050="Obesity","Nutrition",IF(E2050="Diabetes","Endocrinology",IF(E2050="Asthma","Pulmonology",IF(E2050="Arthritis","Orthopedics",IF(E2050="Hypertension","Cardiology","General Medicine"))))))</f>
        <v>Pulmonology</v>
      </c>
      <c r="R2050">
        <f t="shared" ref="R2050:R2113" si="705">M2050-F2050</f>
        <v>20</v>
      </c>
      <c r="S2050" t="str">
        <f t="shared" ca="1" si="687"/>
        <v>No</v>
      </c>
      <c r="T2050" t="str">
        <f t="shared" ca="1" si="688"/>
        <v>Moderate</v>
      </c>
      <c r="U2050" t="str">
        <f t="shared" ca="1" si="689"/>
        <v>Semi-Private</v>
      </c>
      <c r="V2050" t="str">
        <f t="shared" si="690"/>
        <v>BED2049</v>
      </c>
      <c r="W2050" t="str">
        <f t="shared" ca="1" si="691"/>
        <v>Private</v>
      </c>
      <c r="X2050" t="str">
        <f t="shared" si="692"/>
        <v>NUR049</v>
      </c>
      <c r="Y2050" t="str">
        <f t="shared" ca="1" si="693"/>
        <v>Evening</v>
      </c>
      <c r="Z2050" t="str">
        <f t="shared" ca="1" si="694"/>
        <v>Ventilator</v>
      </c>
      <c r="AA2050" t="str">
        <f t="shared" ca="1" si="695"/>
        <v>Maintenance</v>
      </c>
      <c r="AB2050" t="str">
        <f t="shared" ca="1" si="696"/>
        <v>Pending</v>
      </c>
      <c r="AC2050" t="str">
        <f t="shared" ca="1" si="697"/>
        <v>Cash</v>
      </c>
      <c r="AD2050" t="str">
        <f t="shared" ca="1" si="698"/>
        <v>No</v>
      </c>
      <c r="AE2050" t="str">
        <f t="shared" ca="1" si="699"/>
        <v>No</v>
      </c>
      <c r="AF2050" t="str">
        <f t="shared" ca="1" si="700"/>
        <v>Under Observation</v>
      </c>
      <c r="AG2050" t="str">
        <f t="shared" ca="1" si="701"/>
        <v>Southwest</v>
      </c>
      <c r="AH2050" t="str">
        <f t="shared" ref="AH2050:AH2113" si="706">TEXT(F2050,"MMMM")</f>
        <v>August</v>
      </c>
      <c r="AI2050">
        <f t="shared" ref="AI2050:AI2113" si="707">YEAR(F2050)</f>
        <v>2020</v>
      </c>
      <c r="AJ2050" t="str">
        <f t="shared" ca="1" si="702"/>
        <v>Occupied</v>
      </c>
      <c r="AK2050">
        <f t="shared" ca="1" si="703"/>
        <v>4</v>
      </c>
    </row>
    <row r="2051" spans="1:37" x14ac:dyDescent="0.3">
      <c r="A2051" t="s">
        <v>6418</v>
      </c>
      <c r="B2051">
        <v>18</v>
      </c>
      <c r="C2051" t="s">
        <v>32</v>
      </c>
      <c r="D2051" t="s">
        <v>16</v>
      </c>
      <c r="E2051" t="s">
        <v>48</v>
      </c>
      <c r="F2051" s="1">
        <v>44322</v>
      </c>
      <c r="G2051" t="s">
        <v>4065</v>
      </c>
      <c r="H2051" t="s">
        <v>4066</v>
      </c>
      <c r="I2051" t="s">
        <v>51</v>
      </c>
      <c r="J2051">
        <v>40391</v>
      </c>
      <c r="K2051">
        <v>387</v>
      </c>
      <c r="L2051" t="s">
        <v>42</v>
      </c>
      <c r="M2051" s="1">
        <v>44348</v>
      </c>
      <c r="N2051" t="s">
        <v>37</v>
      </c>
      <c r="O2051" t="s">
        <v>43</v>
      </c>
      <c r="P2051" t="str">
        <f t="shared" ref="P2051:P2114" si="708">"P"&amp;TEXT(ROW()-1,"0000")</f>
        <v>P2050</v>
      </c>
      <c r="Q2051" t="str">
        <f t="shared" si="704"/>
        <v>Pulmonology</v>
      </c>
      <c r="R2051">
        <f t="shared" si="705"/>
        <v>26</v>
      </c>
      <c r="S2051" t="str">
        <f t="shared" ref="S2051:S2114" ca="1" si="709">IF(RAND()&lt;0.1,"Yes","No")</f>
        <v>No</v>
      </c>
      <c r="T2051" t="str">
        <f t="shared" ref="T2051:T2114" ca="1" si="710">CHOOSE(RANDBETWEEN(1,4),"Mild","Moderate","Severe","Critical")</f>
        <v>Moderate</v>
      </c>
      <c r="U2051" t="str">
        <f t="shared" ref="U2051:U2114" ca="1" si="711">CHOOSE(RANDBETWEEN(1,5),"General Ward","ICU","Emergency","Private Ward","Semi-Private")</f>
        <v>Semi-Private</v>
      </c>
      <c r="V2051" t="str">
        <f t="shared" ref="V2051:V2114" si="712">"BED"&amp;TEXT(ROW()-1,"0000")</f>
        <v>BED2050</v>
      </c>
      <c r="W2051" t="str">
        <f t="shared" ref="W2051:W2114" ca="1" si="713">CHOOSE(RANDBETWEEN(1,4),"General","Private","Semi-Private","ICU")</f>
        <v>ICU</v>
      </c>
      <c r="X2051" t="str">
        <f t="shared" ref="X2051:X2114" si="714">"NUR"&amp;TEXT(MOD(ROW()-2,50)+1,"000")</f>
        <v>NUR050</v>
      </c>
      <c r="Y2051" t="str">
        <f t="shared" ref="Y2051:Y2114" ca="1" si="715">CHOOSE(RANDBETWEEN(1,3),"Morning","Evening","Night")</f>
        <v>Morning</v>
      </c>
      <c r="Z2051" t="str">
        <f t="shared" ref="Z2051:Z2114" ca="1" si="716">CHOOSE(RANDBETWEEN(1,6),"MRI Scanner","CT Scanner","Ventilator","X-Ray","ECG Machine","Ultrasound")</f>
        <v>Ultrasound</v>
      </c>
      <c r="AA2051" t="str">
        <f t="shared" ref="AA2051:AA2114" ca="1" si="717">CHOOSE(RANDBETWEEN(1,3),"Available","In Use","Maintenance")</f>
        <v>Available</v>
      </c>
      <c r="AB2051" t="str">
        <f t="shared" ref="AB2051:AB2114" ca="1" si="718">CHOOSE(RANDBETWEEN(1,3),"Paid","Pending","Partially Paid")</f>
        <v>Partially Paid</v>
      </c>
      <c r="AC2051" t="str">
        <f t="shared" ref="AC2051:AC2114" ca="1" si="719">CHOOSE(RANDBETWEEN(1,5),"Cash","Credit Card","Debit Card","Insurance","Bank Transfer")</f>
        <v>Insurance</v>
      </c>
      <c r="AD2051" t="str">
        <f t="shared" ref="AD2051:AD2114" ca="1" si="720">IF(RAND()&lt;0.2,"Yes","No")</f>
        <v>Yes</v>
      </c>
      <c r="AE2051" t="str">
        <f t="shared" ref="AE2051:AE2114" ca="1" si="721">IF(RAND()&lt;0.15,"Yes","No")</f>
        <v>No</v>
      </c>
      <c r="AF2051" t="str">
        <f t="shared" ref="AF2051:AF2114" ca="1" si="722">CHOOSE(RANDBETWEEN(1,3),"Recovered","Transferred","Under Observation")</f>
        <v>Recovered</v>
      </c>
      <c r="AG2051" t="str">
        <f t="shared" ref="AG2051:AG2114" ca="1" si="723">CHOOSE(RANDBETWEEN(1,5),"Northeast","Southeast","Midwest","Southwest","West Coast")</f>
        <v>Southwest</v>
      </c>
      <c r="AH2051" t="str">
        <f t="shared" si="706"/>
        <v>May</v>
      </c>
      <c r="AI2051">
        <f t="shared" si="707"/>
        <v>2021</v>
      </c>
      <c r="AJ2051" t="str">
        <f t="shared" ref="AJ2051:AJ2114" ca="1" si="724">IF(RANDBETWEEN(1,100)&lt;=80,"Occupied","Vacant")</f>
        <v>Occupied</v>
      </c>
      <c r="AK2051">
        <f t="shared" ref="AK2051:AK2114" ca="1" si="725">CHOOSE(RANDBETWEEN(1,3),1,2,4)</f>
        <v>1</v>
      </c>
    </row>
    <row r="2052" spans="1:37" x14ac:dyDescent="0.3">
      <c r="A2052" t="s">
        <v>6419</v>
      </c>
      <c r="B2052">
        <v>73</v>
      </c>
      <c r="C2052" t="s">
        <v>15</v>
      </c>
      <c r="D2052" t="s">
        <v>98</v>
      </c>
      <c r="E2052" t="s">
        <v>76</v>
      </c>
      <c r="F2052" s="1">
        <v>45271</v>
      </c>
      <c r="G2052" t="s">
        <v>4067</v>
      </c>
      <c r="H2052" t="s">
        <v>1649</v>
      </c>
      <c r="I2052" t="s">
        <v>51</v>
      </c>
      <c r="J2052">
        <v>35325</v>
      </c>
      <c r="K2052">
        <v>429</v>
      </c>
      <c r="L2052" t="s">
        <v>42</v>
      </c>
      <c r="M2052" s="1">
        <v>45291</v>
      </c>
      <c r="N2052" t="s">
        <v>37</v>
      </c>
      <c r="O2052" t="s">
        <v>23</v>
      </c>
      <c r="P2052" t="str">
        <f t="shared" si="708"/>
        <v>P2051</v>
      </c>
      <c r="Q2052" t="str">
        <f t="shared" si="704"/>
        <v>Orthopedics</v>
      </c>
      <c r="R2052">
        <f t="shared" si="705"/>
        <v>20</v>
      </c>
      <c r="S2052" t="str">
        <f t="shared" ca="1" si="709"/>
        <v>No</v>
      </c>
      <c r="T2052" t="str">
        <f t="shared" ca="1" si="710"/>
        <v>Mild</v>
      </c>
      <c r="U2052" t="str">
        <f t="shared" ca="1" si="711"/>
        <v>Emergency</v>
      </c>
      <c r="V2052" t="str">
        <f t="shared" si="712"/>
        <v>BED2051</v>
      </c>
      <c r="W2052" t="str">
        <f t="shared" ca="1" si="713"/>
        <v>Semi-Private</v>
      </c>
      <c r="X2052" t="str">
        <f t="shared" si="714"/>
        <v>NUR001</v>
      </c>
      <c r="Y2052" t="str">
        <f t="shared" ca="1" si="715"/>
        <v>Evening</v>
      </c>
      <c r="Z2052" t="str">
        <f t="shared" ca="1" si="716"/>
        <v>MRI Scanner</v>
      </c>
      <c r="AA2052" t="str">
        <f t="shared" ca="1" si="717"/>
        <v>Maintenance</v>
      </c>
      <c r="AB2052" t="str">
        <f t="shared" ca="1" si="718"/>
        <v>Pending</v>
      </c>
      <c r="AC2052" t="str">
        <f t="shared" ca="1" si="719"/>
        <v>Credit Card</v>
      </c>
      <c r="AD2052" t="str">
        <f t="shared" ca="1" si="720"/>
        <v>Yes</v>
      </c>
      <c r="AE2052" t="str">
        <f t="shared" ca="1" si="721"/>
        <v>No</v>
      </c>
      <c r="AF2052" t="str">
        <f t="shared" ca="1" si="722"/>
        <v>Recovered</v>
      </c>
      <c r="AG2052" t="str">
        <f t="shared" ca="1" si="723"/>
        <v>Southeast</v>
      </c>
      <c r="AH2052" t="str">
        <f t="shared" si="706"/>
        <v>December</v>
      </c>
      <c r="AI2052">
        <f t="shared" si="707"/>
        <v>2023</v>
      </c>
      <c r="AJ2052" t="str">
        <f t="shared" ca="1" si="724"/>
        <v>Occupied</v>
      </c>
      <c r="AK2052">
        <f t="shared" ca="1" si="725"/>
        <v>1</v>
      </c>
    </row>
    <row r="2053" spans="1:37" x14ac:dyDescent="0.3">
      <c r="A2053" t="s">
        <v>6420</v>
      </c>
      <c r="B2053">
        <v>69</v>
      </c>
      <c r="C2053" t="s">
        <v>15</v>
      </c>
      <c r="D2053" t="s">
        <v>33</v>
      </c>
      <c r="E2053" t="s">
        <v>25</v>
      </c>
      <c r="F2053" s="1">
        <v>44333</v>
      </c>
      <c r="G2053" t="s">
        <v>4068</v>
      </c>
      <c r="H2053" t="s">
        <v>4069</v>
      </c>
      <c r="I2053" t="s">
        <v>36</v>
      </c>
      <c r="J2053">
        <v>5403</v>
      </c>
      <c r="K2053">
        <v>455</v>
      </c>
      <c r="L2053" t="s">
        <v>29</v>
      </c>
      <c r="M2053" s="1">
        <v>44334</v>
      </c>
      <c r="N2053" t="s">
        <v>67</v>
      </c>
      <c r="O2053" t="s">
        <v>31</v>
      </c>
      <c r="P2053" t="str">
        <f t="shared" si="708"/>
        <v>P2052</v>
      </c>
      <c r="Q2053" t="str">
        <f t="shared" si="704"/>
        <v>Nutrition</v>
      </c>
      <c r="R2053">
        <f t="shared" si="705"/>
        <v>1</v>
      </c>
      <c r="S2053" t="str">
        <f t="shared" ca="1" si="709"/>
        <v>No</v>
      </c>
      <c r="T2053" t="str">
        <f t="shared" ca="1" si="710"/>
        <v>Mild</v>
      </c>
      <c r="U2053" t="str">
        <f t="shared" ca="1" si="711"/>
        <v>General Ward</v>
      </c>
      <c r="V2053" t="str">
        <f t="shared" si="712"/>
        <v>BED2052</v>
      </c>
      <c r="W2053" t="str">
        <f t="shared" ca="1" si="713"/>
        <v>Private</v>
      </c>
      <c r="X2053" t="str">
        <f t="shared" si="714"/>
        <v>NUR002</v>
      </c>
      <c r="Y2053" t="str">
        <f t="shared" ca="1" si="715"/>
        <v>Night</v>
      </c>
      <c r="Z2053" t="str">
        <f t="shared" ca="1" si="716"/>
        <v>Ventilator</v>
      </c>
      <c r="AA2053" t="str">
        <f t="shared" ca="1" si="717"/>
        <v>Maintenance</v>
      </c>
      <c r="AB2053" t="str">
        <f t="shared" ca="1" si="718"/>
        <v>Partially Paid</v>
      </c>
      <c r="AC2053" t="str">
        <f t="shared" ca="1" si="719"/>
        <v>Credit Card</v>
      </c>
      <c r="AD2053" t="str">
        <f t="shared" ca="1" si="720"/>
        <v>No</v>
      </c>
      <c r="AE2053" t="str">
        <f t="shared" ca="1" si="721"/>
        <v>No</v>
      </c>
      <c r="AF2053" t="str">
        <f t="shared" ca="1" si="722"/>
        <v>Under Observation</v>
      </c>
      <c r="AG2053" t="str">
        <f t="shared" ca="1" si="723"/>
        <v>Southwest</v>
      </c>
      <c r="AH2053" t="str">
        <f t="shared" si="706"/>
        <v>May</v>
      </c>
      <c r="AI2053">
        <f t="shared" si="707"/>
        <v>2021</v>
      </c>
      <c r="AJ2053" t="str">
        <f t="shared" ca="1" si="724"/>
        <v>Occupied</v>
      </c>
      <c r="AK2053">
        <f t="shared" ca="1" si="725"/>
        <v>1</v>
      </c>
    </row>
    <row r="2054" spans="1:37" x14ac:dyDescent="0.3">
      <c r="A2054" t="s">
        <v>6421</v>
      </c>
      <c r="B2054">
        <v>67</v>
      </c>
      <c r="C2054" t="s">
        <v>15</v>
      </c>
      <c r="D2054" t="s">
        <v>16</v>
      </c>
      <c r="E2054" t="s">
        <v>48</v>
      </c>
      <c r="F2054" s="1">
        <v>45036</v>
      </c>
      <c r="G2054" t="s">
        <v>4070</v>
      </c>
      <c r="H2054" t="s">
        <v>4071</v>
      </c>
      <c r="I2054" t="s">
        <v>20</v>
      </c>
      <c r="J2054">
        <v>14571</v>
      </c>
      <c r="K2054">
        <v>116</v>
      </c>
      <c r="L2054" t="s">
        <v>29</v>
      </c>
      <c r="M2054" s="1">
        <v>45053</v>
      </c>
      <c r="N2054" t="s">
        <v>47</v>
      </c>
      <c r="O2054" t="s">
        <v>31</v>
      </c>
      <c r="P2054" t="str">
        <f t="shared" si="708"/>
        <v>P2053</v>
      </c>
      <c r="Q2054" t="str">
        <f t="shared" si="704"/>
        <v>Pulmonology</v>
      </c>
      <c r="R2054">
        <f t="shared" si="705"/>
        <v>17</v>
      </c>
      <c r="S2054" t="str">
        <f t="shared" ca="1" si="709"/>
        <v>No</v>
      </c>
      <c r="T2054" t="str">
        <f t="shared" ca="1" si="710"/>
        <v>Moderate</v>
      </c>
      <c r="U2054" t="str">
        <f t="shared" ca="1" si="711"/>
        <v>General Ward</v>
      </c>
      <c r="V2054" t="str">
        <f t="shared" si="712"/>
        <v>BED2053</v>
      </c>
      <c r="W2054" t="str">
        <f t="shared" ca="1" si="713"/>
        <v>ICU</v>
      </c>
      <c r="X2054" t="str">
        <f t="shared" si="714"/>
        <v>NUR003</v>
      </c>
      <c r="Y2054" t="str">
        <f t="shared" ca="1" si="715"/>
        <v>Morning</v>
      </c>
      <c r="Z2054" t="str">
        <f t="shared" ca="1" si="716"/>
        <v>X-Ray</v>
      </c>
      <c r="AA2054" t="str">
        <f t="shared" ca="1" si="717"/>
        <v>Available</v>
      </c>
      <c r="AB2054" t="str">
        <f t="shared" ca="1" si="718"/>
        <v>Paid</v>
      </c>
      <c r="AC2054" t="str">
        <f t="shared" ca="1" si="719"/>
        <v>Debit Card</v>
      </c>
      <c r="AD2054" t="str">
        <f t="shared" ca="1" si="720"/>
        <v>No</v>
      </c>
      <c r="AE2054" t="str">
        <f t="shared" ca="1" si="721"/>
        <v>Yes</v>
      </c>
      <c r="AF2054" t="str">
        <f t="shared" ca="1" si="722"/>
        <v>Under Observation</v>
      </c>
      <c r="AG2054" t="str">
        <f t="shared" ca="1" si="723"/>
        <v>Midwest</v>
      </c>
      <c r="AH2054" t="str">
        <f t="shared" si="706"/>
        <v>April</v>
      </c>
      <c r="AI2054">
        <f t="shared" si="707"/>
        <v>2023</v>
      </c>
      <c r="AJ2054" t="str">
        <f t="shared" ca="1" si="724"/>
        <v>Vacant</v>
      </c>
      <c r="AK2054">
        <f t="shared" ca="1" si="725"/>
        <v>2</v>
      </c>
    </row>
    <row r="2055" spans="1:37" x14ac:dyDescent="0.3">
      <c r="A2055" t="s">
        <v>6422</v>
      </c>
      <c r="B2055">
        <v>37</v>
      </c>
      <c r="C2055" t="s">
        <v>32</v>
      </c>
      <c r="D2055" t="s">
        <v>98</v>
      </c>
      <c r="E2055" t="s">
        <v>48</v>
      </c>
      <c r="F2055" s="1">
        <v>43707</v>
      </c>
      <c r="G2055" t="s">
        <v>4072</v>
      </c>
      <c r="H2055" t="s">
        <v>4073</v>
      </c>
      <c r="I2055" t="s">
        <v>51</v>
      </c>
      <c r="J2055">
        <v>46400</v>
      </c>
      <c r="K2055">
        <v>481</v>
      </c>
      <c r="L2055" t="s">
        <v>29</v>
      </c>
      <c r="M2055" s="1">
        <v>43721</v>
      </c>
      <c r="N2055" t="s">
        <v>47</v>
      </c>
      <c r="O2055" t="s">
        <v>31</v>
      </c>
      <c r="P2055" t="str">
        <f t="shared" si="708"/>
        <v>P2054</v>
      </c>
      <c r="Q2055" t="str">
        <f t="shared" si="704"/>
        <v>Pulmonology</v>
      </c>
      <c r="R2055">
        <f t="shared" si="705"/>
        <v>14</v>
      </c>
      <c r="S2055" t="str">
        <f t="shared" ca="1" si="709"/>
        <v>No</v>
      </c>
      <c r="T2055" t="str">
        <f t="shared" ca="1" si="710"/>
        <v>Moderate</v>
      </c>
      <c r="U2055" t="str">
        <f t="shared" ca="1" si="711"/>
        <v>General Ward</v>
      </c>
      <c r="V2055" t="str">
        <f t="shared" si="712"/>
        <v>BED2054</v>
      </c>
      <c r="W2055" t="str">
        <f t="shared" ca="1" si="713"/>
        <v>General</v>
      </c>
      <c r="X2055" t="str">
        <f t="shared" si="714"/>
        <v>NUR004</v>
      </c>
      <c r="Y2055" t="str">
        <f t="shared" ca="1" si="715"/>
        <v>Evening</v>
      </c>
      <c r="Z2055" t="str">
        <f t="shared" ca="1" si="716"/>
        <v>Ventilator</v>
      </c>
      <c r="AA2055" t="str">
        <f t="shared" ca="1" si="717"/>
        <v>Maintenance</v>
      </c>
      <c r="AB2055" t="str">
        <f t="shared" ca="1" si="718"/>
        <v>Partially Paid</v>
      </c>
      <c r="AC2055" t="str">
        <f t="shared" ca="1" si="719"/>
        <v>Insurance</v>
      </c>
      <c r="AD2055" t="str">
        <f t="shared" ca="1" si="720"/>
        <v>No</v>
      </c>
      <c r="AE2055" t="str">
        <f t="shared" ca="1" si="721"/>
        <v>No</v>
      </c>
      <c r="AF2055" t="str">
        <f t="shared" ca="1" si="722"/>
        <v>Under Observation</v>
      </c>
      <c r="AG2055" t="str">
        <f t="shared" ca="1" si="723"/>
        <v>West Coast</v>
      </c>
      <c r="AH2055" t="str">
        <f t="shared" si="706"/>
        <v>August</v>
      </c>
      <c r="AI2055">
        <f t="shared" si="707"/>
        <v>2019</v>
      </c>
      <c r="AJ2055" t="str">
        <f t="shared" ca="1" si="724"/>
        <v>Occupied</v>
      </c>
      <c r="AK2055">
        <f t="shared" ca="1" si="725"/>
        <v>1</v>
      </c>
    </row>
    <row r="2056" spans="1:37" x14ac:dyDescent="0.3">
      <c r="A2056" t="s">
        <v>6423</v>
      </c>
      <c r="B2056">
        <v>37</v>
      </c>
      <c r="C2056" t="s">
        <v>15</v>
      </c>
      <c r="D2056" t="s">
        <v>44</v>
      </c>
      <c r="E2056" t="s">
        <v>25</v>
      </c>
      <c r="F2056" s="1">
        <v>45088</v>
      </c>
      <c r="G2056" t="s">
        <v>4074</v>
      </c>
      <c r="H2056" t="s">
        <v>4075</v>
      </c>
      <c r="I2056" t="s">
        <v>51</v>
      </c>
      <c r="J2056">
        <v>10029</v>
      </c>
      <c r="K2056">
        <v>137</v>
      </c>
      <c r="L2056" t="s">
        <v>21</v>
      </c>
      <c r="M2056" s="1">
        <v>45092</v>
      </c>
      <c r="N2056" t="s">
        <v>30</v>
      </c>
      <c r="O2056" t="s">
        <v>23</v>
      </c>
      <c r="P2056" t="str">
        <f t="shared" si="708"/>
        <v>P2055</v>
      </c>
      <c r="Q2056" t="str">
        <f t="shared" si="704"/>
        <v>Nutrition</v>
      </c>
      <c r="R2056">
        <f t="shared" si="705"/>
        <v>4</v>
      </c>
      <c r="S2056" t="str">
        <f t="shared" ca="1" si="709"/>
        <v>No</v>
      </c>
      <c r="T2056" t="str">
        <f t="shared" ca="1" si="710"/>
        <v>Moderate</v>
      </c>
      <c r="U2056" t="str">
        <f t="shared" ca="1" si="711"/>
        <v>General Ward</v>
      </c>
      <c r="V2056" t="str">
        <f t="shared" si="712"/>
        <v>BED2055</v>
      </c>
      <c r="W2056" t="str">
        <f t="shared" ca="1" si="713"/>
        <v>Private</v>
      </c>
      <c r="X2056" t="str">
        <f t="shared" si="714"/>
        <v>NUR005</v>
      </c>
      <c r="Y2056" t="str">
        <f t="shared" ca="1" si="715"/>
        <v>Night</v>
      </c>
      <c r="Z2056" t="str">
        <f t="shared" ca="1" si="716"/>
        <v>X-Ray</v>
      </c>
      <c r="AA2056" t="str">
        <f t="shared" ca="1" si="717"/>
        <v>In Use</v>
      </c>
      <c r="AB2056" t="str">
        <f t="shared" ca="1" si="718"/>
        <v>Pending</v>
      </c>
      <c r="AC2056" t="str">
        <f t="shared" ca="1" si="719"/>
        <v>Credit Card</v>
      </c>
      <c r="AD2056" t="str">
        <f t="shared" ca="1" si="720"/>
        <v>No</v>
      </c>
      <c r="AE2056" t="str">
        <f t="shared" ca="1" si="721"/>
        <v>No</v>
      </c>
      <c r="AF2056" t="str">
        <f t="shared" ca="1" si="722"/>
        <v>Under Observation</v>
      </c>
      <c r="AG2056" t="str">
        <f t="shared" ca="1" si="723"/>
        <v>Southeast</v>
      </c>
      <c r="AH2056" t="str">
        <f t="shared" si="706"/>
        <v>June</v>
      </c>
      <c r="AI2056">
        <f t="shared" si="707"/>
        <v>2023</v>
      </c>
      <c r="AJ2056" t="str">
        <f t="shared" ca="1" si="724"/>
        <v>Occupied</v>
      </c>
      <c r="AK2056">
        <f t="shared" ca="1" si="725"/>
        <v>4</v>
      </c>
    </row>
    <row r="2057" spans="1:37" x14ac:dyDescent="0.3">
      <c r="A2057" t="s">
        <v>6424</v>
      </c>
      <c r="B2057">
        <v>45</v>
      </c>
      <c r="C2057" t="s">
        <v>32</v>
      </c>
      <c r="D2057" t="s">
        <v>38</v>
      </c>
      <c r="E2057" t="s">
        <v>39</v>
      </c>
      <c r="F2057" s="1">
        <v>44309</v>
      </c>
      <c r="G2057" t="s">
        <v>4076</v>
      </c>
      <c r="H2057" t="s">
        <v>4077</v>
      </c>
      <c r="I2057" t="s">
        <v>36</v>
      </c>
      <c r="J2057">
        <v>38147</v>
      </c>
      <c r="K2057">
        <v>491</v>
      </c>
      <c r="L2057" t="s">
        <v>21</v>
      </c>
      <c r="M2057" s="1">
        <v>44327</v>
      </c>
      <c r="N2057" t="s">
        <v>37</v>
      </c>
      <c r="O2057" t="s">
        <v>43</v>
      </c>
      <c r="P2057" t="str">
        <f t="shared" si="708"/>
        <v>P2056</v>
      </c>
      <c r="Q2057" t="str">
        <f t="shared" si="704"/>
        <v>Endocrinology</v>
      </c>
      <c r="R2057">
        <f t="shared" si="705"/>
        <v>18</v>
      </c>
      <c r="S2057" t="str">
        <f t="shared" ca="1" si="709"/>
        <v>No</v>
      </c>
      <c r="T2057" t="str">
        <f t="shared" ca="1" si="710"/>
        <v>Severe</v>
      </c>
      <c r="U2057" t="str">
        <f t="shared" ca="1" si="711"/>
        <v>Semi-Private</v>
      </c>
      <c r="V2057" t="str">
        <f t="shared" si="712"/>
        <v>BED2056</v>
      </c>
      <c r="W2057" t="str">
        <f t="shared" ca="1" si="713"/>
        <v>Private</v>
      </c>
      <c r="X2057" t="str">
        <f t="shared" si="714"/>
        <v>NUR006</v>
      </c>
      <c r="Y2057" t="str">
        <f t="shared" ca="1" si="715"/>
        <v>Evening</v>
      </c>
      <c r="Z2057" t="str">
        <f t="shared" ca="1" si="716"/>
        <v>Ultrasound</v>
      </c>
      <c r="AA2057" t="str">
        <f t="shared" ca="1" si="717"/>
        <v>Available</v>
      </c>
      <c r="AB2057" t="str">
        <f t="shared" ca="1" si="718"/>
        <v>Paid</v>
      </c>
      <c r="AC2057" t="str">
        <f t="shared" ca="1" si="719"/>
        <v>Credit Card</v>
      </c>
      <c r="AD2057" t="str">
        <f t="shared" ca="1" si="720"/>
        <v>No</v>
      </c>
      <c r="AE2057" t="str">
        <f t="shared" ca="1" si="721"/>
        <v>No</v>
      </c>
      <c r="AF2057" t="str">
        <f t="shared" ca="1" si="722"/>
        <v>Recovered</v>
      </c>
      <c r="AG2057" t="str">
        <f t="shared" ca="1" si="723"/>
        <v>Northeast</v>
      </c>
      <c r="AH2057" t="str">
        <f t="shared" si="706"/>
        <v>April</v>
      </c>
      <c r="AI2057">
        <f t="shared" si="707"/>
        <v>2021</v>
      </c>
      <c r="AJ2057" t="str">
        <f t="shared" ca="1" si="724"/>
        <v>Vacant</v>
      </c>
      <c r="AK2057">
        <f t="shared" ca="1" si="725"/>
        <v>4</v>
      </c>
    </row>
    <row r="2058" spans="1:37" x14ac:dyDescent="0.3">
      <c r="A2058" t="s">
        <v>6425</v>
      </c>
      <c r="B2058">
        <v>57</v>
      </c>
      <c r="C2058" t="s">
        <v>15</v>
      </c>
      <c r="D2058" t="s">
        <v>38</v>
      </c>
      <c r="E2058" t="s">
        <v>25</v>
      </c>
      <c r="F2058" s="1">
        <v>45315</v>
      </c>
      <c r="G2058" t="s">
        <v>4078</v>
      </c>
      <c r="H2058" t="s">
        <v>4079</v>
      </c>
      <c r="I2058" t="s">
        <v>20</v>
      </c>
      <c r="J2058">
        <v>39379</v>
      </c>
      <c r="K2058">
        <v>177</v>
      </c>
      <c r="L2058" t="s">
        <v>21</v>
      </c>
      <c r="M2058" s="1">
        <v>45339</v>
      </c>
      <c r="N2058" t="s">
        <v>22</v>
      </c>
      <c r="O2058" t="s">
        <v>43</v>
      </c>
      <c r="P2058" t="str">
        <f t="shared" si="708"/>
        <v>P2057</v>
      </c>
      <c r="Q2058" t="str">
        <f t="shared" si="704"/>
        <v>Nutrition</v>
      </c>
      <c r="R2058">
        <f t="shared" si="705"/>
        <v>24</v>
      </c>
      <c r="S2058" t="str">
        <f t="shared" ca="1" si="709"/>
        <v>No</v>
      </c>
      <c r="T2058" t="str">
        <f t="shared" ca="1" si="710"/>
        <v>Critical</v>
      </c>
      <c r="U2058" t="str">
        <f t="shared" ca="1" si="711"/>
        <v>General Ward</v>
      </c>
      <c r="V2058" t="str">
        <f t="shared" si="712"/>
        <v>BED2057</v>
      </c>
      <c r="W2058" t="str">
        <f t="shared" ca="1" si="713"/>
        <v>Private</v>
      </c>
      <c r="X2058" t="str">
        <f t="shared" si="714"/>
        <v>NUR007</v>
      </c>
      <c r="Y2058" t="str">
        <f t="shared" ca="1" si="715"/>
        <v>Morning</v>
      </c>
      <c r="Z2058" t="str">
        <f t="shared" ca="1" si="716"/>
        <v>Ultrasound</v>
      </c>
      <c r="AA2058" t="str">
        <f t="shared" ca="1" si="717"/>
        <v>In Use</v>
      </c>
      <c r="AB2058" t="str">
        <f t="shared" ca="1" si="718"/>
        <v>Partially Paid</v>
      </c>
      <c r="AC2058" t="str">
        <f t="shared" ca="1" si="719"/>
        <v>Debit Card</v>
      </c>
      <c r="AD2058" t="str">
        <f t="shared" ca="1" si="720"/>
        <v>Yes</v>
      </c>
      <c r="AE2058" t="str">
        <f t="shared" ca="1" si="721"/>
        <v>No</v>
      </c>
      <c r="AF2058" t="str">
        <f t="shared" ca="1" si="722"/>
        <v>Under Observation</v>
      </c>
      <c r="AG2058" t="str">
        <f t="shared" ca="1" si="723"/>
        <v>Midwest</v>
      </c>
      <c r="AH2058" t="str">
        <f t="shared" si="706"/>
        <v>January</v>
      </c>
      <c r="AI2058">
        <f t="shared" si="707"/>
        <v>2024</v>
      </c>
      <c r="AJ2058" t="str">
        <f t="shared" ca="1" si="724"/>
        <v>Vacant</v>
      </c>
      <c r="AK2058">
        <f t="shared" ca="1" si="725"/>
        <v>2</v>
      </c>
    </row>
    <row r="2059" spans="1:37" x14ac:dyDescent="0.3">
      <c r="A2059" t="s">
        <v>6426</v>
      </c>
      <c r="B2059">
        <v>72</v>
      </c>
      <c r="C2059" t="s">
        <v>15</v>
      </c>
      <c r="D2059" t="s">
        <v>16</v>
      </c>
      <c r="E2059" t="s">
        <v>76</v>
      </c>
      <c r="F2059" s="1">
        <v>44527</v>
      </c>
      <c r="G2059" t="s">
        <v>4080</v>
      </c>
      <c r="H2059" t="s">
        <v>4081</v>
      </c>
      <c r="I2059" t="s">
        <v>20</v>
      </c>
      <c r="J2059">
        <v>368</v>
      </c>
      <c r="K2059">
        <v>142</v>
      </c>
      <c r="L2059" t="s">
        <v>21</v>
      </c>
      <c r="M2059" s="1">
        <v>44538</v>
      </c>
      <c r="N2059" t="s">
        <v>67</v>
      </c>
      <c r="O2059" t="s">
        <v>43</v>
      </c>
      <c r="P2059" t="str">
        <f t="shared" si="708"/>
        <v>P2058</v>
      </c>
      <c r="Q2059" t="str">
        <f t="shared" si="704"/>
        <v>Orthopedics</v>
      </c>
      <c r="R2059">
        <f t="shared" si="705"/>
        <v>11</v>
      </c>
      <c r="S2059" t="str">
        <f t="shared" ca="1" si="709"/>
        <v>No</v>
      </c>
      <c r="T2059" t="str">
        <f t="shared" ca="1" si="710"/>
        <v>Moderate</v>
      </c>
      <c r="U2059" t="str">
        <f t="shared" ca="1" si="711"/>
        <v>Private Ward</v>
      </c>
      <c r="V2059" t="str">
        <f t="shared" si="712"/>
        <v>BED2058</v>
      </c>
      <c r="W2059" t="str">
        <f t="shared" ca="1" si="713"/>
        <v>ICU</v>
      </c>
      <c r="X2059" t="str">
        <f t="shared" si="714"/>
        <v>NUR008</v>
      </c>
      <c r="Y2059" t="str">
        <f t="shared" ca="1" si="715"/>
        <v>Night</v>
      </c>
      <c r="Z2059" t="str">
        <f t="shared" ca="1" si="716"/>
        <v>Ultrasound</v>
      </c>
      <c r="AA2059" t="str">
        <f t="shared" ca="1" si="717"/>
        <v>Maintenance</v>
      </c>
      <c r="AB2059" t="str">
        <f t="shared" ca="1" si="718"/>
        <v>Partially Paid</v>
      </c>
      <c r="AC2059" t="str">
        <f t="shared" ca="1" si="719"/>
        <v>Insurance</v>
      </c>
      <c r="AD2059" t="str">
        <f t="shared" ca="1" si="720"/>
        <v>No</v>
      </c>
      <c r="AE2059" t="str">
        <f t="shared" ca="1" si="721"/>
        <v>No</v>
      </c>
      <c r="AF2059" t="str">
        <f t="shared" ca="1" si="722"/>
        <v>Under Observation</v>
      </c>
      <c r="AG2059" t="str">
        <f t="shared" ca="1" si="723"/>
        <v>West Coast</v>
      </c>
      <c r="AH2059" t="str">
        <f t="shared" si="706"/>
        <v>November</v>
      </c>
      <c r="AI2059">
        <f t="shared" si="707"/>
        <v>2021</v>
      </c>
      <c r="AJ2059" t="str">
        <f t="shared" ca="1" si="724"/>
        <v>Occupied</v>
      </c>
      <c r="AK2059">
        <f t="shared" ca="1" si="725"/>
        <v>4</v>
      </c>
    </row>
    <row r="2060" spans="1:37" x14ac:dyDescent="0.3">
      <c r="A2060" t="s">
        <v>6427</v>
      </c>
      <c r="B2060">
        <v>29</v>
      </c>
      <c r="C2060" t="s">
        <v>32</v>
      </c>
      <c r="D2060" t="s">
        <v>98</v>
      </c>
      <c r="E2060" t="s">
        <v>17</v>
      </c>
      <c r="F2060" s="1">
        <v>44302</v>
      </c>
      <c r="G2060" t="s">
        <v>692</v>
      </c>
      <c r="H2060" t="s">
        <v>512</v>
      </c>
      <c r="I2060" t="s">
        <v>20</v>
      </c>
      <c r="J2060">
        <v>6006</v>
      </c>
      <c r="K2060">
        <v>113</v>
      </c>
      <c r="L2060" t="s">
        <v>21</v>
      </c>
      <c r="M2060" s="1">
        <v>44316</v>
      </c>
      <c r="N2060" t="s">
        <v>37</v>
      </c>
      <c r="O2060" t="s">
        <v>23</v>
      </c>
      <c r="P2060" t="str">
        <f t="shared" si="708"/>
        <v>P2059</v>
      </c>
      <c r="Q2060" t="str">
        <f t="shared" si="704"/>
        <v>Oncology</v>
      </c>
      <c r="R2060">
        <f t="shared" si="705"/>
        <v>14</v>
      </c>
      <c r="S2060" t="str">
        <f t="shared" ca="1" si="709"/>
        <v>Yes</v>
      </c>
      <c r="T2060" t="str">
        <f t="shared" ca="1" si="710"/>
        <v>Moderate</v>
      </c>
      <c r="U2060" t="str">
        <f t="shared" ca="1" si="711"/>
        <v>Private Ward</v>
      </c>
      <c r="V2060" t="str">
        <f t="shared" si="712"/>
        <v>BED2059</v>
      </c>
      <c r="W2060" t="str">
        <f t="shared" ca="1" si="713"/>
        <v>ICU</v>
      </c>
      <c r="X2060" t="str">
        <f t="shared" si="714"/>
        <v>NUR009</v>
      </c>
      <c r="Y2060" t="str">
        <f t="shared" ca="1" si="715"/>
        <v>Evening</v>
      </c>
      <c r="Z2060" t="str">
        <f t="shared" ca="1" si="716"/>
        <v>Ultrasound</v>
      </c>
      <c r="AA2060" t="str">
        <f t="shared" ca="1" si="717"/>
        <v>Available</v>
      </c>
      <c r="AB2060" t="str">
        <f t="shared" ca="1" si="718"/>
        <v>Pending</v>
      </c>
      <c r="AC2060" t="str">
        <f t="shared" ca="1" si="719"/>
        <v>Cash</v>
      </c>
      <c r="AD2060" t="str">
        <f t="shared" ca="1" si="720"/>
        <v>Yes</v>
      </c>
      <c r="AE2060" t="str">
        <f t="shared" ca="1" si="721"/>
        <v>Yes</v>
      </c>
      <c r="AF2060" t="str">
        <f t="shared" ca="1" si="722"/>
        <v>Transferred</v>
      </c>
      <c r="AG2060" t="str">
        <f t="shared" ca="1" si="723"/>
        <v>Southeast</v>
      </c>
      <c r="AH2060" t="str">
        <f t="shared" si="706"/>
        <v>April</v>
      </c>
      <c r="AI2060">
        <f t="shared" si="707"/>
        <v>2021</v>
      </c>
      <c r="AJ2060" t="str">
        <f t="shared" ca="1" si="724"/>
        <v>Occupied</v>
      </c>
      <c r="AK2060">
        <f t="shared" ca="1" si="725"/>
        <v>1</v>
      </c>
    </row>
    <row r="2061" spans="1:37" x14ac:dyDescent="0.3">
      <c r="A2061" t="s">
        <v>6428</v>
      </c>
      <c r="B2061">
        <v>77</v>
      </c>
      <c r="C2061" t="s">
        <v>32</v>
      </c>
      <c r="D2061" t="s">
        <v>16</v>
      </c>
      <c r="E2061" t="s">
        <v>48</v>
      </c>
      <c r="F2061" s="1">
        <v>44433</v>
      </c>
      <c r="G2061" t="s">
        <v>4082</v>
      </c>
      <c r="H2061" t="s">
        <v>4083</v>
      </c>
      <c r="I2061" t="s">
        <v>36</v>
      </c>
      <c r="J2061">
        <v>7272</v>
      </c>
      <c r="K2061">
        <v>352</v>
      </c>
      <c r="L2061" t="s">
        <v>42</v>
      </c>
      <c r="M2061" s="1">
        <v>44434</v>
      </c>
      <c r="N2061" t="s">
        <v>37</v>
      </c>
      <c r="O2061" t="s">
        <v>43</v>
      </c>
      <c r="P2061" t="str">
        <f t="shared" si="708"/>
        <v>P2060</v>
      </c>
      <c r="Q2061" t="str">
        <f t="shared" si="704"/>
        <v>Pulmonology</v>
      </c>
      <c r="R2061">
        <f t="shared" si="705"/>
        <v>1</v>
      </c>
      <c r="S2061" t="str">
        <f t="shared" ca="1" si="709"/>
        <v>No</v>
      </c>
      <c r="T2061" t="str">
        <f t="shared" ca="1" si="710"/>
        <v>Critical</v>
      </c>
      <c r="U2061" t="str">
        <f t="shared" ca="1" si="711"/>
        <v>Emergency</v>
      </c>
      <c r="V2061" t="str">
        <f t="shared" si="712"/>
        <v>BED2060</v>
      </c>
      <c r="W2061" t="str">
        <f t="shared" ca="1" si="713"/>
        <v>Private</v>
      </c>
      <c r="X2061" t="str">
        <f t="shared" si="714"/>
        <v>NUR010</v>
      </c>
      <c r="Y2061" t="str">
        <f t="shared" ca="1" si="715"/>
        <v>Morning</v>
      </c>
      <c r="Z2061" t="str">
        <f t="shared" ca="1" si="716"/>
        <v>ECG Machine</v>
      </c>
      <c r="AA2061" t="str">
        <f t="shared" ca="1" si="717"/>
        <v>In Use</v>
      </c>
      <c r="AB2061" t="str">
        <f t="shared" ca="1" si="718"/>
        <v>Partially Paid</v>
      </c>
      <c r="AC2061" t="str">
        <f t="shared" ca="1" si="719"/>
        <v>Insurance</v>
      </c>
      <c r="AD2061" t="str">
        <f t="shared" ca="1" si="720"/>
        <v>No</v>
      </c>
      <c r="AE2061" t="str">
        <f t="shared" ca="1" si="721"/>
        <v>No</v>
      </c>
      <c r="AF2061" t="str">
        <f t="shared" ca="1" si="722"/>
        <v>Recovered</v>
      </c>
      <c r="AG2061" t="str">
        <f t="shared" ca="1" si="723"/>
        <v>Southeast</v>
      </c>
      <c r="AH2061" t="str">
        <f t="shared" si="706"/>
        <v>August</v>
      </c>
      <c r="AI2061">
        <f t="shared" si="707"/>
        <v>2021</v>
      </c>
      <c r="AJ2061" t="str">
        <f t="shared" ca="1" si="724"/>
        <v>Vacant</v>
      </c>
      <c r="AK2061">
        <f t="shared" ca="1" si="725"/>
        <v>2</v>
      </c>
    </row>
    <row r="2062" spans="1:37" x14ac:dyDescent="0.3">
      <c r="A2062" t="s">
        <v>6429</v>
      </c>
      <c r="B2062">
        <v>43</v>
      </c>
      <c r="C2062" t="s">
        <v>32</v>
      </c>
      <c r="D2062" t="s">
        <v>44</v>
      </c>
      <c r="E2062" t="s">
        <v>64</v>
      </c>
      <c r="F2062" s="1">
        <v>44335</v>
      </c>
      <c r="G2062" t="s">
        <v>4084</v>
      </c>
      <c r="H2062" t="s">
        <v>4085</v>
      </c>
      <c r="I2062" t="s">
        <v>28</v>
      </c>
      <c r="J2062">
        <v>8590</v>
      </c>
      <c r="K2062">
        <v>350</v>
      </c>
      <c r="L2062" t="s">
        <v>29</v>
      </c>
      <c r="M2062" s="1">
        <v>44346</v>
      </c>
      <c r="N2062" t="s">
        <v>22</v>
      </c>
      <c r="O2062" t="s">
        <v>23</v>
      </c>
      <c r="P2062" t="str">
        <f t="shared" si="708"/>
        <v>P2061</v>
      </c>
      <c r="Q2062" t="str">
        <f t="shared" si="704"/>
        <v>Cardiology</v>
      </c>
      <c r="R2062">
        <f t="shared" si="705"/>
        <v>11</v>
      </c>
      <c r="S2062" t="str">
        <f t="shared" ca="1" si="709"/>
        <v>No</v>
      </c>
      <c r="T2062" t="str">
        <f t="shared" ca="1" si="710"/>
        <v>Critical</v>
      </c>
      <c r="U2062" t="str">
        <f t="shared" ca="1" si="711"/>
        <v>General Ward</v>
      </c>
      <c r="V2062" t="str">
        <f t="shared" si="712"/>
        <v>BED2061</v>
      </c>
      <c r="W2062" t="str">
        <f t="shared" ca="1" si="713"/>
        <v>General</v>
      </c>
      <c r="X2062" t="str">
        <f t="shared" si="714"/>
        <v>NUR011</v>
      </c>
      <c r="Y2062" t="str">
        <f t="shared" ca="1" si="715"/>
        <v>Night</v>
      </c>
      <c r="Z2062" t="str">
        <f t="shared" ca="1" si="716"/>
        <v>Ultrasound</v>
      </c>
      <c r="AA2062" t="str">
        <f t="shared" ca="1" si="717"/>
        <v>Available</v>
      </c>
      <c r="AB2062" t="str">
        <f t="shared" ca="1" si="718"/>
        <v>Paid</v>
      </c>
      <c r="AC2062" t="str">
        <f t="shared" ca="1" si="719"/>
        <v>Debit Card</v>
      </c>
      <c r="AD2062" t="str">
        <f t="shared" ca="1" si="720"/>
        <v>No</v>
      </c>
      <c r="AE2062" t="str">
        <f t="shared" ca="1" si="721"/>
        <v>No</v>
      </c>
      <c r="AF2062" t="str">
        <f t="shared" ca="1" si="722"/>
        <v>Recovered</v>
      </c>
      <c r="AG2062" t="str">
        <f t="shared" ca="1" si="723"/>
        <v>West Coast</v>
      </c>
      <c r="AH2062" t="str">
        <f t="shared" si="706"/>
        <v>May</v>
      </c>
      <c r="AI2062">
        <f t="shared" si="707"/>
        <v>2021</v>
      </c>
      <c r="AJ2062" t="str">
        <f t="shared" ca="1" si="724"/>
        <v>Occupied</v>
      </c>
      <c r="AK2062">
        <f t="shared" ca="1" si="725"/>
        <v>1</v>
      </c>
    </row>
    <row r="2063" spans="1:37" x14ac:dyDescent="0.3">
      <c r="A2063" t="s">
        <v>6430</v>
      </c>
      <c r="B2063">
        <v>19</v>
      </c>
      <c r="C2063" t="s">
        <v>32</v>
      </c>
      <c r="D2063" t="s">
        <v>24</v>
      </c>
      <c r="E2063" t="s">
        <v>17</v>
      </c>
      <c r="F2063" s="1">
        <v>44472</v>
      </c>
      <c r="G2063" t="s">
        <v>4086</v>
      </c>
      <c r="H2063" t="s">
        <v>4087</v>
      </c>
      <c r="I2063" t="s">
        <v>28</v>
      </c>
      <c r="J2063">
        <v>18563</v>
      </c>
      <c r="K2063">
        <v>242</v>
      </c>
      <c r="L2063" t="s">
        <v>29</v>
      </c>
      <c r="M2063" s="1">
        <v>44484</v>
      </c>
      <c r="N2063" t="s">
        <v>30</v>
      </c>
      <c r="O2063" t="s">
        <v>43</v>
      </c>
      <c r="P2063" t="str">
        <f t="shared" si="708"/>
        <v>P2062</v>
      </c>
      <c r="Q2063" t="str">
        <f t="shared" si="704"/>
        <v>Oncology</v>
      </c>
      <c r="R2063">
        <f t="shared" si="705"/>
        <v>12</v>
      </c>
      <c r="S2063" t="str">
        <f t="shared" ca="1" si="709"/>
        <v>No</v>
      </c>
      <c r="T2063" t="str">
        <f t="shared" ca="1" si="710"/>
        <v>Moderate</v>
      </c>
      <c r="U2063" t="str">
        <f t="shared" ca="1" si="711"/>
        <v>ICU</v>
      </c>
      <c r="V2063" t="str">
        <f t="shared" si="712"/>
        <v>BED2062</v>
      </c>
      <c r="W2063" t="str">
        <f t="shared" ca="1" si="713"/>
        <v>ICU</v>
      </c>
      <c r="X2063" t="str">
        <f t="shared" si="714"/>
        <v>NUR012</v>
      </c>
      <c r="Y2063" t="str">
        <f t="shared" ca="1" si="715"/>
        <v>Evening</v>
      </c>
      <c r="Z2063" t="str">
        <f t="shared" ca="1" si="716"/>
        <v>MRI Scanner</v>
      </c>
      <c r="AA2063" t="str">
        <f t="shared" ca="1" si="717"/>
        <v>Maintenance</v>
      </c>
      <c r="AB2063" t="str">
        <f t="shared" ca="1" si="718"/>
        <v>Partially Paid</v>
      </c>
      <c r="AC2063" t="str">
        <f t="shared" ca="1" si="719"/>
        <v>Credit Card</v>
      </c>
      <c r="AD2063" t="str">
        <f t="shared" ca="1" si="720"/>
        <v>Yes</v>
      </c>
      <c r="AE2063" t="str">
        <f t="shared" ca="1" si="721"/>
        <v>Yes</v>
      </c>
      <c r="AF2063" t="str">
        <f t="shared" ca="1" si="722"/>
        <v>Under Observation</v>
      </c>
      <c r="AG2063" t="str">
        <f t="shared" ca="1" si="723"/>
        <v>Northeast</v>
      </c>
      <c r="AH2063" t="str">
        <f t="shared" si="706"/>
        <v>October</v>
      </c>
      <c r="AI2063">
        <f t="shared" si="707"/>
        <v>2021</v>
      </c>
      <c r="AJ2063" t="str">
        <f t="shared" ca="1" si="724"/>
        <v>Occupied</v>
      </c>
      <c r="AK2063">
        <f t="shared" ca="1" si="725"/>
        <v>1</v>
      </c>
    </row>
    <row r="2064" spans="1:37" x14ac:dyDescent="0.3">
      <c r="A2064" t="s">
        <v>6431</v>
      </c>
      <c r="B2064">
        <v>57</v>
      </c>
      <c r="C2064" t="s">
        <v>32</v>
      </c>
      <c r="D2064" t="s">
        <v>83</v>
      </c>
      <c r="E2064" t="s">
        <v>17</v>
      </c>
      <c r="F2064" s="1">
        <v>44708</v>
      </c>
      <c r="G2064" t="s">
        <v>4088</v>
      </c>
      <c r="H2064" t="s">
        <v>4089</v>
      </c>
      <c r="I2064" t="s">
        <v>20</v>
      </c>
      <c r="J2064">
        <v>40700</v>
      </c>
      <c r="K2064">
        <v>285</v>
      </c>
      <c r="L2064" t="s">
        <v>21</v>
      </c>
      <c r="M2064" s="1">
        <v>44734</v>
      </c>
      <c r="N2064" t="s">
        <v>47</v>
      </c>
      <c r="O2064" t="s">
        <v>43</v>
      </c>
      <c r="P2064" t="str">
        <f t="shared" si="708"/>
        <v>P2063</v>
      </c>
      <c r="Q2064" t="str">
        <f t="shared" si="704"/>
        <v>Oncology</v>
      </c>
      <c r="R2064">
        <f t="shared" si="705"/>
        <v>26</v>
      </c>
      <c r="S2064" t="str">
        <f t="shared" ca="1" si="709"/>
        <v>No</v>
      </c>
      <c r="T2064" t="str">
        <f t="shared" ca="1" si="710"/>
        <v>Critical</v>
      </c>
      <c r="U2064" t="str">
        <f t="shared" ca="1" si="711"/>
        <v>General Ward</v>
      </c>
      <c r="V2064" t="str">
        <f t="shared" si="712"/>
        <v>BED2063</v>
      </c>
      <c r="W2064" t="str">
        <f t="shared" ca="1" si="713"/>
        <v>ICU</v>
      </c>
      <c r="X2064" t="str">
        <f t="shared" si="714"/>
        <v>NUR013</v>
      </c>
      <c r="Y2064" t="str">
        <f t="shared" ca="1" si="715"/>
        <v>Morning</v>
      </c>
      <c r="Z2064" t="str">
        <f t="shared" ca="1" si="716"/>
        <v>ECG Machine</v>
      </c>
      <c r="AA2064" t="str">
        <f t="shared" ca="1" si="717"/>
        <v>Maintenance</v>
      </c>
      <c r="AB2064" t="str">
        <f t="shared" ca="1" si="718"/>
        <v>Partially Paid</v>
      </c>
      <c r="AC2064" t="str">
        <f t="shared" ca="1" si="719"/>
        <v>Cash</v>
      </c>
      <c r="AD2064" t="str">
        <f t="shared" ca="1" si="720"/>
        <v>No</v>
      </c>
      <c r="AE2064" t="str">
        <f t="shared" ca="1" si="721"/>
        <v>No</v>
      </c>
      <c r="AF2064" t="str">
        <f t="shared" ca="1" si="722"/>
        <v>Transferred</v>
      </c>
      <c r="AG2064" t="str">
        <f t="shared" ca="1" si="723"/>
        <v>Midwest</v>
      </c>
      <c r="AH2064" t="str">
        <f t="shared" si="706"/>
        <v>May</v>
      </c>
      <c r="AI2064">
        <f t="shared" si="707"/>
        <v>2022</v>
      </c>
      <c r="AJ2064" t="str">
        <f t="shared" ca="1" si="724"/>
        <v>Occupied</v>
      </c>
      <c r="AK2064">
        <f t="shared" ca="1" si="725"/>
        <v>4</v>
      </c>
    </row>
    <row r="2065" spans="1:37" x14ac:dyDescent="0.3">
      <c r="A2065" t="s">
        <v>6432</v>
      </c>
      <c r="B2065">
        <v>72</v>
      </c>
      <c r="C2065" t="s">
        <v>15</v>
      </c>
      <c r="D2065" t="s">
        <v>98</v>
      </c>
      <c r="E2065" t="s">
        <v>48</v>
      </c>
      <c r="F2065" s="1">
        <v>44307</v>
      </c>
      <c r="G2065" t="s">
        <v>4090</v>
      </c>
      <c r="H2065" t="s">
        <v>4091</v>
      </c>
      <c r="I2065" t="s">
        <v>28</v>
      </c>
      <c r="J2065">
        <v>27271</v>
      </c>
      <c r="K2065">
        <v>204</v>
      </c>
      <c r="L2065" t="s">
        <v>29</v>
      </c>
      <c r="M2065" s="1">
        <v>44333</v>
      </c>
      <c r="N2065" t="s">
        <v>37</v>
      </c>
      <c r="O2065" t="s">
        <v>43</v>
      </c>
      <c r="P2065" t="str">
        <f t="shared" si="708"/>
        <v>P2064</v>
      </c>
      <c r="Q2065" t="str">
        <f t="shared" si="704"/>
        <v>Pulmonology</v>
      </c>
      <c r="R2065">
        <f t="shared" si="705"/>
        <v>26</v>
      </c>
      <c r="S2065" t="str">
        <f t="shared" ca="1" si="709"/>
        <v>No</v>
      </c>
      <c r="T2065" t="str">
        <f t="shared" ca="1" si="710"/>
        <v>Moderate</v>
      </c>
      <c r="U2065" t="str">
        <f t="shared" ca="1" si="711"/>
        <v>Semi-Private</v>
      </c>
      <c r="V2065" t="str">
        <f t="shared" si="712"/>
        <v>BED2064</v>
      </c>
      <c r="W2065" t="str">
        <f t="shared" ca="1" si="713"/>
        <v>ICU</v>
      </c>
      <c r="X2065" t="str">
        <f t="shared" si="714"/>
        <v>NUR014</v>
      </c>
      <c r="Y2065" t="str">
        <f t="shared" ca="1" si="715"/>
        <v>Morning</v>
      </c>
      <c r="Z2065" t="str">
        <f t="shared" ca="1" si="716"/>
        <v>Ultrasound</v>
      </c>
      <c r="AA2065" t="str">
        <f t="shared" ca="1" si="717"/>
        <v>In Use</v>
      </c>
      <c r="AB2065" t="str">
        <f t="shared" ca="1" si="718"/>
        <v>Partially Paid</v>
      </c>
      <c r="AC2065" t="str">
        <f t="shared" ca="1" si="719"/>
        <v>Insurance</v>
      </c>
      <c r="AD2065" t="str">
        <f t="shared" ca="1" si="720"/>
        <v>No</v>
      </c>
      <c r="AE2065" t="str">
        <f t="shared" ca="1" si="721"/>
        <v>No</v>
      </c>
      <c r="AF2065" t="str">
        <f t="shared" ca="1" si="722"/>
        <v>Recovered</v>
      </c>
      <c r="AG2065" t="str">
        <f t="shared" ca="1" si="723"/>
        <v>Southeast</v>
      </c>
      <c r="AH2065" t="str">
        <f t="shared" si="706"/>
        <v>April</v>
      </c>
      <c r="AI2065">
        <f t="shared" si="707"/>
        <v>2021</v>
      </c>
      <c r="AJ2065" t="str">
        <f t="shared" ca="1" si="724"/>
        <v>Occupied</v>
      </c>
      <c r="AK2065">
        <f t="shared" ca="1" si="725"/>
        <v>1</v>
      </c>
    </row>
    <row r="2066" spans="1:37" x14ac:dyDescent="0.3">
      <c r="A2066" t="s">
        <v>3642</v>
      </c>
      <c r="B2066">
        <v>71</v>
      </c>
      <c r="C2066" t="s">
        <v>32</v>
      </c>
      <c r="D2066" t="s">
        <v>24</v>
      </c>
      <c r="E2066" t="s">
        <v>39</v>
      </c>
      <c r="F2066" s="1">
        <v>45242</v>
      </c>
      <c r="G2066" t="s">
        <v>4092</v>
      </c>
      <c r="H2066" t="s">
        <v>4093</v>
      </c>
      <c r="I2066" t="s">
        <v>28</v>
      </c>
      <c r="J2066">
        <v>11243</v>
      </c>
      <c r="K2066">
        <v>389</v>
      </c>
      <c r="L2066" t="s">
        <v>29</v>
      </c>
      <c r="M2066" s="1">
        <v>45243</v>
      </c>
      <c r="N2066" t="s">
        <v>22</v>
      </c>
      <c r="O2066" t="s">
        <v>23</v>
      </c>
      <c r="P2066" t="str">
        <f t="shared" si="708"/>
        <v>P2065</v>
      </c>
      <c r="Q2066" t="str">
        <f t="shared" si="704"/>
        <v>Endocrinology</v>
      </c>
      <c r="R2066">
        <f t="shared" si="705"/>
        <v>1</v>
      </c>
      <c r="S2066" t="str">
        <f t="shared" ca="1" si="709"/>
        <v>No</v>
      </c>
      <c r="T2066" t="str">
        <f t="shared" ca="1" si="710"/>
        <v>Severe</v>
      </c>
      <c r="U2066" t="str">
        <f t="shared" ca="1" si="711"/>
        <v>Private Ward</v>
      </c>
      <c r="V2066" t="str">
        <f t="shared" si="712"/>
        <v>BED2065</v>
      </c>
      <c r="W2066" t="str">
        <f t="shared" ca="1" si="713"/>
        <v>General</v>
      </c>
      <c r="X2066" t="str">
        <f t="shared" si="714"/>
        <v>NUR015</v>
      </c>
      <c r="Y2066" t="str">
        <f t="shared" ca="1" si="715"/>
        <v>Evening</v>
      </c>
      <c r="Z2066" t="str">
        <f t="shared" ca="1" si="716"/>
        <v>X-Ray</v>
      </c>
      <c r="AA2066" t="str">
        <f t="shared" ca="1" si="717"/>
        <v>Maintenance</v>
      </c>
      <c r="AB2066" t="str">
        <f t="shared" ca="1" si="718"/>
        <v>Pending</v>
      </c>
      <c r="AC2066" t="str">
        <f t="shared" ca="1" si="719"/>
        <v>Credit Card</v>
      </c>
      <c r="AD2066" t="str">
        <f t="shared" ca="1" si="720"/>
        <v>No</v>
      </c>
      <c r="AE2066" t="str">
        <f t="shared" ca="1" si="721"/>
        <v>No</v>
      </c>
      <c r="AF2066" t="str">
        <f t="shared" ca="1" si="722"/>
        <v>Transferred</v>
      </c>
      <c r="AG2066" t="str">
        <f t="shared" ca="1" si="723"/>
        <v>Midwest</v>
      </c>
      <c r="AH2066" t="str">
        <f t="shared" si="706"/>
        <v>November</v>
      </c>
      <c r="AI2066">
        <f t="shared" si="707"/>
        <v>2023</v>
      </c>
      <c r="AJ2066" t="str">
        <f t="shared" ca="1" si="724"/>
        <v>Occupied</v>
      </c>
      <c r="AK2066">
        <f t="shared" ca="1" si="725"/>
        <v>4</v>
      </c>
    </row>
    <row r="2067" spans="1:37" x14ac:dyDescent="0.3">
      <c r="A2067" t="s">
        <v>6433</v>
      </c>
      <c r="B2067">
        <v>30</v>
      </c>
      <c r="C2067" t="s">
        <v>32</v>
      </c>
      <c r="D2067" t="s">
        <v>33</v>
      </c>
      <c r="E2067" t="s">
        <v>25</v>
      </c>
      <c r="F2067" s="1">
        <v>45199</v>
      </c>
      <c r="G2067" t="s">
        <v>4094</v>
      </c>
      <c r="H2067" t="s">
        <v>4095</v>
      </c>
      <c r="I2067" t="s">
        <v>51</v>
      </c>
      <c r="J2067">
        <v>23082</v>
      </c>
      <c r="K2067">
        <v>314</v>
      </c>
      <c r="L2067" t="s">
        <v>21</v>
      </c>
      <c r="M2067" s="1">
        <v>45211</v>
      </c>
      <c r="N2067" t="s">
        <v>37</v>
      </c>
      <c r="O2067" t="s">
        <v>31</v>
      </c>
      <c r="P2067" t="str">
        <f t="shared" si="708"/>
        <v>P2066</v>
      </c>
      <c r="Q2067" t="str">
        <f t="shared" si="704"/>
        <v>Nutrition</v>
      </c>
      <c r="R2067">
        <f t="shared" si="705"/>
        <v>12</v>
      </c>
      <c r="S2067" t="str">
        <f t="shared" ca="1" si="709"/>
        <v>No</v>
      </c>
      <c r="T2067" t="str">
        <f t="shared" ca="1" si="710"/>
        <v>Critical</v>
      </c>
      <c r="U2067" t="str">
        <f t="shared" ca="1" si="711"/>
        <v>General Ward</v>
      </c>
      <c r="V2067" t="str">
        <f t="shared" si="712"/>
        <v>BED2066</v>
      </c>
      <c r="W2067" t="str">
        <f t="shared" ca="1" si="713"/>
        <v>General</v>
      </c>
      <c r="X2067" t="str">
        <f t="shared" si="714"/>
        <v>NUR016</v>
      </c>
      <c r="Y2067" t="str">
        <f t="shared" ca="1" si="715"/>
        <v>Morning</v>
      </c>
      <c r="Z2067" t="str">
        <f t="shared" ca="1" si="716"/>
        <v>CT Scanner</v>
      </c>
      <c r="AA2067" t="str">
        <f t="shared" ca="1" si="717"/>
        <v>Available</v>
      </c>
      <c r="AB2067" t="str">
        <f t="shared" ca="1" si="718"/>
        <v>Pending</v>
      </c>
      <c r="AC2067" t="str">
        <f t="shared" ca="1" si="719"/>
        <v>Insurance</v>
      </c>
      <c r="AD2067" t="str">
        <f t="shared" ca="1" si="720"/>
        <v>Yes</v>
      </c>
      <c r="AE2067" t="str">
        <f t="shared" ca="1" si="721"/>
        <v>No</v>
      </c>
      <c r="AF2067" t="str">
        <f t="shared" ca="1" si="722"/>
        <v>Transferred</v>
      </c>
      <c r="AG2067" t="str">
        <f t="shared" ca="1" si="723"/>
        <v>Midwest</v>
      </c>
      <c r="AH2067" t="str">
        <f t="shared" si="706"/>
        <v>September</v>
      </c>
      <c r="AI2067">
        <f t="shared" si="707"/>
        <v>2023</v>
      </c>
      <c r="AJ2067" t="str">
        <f t="shared" ca="1" si="724"/>
        <v>Vacant</v>
      </c>
      <c r="AK2067">
        <f t="shared" ca="1" si="725"/>
        <v>4</v>
      </c>
    </row>
    <row r="2068" spans="1:37" x14ac:dyDescent="0.3">
      <c r="A2068" t="s">
        <v>6434</v>
      </c>
      <c r="B2068">
        <v>74</v>
      </c>
      <c r="C2068" t="s">
        <v>32</v>
      </c>
      <c r="D2068" t="s">
        <v>33</v>
      </c>
      <c r="E2068" t="s">
        <v>48</v>
      </c>
      <c r="F2068" s="1">
        <v>45383</v>
      </c>
      <c r="G2068" t="s">
        <v>4096</v>
      </c>
      <c r="H2068" t="s">
        <v>2846</v>
      </c>
      <c r="I2068" t="s">
        <v>51</v>
      </c>
      <c r="J2068">
        <v>11125</v>
      </c>
      <c r="K2068">
        <v>447</v>
      </c>
      <c r="L2068" t="s">
        <v>42</v>
      </c>
      <c r="M2068" s="1">
        <v>45399</v>
      </c>
      <c r="N2068" t="s">
        <v>30</v>
      </c>
      <c r="O2068" t="s">
        <v>31</v>
      </c>
      <c r="P2068" t="str">
        <f t="shared" si="708"/>
        <v>P2067</v>
      </c>
      <c r="Q2068" t="str">
        <f t="shared" si="704"/>
        <v>Pulmonology</v>
      </c>
      <c r="R2068">
        <f t="shared" si="705"/>
        <v>16</v>
      </c>
      <c r="S2068" t="str">
        <f t="shared" ca="1" si="709"/>
        <v>No</v>
      </c>
      <c r="T2068" t="str">
        <f t="shared" ca="1" si="710"/>
        <v>Mild</v>
      </c>
      <c r="U2068" t="str">
        <f t="shared" ca="1" si="711"/>
        <v>ICU</v>
      </c>
      <c r="V2068" t="str">
        <f t="shared" si="712"/>
        <v>BED2067</v>
      </c>
      <c r="W2068" t="str">
        <f t="shared" ca="1" si="713"/>
        <v>Private</v>
      </c>
      <c r="X2068" t="str">
        <f t="shared" si="714"/>
        <v>NUR017</v>
      </c>
      <c r="Y2068" t="str">
        <f t="shared" ca="1" si="715"/>
        <v>Night</v>
      </c>
      <c r="Z2068" t="str">
        <f t="shared" ca="1" si="716"/>
        <v>Ventilator</v>
      </c>
      <c r="AA2068" t="str">
        <f t="shared" ca="1" si="717"/>
        <v>Available</v>
      </c>
      <c r="AB2068" t="str">
        <f t="shared" ca="1" si="718"/>
        <v>Partially Paid</v>
      </c>
      <c r="AC2068" t="str">
        <f t="shared" ca="1" si="719"/>
        <v>Insurance</v>
      </c>
      <c r="AD2068" t="str">
        <f t="shared" ca="1" si="720"/>
        <v>No</v>
      </c>
      <c r="AE2068" t="str">
        <f t="shared" ca="1" si="721"/>
        <v>No</v>
      </c>
      <c r="AF2068" t="str">
        <f t="shared" ca="1" si="722"/>
        <v>Under Observation</v>
      </c>
      <c r="AG2068" t="str">
        <f t="shared" ca="1" si="723"/>
        <v>Southeast</v>
      </c>
      <c r="AH2068" t="str">
        <f t="shared" si="706"/>
        <v>April</v>
      </c>
      <c r="AI2068">
        <f t="shared" si="707"/>
        <v>2024</v>
      </c>
      <c r="AJ2068" t="str">
        <f t="shared" ca="1" si="724"/>
        <v>Occupied</v>
      </c>
      <c r="AK2068">
        <f t="shared" ca="1" si="725"/>
        <v>1</v>
      </c>
    </row>
    <row r="2069" spans="1:37" x14ac:dyDescent="0.3">
      <c r="A2069" t="s">
        <v>6435</v>
      </c>
      <c r="B2069">
        <v>77</v>
      </c>
      <c r="C2069" t="s">
        <v>15</v>
      </c>
      <c r="D2069" t="s">
        <v>98</v>
      </c>
      <c r="E2069" t="s">
        <v>48</v>
      </c>
      <c r="F2069" s="1">
        <v>44153</v>
      </c>
      <c r="G2069" t="s">
        <v>4097</v>
      </c>
      <c r="H2069" t="s">
        <v>4098</v>
      </c>
      <c r="I2069" t="s">
        <v>57</v>
      </c>
      <c r="J2069">
        <v>12722</v>
      </c>
      <c r="K2069">
        <v>364</v>
      </c>
      <c r="L2069" t="s">
        <v>29</v>
      </c>
      <c r="M2069" s="1">
        <v>44176</v>
      </c>
      <c r="N2069" t="s">
        <v>37</v>
      </c>
      <c r="O2069" t="s">
        <v>23</v>
      </c>
      <c r="P2069" t="str">
        <f t="shared" si="708"/>
        <v>P2068</v>
      </c>
      <c r="Q2069" t="str">
        <f t="shared" si="704"/>
        <v>Pulmonology</v>
      </c>
      <c r="R2069">
        <f t="shared" si="705"/>
        <v>23</v>
      </c>
      <c r="S2069" t="str">
        <f t="shared" ca="1" si="709"/>
        <v>No</v>
      </c>
      <c r="T2069" t="str">
        <f t="shared" ca="1" si="710"/>
        <v>Moderate</v>
      </c>
      <c r="U2069" t="str">
        <f t="shared" ca="1" si="711"/>
        <v>ICU</v>
      </c>
      <c r="V2069" t="str">
        <f t="shared" si="712"/>
        <v>BED2068</v>
      </c>
      <c r="W2069" t="str">
        <f t="shared" ca="1" si="713"/>
        <v>ICU</v>
      </c>
      <c r="X2069" t="str">
        <f t="shared" si="714"/>
        <v>NUR018</v>
      </c>
      <c r="Y2069" t="str">
        <f t="shared" ca="1" si="715"/>
        <v>Morning</v>
      </c>
      <c r="Z2069" t="str">
        <f t="shared" ca="1" si="716"/>
        <v>Ultrasound</v>
      </c>
      <c r="AA2069" t="str">
        <f t="shared" ca="1" si="717"/>
        <v>In Use</v>
      </c>
      <c r="AB2069" t="str">
        <f t="shared" ca="1" si="718"/>
        <v>Partially Paid</v>
      </c>
      <c r="AC2069" t="str">
        <f t="shared" ca="1" si="719"/>
        <v>Cash</v>
      </c>
      <c r="AD2069" t="str">
        <f t="shared" ca="1" si="720"/>
        <v>Yes</v>
      </c>
      <c r="AE2069" t="str">
        <f t="shared" ca="1" si="721"/>
        <v>No</v>
      </c>
      <c r="AF2069" t="str">
        <f t="shared" ca="1" si="722"/>
        <v>Transferred</v>
      </c>
      <c r="AG2069" t="str">
        <f t="shared" ca="1" si="723"/>
        <v>Southeast</v>
      </c>
      <c r="AH2069" t="str">
        <f t="shared" si="706"/>
        <v>November</v>
      </c>
      <c r="AI2069">
        <f t="shared" si="707"/>
        <v>2020</v>
      </c>
      <c r="AJ2069" t="str">
        <f t="shared" ca="1" si="724"/>
        <v>Vacant</v>
      </c>
      <c r="AK2069">
        <f t="shared" ca="1" si="725"/>
        <v>1</v>
      </c>
    </row>
    <row r="2070" spans="1:37" x14ac:dyDescent="0.3">
      <c r="A2070" t="s">
        <v>6436</v>
      </c>
      <c r="B2070">
        <v>77</v>
      </c>
      <c r="C2070" t="s">
        <v>32</v>
      </c>
      <c r="D2070" t="s">
        <v>16</v>
      </c>
      <c r="E2070" t="s">
        <v>25</v>
      </c>
      <c r="F2070" s="1">
        <v>44644</v>
      </c>
      <c r="G2070" t="s">
        <v>4099</v>
      </c>
      <c r="H2070" t="s">
        <v>4100</v>
      </c>
      <c r="I2070" t="s">
        <v>36</v>
      </c>
      <c r="J2070">
        <v>45956</v>
      </c>
      <c r="K2070">
        <v>111</v>
      </c>
      <c r="L2070" t="s">
        <v>42</v>
      </c>
      <c r="M2070" s="1">
        <v>44672</v>
      </c>
      <c r="N2070" t="s">
        <v>47</v>
      </c>
      <c r="O2070" t="s">
        <v>43</v>
      </c>
      <c r="P2070" t="str">
        <f t="shared" si="708"/>
        <v>P2069</v>
      </c>
      <c r="Q2070" t="str">
        <f t="shared" si="704"/>
        <v>Nutrition</v>
      </c>
      <c r="R2070">
        <f t="shared" si="705"/>
        <v>28</v>
      </c>
      <c r="S2070" t="str">
        <f t="shared" ca="1" si="709"/>
        <v>No</v>
      </c>
      <c r="T2070" t="str">
        <f t="shared" ca="1" si="710"/>
        <v>Mild</v>
      </c>
      <c r="U2070" t="str">
        <f t="shared" ca="1" si="711"/>
        <v>Emergency</v>
      </c>
      <c r="V2070" t="str">
        <f t="shared" si="712"/>
        <v>BED2069</v>
      </c>
      <c r="W2070" t="str">
        <f t="shared" ca="1" si="713"/>
        <v>ICU</v>
      </c>
      <c r="X2070" t="str">
        <f t="shared" si="714"/>
        <v>NUR019</v>
      </c>
      <c r="Y2070" t="str">
        <f t="shared" ca="1" si="715"/>
        <v>Evening</v>
      </c>
      <c r="Z2070" t="str">
        <f t="shared" ca="1" si="716"/>
        <v>MRI Scanner</v>
      </c>
      <c r="AA2070" t="str">
        <f t="shared" ca="1" si="717"/>
        <v>Maintenance</v>
      </c>
      <c r="AB2070" t="str">
        <f t="shared" ca="1" si="718"/>
        <v>Pending</v>
      </c>
      <c r="AC2070" t="str">
        <f t="shared" ca="1" si="719"/>
        <v>Insurance</v>
      </c>
      <c r="AD2070" t="str">
        <f t="shared" ca="1" si="720"/>
        <v>No</v>
      </c>
      <c r="AE2070" t="str">
        <f t="shared" ca="1" si="721"/>
        <v>No</v>
      </c>
      <c r="AF2070" t="str">
        <f t="shared" ca="1" si="722"/>
        <v>Recovered</v>
      </c>
      <c r="AG2070" t="str">
        <f t="shared" ca="1" si="723"/>
        <v>Southwest</v>
      </c>
      <c r="AH2070" t="str">
        <f t="shared" si="706"/>
        <v>March</v>
      </c>
      <c r="AI2070">
        <f t="shared" si="707"/>
        <v>2022</v>
      </c>
      <c r="AJ2070" t="str">
        <f t="shared" ca="1" si="724"/>
        <v>Occupied</v>
      </c>
      <c r="AK2070">
        <f t="shared" ca="1" si="725"/>
        <v>1</v>
      </c>
    </row>
    <row r="2071" spans="1:37" x14ac:dyDescent="0.3">
      <c r="A2071" t="s">
        <v>6437</v>
      </c>
      <c r="B2071">
        <v>70</v>
      </c>
      <c r="C2071" t="s">
        <v>15</v>
      </c>
      <c r="D2071" t="s">
        <v>38</v>
      </c>
      <c r="E2071" t="s">
        <v>64</v>
      </c>
      <c r="F2071" s="1">
        <v>44899</v>
      </c>
      <c r="G2071" t="s">
        <v>4101</v>
      </c>
      <c r="H2071" t="s">
        <v>4102</v>
      </c>
      <c r="I2071" t="s">
        <v>57</v>
      </c>
      <c r="J2071">
        <v>18647</v>
      </c>
      <c r="K2071">
        <v>304</v>
      </c>
      <c r="L2071" t="s">
        <v>29</v>
      </c>
      <c r="M2071" s="1">
        <v>44907</v>
      </c>
      <c r="N2071" t="s">
        <v>67</v>
      </c>
      <c r="O2071" t="s">
        <v>43</v>
      </c>
      <c r="P2071" t="str">
        <f t="shared" si="708"/>
        <v>P2070</v>
      </c>
      <c r="Q2071" t="str">
        <f t="shared" si="704"/>
        <v>Cardiology</v>
      </c>
      <c r="R2071">
        <f t="shared" si="705"/>
        <v>8</v>
      </c>
      <c r="S2071" t="str">
        <f t="shared" ca="1" si="709"/>
        <v>No</v>
      </c>
      <c r="T2071" t="str">
        <f t="shared" ca="1" si="710"/>
        <v>Mild</v>
      </c>
      <c r="U2071" t="str">
        <f t="shared" ca="1" si="711"/>
        <v>Emergency</v>
      </c>
      <c r="V2071" t="str">
        <f t="shared" si="712"/>
        <v>BED2070</v>
      </c>
      <c r="W2071" t="str">
        <f t="shared" ca="1" si="713"/>
        <v>Private</v>
      </c>
      <c r="X2071" t="str">
        <f t="shared" si="714"/>
        <v>NUR020</v>
      </c>
      <c r="Y2071" t="str">
        <f t="shared" ca="1" si="715"/>
        <v>Morning</v>
      </c>
      <c r="Z2071" t="str">
        <f t="shared" ca="1" si="716"/>
        <v>ECG Machine</v>
      </c>
      <c r="AA2071" t="str">
        <f t="shared" ca="1" si="717"/>
        <v>Available</v>
      </c>
      <c r="AB2071" t="str">
        <f t="shared" ca="1" si="718"/>
        <v>Pending</v>
      </c>
      <c r="AC2071" t="str">
        <f t="shared" ca="1" si="719"/>
        <v>Credit Card</v>
      </c>
      <c r="AD2071" t="str">
        <f t="shared" ca="1" si="720"/>
        <v>No</v>
      </c>
      <c r="AE2071" t="str">
        <f t="shared" ca="1" si="721"/>
        <v>No</v>
      </c>
      <c r="AF2071" t="str">
        <f t="shared" ca="1" si="722"/>
        <v>Transferred</v>
      </c>
      <c r="AG2071" t="str">
        <f t="shared" ca="1" si="723"/>
        <v>Northeast</v>
      </c>
      <c r="AH2071" t="str">
        <f t="shared" si="706"/>
        <v>December</v>
      </c>
      <c r="AI2071">
        <f t="shared" si="707"/>
        <v>2022</v>
      </c>
      <c r="AJ2071" t="str">
        <f t="shared" ca="1" si="724"/>
        <v>Occupied</v>
      </c>
      <c r="AK2071">
        <f t="shared" ca="1" si="725"/>
        <v>4</v>
      </c>
    </row>
    <row r="2072" spans="1:37" x14ac:dyDescent="0.3">
      <c r="A2072" t="s">
        <v>6438</v>
      </c>
      <c r="B2072">
        <v>48</v>
      </c>
      <c r="C2072" t="s">
        <v>32</v>
      </c>
      <c r="D2072" t="s">
        <v>24</v>
      </c>
      <c r="E2072" t="s">
        <v>76</v>
      </c>
      <c r="F2072" s="1">
        <v>45297</v>
      </c>
      <c r="G2072" t="s">
        <v>4103</v>
      </c>
      <c r="H2072" t="s">
        <v>4104</v>
      </c>
      <c r="I2072" t="s">
        <v>28</v>
      </c>
      <c r="J2072">
        <v>5031</v>
      </c>
      <c r="K2072">
        <v>252</v>
      </c>
      <c r="L2072" t="s">
        <v>21</v>
      </c>
      <c r="M2072" s="1">
        <v>45311</v>
      </c>
      <c r="N2072" t="s">
        <v>30</v>
      </c>
      <c r="O2072" t="s">
        <v>31</v>
      </c>
      <c r="P2072" t="str">
        <f t="shared" si="708"/>
        <v>P2071</v>
      </c>
      <c r="Q2072" t="str">
        <f t="shared" si="704"/>
        <v>Orthopedics</v>
      </c>
      <c r="R2072">
        <f t="shared" si="705"/>
        <v>14</v>
      </c>
      <c r="S2072" t="str">
        <f t="shared" ca="1" si="709"/>
        <v>No</v>
      </c>
      <c r="T2072" t="str">
        <f t="shared" ca="1" si="710"/>
        <v>Critical</v>
      </c>
      <c r="U2072" t="str">
        <f t="shared" ca="1" si="711"/>
        <v>Semi-Private</v>
      </c>
      <c r="V2072" t="str">
        <f t="shared" si="712"/>
        <v>BED2071</v>
      </c>
      <c r="W2072" t="str">
        <f t="shared" ca="1" si="713"/>
        <v>ICU</v>
      </c>
      <c r="X2072" t="str">
        <f t="shared" si="714"/>
        <v>NUR021</v>
      </c>
      <c r="Y2072" t="str">
        <f t="shared" ca="1" si="715"/>
        <v>Evening</v>
      </c>
      <c r="Z2072" t="str">
        <f t="shared" ca="1" si="716"/>
        <v>CT Scanner</v>
      </c>
      <c r="AA2072" t="str">
        <f t="shared" ca="1" si="717"/>
        <v>In Use</v>
      </c>
      <c r="AB2072" t="str">
        <f t="shared" ca="1" si="718"/>
        <v>Partially Paid</v>
      </c>
      <c r="AC2072" t="str">
        <f t="shared" ca="1" si="719"/>
        <v>Cash</v>
      </c>
      <c r="AD2072" t="str">
        <f t="shared" ca="1" si="720"/>
        <v>No</v>
      </c>
      <c r="AE2072" t="str">
        <f t="shared" ca="1" si="721"/>
        <v>No</v>
      </c>
      <c r="AF2072" t="str">
        <f t="shared" ca="1" si="722"/>
        <v>Recovered</v>
      </c>
      <c r="AG2072" t="str">
        <f t="shared" ca="1" si="723"/>
        <v>West Coast</v>
      </c>
      <c r="AH2072" t="str">
        <f t="shared" si="706"/>
        <v>January</v>
      </c>
      <c r="AI2072">
        <f t="shared" si="707"/>
        <v>2024</v>
      </c>
      <c r="AJ2072" t="str">
        <f t="shared" ca="1" si="724"/>
        <v>Occupied</v>
      </c>
      <c r="AK2072">
        <f t="shared" ca="1" si="725"/>
        <v>1</v>
      </c>
    </row>
    <row r="2073" spans="1:37" x14ac:dyDescent="0.3">
      <c r="A2073" t="s">
        <v>6439</v>
      </c>
      <c r="B2073">
        <v>56</v>
      </c>
      <c r="C2073" t="s">
        <v>15</v>
      </c>
      <c r="D2073" t="s">
        <v>83</v>
      </c>
      <c r="E2073" t="s">
        <v>39</v>
      </c>
      <c r="F2073" s="1">
        <v>44516</v>
      </c>
      <c r="G2073" t="s">
        <v>4105</v>
      </c>
      <c r="H2073" t="s">
        <v>4106</v>
      </c>
      <c r="I2073" t="s">
        <v>28</v>
      </c>
      <c r="J2073">
        <v>6861</v>
      </c>
      <c r="K2073">
        <v>302</v>
      </c>
      <c r="L2073" t="s">
        <v>21</v>
      </c>
      <c r="M2073" s="1">
        <v>44540</v>
      </c>
      <c r="N2073" t="s">
        <v>30</v>
      </c>
      <c r="O2073" t="s">
        <v>43</v>
      </c>
      <c r="P2073" t="str">
        <f t="shared" si="708"/>
        <v>P2072</v>
      </c>
      <c r="Q2073" t="str">
        <f t="shared" si="704"/>
        <v>Endocrinology</v>
      </c>
      <c r="R2073">
        <f t="shared" si="705"/>
        <v>24</v>
      </c>
      <c r="S2073" t="str">
        <f t="shared" ca="1" si="709"/>
        <v>Yes</v>
      </c>
      <c r="T2073" t="str">
        <f t="shared" ca="1" si="710"/>
        <v>Mild</v>
      </c>
      <c r="U2073" t="str">
        <f t="shared" ca="1" si="711"/>
        <v>Semi-Private</v>
      </c>
      <c r="V2073" t="str">
        <f t="shared" si="712"/>
        <v>BED2072</v>
      </c>
      <c r="W2073" t="str">
        <f t="shared" ca="1" si="713"/>
        <v>Private</v>
      </c>
      <c r="X2073" t="str">
        <f t="shared" si="714"/>
        <v>NUR022</v>
      </c>
      <c r="Y2073" t="str">
        <f t="shared" ca="1" si="715"/>
        <v>Night</v>
      </c>
      <c r="Z2073" t="str">
        <f t="shared" ca="1" si="716"/>
        <v>ECG Machine</v>
      </c>
      <c r="AA2073" t="str">
        <f t="shared" ca="1" si="717"/>
        <v>In Use</v>
      </c>
      <c r="AB2073" t="str">
        <f t="shared" ca="1" si="718"/>
        <v>Partially Paid</v>
      </c>
      <c r="AC2073" t="str">
        <f t="shared" ca="1" si="719"/>
        <v>Insurance</v>
      </c>
      <c r="AD2073" t="str">
        <f t="shared" ca="1" si="720"/>
        <v>No</v>
      </c>
      <c r="AE2073" t="str">
        <f t="shared" ca="1" si="721"/>
        <v>No</v>
      </c>
      <c r="AF2073" t="str">
        <f t="shared" ca="1" si="722"/>
        <v>Under Observation</v>
      </c>
      <c r="AG2073" t="str">
        <f t="shared" ca="1" si="723"/>
        <v>Northeast</v>
      </c>
      <c r="AH2073" t="str">
        <f t="shared" si="706"/>
        <v>November</v>
      </c>
      <c r="AI2073">
        <f t="shared" si="707"/>
        <v>2021</v>
      </c>
      <c r="AJ2073" t="str">
        <f t="shared" ca="1" si="724"/>
        <v>Occupied</v>
      </c>
      <c r="AK2073">
        <f t="shared" ca="1" si="725"/>
        <v>1</v>
      </c>
    </row>
    <row r="2074" spans="1:37" x14ac:dyDescent="0.3">
      <c r="A2074" t="s">
        <v>6440</v>
      </c>
      <c r="B2074">
        <v>83</v>
      </c>
      <c r="C2074" t="s">
        <v>15</v>
      </c>
      <c r="D2074" t="s">
        <v>98</v>
      </c>
      <c r="E2074" t="s">
        <v>25</v>
      </c>
      <c r="F2074" s="1">
        <v>43666</v>
      </c>
      <c r="G2074" t="s">
        <v>4107</v>
      </c>
      <c r="H2074" t="s">
        <v>4108</v>
      </c>
      <c r="I2074" t="s">
        <v>20</v>
      </c>
      <c r="J2074">
        <v>25858</v>
      </c>
      <c r="K2074">
        <v>339</v>
      </c>
      <c r="L2074" t="s">
        <v>29</v>
      </c>
      <c r="M2074" s="1">
        <v>43684</v>
      </c>
      <c r="N2074" t="s">
        <v>47</v>
      </c>
      <c r="O2074" t="s">
        <v>31</v>
      </c>
      <c r="P2074" t="str">
        <f t="shared" si="708"/>
        <v>P2073</v>
      </c>
      <c r="Q2074" t="str">
        <f t="shared" si="704"/>
        <v>Nutrition</v>
      </c>
      <c r="R2074">
        <f t="shared" si="705"/>
        <v>18</v>
      </c>
      <c r="S2074" t="str">
        <f t="shared" ca="1" si="709"/>
        <v>No</v>
      </c>
      <c r="T2074" t="str">
        <f t="shared" ca="1" si="710"/>
        <v>Severe</v>
      </c>
      <c r="U2074" t="str">
        <f t="shared" ca="1" si="711"/>
        <v>Semi-Private</v>
      </c>
      <c r="V2074" t="str">
        <f t="shared" si="712"/>
        <v>BED2073</v>
      </c>
      <c r="W2074" t="str">
        <f t="shared" ca="1" si="713"/>
        <v>ICU</v>
      </c>
      <c r="X2074" t="str">
        <f t="shared" si="714"/>
        <v>NUR023</v>
      </c>
      <c r="Y2074" t="str">
        <f t="shared" ca="1" si="715"/>
        <v>Night</v>
      </c>
      <c r="Z2074" t="str">
        <f t="shared" ca="1" si="716"/>
        <v>MRI Scanner</v>
      </c>
      <c r="AA2074" t="str">
        <f t="shared" ca="1" si="717"/>
        <v>Available</v>
      </c>
      <c r="AB2074" t="str">
        <f t="shared" ca="1" si="718"/>
        <v>Paid</v>
      </c>
      <c r="AC2074" t="str">
        <f t="shared" ca="1" si="719"/>
        <v>Bank Transfer</v>
      </c>
      <c r="AD2074" t="str">
        <f t="shared" ca="1" si="720"/>
        <v>No</v>
      </c>
      <c r="AE2074" t="str">
        <f t="shared" ca="1" si="721"/>
        <v>Yes</v>
      </c>
      <c r="AF2074" t="str">
        <f t="shared" ca="1" si="722"/>
        <v>Under Observation</v>
      </c>
      <c r="AG2074" t="str">
        <f t="shared" ca="1" si="723"/>
        <v>Northeast</v>
      </c>
      <c r="AH2074" t="str">
        <f t="shared" si="706"/>
        <v>July</v>
      </c>
      <c r="AI2074">
        <f t="shared" si="707"/>
        <v>2019</v>
      </c>
      <c r="AJ2074" t="str">
        <f t="shared" ca="1" si="724"/>
        <v>Occupied</v>
      </c>
      <c r="AK2074">
        <f t="shared" ca="1" si="725"/>
        <v>1</v>
      </c>
    </row>
    <row r="2075" spans="1:37" x14ac:dyDescent="0.3">
      <c r="A2075" t="s">
        <v>6441</v>
      </c>
      <c r="B2075">
        <v>70</v>
      </c>
      <c r="C2075" t="s">
        <v>32</v>
      </c>
      <c r="D2075" t="s">
        <v>38</v>
      </c>
      <c r="E2075" t="s">
        <v>76</v>
      </c>
      <c r="F2075" s="1">
        <v>44074</v>
      </c>
      <c r="G2075" t="s">
        <v>4109</v>
      </c>
      <c r="H2075" t="s">
        <v>4110</v>
      </c>
      <c r="I2075" t="s">
        <v>36</v>
      </c>
      <c r="J2075">
        <v>13575</v>
      </c>
      <c r="K2075">
        <v>246</v>
      </c>
      <c r="L2075" t="s">
        <v>42</v>
      </c>
      <c r="M2075" s="1">
        <v>44083</v>
      </c>
      <c r="N2075" t="s">
        <v>67</v>
      </c>
      <c r="O2075" t="s">
        <v>31</v>
      </c>
      <c r="P2075" t="str">
        <f t="shared" si="708"/>
        <v>P2074</v>
      </c>
      <c r="Q2075" t="str">
        <f t="shared" si="704"/>
        <v>Orthopedics</v>
      </c>
      <c r="R2075">
        <f t="shared" si="705"/>
        <v>9</v>
      </c>
      <c r="S2075" t="str">
        <f t="shared" ca="1" si="709"/>
        <v>No</v>
      </c>
      <c r="T2075" t="str">
        <f t="shared" ca="1" si="710"/>
        <v>Moderate</v>
      </c>
      <c r="U2075" t="str">
        <f t="shared" ca="1" si="711"/>
        <v>Semi-Private</v>
      </c>
      <c r="V2075" t="str">
        <f t="shared" si="712"/>
        <v>BED2074</v>
      </c>
      <c r="W2075" t="str">
        <f t="shared" ca="1" si="713"/>
        <v>Semi-Private</v>
      </c>
      <c r="X2075" t="str">
        <f t="shared" si="714"/>
        <v>NUR024</v>
      </c>
      <c r="Y2075" t="str">
        <f t="shared" ca="1" si="715"/>
        <v>Night</v>
      </c>
      <c r="Z2075" t="str">
        <f t="shared" ca="1" si="716"/>
        <v>Ultrasound</v>
      </c>
      <c r="AA2075" t="str">
        <f t="shared" ca="1" si="717"/>
        <v>Maintenance</v>
      </c>
      <c r="AB2075" t="str">
        <f t="shared" ca="1" si="718"/>
        <v>Paid</v>
      </c>
      <c r="AC2075" t="str">
        <f t="shared" ca="1" si="719"/>
        <v>Cash</v>
      </c>
      <c r="AD2075" t="str">
        <f t="shared" ca="1" si="720"/>
        <v>No</v>
      </c>
      <c r="AE2075" t="str">
        <f t="shared" ca="1" si="721"/>
        <v>Yes</v>
      </c>
      <c r="AF2075" t="str">
        <f t="shared" ca="1" si="722"/>
        <v>Recovered</v>
      </c>
      <c r="AG2075" t="str">
        <f t="shared" ca="1" si="723"/>
        <v>Northeast</v>
      </c>
      <c r="AH2075" t="str">
        <f t="shared" si="706"/>
        <v>August</v>
      </c>
      <c r="AI2075">
        <f t="shared" si="707"/>
        <v>2020</v>
      </c>
      <c r="AJ2075" t="str">
        <f t="shared" ca="1" si="724"/>
        <v>Occupied</v>
      </c>
      <c r="AK2075">
        <f t="shared" ca="1" si="725"/>
        <v>4</v>
      </c>
    </row>
    <row r="2076" spans="1:37" x14ac:dyDescent="0.3">
      <c r="A2076" t="s">
        <v>6442</v>
      </c>
      <c r="B2076">
        <v>70</v>
      </c>
      <c r="C2076" t="s">
        <v>15</v>
      </c>
      <c r="D2076" t="s">
        <v>98</v>
      </c>
      <c r="E2076" t="s">
        <v>25</v>
      </c>
      <c r="F2076" s="1">
        <v>45071</v>
      </c>
      <c r="G2076" t="s">
        <v>4111</v>
      </c>
      <c r="H2076" t="s">
        <v>4112</v>
      </c>
      <c r="I2076" t="s">
        <v>20</v>
      </c>
      <c r="J2076">
        <v>2168</v>
      </c>
      <c r="K2076">
        <v>287</v>
      </c>
      <c r="L2076" t="s">
        <v>42</v>
      </c>
      <c r="M2076" s="1">
        <v>45087</v>
      </c>
      <c r="N2076" t="s">
        <v>30</v>
      </c>
      <c r="O2076" t="s">
        <v>31</v>
      </c>
      <c r="P2076" t="str">
        <f t="shared" si="708"/>
        <v>P2075</v>
      </c>
      <c r="Q2076" t="str">
        <f t="shared" si="704"/>
        <v>Nutrition</v>
      </c>
      <c r="R2076">
        <f t="shared" si="705"/>
        <v>16</v>
      </c>
      <c r="S2076" t="str">
        <f t="shared" ca="1" si="709"/>
        <v>No</v>
      </c>
      <c r="T2076" t="str">
        <f t="shared" ca="1" si="710"/>
        <v>Mild</v>
      </c>
      <c r="U2076" t="str">
        <f t="shared" ca="1" si="711"/>
        <v>Emergency</v>
      </c>
      <c r="V2076" t="str">
        <f t="shared" si="712"/>
        <v>BED2075</v>
      </c>
      <c r="W2076" t="str">
        <f t="shared" ca="1" si="713"/>
        <v>Semi-Private</v>
      </c>
      <c r="X2076" t="str">
        <f t="shared" si="714"/>
        <v>NUR025</v>
      </c>
      <c r="Y2076" t="str">
        <f t="shared" ca="1" si="715"/>
        <v>Morning</v>
      </c>
      <c r="Z2076" t="str">
        <f t="shared" ca="1" si="716"/>
        <v>Ventilator</v>
      </c>
      <c r="AA2076" t="str">
        <f t="shared" ca="1" si="717"/>
        <v>In Use</v>
      </c>
      <c r="AB2076" t="str">
        <f t="shared" ca="1" si="718"/>
        <v>Partially Paid</v>
      </c>
      <c r="AC2076" t="str">
        <f t="shared" ca="1" si="719"/>
        <v>Bank Transfer</v>
      </c>
      <c r="AD2076" t="str">
        <f t="shared" ca="1" si="720"/>
        <v>No</v>
      </c>
      <c r="AE2076" t="str">
        <f t="shared" ca="1" si="721"/>
        <v>Yes</v>
      </c>
      <c r="AF2076" t="str">
        <f t="shared" ca="1" si="722"/>
        <v>Under Observation</v>
      </c>
      <c r="AG2076" t="str">
        <f t="shared" ca="1" si="723"/>
        <v>Northeast</v>
      </c>
      <c r="AH2076" t="str">
        <f t="shared" si="706"/>
        <v>May</v>
      </c>
      <c r="AI2076">
        <f t="shared" si="707"/>
        <v>2023</v>
      </c>
      <c r="AJ2076" t="str">
        <f t="shared" ca="1" si="724"/>
        <v>Occupied</v>
      </c>
      <c r="AK2076">
        <f t="shared" ca="1" si="725"/>
        <v>2</v>
      </c>
    </row>
    <row r="2077" spans="1:37" x14ac:dyDescent="0.3">
      <c r="A2077" t="s">
        <v>6443</v>
      </c>
      <c r="B2077">
        <v>79</v>
      </c>
      <c r="C2077" t="s">
        <v>15</v>
      </c>
      <c r="D2077" t="s">
        <v>44</v>
      </c>
      <c r="E2077" t="s">
        <v>48</v>
      </c>
      <c r="F2077" s="1">
        <v>44825</v>
      </c>
      <c r="G2077" t="s">
        <v>4113</v>
      </c>
      <c r="H2077" t="s">
        <v>4114</v>
      </c>
      <c r="I2077" t="s">
        <v>28</v>
      </c>
      <c r="J2077">
        <v>10581</v>
      </c>
      <c r="K2077">
        <v>334</v>
      </c>
      <c r="L2077" t="s">
        <v>42</v>
      </c>
      <c r="M2077" s="1">
        <v>44849</v>
      </c>
      <c r="N2077" t="s">
        <v>47</v>
      </c>
      <c r="O2077" t="s">
        <v>43</v>
      </c>
      <c r="P2077" t="str">
        <f t="shared" si="708"/>
        <v>P2076</v>
      </c>
      <c r="Q2077" t="str">
        <f t="shared" si="704"/>
        <v>Pulmonology</v>
      </c>
      <c r="R2077">
        <f t="shared" si="705"/>
        <v>24</v>
      </c>
      <c r="S2077" t="str">
        <f t="shared" ca="1" si="709"/>
        <v>No</v>
      </c>
      <c r="T2077" t="str">
        <f t="shared" ca="1" si="710"/>
        <v>Mild</v>
      </c>
      <c r="U2077" t="str">
        <f t="shared" ca="1" si="711"/>
        <v>Private Ward</v>
      </c>
      <c r="V2077" t="str">
        <f t="shared" si="712"/>
        <v>BED2076</v>
      </c>
      <c r="W2077" t="str">
        <f t="shared" ca="1" si="713"/>
        <v>Private</v>
      </c>
      <c r="X2077" t="str">
        <f t="shared" si="714"/>
        <v>NUR026</v>
      </c>
      <c r="Y2077" t="str">
        <f t="shared" ca="1" si="715"/>
        <v>Evening</v>
      </c>
      <c r="Z2077" t="str">
        <f t="shared" ca="1" si="716"/>
        <v>ECG Machine</v>
      </c>
      <c r="AA2077" t="str">
        <f t="shared" ca="1" si="717"/>
        <v>Available</v>
      </c>
      <c r="AB2077" t="str">
        <f t="shared" ca="1" si="718"/>
        <v>Paid</v>
      </c>
      <c r="AC2077" t="str">
        <f t="shared" ca="1" si="719"/>
        <v>Debit Card</v>
      </c>
      <c r="AD2077" t="str">
        <f t="shared" ca="1" si="720"/>
        <v>No</v>
      </c>
      <c r="AE2077" t="str">
        <f t="shared" ca="1" si="721"/>
        <v>No</v>
      </c>
      <c r="AF2077" t="str">
        <f t="shared" ca="1" si="722"/>
        <v>Under Observation</v>
      </c>
      <c r="AG2077" t="str">
        <f t="shared" ca="1" si="723"/>
        <v>Southwest</v>
      </c>
      <c r="AH2077" t="str">
        <f t="shared" si="706"/>
        <v>September</v>
      </c>
      <c r="AI2077">
        <f t="shared" si="707"/>
        <v>2022</v>
      </c>
      <c r="AJ2077" t="str">
        <f t="shared" ca="1" si="724"/>
        <v>Occupied</v>
      </c>
      <c r="AK2077">
        <f t="shared" ca="1" si="725"/>
        <v>2</v>
      </c>
    </row>
    <row r="2078" spans="1:37" x14ac:dyDescent="0.3">
      <c r="A2078" t="s">
        <v>6444</v>
      </c>
      <c r="B2078">
        <v>82</v>
      </c>
      <c r="C2078" t="s">
        <v>15</v>
      </c>
      <c r="D2078" t="s">
        <v>24</v>
      </c>
      <c r="E2078" t="s">
        <v>64</v>
      </c>
      <c r="F2078" s="1">
        <v>43770</v>
      </c>
      <c r="G2078" t="s">
        <v>4115</v>
      </c>
      <c r="H2078" t="s">
        <v>4116</v>
      </c>
      <c r="I2078" t="s">
        <v>28</v>
      </c>
      <c r="J2078">
        <v>48687</v>
      </c>
      <c r="K2078">
        <v>453</v>
      </c>
      <c r="L2078" t="s">
        <v>42</v>
      </c>
      <c r="M2078" s="1">
        <v>43789</v>
      </c>
      <c r="N2078" t="s">
        <v>47</v>
      </c>
      <c r="O2078" t="s">
        <v>43</v>
      </c>
      <c r="P2078" t="str">
        <f t="shared" si="708"/>
        <v>P2077</v>
      </c>
      <c r="Q2078" t="str">
        <f t="shared" si="704"/>
        <v>Cardiology</v>
      </c>
      <c r="R2078">
        <f t="shared" si="705"/>
        <v>19</v>
      </c>
      <c r="S2078" t="str">
        <f t="shared" ca="1" si="709"/>
        <v>No</v>
      </c>
      <c r="T2078" t="str">
        <f t="shared" ca="1" si="710"/>
        <v>Severe</v>
      </c>
      <c r="U2078" t="str">
        <f t="shared" ca="1" si="711"/>
        <v>Semi-Private</v>
      </c>
      <c r="V2078" t="str">
        <f t="shared" si="712"/>
        <v>BED2077</v>
      </c>
      <c r="W2078" t="str">
        <f t="shared" ca="1" si="713"/>
        <v>Private</v>
      </c>
      <c r="X2078" t="str">
        <f t="shared" si="714"/>
        <v>NUR027</v>
      </c>
      <c r="Y2078" t="str">
        <f t="shared" ca="1" si="715"/>
        <v>Night</v>
      </c>
      <c r="Z2078" t="str">
        <f t="shared" ca="1" si="716"/>
        <v>ECG Machine</v>
      </c>
      <c r="AA2078" t="str">
        <f t="shared" ca="1" si="717"/>
        <v>Available</v>
      </c>
      <c r="AB2078" t="str">
        <f t="shared" ca="1" si="718"/>
        <v>Pending</v>
      </c>
      <c r="AC2078" t="str">
        <f t="shared" ca="1" si="719"/>
        <v>Cash</v>
      </c>
      <c r="AD2078" t="str">
        <f t="shared" ca="1" si="720"/>
        <v>No</v>
      </c>
      <c r="AE2078" t="str">
        <f t="shared" ca="1" si="721"/>
        <v>No</v>
      </c>
      <c r="AF2078" t="str">
        <f t="shared" ca="1" si="722"/>
        <v>Transferred</v>
      </c>
      <c r="AG2078" t="str">
        <f t="shared" ca="1" si="723"/>
        <v>Southwest</v>
      </c>
      <c r="AH2078" t="str">
        <f t="shared" si="706"/>
        <v>November</v>
      </c>
      <c r="AI2078">
        <f t="shared" si="707"/>
        <v>2019</v>
      </c>
      <c r="AJ2078" t="str">
        <f t="shared" ca="1" si="724"/>
        <v>Vacant</v>
      </c>
      <c r="AK2078">
        <f t="shared" ca="1" si="725"/>
        <v>4</v>
      </c>
    </row>
    <row r="2079" spans="1:37" x14ac:dyDescent="0.3">
      <c r="A2079" t="s">
        <v>6445</v>
      </c>
      <c r="B2079">
        <v>70</v>
      </c>
      <c r="C2079" t="s">
        <v>15</v>
      </c>
      <c r="D2079" t="s">
        <v>44</v>
      </c>
      <c r="E2079" t="s">
        <v>76</v>
      </c>
      <c r="F2079" s="1">
        <v>44290</v>
      </c>
      <c r="G2079" t="s">
        <v>4117</v>
      </c>
      <c r="H2079" t="s">
        <v>4118</v>
      </c>
      <c r="I2079" t="s">
        <v>20</v>
      </c>
      <c r="J2079">
        <v>24693</v>
      </c>
      <c r="K2079">
        <v>362</v>
      </c>
      <c r="L2079" t="s">
        <v>29</v>
      </c>
      <c r="M2079" s="1">
        <v>44302</v>
      </c>
      <c r="N2079" t="s">
        <v>47</v>
      </c>
      <c r="O2079" t="s">
        <v>43</v>
      </c>
      <c r="P2079" t="str">
        <f t="shared" si="708"/>
        <v>P2078</v>
      </c>
      <c r="Q2079" t="str">
        <f t="shared" si="704"/>
        <v>Orthopedics</v>
      </c>
      <c r="R2079">
        <f t="shared" si="705"/>
        <v>12</v>
      </c>
      <c r="S2079" t="str">
        <f t="shared" ca="1" si="709"/>
        <v>No</v>
      </c>
      <c r="T2079" t="str">
        <f t="shared" ca="1" si="710"/>
        <v>Moderate</v>
      </c>
      <c r="U2079" t="str">
        <f t="shared" ca="1" si="711"/>
        <v>Private Ward</v>
      </c>
      <c r="V2079" t="str">
        <f t="shared" si="712"/>
        <v>BED2078</v>
      </c>
      <c r="W2079" t="str">
        <f t="shared" ca="1" si="713"/>
        <v>ICU</v>
      </c>
      <c r="X2079" t="str">
        <f t="shared" si="714"/>
        <v>NUR028</v>
      </c>
      <c r="Y2079" t="str">
        <f t="shared" ca="1" si="715"/>
        <v>Night</v>
      </c>
      <c r="Z2079" t="str">
        <f t="shared" ca="1" si="716"/>
        <v>ECG Machine</v>
      </c>
      <c r="AA2079" t="str">
        <f t="shared" ca="1" si="717"/>
        <v>Maintenance</v>
      </c>
      <c r="AB2079" t="str">
        <f t="shared" ca="1" si="718"/>
        <v>Partially Paid</v>
      </c>
      <c r="AC2079" t="str">
        <f t="shared" ca="1" si="719"/>
        <v>Credit Card</v>
      </c>
      <c r="AD2079" t="str">
        <f t="shared" ca="1" si="720"/>
        <v>No</v>
      </c>
      <c r="AE2079" t="str">
        <f t="shared" ca="1" si="721"/>
        <v>No</v>
      </c>
      <c r="AF2079" t="str">
        <f t="shared" ca="1" si="722"/>
        <v>Recovered</v>
      </c>
      <c r="AG2079" t="str">
        <f t="shared" ca="1" si="723"/>
        <v>Midwest</v>
      </c>
      <c r="AH2079" t="str">
        <f t="shared" si="706"/>
        <v>April</v>
      </c>
      <c r="AI2079">
        <f t="shared" si="707"/>
        <v>2021</v>
      </c>
      <c r="AJ2079" t="str">
        <f t="shared" ca="1" si="724"/>
        <v>Occupied</v>
      </c>
      <c r="AK2079">
        <f t="shared" ca="1" si="725"/>
        <v>1</v>
      </c>
    </row>
    <row r="2080" spans="1:37" x14ac:dyDescent="0.3">
      <c r="A2080" t="s">
        <v>6446</v>
      </c>
      <c r="B2080">
        <v>31</v>
      </c>
      <c r="C2080" t="s">
        <v>15</v>
      </c>
      <c r="D2080" t="s">
        <v>24</v>
      </c>
      <c r="E2080" t="s">
        <v>64</v>
      </c>
      <c r="F2080" s="1">
        <v>43925</v>
      </c>
      <c r="G2080" t="s">
        <v>4119</v>
      </c>
      <c r="H2080" t="s">
        <v>4120</v>
      </c>
      <c r="I2080" t="s">
        <v>20</v>
      </c>
      <c r="J2080">
        <v>40818</v>
      </c>
      <c r="K2080">
        <v>158</v>
      </c>
      <c r="L2080" t="s">
        <v>42</v>
      </c>
      <c r="M2080" s="1">
        <v>43926</v>
      </c>
      <c r="N2080" t="s">
        <v>30</v>
      </c>
      <c r="O2080" t="s">
        <v>43</v>
      </c>
      <c r="P2080" t="str">
        <f t="shared" si="708"/>
        <v>P2079</v>
      </c>
      <c r="Q2080" t="str">
        <f t="shared" si="704"/>
        <v>Cardiology</v>
      </c>
      <c r="R2080">
        <f t="shared" si="705"/>
        <v>1</v>
      </c>
      <c r="S2080" t="str">
        <f t="shared" ca="1" si="709"/>
        <v>No</v>
      </c>
      <c r="T2080" t="str">
        <f t="shared" ca="1" si="710"/>
        <v>Mild</v>
      </c>
      <c r="U2080" t="str">
        <f t="shared" ca="1" si="711"/>
        <v>ICU</v>
      </c>
      <c r="V2080" t="str">
        <f t="shared" si="712"/>
        <v>BED2079</v>
      </c>
      <c r="W2080" t="str">
        <f t="shared" ca="1" si="713"/>
        <v>Private</v>
      </c>
      <c r="X2080" t="str">
        <f t="shared" si="714"/>
        <v>NUR029</v>
      </c>
      <c r="Y2080" t="str">
        <f t="shared" ca="1" si="715"/>
        <v>Night</v>
      </c>
      <c r="Z2080" t="str">
        <f t="shared" ca="1" si="716"/>
        <v>ECG Machine</v>
      </c>
      <c r="AA2080" t="str">
        <f t="shared" ca="1" si="717"/>
        <v>Available</v>
      </c>
      <c r="AB2080" t="str">
        <f t="shared" ca="1" si="718"/>
        <v>Pending</v>
      </c>
      <c r="AC2080" t="str">
        <f t="shared" ca="1" si="719"/>
        <v>Bank Transfer</v>
      </c>
      <c r="AD2080" t="str">
        <f t="shared" ca="1" si="720"/>
        <v>No</v>
      </c>
      <c r="AE2080" t="str">
        <f t="shared" ca="1" si="721"/>
        <v>No</v>
      </c>
      <c r="AF2080" t="str">
        <f t="shared" ca="1" si="722"/>
        <v>Transferred</v>
      </c>
      <c r="AG2080" t="str">
        <f t="shared" ca="1" si="723"/>
        <v>Northeast</v>
      </c>
      <c r="AH2080" t="str">
        <f t="shared" si="706"/>
        <v>April</v>
      </c>
      <c r="AI2080">
        <f t="shared" si="707"/>
        <v>2020</v>
      </c>
      <c r="AJ2080" t="str">
        <f t="shared" ca="1" si="724"/>
        <v>Occupied</v>
      </c>
      <c r="AK2080">
        <f t="shared" ca="1" si="725"/>
        <v>4</v>
      </c>
    </row>
    <row r="2081" spans="1:37" x14ac:dyDescent="0.3">
      <c r="A2081" t="s">
        <v>6447</v>
      </c>
      <c r="B2081">
        <v>36</v>
      </c>
      <c r="C2081" t="s">
        <v>32</v>
      </c>
      <c r="D2081" t="s">
        <v>16</v>
      </c>
      <c r="E2081" t="s">
        <v>64</v>
      </c>
      <c r="F2081" s="1">
        <v>44456</v>
      </c>
      <c r="G2081" t="s">
        <v>4121</v>
      </c>
      <c r="H2081" t="s">
        <v>4122</v>
      </c>
      <c r="I2081" t="s">
        <v>20</v>
      </c>
      <c r="J2081">
        <v>14855</v>
      </c>
      <c r="K2081">
        <v>314</v>
      </c>
      <c r="L2081" t="s">
        <v>29</v>
      </c>
      <c r="M2081" s="1">
        <v>44464</v>
      </c>
      <c r="N2081" t="s">
        <v>37</v>
      </c>
      <c r="O2081" t="s">
        <v>31</v>
      </c>
      <c r="P2081" t="str">
        <f t="shared" si="708"/>
        <v>P2080</v>
      </c>
      <c r="Q2081" t="str">
        <f t="shared" si="704"/>
        <v>Cardiology</v>
      </c>
      <c r="R2081">
        <f t="shared" si="705"/>
        <v>8</v>
      </c>
      <c r="S2081" t="str">
        <f t="shared" ca="1" si="709"/>
        <v>No</v>
      </c>
      <c r="T2081" t="str">
        <f t="shared" ca="1" si="710"/>
        <v>Critical</v>
      </c>
      <c r="U2081" t="str">
        <f t="shared" ca="1" si="711"/>
        <v>Semi-Private</v>
      </c>
      <c r="V2081" t="str">
        <f t="shared" si="712"/>
        <v>BED2080</v>
      </c>
      <c r="W2081" t="str">
        <f t="shared" ca="1" si="713"/>
        <v>Semi-Private</v>
      </c>
      <c r="X2081" t="str">
        <f t="shared" si="714"/>
        <v>NUR030</v>
      </c>
      <c r="Y2081" t="str">
        <f t="shared" ca="1" si="715"/>
        <v>Morning</v>
      </c>
      <c r="Z2081" t="str">
        <f t="shared" ca="1" si="716"/>
        <v>CT Scanner</v>
      </c>
      <c r="AA2081" t="str">
        <f t="shared" ca="1" si="717"/>
        <v>In Use</v>
      </c>
      <c r="AB2081" t="str">
        <f t="shared" ca="1" si="718"/>
        <v>Partially Paid</v>
      </c>
      <c r="AC2081" t="str">
        <f t="shared" ca="1" si="719"/>
        <v>Insurance</v>
      </c>
      <c r="AD2081" t="str">
        <f t="shared" ca="1" si="720"/>
        <v>Yes</v>
      </c>
      <c r="AE2081" t="str">
        <f t="shared" ca="1" si="721"/>
        <v>No</v>
      </c>
      <c r="AF2081" t="str">
        <f t="shared" ca="1" si="722"/>
        <v>Recovered</v>
      </c>
      <c r="AG2081" t="str">
        <f t="shared" ca="1" si="723"/>
        <v>Southeast</v>
      </c>
      <c r="AH2081" t="str">
        <f t="shared" si="706"/>
        <v>September</v>
      </c>
      <c r="AI2081">
        <f t="shared" si="707"/>
        <v>2021</v>
      </c>
      <c r="AJ2081" t="str">
        <f t="shared" ca="1" si="724"/>
        <v>Occupied</v>
      </c>
      <c r="AK2081">
        <f t="shared" ca="1" si="725"/>
        <v>1</v>
      </c>
    </row>
    <row r="2082" spans="1:37" x14ac:dyDescent="0.3">
      <c r="A2082" t="s">
        <v>6448</v>
      </c>
      <c r="B2082">
        <v>85</v>
      </c>
      <c r="C2082" t="s">
        <v>32</v>
      </c>
      <c r="D2082" t="s">
        <v>33</v>
      </c>
      <c r="E2082" t="s">
        <v>76</v>
      </c>
      <c r="F2082" s="1">
        <v>44929</v>
      </c>
      <c r="G2082" t="s">
        <v>4123</v>
      </c>
      <c r="H2082" t="s">
        <v>4124</v>
      </c>
      <c r="I2082" t="s">
        <v>20</v>
      </c>
      <c r="J2082">
        <v>28906</v>
      </c>
      <c r="K2082">
        <v>267</v>
      </c>
      <c r="L2082" t="s">
        <v>29</v>
      </c>
      <c r="M2082" s="1">
        <v>44930</v>
      </c>
      <c r="N2082" t="s">
        <v>37</v>
      </c>
      <c r="O2082" t="s">
        <v>43</v>
      </c>
      <c r="P2082" t="str">
        <f t="shared" si="708"/>
        <v>P2081</v>
      </c>
      <c r="Q2082" t="str">
        <f t="shared" si="704"/>
        <v>Orthopedics</v>
      </c>
      <c r="R2082">
        <f t="shared" si="705"/>
        <v>1</v>
      </c>
      <c r="S2082" t="str">
        <f t="shared" ca="1" si="709"/>
        <v>No</v>
      </c>
      <c r="T2082" t="str">
        <f t="shared" ca="1" si="710"/>
        <v>Mild</v>
      </c>
      <c r="U2082" t="str">
        <f t="shared" ca="1" si="711"/>
        <v>Private Ward</v>
      </c>
      <c r="V2082" t="str">
        <f t="shared" si="712"/>
        <v>BED2081</v>
      </c>
      <c r="W2082" t="str">
        <f t="shared" ca="1" si="713"/>
        <v>Semi-Private</v>
      </c>
      <c r="X2082" t="str">
        <f t="shared" si="714"/>
        <v>NUR031</v>
      </c>
      <c r="Y2082" t="str">
        <f t="shared" ca="1" si="715"/>
        <v>Evening</v>
      </c>
      <c r="Z2082" t="str">
        <f t="shared" ca="1" si="716"/>
        <v>Ventilator</v>
      </c>
      <c r="AA2082" t="str">
        <f t="shared" ca="1" si="717"/>
        <v>Available</v>
      </c>
      <c r="AB2082" t="str">
        <f t="shared" ca="1" si="718"/>
        <v>Pending</v>
      </c>
      <c r="AC2082" t="str">
        <f t="shared" ca="1" si="719"/>
        <v>Credit Card</v>
      </c>
      <c r="AD2082" t="str">
        <f t="shared" ca="1" si="720"/>
        <v>No</v>
      </c>
      <c r="AE2082" t="str">
        <f t="shared" ca="1" si="721"/>
        <v>No</v>
      </c>
      <c r="AF2082" t="str">
        <f t="shared" ca="1" si="722"/>
        <v>Recovered</v>
      </c>
      <c r="AG2082" t="str">
        <f t="shared" ca="1" si="723"/>
        <v>Southwest</v>
      </c>
      <c r="AH2082" t="str">
        <f t="shared" si="706"/>
        <v>January</v>
      </c>
      <c r="AI2082">
        <f t="shared" si="707"/>
        <v>2023</v>
      </c>
      <c r="AJ2082" t="str">
        <f t="shared" ca="1" si="724"/>
        <v>Occupied</v>
      </c>
      <c r="AK2082">
        <f t="shared" ca="1" si="725"/>
        <v>4</v>
      </c>
    </row>
    <row r="2083" spans="1:37" x14ac:dyDescent="0.3">
      <c r="A2083" t="s">
        <v>6449</v>
      </c>
      <c r="B2083">
        <v>54</v>
      </c>
      <c r="C2083" t="s">
        <v>32</v>
      </c>
      <c r="D2083" t="s">
        <v>38</v>
      </c>
      <c r="E2083" t="s">
        <v>64</v>
      </c>
      <c r="F2083" s="1">
        <v>43660</v>
      </c>
      <c r="G2083" t="s">
        <v>4125</v>
      </c>
      <c r="H2083" t="s">
        <v>4126</v>
      </c>
      <c r="I2083" t="s">
        <v>36</v>
      </c>
      <c r="J2083">
        <v>21439</v>
      </c>
      <c r="K2083">
        <v>363</v>
      </c>
      <c r="L2083" t="s">
        <v>42</v>
      </c>
      <c r="M2083" s="1">
        <v>43661</v>
      </c>
      <c r="N2083" t="s">
        <v>67</v>
      </c>
      <c r="O2083" t="s">
        <v>31</v>
      </c>
      <c r="P2083" t="str">
        <f t="shared" si="708"/>
        <v>P2082</v>
      </c>
      <c r="Q2083" t="str">
        <f t="shared" si="704"/>
        <v>Cardiology</v>
      </c>
      <c r="R2083">
        <f t="shared" si="705"/>
        <v>1</v>
      </c>
      <c r="S2083" t="str">
        <f t="shared" ca="1" si="709"/>
        <v>No</v>
      </c>
      <c r="T2083" t="str">
        <f t="shared" ca="1" si="710"/>
        <v>Mild</v>
      </c>
      <c r="U2083" t="str">
        <f t="shared" ca="1" si="711"/>
        <v>Semi-Private</v>
      </c>
      <c r="V2083" t="str">
        <f t="shared" si="712"/>
        <v>BED2082</v>
      </c>
      <c r="W2083" t="str">
        <f t="shared" ca="1" si="713"/>
        <v>ICU</v>
      </c>
      <c r="X2083" t="str">
        <f t="shared" si="714"/>
        <v>NUR032</v>
      </c>
      <c r="Y2083" t="str">
        <f t="shared" ca="1" si="715"/>
        <v>Morning</v>
      </c>
      <c r="Z2083" t="str">
        <f t="shared" ca="1" si="716"/>
        <v>ECG Machine</v>
      </c>
      <c r="AA2083" t="str">
        <f t="shared" ca="1" si="717"/>
        <v>In Use</v>
      </c>
      <c r="AB2083" t="str">
        <f t="shared" ca="1" si="718"/>
        <v>Pending</v>
      </c>
      <c r="AC2083" t="str">
        <f t="shared" ca="1" si="719"/>
        <v>Bank Transfer</v>
      </c>
      <c r="AD2083" t="str">
        <f t="shared" ca="1" si="720"/>
        <v>No</v>
      </c>
      <c r="AE2083" t="str">
        <f t="shared" ca="1" si="721"/>
        <v>Yes</v>
      </c>
      <c r="AF2083" t="str">
        <f t="shared" ca="1" si="722"/>
        <v>Recovered</v>
      </c>
      <c r="AG2083" t="str">
        <f t="shared" ca="1" si="723"/>
        <v>Midwest</v>
      </c>
      <c r="AH2083" t="str">
        <f t="shared" si="706"/>
        <v>July</v>
      </c>
      <c r="AI2083">
        <f t="shared" si="707"/>
        <v>2019</v>
      </c>
      <c r="AJ2083" t="str">
        <f t="shared" ca="1" si="724"/>
        <v>Occupied</v>
      </c>
      <c r="AK2083">
        <f t="shared" ca="1" si="725"/>
        <v>1</v>
      </c>
    </row>
    <row r="2084" spans="1:37" x14ac:dyDescent="0.3">
      <c r="A2084" t="s">
        <v>6450</v>
      </c>
      <c r="B2084">
        <v>74</v>
      </c>
      <c r="C2084" t="s">
        <v>32</v>
      </c>
      <c r="D2084" t="s">
        <v>24</v>
      </c>
      <c r="E2084" t="s">
        <v>25</v>
      </c>
      <c r="F2084" s="1">
        <v>44380</v>
      </c>
      <c r="G2084" t="s">
        <v>4127</v>
      </c>
      <c r="H2084" t="s">
        <v>4128</v>
      </c>
      <c r="I2084" t="s">
        <v>20</v>
      </c>
      <c r="J2084">
        <v>37957</v>
      </c>
      <c r="K2084">
        <v>138</v>
      </c>
      <c r="L2084" t="s">
        <v>42</v>
      </c>
      <c r="M2084" s="1">
        <v>44401</v>
      </c>
      <c r="N2084" t="s">
        <v>37</v>
      </c>
      <c r="O2084" t="s">
        <v>23</v>
      </c>
      <c r="P2084" t="str">
        <f t="shared" si="708"/>
        <v>P2083</v>
      </c>
      <c r="Q2084" t="str">
        <f t="shared" si="704"/>
        <v>Nutrition</v>
      </c>
      <c r="R2084">
        <f t="shared" si="705"/>
        <v>21</v>
      </c>
      <c r="S2084" t="str">
        <f t="shared" ca="1" si="709"/>
        <v>No</v>
      </c>
      <c r="T2084" t="str">
        <f t="shared" ca="1" si="710"/>
        <v>Mild</v>
      </c>
      <c r="U2084" t="str">
        <f t="shared" ca="1" si="711"/>
        <v>Semi-Private</v>
      </c>
      <c r="V2084" t="str">
        <f t="shared" si="712"/>
        <v>BED2083</v>
      </c>
      <c r="W2084" t="str">
        <f t="shared" ca="1" si="713"/>
        <v>Semi-Private</v>
      </c>
      <c r="X2084" t="str">
        <f t="shared" si="714"/>
        <v>NUR033</v>
      </c>
      <c r="Y2084" t="str">
        <f t="shared" ca="1" si="715"/>
        <v>Night</v>
      </c>
      <c r="Z2084" t="str">
        <f t="shared" ca="1" si="716"/>
        <v>MRI Scanner</v>
      </c>
      <c r="AA2084" t="str">
        <f t="shared" ca="1" si="717"/>
        <v>In Use</v>
      </c>
      <c r="AB2084" t="str">
        <f t="shared" ca="1" si="718"/>
        <v>Partially Paid</v>
      </c>
      <c r="AC2084" t="str">
        <f t="shared" ca="1" si="719"/>
        <v>Cash</v>
      </c>
      <c r="AD2084" t="str">
        <f t="shared" ca="1" si="720"/>
        <v>No</v>
      </c>
      <c r="AE2084" t="str">
        <f t="shared" ca="1" si="721"/>
        <v>No</v>
      </c>
      <c r="AF2084" t="str">
        <f t="shared" ca="1" si="722"/>
        <v>Recovered</v>
      </c>
      <c r="AG2084" t="str">
        <f t="shared" ca="1" si="723"/>
        <v>Northeast</v>
      </c>
      <c r="AH2084" t="str">
        <f t="shared" si="706"/>
        <v>July</v>
      </c>
      <c r="AI2084">
        <f t="shared" si="707"/>
        <v>2021</v>
      </c>
      <c r="AJ2084" t="str">
        <f t="shared" ca="1" si="724"/>
        <v>Occupied</v>
      </c>
      <c r="AK2084">
        <f t="shared" ca="1" si="725"/>
        <v>4</v>
      </c>
    </row>
    <row r="2085" spans="1:37" x14ac:dyDescent="0.3">
      <c r="A2085" t="s">
        <v>6451</v>
      </c>
      <c r="B2085">
        <v>78</v>
      </c>
      <c r="C2085" t="s">
        <v>32</v>
      </c>
      <c r="D2085" t="s">
        <v>83</v>
      </c>
      <c r="E2085" t="s">
        <v>39</v>
      </c>
      <c r="F2085" s="1">
        <v>44865</v>
      </c>
      <c r="G2085" t="s">
        <v>4129</v>
      </c>
      <c r="H2085" t="s">
        <v>4130</v>
      </c>
      <c r="I2085" t="s">
        <v>20</v>
      </c>
      <c r="J2085">
        <v>11702</v>
      </c>
      <c r="K2085">
        <v>462</v>
      </c>
      <c r="L2085" t="s">
        <v>29</v>
      </c>
      <c r="M2085" s="1">
        <v>44890</v>
      </c>
      <c r="N2085" t="s">
        <v>67</v>
      </c>
      <c r="O2085" t="s">
        <v>43</v>
      </c>
      <c r="P2085" t="str">
        <f t="shared" si="708"/>
        <v>P2084</v>
      </c>
      <c r="Q2085" t="str">
        <f t="shared" si="704"/>
        <v>Endocrinology</v>
      </c>
      <c r="R2085">
        <f t="shared" si="705"/>
        <v>25</v>
      </c>
      <c r="S2085" t="str">
        <f t="shared" ca="1" si="709"/>
        <v>No</v>
      </c>
      <c r="T2085" t="str">
        <f t="shared" ca="1" si="710"/>
        <v>Critical</v>
      </c>
      <c r="U2085" t="str">
        <f t="shared" ca="1" si="711"/>
        <v>Emergency</v>
      </c>
      <c r="V2085" t="str">
        <f t="shared" si="712"/>
        <v>BED2084</v>
      </c>
      <c r="W2085" t="str">
        <f t="shared" ca="1" si="713"/>
        <v>Private</v>
      </c>
      <c r="X2085" t="str">
        <f t="shared" si="714"/>
        <v>NUR034</v>
      </c>
      <c r="Y2085" t="str">
        <f t="shared" ca="1" si="715"/>
        <v>Morning</v>
      </c>
      <c r="Z2085" t="str">
        <f t="shared" ca="1" si="716"/>
        <v>Ventilator</v>
      </c>
      <c r="AA2085" t="str">
        <f t="shared" ca="1" si="717"/>
        <v>Maintenance</v>
      </c>
      <c r="AB2085" t="str">
        <f t="shared" ca="1" si="718"/>
        <v>Paid</v>
      </c>
      <c r="AC2085" t="str">
        <f t="shared" ca="1" si="719"/>
        <v>Insurance</v>
      </c>
      <c r="AD2085" t="str">
        <f t="shared" ca="1" si="720"/>
        <v>No</v>
      </c>
      <c r="AE2085" t="str">
        <f t="shared" ca="1" si="721"/>
        <v>No</v>
      </c>
      <c r="AF2085" t="str">
        <f t="shared" ca="1" si="722"/>
        <v>Transferred</v>
      </c>
      <c r="AG2085" t="str">
        <f t="shared" ca="1" si="723"/>
        <v>West Coast</v>
      </c>
      <c r="AH2085" t="str">
        <f t="shared" si="706"/>
        <v>October</v>
      </c>
      <c r="AI2085">
        <f t="shared" si="707"/>
        <v>2022</v>
      </c>
      <c r="AJ2085" t="str">
        <f t="shared" ca="1" si="724"/>
        <v>Occupied</v>
      </c>
      <c r="AK2085">
        <f t="shared" ca="1" si="725"/>
        <v>4</v>
      </c>
    </row>
    <row r="2086" spans="1:37" x14ac:dyDescent="0.3">
      <c r="A2086" t="s">
        <v>6452</v>
      </c>
      <c r="B2086">
        <v>62</v>
      </c>
      <c r="C2086" t="s">
        <v>15</v>
      </c>
      <c r="D2086" t="s">
        <v>38</v>
      </c>
      <c r="E2086" t="s">
        <v>39</v>
      </c>
      <c r="F2086" s="1">
        <v>43821</v>
      </c>
      <c r="G2086" t="s">
        <v>4131</v>
      </c>
      <c r="H2086" t="s">
        <v>4132</v>
      </c>
      <c r="I2086" t="s">
        <v>28</v>
      </c>
      <c r="J2086">
        <v>17244</v>
      </c>
      <c r="K2086">
        <v>145</v>
      </c>
      <c r="L2086" t="s">
        <v>21</v>
      </c>
      <c r="M2086" s="1">
        <v>43842</v>
      </c>
      <c r="N2086" t="s">
        <v>30</v>
      </c>
      <c r="O2086" t="s">
        <v>31</v>
      </c>
      <c r="P2086" t="str">
        <f t="shared" si="708"/>
        <v>P2085</v>
      </c>
      <c r="Q2086" t="str">
        <f t="shared" si="704"/>
        <v>Endocrinology</v>
      </c>
      <c r="R2086">
        <f t="shared" si="705"/>
        <v>21</v>
      </c>
      <c r="S2086" t="str">
        <f t="shared" ca="1" si="709"/>
        <v>No</v>
      </c>
      <c r="T2086" t="str">
        <f t="shared" ca="1" si="710"/>
        <v>Mild</v>
      </c>
      <c r="U2086" t="str">
        <f t="shared" ca="1" si="711"/>
        <v>Semi-Private</v>
      </c>
      <c r="V2086" t="str">
        <f t="shared" si="712"/>
        <v>BED2085</v>
      </c>
      <c r="W2086" t="str">
        <f t="shared" ca="1" si="713"/>
        <v>General</v>
      </c>
      <c r="X2086" t="str">
        <f t="shared" si="714"/>
        <v>NUR035</v>
      </c>
      <c r="Y2086" t="str">
        <f t="shared" ca="1" si="715"/>
        <v>Night</v>
      </c>
      <c r="Z2086" t="str">
        <f t="shared" ca="1" si="716"/>
        <v>Ultrasound</v>
      </c>
      <c r="AA2086" t="str">
        <f t="shared" ca="1" si="717"/>
        <v>In Use</v>
      </c>
      <c r="AB2086" t="str">
        <f t="shared" ca="1" si="718"/>
        <v>Paid</v>
      </c>
      <c r="AC2086" t="str">
        <f t="shared" ca="1" si="719"/>
        <v>Cash</v>
      </c>
      <c r="AD2086" t="str">
        <f t="shared" ca="1" si="720"/>
        <v>No</v>
      </c>
      <c r="AE2086" t="str">
        <f t="shared" ca="1" si="721"/>
        <v>No</v>
      </c>
      <c r="AF2086" t="str">
        <f t="shared" ca="1" si="722"/>
        <v>Recovered</v>
      </c>
      <c r="AG2086" t="str">
        <f t="shared" ca="1" si="723"/>
        <v>Northeast</v>
      </c>
      <c r="AH2086" t="str">
        <f t="shared" si="706"/>
        <v>December</v>
      </c>
      <c r="AI2086">
        <f t="shared" si="707"/>
        <v>2019</v>
      </c>
      <c r="AJ2086" t="str">
        <f t="shared" ca="1" si="724"/>
        <v>Occupied</v>
      </c>
      <c r="AK2086">
        <f t="shared" ca="1" si="725"/>
        <v>4</v>
      </c>
    </row>
    <row r="2087" spans="1:37" x14ac:dyDescent="0.3">
      <c r="A2087" t="s">
        <v>6453</v>
      </c>
      <c r="B2087">
        <v>59</v>
      </c>
      <c r="C2087" t="s">
        <v>32</v>
      </c>
      <c r="D2087" t="s">
        <v>33</v>
      </c>
      <c r="E2087" t="s">
        <v>39</v>
      </c>
      <c r="F2087" s="1">
        <v>44655</v>
      </c>
      <c r="G2087" t="s">
        <v>4133</v>
      </c>
      <c r="H2087" t="s">
        <v>4134</v>
      </c>
      <c r="I2087" t="s">
        <v>57</v>
      </c>
      <c r="J2087">
        <v>41851</v>
      </c>
      <c r="K2087">
        <v>331</v>
      </c>
      <c r="L2087" t="s">
        <v>21</v>
      </c>
      <c r="M2087" s="1">
        <v>44664</v>
      </c>
      <c r="N2087" t="s">
        <v>37</v>
      </c>
      <c r="O2087" t="s">
        <v>23</v>
      </c>
      <c r="P2087" t="str">
        <f t="shared" si="708"/>
        <v>P2086</v>
      </c>
      <c r="Q2087" t="str">
        <f t="shared" si="704"/>
        <v>Endocrinology</v>
      </c>
      <c r="R2087">
        <f t="shared" si="705"/>
        <v>9</v>
      </c>
      <c r="S2087" t="str">
        <f t="shared" ca="1" si="709"/>
        <v>No</v>
      </c>
      <c r="T2087" t="str">
        <f t="shared" ca="1" si="710"/>
        <v>Severe</v>
      </c>
      <c r="U2087" t="str">
        <f t="shared" ca="1" si="711"/>
        <v>Semi-Private</v>
      </c>
      <c r="V2087" t="str">
        <f t="shared" si="712"/>
        <v>BED2086</v>
      </c>
      <c r="W2087" t="str">
        <f t="shared" ca="1" si="713"/>
        <v>ICU</v>
      </c>
      <c r="X2087" t="str">
        <f t="shared" si="714"/>
        <v>NUR036</v>
      </c>
      <c r="Y2087" t="str">
        <f t="shared" ca="1" si="715"/>
        <v>Night</v>
      </c>
      <c r="Z2087" t="str">
        <f t="shared" ca="1" si="716"/>
        <v>ECG Machine</v>
      </c>
      <c r="AA2087" t="str">
        <f t="shared" ca="1" si="717"/>
        <v>Available</v>
      </c>
      <c r="AB2087" t="str">
        <f t="shared" ca="1" si="718"/>
        <v>Partially Paid</v>
      </c>
      <c r="AC2087" t="str">
        <f t="shared" ca="1" si="719"/>
        <v>Credit Card</v>
      </c>
      <c r="AD2087" t="str">
        <f t="shared" ca="1" si="720"/>
        <v>Yes</v>
      </c>
      <c r="AE2087" t="str">
        <f t="shared" ca="1" si="721"/>
        <v>No</v>
      </c>
      <c r="AF2087" t="str">
        <f t="shared" ca="1" si="722"/>
        <v>Transferred</v>
      </c>
      <c r="AG2087" t="str">
        <f t="shared" ca="1" si="723"/>
        <v>Southwest</v>
      </c>
      <c r="AH2087" t="str">
        <f t="shared" si="706"/>
        <v>April</v>
      </c>
      <c r="AI2087">
        <f t="shared" si="707"/>
        <v>2022</v>
      </c>
      <c r="AJ2087" t="str">
        <f t="shared" ca="1" si="724"/>
        <v>Occupied</v>
      </c>
      <c r="AK2087">
        <f t="shared" ca="1" si="725"/>
        <v>2</v>
      </c>
    </row>
    <row r="2088" spans="1:37" x14ac:dyDescent="0.3">
      <c r="A2088" t="s">
        <v>6454</v>
      </c>
      <c r="B2088">
        <v>36</v>
      </c>
      <c r="C2088" t="s">
        <v>32</v>
      </c>
      <c r="D2088" t="s">
        <v>83</v>
      </c>
      <c r="E2088" t="s">
        <v>25</v>
      </c>
      <c r="F2088" s="1">
        <v>45082</v>
      </c>
      <c r="G2088" t="s">
        <v>4135</v>
      </c>
      <c r="H2088" t="s">
        <v>4136</v>
      </c>
      <c r="I2088" t="s">
        <v>20</v>
      </c>
      <c r="J2088">
        <v>26725</v>
      </c>
      <c r="K2088">
        <v>404</v>
      </c>
      <c r="L2088" t="s">
        <v>42</v>
      </c>
      <c r="M2088" s="1">
        <v>45102</v>
      </c>
      <c r="N2088" t="s">
        <v>30</v>
      </c>
      <c r="O2088" t="s">
        <v>31</v>
      </c>
      <c r="P2088" t="str">
        <f t="shared" si="708"/>
        <v>P2087</v>
      </c>
      <c r="Q2088" t="str">
        <f t="shared" si="704"/>
        <v>Nutrition</v>
      </c>
      <c r="R2088">
        <f t="shared" si="705"/>
        <v>20</v>
      </c>
      <c r="S2088" t="str">
        <f t="shared" ca="1" si="709"/>
        <v>No</v>
      </c>
      <c r="T2088" t="str">
        <f t="shared" ca="1" si="710"/>
        <v>Moderate</v>
      </c>
      <c r="U2088" t="str">
        <f t="shared" ca="1" si="711"/>
        <v>General Ward</v>
      </c>
      <c r="V2088" t="str">
        <f t="shared" si="712"/>
        <v>BED2087</v>
      </c>
      <c r="W2088" t="str">
        <f t="shared" ca="1" si="713"/>
        <v>Semi-Private</v>
      </c>
      <c r="X2088" t="str">
        <f t="shared" si="714"/>
        <v>NUR037</v>
      </c>
      <c r="Y2088" t="str">
        <f t="shared" ca="1" si="715"/>
        <v>Night</v>
      </c>
      <c r="Z2088" t="str">
        <f t="shared" ca="1" si="716"/>
        <v>Ultrasound</v>
      </c>
      <c r="AA2088" t="str">
        <f t="shared" ca="1" si="717"/>
        <v>Maintenance</v>
      </c>
      <c r="AB2088" t="str">
        <f t="shared" ca="1" si="718"/>
        <v>Partially Paid</v>
      </c>
      <c r="AC2088" t="str">
        <f t="shared" ca="1" si="719"/>
        <v>Insurance</v>
      </c>
      <c r="AD2088" t="str">
        <f t="shared" ca="1" si="720"/>
        <v>Yes</v>
      </c>
      <c r="AE2088" t="str">
        <f t="shared" ca="1" si="721"/>
        <v>No</v>
      </c>
      <c r="AF2088" t="str">
        <f t="shared" ca="1" si="722"/>
        <v>Recovered</v>
      </c>
      <c r="AG2088" t="str">
        <f t="shared" ca="1" si="723"/>
        <v>Midwest</v>
      </c>
      <c r="AH2088" t="str">
        <f t="shared" si="706"/>
        <v>June</v>
      </c>
      <c r="AI2088">
        <f t="shared" si="707"/>
        <v>2023</v>
      </c>
      <c r="AJ2088" t="str">
        <f t="shared" ca="1" si="724"/>
        <v>Occupied</v>
      </c>
      <c r="AK2088">
        <f t="shared" ca="1" si="725"/>
        <v>1</v>
      </c>
    </row>
    <row r="2089" spans="1:37" x14ac:dyDescent="0.3">
      <c r="A2089" t="s">
        <v>1943</v>
      </c>
      <c r="B2089">
        <v>75</v>
      </c>
      <c r="C2089" t="s">
        <v>15</v>
      </c>
      <c r="D2089" t="s">
        <v>33</v>
      </c>
      <c r="E2089" t="s">
        <v>25</v>
      </c>
      <c r="F2089" s="1">
        <v>43926</v>
      </c>
      <c r="G2089" t="s">
        <v>4137</v>
      </c>
      <c r="H2089" t="s">
        <v>4138</v>
      </c>
      <c r="I2089" t="s">
        <v>28</v>
      </c>
      <c r="J2089">
        <v>28518</v>
      </c>
      <c r="K2089">
        <v>149</v>
      </c>
      <c r="L2089" t="s">
        <v>21</v>
      </c>
      <c r="M2089" s="1">
        <v>43932</v>
      </c>
      <c r="N2089" t="s">
        <v>30</v>
      </c>
      <c r="O2089" t="s">
        <v>23</v>
      </c>
      <c r="P2089" t="str">
        <f t="shared" si="708"/>
        <v>P2088</v>
      </c>
      <c r="Q2089" t="str">
        <f t="shared" si="704"/>
        <v>Nutrition</v>
      </c>
      <c r="R2089">
        <f t="shared" si="705"/>
        <v>6</v>
      </c>
      <c r="S2089" t="str">
        <f t="shared" ca="1" si="709"/>
        <v>No</v>
      </c>
      <c r="T2089" t="str">
        <f t="shared" ca="1" si="710"/>
        <v>Critical</v>
      </c>
      <c r="U2089" t="str">
        <f t="shared" ca="1" si="711"/>
        <v>ICU</v>
      </c>
      <c r="V2089" t="str">
        <f t="shared" si="712"/>
        <v>BED2088</v>
      </c>
      <c r="W2089" t="str">
        <f t="shared" ca="1" si="713"/>
        <v>Private</v>
      </c>
      <c r="X2089" t="str">
        <f t="shared" si="714"/>
        <v>NUR038</v>
      </c>
      <c r="Y2089" t="str">
        <f t="shared" ca="1" si="715"/>
        <v>Night</v>
      </c>
      <c r="Z2089" t="str">
        <f t="shared" ca="1" si="716"/>
        <v>X-Ray</v>
      </c>
      <c r="AA2089" t="str">
        <f t="shared" ca="1" si="717"/>
        <v>In Use</v>
      </c>
      <c r="AB2089" t="str">
        <f t="shared" ca="1" si="718"/>
        <v>Partially Paid</v>
      </c>
      <c r="AC2089" t="str">
        <f t="shared" ca="1" si="719"/>
        <v>Debit Card</v>
      </c>
      <c r="AD2089" t="str">
        <f t="shared" ca="1" si="720"/>
        <v>No</v>
      </c>
      <c r="AE2089" t="str">
        <f t="shared" ca="1" si="721"/>
        <v>Yes</v>
      </c>
      <c r="AF2089" t="str">
        <f t="shared" ca="1" si="722"/>
        <v>Transferred</v>
      </c>
      <c r="AG2089" t="str">
        <f t="shared" ca="1" si="723"/>
        <v>West Coast</v>
      </c>
      <c r="AH2089" t="str">
        <f t="shared" si="706"/>
        <v>April</v>
      </c>
      <c r="AI2089">
        <f t="shared" si="707"/>
        <v>2020</v>
      </c>
      <c r="AJ2089" t="str">
        <f t="shared" ca="1" si="724"/>
        <v>Vacant</v>
      </c>
      <c r="AK2089">
        <f t="shared" ca="1" si="725"/>
        <v>4</v>
      </c>
    </row>
    <row r="2090" spans="1:37" x14ac:dyDescent="0.3">
      <c r="A2090" t="s">
        <v>6455</v>
      </c>
      <c r="B2090">
        <v>40</v>
      </c>
      <c r="C2090" t="s">
        <v>15</v>
      </c>
      <c r="D2090" t="s">
        <v>83</v>
      </c>
      <c r="E2090" t="s">
        <v>25</v>
      </c>
      <c r="F2090" s="1">
        <v>45257</v>
      </c>
      <c r="G2090" t="s">
        <v>4139</v>
      </c>
      <c r="H2090" t="s">
        <v>4140</v>
      </c>
      <c r="I2090" t="s">
        <v>28</v>
      </c>
      <c r="J2090">
        <v>26817</v>
      </c>
      <c r="K2090">
        <v>353</v>
      </c>
      <c r="L2090" t="s">
        <v>21</v>
      </c>
      <c r="M2090" s="1">
        <v>45263</v>
      </c>
      <c r="N2090" t="s">
        <v>37</v>
      </c>
      <c r="O2090" t="s">
        <v>31</v>
      </c>
      <c r="P2090" t="str">
        <f t="shared" si="708"/>
        <v>P2089</v>
      </c>
      <c r="Q2090" t="str">
        <f t="shared" si="704"/>
        <v>Nutrition</v>
      </c>
      <c r="R2090">
        <f t="shared" si="705"/>
        <v>6</v>
      </c>
      <c r="S2090" t="str">
        <f t="shared" ca="1" si="709"/>
        <v>No</v>
      </c>
      <c r="T2090" t="str">
        <f t="shared" ca="1" si="710"/>
        <v>Severe</v>
      </c>
      <c r="U2090" t="str">
        <f t="shared" ca="1" si="711"/>
        <v>Emergency</v>
      </c>
      <c r="V2090" t="str">
        <f t="shared" si="712"/>
        <v>BED2089</v>
      </c>
      <c r="W2090" t="str">
        <f t="shared" ca="1" si="713"/>
        <v>Semi-Private</v>
      </c>
      <c r="X2090" t="str">
        <f t="shared" si="714"/>
        <v>NUR039</v>
      </c>
      <c r="Y2090" t="str">
        <f t="shared" ca="1" si="715"/>
        <v>Morning</v>
      </c>
      <c r="Z2090" t="str">
        <f t="shared" ca="1" si="716"/>
        <v>MRI Scanner</v>
      </c>
      <c r="AA2090" t="str">
        <f t="shared" ca="1" si="717"/>
        <v>Maintenance</v>
      </c>
      <c r="AB2090" t="str">
        <f t="shared" ca="1" si="718"/>
        <v>Partially Paid</v>
      </c>
      <c r="AC2090" t="str">
        <f t="shared" ca="1" si="719"/>
        <v>Credit Card</v>
      </c>
      <c r="AD2090" t="str">
        <f t="shared" ca="1" si="720"/>
        <v>No</v>
      </c>
      <c r="AE2090" t="str">
        <f t="shared" ca="1" si="721"/>
        <v>No</v>
      </c>
      <c r="AF2090" t="str">
        <f t="shared" ca="1" si="722"/>
        <v>Recovered</v>
      </c>
      <c r="AG2090" t="str">
        <f t="shared" ca="1" si="723"/>
        <v>Northeast</v>
      </c>
      <c r="AH2090" t="str">
        <f t="shared" si="706"/>
        <v>November</v>
      </c>
      <c r="AI2090">
        <f t="shared" si="707"/>
        <v>2023</v>
      </c>
      <c r="AJ2090" t="str">
        <f t="shared" ca="1" si="724"/>
        <v>Occupied</v>
      </c>
      <c r="AK2090">
        <f t="shared" ca="1" si="725"/>
        <v>1</v>
      </c>
    </row>
    <row r="2091" spans="1:37" x14ac:dyDescent="0.3">
      <c r="A2091" t="s">
        <v>6456</v>
      </c>
      <c r="B2091">
        <v>74</v>
      </c>
      <c r="C2091" t="s">
        <v>32</v>
      </c>
      <c r="D2091" t="s">
        <v>33</v>
      </c>
      <c r="E2091" t="s">
        <v>48</v>
      </c>
      <c r="F2091" s="1">
        <v>43898</v>
      </c>
      <c r="G2091" t="s">
        <v>4141</v>
      </c>
      <c r="H2091" t="s">
        <v>4142</v>
      </c>
      <c r="I2091" t="s">
        <v>36</v>
      </c>
      <c r="J2091">
        <v>8921</v>
      </c>
      <c r="K2091">
        <v>212</v>
      </c>
      <c r="L2091" t="s">
        <v>42</v>
      </c>
      <c r="M2091" s="1">
        <v>43926</v>
      </c>
      <c r="N2091" t="s">
        <v>37</v>
      </c>
      <c r="O2091" t="s">
        <v>43</v>
      </c>
      <c r="P2091" t="str">
        <f t="shared" si="708"/>
        <v>P2090</v>
      </c>
      <c r="Q2091" t="str">
        <f t="shared" si="704"/>
        <v>Pulmonology</v>
      </c>
      <c r="R2091">
        <f t="shared" si="705"/>
        <v>28</v>
      </c>
      <c r="S2091" t="str">
        <f t="shared" ca="1" si="709"/>
        <v>No</v>
      </c>
      <c r="T2091" t="str">
        <f t="shared" ca="1" si="710"/>
        <v>Moderate</v>
      </c>
      <c r="U2091" t="str">
        <f t="shared" ca="1" si="711"/>
        <v>Private Ward</v>
      </c>
      <c r="V2091" t="str">
        <f t="shared" si="712"/>
        <v>BED2090</v>
      </c>
      <c r="W2091" t="str">
        <f t="shared" ca="1" si="713"/>
        <v>ICU</v>
      </c>
      <c r="X2091" t="str">
        <f t="shared" si="714"/>
        <v>NUR040</v>
      </c>
      <c r="Y2091" t="str">
        <f t="shared" ca="1" si="715"/>
        <v>Night</v>
      </c>
      <c r="Z2091" t="str">
        <f t="shared" ca="1" si="716"/>
        <v>MRI Scanner</v>
      </c>
      <c r="AA2091" t="str">
        <f t="shared" ca="1" si="717"/>
        <v>In Use</v>
      </c>
      <c r="AB2091" t="str">
        <f t="shared" ca="1" si="718"/>
        <v>Partially Paid</v>
      </c>
      <c r="AC2091" t="str">
        <f t="shared" ca="1" si="719"/>
        <v>Credit Card</v>
      </c>
      <c r="AD2091" t="str">
        <f t="shared" ca="1" si="720"/>
        <v>Yes</v>
      </c>
      <c r="AE2091" t="str">
        <f t="shared" ca="1" si="721"/>
        <v>No</v>
      </c>
      <c r="AF2091" t="str">
        <f t="shared" ca="1" si="722"/>
        <v>Transferred</v>
      </c>
      <c r="AG2091" t="str">
        <f t="shared" ca="1" si="723"/>
        <v>West Coast</v>
      </c>
      <c r="AH2091" t="str">
        <f t="shared" si="706"/>
        <v>March</v>
      </c>
      <c r="AI2091">
        <f t="shared" si="707"/>
        <v>2020</v>
      </c>
      <c r="AJ2091" t="str">
        <f t="shared" ca="1" si="724"/>
        <v>Vacant</v>
      </c>
      <c r="AK2091">
        <f t="shared" ca="1" si="725"/>
        <v>2</v>
      </c>
    </row>
    <row r="2092" spans="1:37" x14ac:dyDescent="0.3">
      <c r="A2092" t="s">
        <v>6457</v>
      </c>
      <c r="B2092">
        <v>46</v>
      </c>
      <c r="C2092" t="s">
        <v>32</v>
      </c>
      <c r="D2092" t="s">
        <v>38</v>
      </c>
      <c r="E2092" t="s">
        <v>48</v>
      </c>
      <c r="F2092" s="1">
        <v>45168</v>
      </c>
      <c r="G2092" t="s">
        <v>4143</v>
      </c>
      <c r="H2092" t="s">
        <v>4144</v>
      </c>
      <c r="I2092" t="s">
        <v>57</v>
      </c>
      <c r="J2092">
        <v>2951</v>
      </c>
      <c r="K2092">
        <v>130</v>
      </c>
      <c r="L2092" t="s">
        <v>42</v>
      </c>
      <c r="M2092" s="1">
        <v>45170</v>
      </c>
      <c r="N2092" t="s">
        <v>30</v>
      </c>
      <c r="O2092" t="s">
        <v>23</v>
      </c>
      <c r="P2092" t="str">
        <f t="shared" si="708"/>
        <v>P2091</v>
      </c>
      <c r="Q2092" t="str">
        <f t="shared" si="704"/>
        <v>Pulmonology</v>
      </c>
      <c r="R2092">
        <f t="shared" si="705"/>
        <v>2</v>
      </c>
      <c r="S2092" t="str">
        <f t="shared" ca="1" si="709"/>
        <v>Yes</v>
      </c>
      <c r="T2092" t="str">
        <f t="shared" ca="1" si="710"/>
        <v>Severe</v>
      </c>
      <c r="U2092" t="str">
        <f t="shared" ca="1" si="711"/>
        <v>ICU</v>
      </c>
      <c r="V2092" t="str">
        <f t="shared" si="712"/>
        <v>BED2091</v>
      </c>
      <c r="W2092" t="str">
        <f t="shared" ca="1" si="713"/>
        <v>General</v>
      </c>
      <c r="X2092" t="str">
        <f t="shared" si="714"/>
        <v>NUR041</v>
      </c>
      <c r="Y2092" t="str">
        <f t="shared" ca="1" si="715"/>
        <v>Evening</v>
      </c>
      <c r="Z2092" t="str">
        <f t="shared" ca="1" si="716"/>
        <v>Ultrasound</v>
      </c>
      <c r="AA2092" t="str">
        <f t="shared" ca="1" si="717"/>
        <v>In Use</v>
      </c>
      <c r="AB2092" t="str">
        <f t="shared" ca="1" si="718"/>
        <v>Paid</v>
      </c>
      <c r="AC2092" t="str">
        <f t="shared" ca="1" si="719"/>
        <v>Bank Transfer</v>
      </c>
      <c r="AD2092" t="str">
        <f t="shared" ca="1" si="720"/>
        <v>Yes</v>
      </c>
      <c r="AE2092" t="str">
        <f t="shared" ca="1" si="721"/>
        <v>Yes</v>
      </c>
      <c r="AF2092" t="str">
        <f t="shared" ca="1" si="722"/>
        <v>Recovered</v>
      </c>
      <c r="AG2092" t="str">
        <f t="shared" ca="1" si="723"/>
        <v>West Coast</v>
      </c>
      <c r="AH2092" t="str">
        <f t="shared" si="706"/>
        <v>August</v>
      </c>
      <c r="AI2092">
        <f t="shared" si="707"/>
        <v>2023</v>
      </c>
      <c r="AJ2092" t="str">
        <f t="shared" ca="1" si="724"/>
        <v>Occupied</v>
      </c>
      <c r="AK2092">
        <f t="shared" ca="1" si="725"/>
        <v>2</v>
      </c>
    </row>
    <row r="2093" spans="1:37" x14ac:dyDescent="0.3">
      <c r="A2093" t="s">
        <v>6458</v>
      </c>
      <c r="B2093">
        <v>70</v>
      </c>
      <c r="C2093" t="s">
        <v>32</v>
      </c>
      <c r="D2093" t="s">
        <v>44</v>
      </c>
      <c r="E2093" t="s">
        <v>39</v>
      </c>
      <c r="F2093" s="1">
        <v>43792</v>
      </c>
      <c r="G2093" t="s">
        <v>4145</v>
      </c>
      <c r="H2093" t="s">
        <v>4146</v>
      </c>
      <c r="I2093" t="s">
        <v>36</v>
      </c>
      <c r="J2093">
        <v>7004</v>
      </c>
      <c r="K2093">
        <v>428</v>
      </c>
      <c r="L2093" t="s">
        <v>42</v>
      </c>
      <c r="M2093" s="1">
        <v>43800</v>
      </c>
      <c r="N2093" t="s">
        <v>37</v>
      </c>
      <c r="O2093" t="s">
        <v>43</v>
      </c>
      <c r="P2093" t="str">
        <f t="shared" si="708"/>
        <v>P2092</v>
      </c>
      <c r="Q2093" t="str">
        <f t="shared" si="704"/>
        <v>Endocrinology</v>
      </c>
      <c r="R2093">
        <f t="shared" si="705"/>
        <v>8</v>
      </c>
      <c r="S2093" t="str">
        <f t="shared" ca="1" si="709"/>
        <v>Yes</v>
      </c>
      <c r="T2093" t="str">
        <f t="shared" ca="1" si="710"/>
        <v>Moderate</v>
      </c>
      <c r="U2093" t="str">
        <f t="shared" ca="1" si="711"/>
        <v>ICU</v>
      </c>
      <c r="V2093" t="str">
        <f t="shared" si="712"/>
        <v>BED2092</v>
      </c>
      <c r="W2093" t="str">
        <f t="shared" ca="1" si="713"/>
        <v>Private</v>
      </c>
      <c r="X2093" t="str">
        <f t="shared" si="714"/>
        <v>NUR042</v>
      </c>
      <c r="Y2093" t="str">
        <f t="shared" ca="1" si="715"/>
        <v>Night</v>
      </c>
      <c r="Z2093" t="str">
        <f t="shared" ca="1" si="716"/>
        <v>Ventilator</v>
      </c>
      <c r="AA2093" t="str">
        <f t="shared" ca="1" si="717"/>
        <v>Available</v>
      </c>
      <c r="AB2093" t="str">
        <f t="shared" ca="1" si="718"/>
        <v>Pending</v>
      </c>
      <c r="AC2093" t="str">
        <f t="shared" ca="1" si="719"/>
        <v>Credit Card</v>
      </c>
      <c r="AD2093" t="str">
        <f t="shared" ca="1" si="720"/>
        <v>No</v>
      </c>
      <c r="AE2093" t="str">
        <f t="shared" ca="1" si="721"/>
        <v>No</v>
      </c>
      <c r="AF2093" t="str">
        <f t="shared" ca="1" si="722"/>
        <v>Transferred</v>
      </c>
      <c r="AG2093" t="str">
        <f t="shared" ca="1" si="723"/>
        <v>Southwest</v>
      </c>
      <c r="AH2093" t="str">
        <f t="shared" si="706"/>
        <v>November</v>
      </c>
      <c r="AI2093">
        <f t="shared" si="707"/>
        <v>2019</v>
      </c>
      <c r="AJ2093" t="str">
        <f t="shared" ca="1" si="724"/>
        <v>Occupied</v>
      </c>
      <c r="AK2093">
        <f t="shared" ca="1" si="725"/>
        <v>4</v>
      </c>
    </row>
    <row r="2094" spans="1:37" x14ac:dyDescent="0.3">
      <c r="A2094" t="s">
        <v>6459</v>
      </c>
      <c r="B2094">
        <v>74</v>
      </c>
      <c r="C2094" t="s">
        <v>32</v>
      </c>
      <c r="D2094" t="s">
        <v>52</v>
      </c>
      <c r="E2094" t="s">
        <v>39</v>
      </c>
      <c r="F2094" s="1">
        <v>44382</v>
      </c>
      <c r="G2094" t="s">
        <v>4147</v>
      </c>
      <c r="H2094" t="s">
        <v>4148</v>
      </c>
      <c r="I2094" t="s">
        <v>57</v>
      </c>
      <c r="J2094">
        <v>32667</v>
      </c>
      <c r="K2094">
        <v>415</v>
      </c>
      <c r="L2094" t="s">
        <v>29</v>
      </c>
      <c r="M2094" s="1">
        <v>44392</v>
      </c>
      <c r="N2094" t="s">
        <v>22</v>
      </c>
      <c r="O2094" t="s">
        <v>43</v>
      </c>
      <c r="P2094" t="str">
        <f t="shared" si="708"/>
        <v>P2093</v>
      </c>
      <c r="Q2094" t="str">
        <f t="shared" si="704"/>
        <v>Endocrinology</v>
      </c>
      <c r="R2094">
        <f t="shared" si="705"/>
        <v>10</v>
      </c>
      <c r="S2094" t="str">
        <f t="shared" ca="1" si="709"/>
        <v>No</v>
      </c>
      <c r="T2094" t="str">
        <f t="shared" ca="1" si="710"/>
        <v>Critical</v>
      </c>
      <c r="U2094" t="str">
        <f t="shared" ca="1" si="711"/>
        <v>General Ward</v>
      </c>
      <c r="V2094" t="str">
        <f t="shared" si="712"/>
        <v>BED2093</v>
      </c>
      <c r="W2094" t="str">
        <f t="shared" ca="1" si="713"/>
        <v>ICU</v>
      </c>
      <c r="X2094" t="str">
        <f t="shared" si="714"/>
        <v>NUR043</v>
      </c>
      <c r="Y2094" t="str">
        <f t="shared" ca="1" si="715"/>
        <v>Night</v>
      </c>
      <c r="Z2094" t="str">
        <f t="shared" ca="1" si="716"/>
        <v>Ultrasound</v>
      </c>
      <c r="AA2094" t="str">
        <f t="shared" ca="1" si="717"/>
        <v>Maintenance</v>
      </c>
      <c r="AB2094" t="str">
        <f t="shared" ca="1" si="718"/>
        <v>Paid</v>
      </c>
      <c r="AC2094" t="str">
        <f t="shared" ca="1" si="719"/>
        <v>Credit Card</v>
      </c>
      <c r="AD2094" t="str">
        <f t="shared" ca="1" si="720"/>
        <v>No</v>
      </c>
      <c r="AE2094" t="str">
        <f t="shared" ca="1" si="721"/>
        <v>Yes</v>
      </c>
      <c r="AF2094" t="str">
        <f t="shared" ca="1" si="722"/>
        <v>Under Observation</v>
      </c>
      <c r="AG2094" t="str">
        <f t="shared" ca="1" si="723"/>
        <v>Southwest</v>
      </c>
      <c r="AH2094" t="str">
        <f t="shared" si="706"/>
        <v>July</v>
      </c>
      <c r="AI2094">
        <f t="shared" si="707"/>
        <v>2021</v>
      </c>
      <c r="AJ2094" t="str">
        <f t="shared" ca="1" si="724"/>
        <v>Occupied</v>
      </c>
      <c r="AK2094">
        <f t="shared" ca="1" si="725"/>
        <v>2</v>
      </c>
    </row>
    <row r="2095" spans="1:37" x14ac:dyDescent="0.3">
      <c r="A2095" t="s">
        <v>6460</v>
      </c>
      <c r="B2095">
        <v>63</v>
      </c>
      <c r="C2095" t="s">
        <v>15</v>
      </c>
      <c r="D2095" t="s">
        <v>16</v>
      </c>
      <c r="E2095" t="s">
        <v>17</v>
      </c>
      <c r="F2095" s="1">
        <v>44005</v>
      </c>
      <c r="G2095" t="s">
        <v>4149</v>
      </c>
      <c r="H2095" t="s">
        <v>4150</v>
      </c>
      <c r="I2095" t="s">
        <v>36</v>
      </c>
      <c r="J2095">
        <v>47330</v>
      </c>
      <c r="K2095">
        <v>388</v>
      </c>
      <c r="L2095" t="s">
        <v>29</v>
      </c>
      <c r="M2095" s="1">
        <v>44023</v>
      </c>
      <c r="N2095" t="s">
        <v>30</v>
      </c>
      <c r="O2095" t="s">
        <v>43</v>
      </c>
      <c r="P2095" t="str">
        <f t="shared" si="708"/>
        <v>P2094</v>
      </c>
      <c r="Q2095" t="str">
        <f t="shared" si="704"/>
        <v>Oncology</v>
      </c>
      <c r="R2095">
        <f t="shared" si="705"/>
        <v>18</v>
      </c>
      <c r="S2095" t="str">
        <f t="shared" ca="1" si="709"/>
        <v>No</v>
      </c>
      <c r="T2095" t="str">
        <f t="shared" ca="1" si="710"/>
        <v>Moderate</v>
      </c>
      <c r="U2095" t="str">
        <f t="shared" ca="1" si="711"/>
        <v>General Ward</v>
      </c>
      <c r="V2095" t="str">
        <f t="shared" si="712"/>
        <v>BED2094</v>
      </c>
      <c r="W2095" t="str">
        <f t="shared" ca="1" si="713"/>
        <v>Semi-Private</v>
      </c>
      <c r="X2095" t="str">
        <f t="shared" si="714"/>
        <v>NUR044</v>
      </c>
      <c r="Y2095" t="str">
        <f t="shared" ca="1" si="715"/>
        <v>Night</v>
      </c>
      <c r="Z2095" t="str">
        <f t="shared" ca="1" si="716"/>
        <v>Ventilator</v>
      </c>
      <c r="AA2095" t="str">
        <f t="shared" ca="1" si="717"/>
        <v>Available</v>
      </c>
      <c r="AB2095" t="str">
        <f t="shared" ca="1" si="718"/>
        <v>Pending</v>
      </c>
      <c r="AC2095" t="str">
        <f t="shared" ca="1" si="719"/>
        <v>Credit Card</v>
      </c>
      <c r="AD2095" t="str">
        <f t="shared" ca="1" si="720"/>
        <v>No</v>
      </c>
      <c r="AE2095" t="str">
        <f t="shared" ca="1" si="721"/>
        <v>No</v>
      </c>
      <c r="AF2095" t="str">
        <f t="shared" ca="1" si="722"/>
        <v>Under Observation</v>
      </c>
      <c r="AG2095" t="str">
        <f t="shared" ca="1" si="723"/>
        <v>West Coast</v>
      </c>
      <c r="AH2095" t="str">
        <f t="shared" si="706"/>
        <v>June</v>
      </c>
      <c r="AI2095">
        <f t="shared" si="707"/>
        <v>2020</v>
      </c>
      <c r="AJ2095" t="str">
        <f t="shared" ca="1" si="724"/>
        <v>Vacant</v>
      </c>
      <c r="AK2095">
        <f t="shared" ca="1" si="725"/>
        <v>1</v>
      </c>
    </row>
    <row r="2096" spans="1:37" x14ac:dyDescent="0.3">
      <c r="A2096" t="s">
        <v>143</v>
      </c>
      <c r="B2096">
        <v>45</v>
      </c>
      <c r="C2096" t="s">
        <v>15</v>
      </c>
      <c r="D2096" t="s">
        <v>52</v>
      </c>
      <c r="E2096" t="s">
        <v>39</v>
      </c>
      <c r="F2096" s="1">
        <v>44715</v>
      </c>
      <c r="G2096" t="s">
        <v>4151</v>
      </c>
      <c r="H2096" t="s">
        <v>4152</v>
      </c>
      <c r="I2096" t="s">
        <v>36</v>
      </c>
      <c r="J2096">
        <v>33698</v>
      </c>
      <c r="K2096">
        <v>152</v>
      </c>
      <c r="L2096" t="s">
        <v>42</v>
      </c>
      <c r="M2096" s="1">
        <v>44721</v>
      </c>
      <c r="N2096" t="s">
        <v>37</v>
      </c>
      <c r="O2096" t="s">
        <v>31</v>
      </c>
      <c r="P2096" t="str">
        <f t="shared" si="708"/>
        <v>P2095</v>
      </c>
      <c r="Q2096" t="str">
        <f t="shared" si="704"/>
        <v>Endocrinology</v>
      </c>
      <c r="R2096">
        <f t="shared" si="705"/>
        <v>6</v>
      </c>
      <c r="S2096" t="str">
        <f t="shared" ca="1" si="709"/>
        <v>No</v>
      </c>
      <c r="T2096" t="str">
        <f t="shared" ca="1" si="710"/>
        <v>Mild</v>
      </c>
      <c r="U2096" t="str">
        <f t="shared" ca="1" si="711"/>
        <v>General Ward</v>
      </c>
      <c r="V2096" t="str">
        <f t="shared" si="712"/>
        <v>BED2095</v>
      </c>
      <c r="W2096" t="str">
        <f t="shared" ca="1" si="713"/>
        <v>General</v>
      </c>
      <c r="X2096" t="str">
        <f t="shared" si="714"/>
        <v>NUR045</v>
      </c>
      <c r="Y2096" t="str">
        <f t="shared" ca="1" si="715"/>
        <v>Evening</v>
      </c>
      <c r="Z2096" t="str">
        <f t="shared" ca="1" si="716"/>
        <v>X-Ray</v>
      </c>
      <c r="AA2096" t="str">
        <f t="shared" ca="1" si="717"/>
        <v>Maintenance</v>
      </c>
      <c r="AB2096" t="str">
        <f t="shared" ca="1" si="718"/>
        <v>Pending</v>
      </c>
      <c r="AC2096" t="str">
        <f t="shared" ca="1" si="719"/>
        <v>Debit Card</v>
      </c>
      <c r="AD2096" t="str">
        <f t="shared" ca="1" si="720"/>
        <v>No</v>
      </c>
      <c r="AE2096" t="str">
        <f t="shared" ca="1" si="721"/>
        <v>No</v>
      </c>
      <c r="AF2096" t="str">
        <f t="shared" ca="1" si="722"/>
        <v>Under Observation</v>
      </c>
      <c r="AG2096" t="str">
        <f t="shared" ca="1" si="723"/>
        <v>Southeast</v>
      </c>
      <c r="AH2096" t="str">
        <f t="shared" si="706"/>
        <v>June</v>
      </c>
      <c r="AI2096">
        <f t="shared" si="707"/>
        <v>2022</v>
      </c>
      <c r="AJ2096" t="str">
        <f t="shared" ca="1" si="724"/>
        <v>Occupied</v>
      </c>
      <c r="AK2096">
        <f t="shared" ca="1" si="725"/>
        <v>2</v>
      </c>
    </row>
    <row r="2097" spans="1:37" x14ac:dyDescent="0.3">
      <c r="A2097" t="s">
        <v>6461</v>
      </c>
      <c r="B2097">
        <v>57</v>
      </c>
      <c r="C2097" t="s">
        <v>32</v>
      </c>
      <c r="D2097" t="s">
        <v>24</v>
      </c>
      <c r="E2097" t="s">
        <v>76</v>
      </c>
      <c r="F2097" s="1">
        <v>44672</v>
      </c>
      <c r="G2097" t="s">
        <v>4153</v>
      </c>
      <c r="H2097" t="s">
        <v>4154</v>
      </c>
      <c r="I2097" t="s">
        <v>57</v>
      </c>
      <c r="J2097">
        <v>41796</v>
      </c>
      <c r="K2097">
        <v>376</v>
      </c>
      <c r="L2097" t="s">
        <v>42</v>
      </c>
      <c r="M2097" s="1">
        <v>44690</v>
      </c>
      <c r="N2097" t="s">
        <v>30</v>
      </c>
      <c r="O2097" t="s">
        <v>23</v>
      </c>
      <c r="P2097" t="str">
        <f t="shared" si="708"/>
        <v>P2096</v>
      </c>
      <c r="Q2097" t="str">
        <f t="shared" si="704"/>
        <v>Orthopedics</v>
      </c>
      <c r="R2097">
        <f t="shared" si="705"/>
        <v>18</v>
      </c>
      <c r="S2097" t="str">
        <f t="shared" ca="1" si="709"/>
        <v>No</v>
      </c>
      <c r="T2097" t="str">
        <f t="shared" ca="1" si="710"/>
        <v>Critical</v>
      </c>
      <c r="U2097" t="str">
        <f t="shared" ca="1" si="711"/>
        <v>Semi-Private</v>
      </c>
      <c r="V2097" t="str">
        <f t="shared" si="712"/>
        <v>BED2096</v>
      </c>
      <c r="W2097" t="str">
        <f t="shared" ca="1" si="713"/>
        <v>Private</v>
      </c>
      <c r="X2097" t="str">
        <f t="shared" si="714"/>
        <v>NUR046</v>
      </c>
      <c r="Y2097" t="str">
        <f t="shared" ca="1" si="715"/>
        <v>Evening</v>
      </c>
      <c r="Z2097" t="str">
        <f t="shared" ca="1" si="716"/>
        <v>CT Scanner</v>
      </c>
      <c r="AA2097" t="str">
        <f t="shared" ca="1" si="717"/>
        <v>In Use</v>
      </c>
      <c r="AB2097" t="str">
        <f t="shared" ca="1" si="718"/>
        <v>Pending</v>
      </c>
      <c r="AC2097" t="str">
        <f t="shared" ca="1" si="719"/>
        <v>Debit Card</v>
      </c>
      <c r="AD2097" t="str">
        <f t="shared" ca="1" si="720"/>
        <v>Yes</v>
      </c>
      <c r="AE2097" t="str">
        <f t="shared" ca="1" si="721"/>
        <v>Yes</v>
      </c>
      <c r="AF2097" t="str">
        <f t="shared" ca="1" si="722"/>
        <v>Transferred</v>
      </c>
      <c r="AG2097" t="str">
        <f t="shared" ca="1" si="723"/>
        <v>West Coast</v>
      </c>
      <c r="AH2097" t="str">
        <f t="shared" si="706"/>
        <v>April</v>
      </c>
      <c r="AI2097">
        <f t="shared" si="707"/>
        <v>2022</v>
      </c>
      <c r="AJ2097" t="str">
        <f t="shared" ca="1" si="724"/>
        <v>Occupied</v>
      </c>
      <c r="AK2097">
        <f t="shared" ca="1" si="725"/>
        <v>1</v>
      </c>
    </row>
    <row r="2098" spans="1:37" x14ac:dyDescent="0.3">
      <c r="A2098" t="s">
        <v>6462</v>
      </c>
      <c r="B2098">
        <v>68</v>
      </c>
      <c r="C2098" t="s">
        <v>15</v>
      </c>
      <c r="D2098" t="s">
        <v>52</v>
      </c>
      <c r="E2098" t="s">
        <v>17</v>
      </c>
      <c r="F2098" s="1">
        <v>44151</v>
      </c>
      <c r="G2098" t="s">
        <v>4155</v>
      </c>
      <c r="H2098" t="s">
        <v>4156</v>
      </c>
      <c r="I2098" t="s">
        <v>57</v>
      </c>
      <c r="J2098">
        <v>46597</v>
      </c>
      <c r="K2098">
        <v>320</v>
      </c>
      <c r="L2098" t="s">
        <v>42</v>
      </c>
      <c r="M2098" s="1">
        <v>44153</v>
      </c>
      <c r="N2098" t="s">
        <v>67</v>
      </c>
      <c r="O2098" t="s">
        <v>31</v>
      </c>
      <c r="P2098" t="str">
        <f t="shared" si="708"/>
        <v>P2097</v>
      </c>
      <c r="Q2098" t="str">
        <f t="shared" si="704"/>
        <v>Oncology</v>
      </c>
      <c r="R2098">
        <f t="shared" si="705"/>
        <v>2</v>
      </c>
      <c r="S2098" t="str">
        <f t="shared" ca="1" si="709"/>
        <v>Yes</v>
      </c>
      <c r="T2098" t="str">
        <f t="shared" ca="1" si="710"/>
        <v>Moderate</v>
      </c>
      <c r="U2098" t="str">
        <f t="shared" ca="1" si="711"/>
        <v>ICU</v>
      </c>
      <c r="V2098" t="str">
        <f t="shared" si="712"/>
        <v>BED2097</v>
      </c>
      <c r="W2098" t="str">
        <f t="shared" ca="1" si="713"/>
        <v>Semi-Private</v>
      </c>
      <c r="X2098" t="str">
        <f t="shared" si="714"/>
        <v>NUR047</v>
      </c>
      <c r="Y2098" t="str">
        <f t="shared" ca="1" si="715"/>
        <v>Evening</v>
      </c>
      <c r="Z2098" t="str">
        <f t="shared" ca="1" si="716"/>
        <v>Ultrasound</v>
      </c>
      <c r="AA2098" t="str">
        <f t="shared" ca="1" si="717"/>
        <v>In Use</v>
      </c>
      <c r="AB2098" t="str">
        <f t="shared" ca="1" si="718"/>
        <v>Partially Paid</v>
      </c>
      <c r="AC2098" t="str">
        <f t="shared" ca="1" si="719"/>
        <v>Cash</v>
      </c>
      <c r="AD2098" t="str">
        <f t="shared" ca="1" si="720"/>
        <v>No</v>
      </c>
      <c r="AE2098" t="str">
        <f t="shared" ca="1" si="721"/>
        <v>No</v>
      </c>
      <c r="AF2098" t="str">
        <f t="shared" ca="1" si="722"/>
        <v>Transferred</v>
      </c>
      <c r="AG2098" t="str">
        <f t="shared" ca="1" si="723"/>
        <v>Northeast</v>
      </c>
      <c r="AH2098" t="str">
        <f t="shared" si="706"/>
        <v>November</v>
      </c>
      <c r="AI2098">
        <f t="shared" si="707"/>
        <v>2020</v>
      </c>
      <c r="AJ2098" t="str">
        <f t="shared" ca="1" si="724"/>
        <v>Occupied</v>
      </c>
      <c r="AK2098">
        <f t="shared" ca="1" si="725"/>
        <v>1</v>
      </c>
    </row>
    <row r="2099" spans="1:37" x14ac:dyDescent="0.3">
      <c r="A2099" t="s">
        <v>6463</v>
      </c>
      <c r="B2099">
        <v>85</v>
      </c>
      <c r="C2099" t="s">
        <v>15</v>
      </c>
      <c r="D2099" t="s">
        <v>33</v>
      </c>
      <c r="E2099" t="s">
        <v>64</v>
      </c>
      <c r="F2099" s="1">
        <v>45185</v>
      </c>
      <c r="G2099" t="s">
        <v>4157</v>
      </c>
      <c r="H2099" t="s">
        <v>4158</v>
      </c>
      <c r="I2099" t="s">
        <v>51</v>
      </c>
      <c r="J2099">
        <v>1042</v>
      </c>
      <c r="K2099">
        <v>387</v>
      </c>
      <c r="L2099" t="s">
        <v>21</v>
      </c>
      <c r="M2099" s="1">
        <v>45203</v>
      </c>
      <c r="N2099" t="s">
        <v>22</v>
      </c>
      <c r="O2099" t="s">
        <v>23</v>
      </c>
      <c r="P2099" t="str">
        <f t="shared" si="708"/>
        <v>P2098</v>
      </c>
      <c r="Q2099" t="str">
        <f t="shared" si="704"/>
        <v>Cardiology</v>
      </c>
      <c r="R2099">
        <f t="shared" si="705"/>
        <v>18</v>
      </c>
      <c r="S2099" t="str">
        <f t="shared" ca="1" si="709"/>
        <v>No</v>
      </c>
      <c r="T2099" t="str">
        <f t="shared" ca="1" si="710"/>
        <v>Severe</v>
      </c>
      <c r="U2099" t="str">
        <f t="shared" ca="1" si="711"/>
        <v>Semi-Private</v>
      </c>
      <c r="V2099" t="str">
        <f t="shared" si="712"/>
        <v>BED2098</v>
      </c>
      <c r="W2099" t="str">
        <f t="shared" ca="1" si="713"/>
        <v>Semi-Private</v>
      </c>
      <c r="X2099" t="str">
        <f t="shared" si="714"/>
        <v>NUR048</v>
      </c>
      <c r="Y2099" t="str">
        <f t="shared" ca="1" si="715"/>
        <v>Night</v>
      </c>
      <c r="Z2099" t="str">
        <f t="shared" ca="1" si="716"/>
        <v>MRI Scanner</v>
      </c>
      <c r="AA2099" t="str">
        <f t="shared" ca="1" si="717"/>
        <v>In Use</v>
      </c>
      <c r="AB2099" t="str">
        <f t="shared" ca="1" si="718"/>
        <v>Pending</v>
      </c>
      <c r="AC2099" t="str">
        <f t="shared" ca="1" si="719"/>
        <v>Debit Card</v>
      </c>
      <c r="AD2099" t="str">
        <f t="shared" ca="1" si="720"/>
        <v>No</v>
      </c>
      <c r="AE2099" t="str">
        <f t="shared" ca="1" si="721"/>
        <v>No</v>
      </c>
      <c r="AF2099" t="str">
        <f t="shared" ca="1" si="722"/>
        <v>Recovered</v>
      </c>
      <c r="AG2099" t="str">
        <f t="shared" ca="1" si="723"/>
        <v>Northeast</v>
      </c>
      <c r="AH2099" t="str">
        <f t="shared" si="706"/>
        <v>September</v>
      </c>
      <c r="AI2099">
        <f t="shared" si="707"/>
        <v>2023</v>
      </c>
      <c r="AJ2099" t="str">
        <f t="shared" ca="1" si="724"/>
        <v>Occupied</v>
      </c>
      <c r="AK2099">
        <f t="shared" ca="1" si="725"/>
        <v>4</v>
      </c>
    </row>
    <row r="2100" spans="1:37" x14ac:dyDescent="0.3">
      <c r="A2100" t="s">
        <v>6464</v>
      </c>
      <c r="B2100">
        <v>85</v>
      </c>
      <c r="C2100" t="s">
        <v>15</v>
      </c>
      <c r="D2100" t="s">
        <v>33</v>
      </c>
      <c r="E2100" t="s">
        <v>39</v>
      </c>
      <c r="F2100" s="1">
        <v>45236</v>
      </c>
      <c r="G2100" t="s">
        <v>4159</v>
      </c>
      <c r="H2100" t="s">
        <v>4160</v>
      </c>
      <c r="I2100" t="s">
        <v>20</v>
      </c>
      <c r="J2100">
        <v>39828</v>
      </c>
      <c r="K2100">
        <v>110</v>
      </c>
      <c r="L2100" t="s">
        <v>29</v>
      </c>
      <c r="M2100" s="1">
        <v>45256</v>
      </c>
      <c r="N2100" t="s">
        <v>67</v>
      </c>
      <c r="O2100" t="s">
        <v>23</v>
      </c>
      <c r="P2100" t="str">
        <f t="shared" si="708"/>
        <v>P2099</v>
      </c>
      <c r="Q2100" t="str">
        <f t="shared" si="704"/>
        <v>Endocrinology</v>
      </c>
      <c r="R2100">
        <f t="shared" si="705"/>
        <v>20</v>
      </c>
      <c r="S2100" t="str">
        <f t="shared" ca="1" si="709"/>
        <v>No</v>
      </c>
      <c r="T2100" t="str">
        <f t="shared" ca="1" si="710"/>
        <v>Critical</v>
      </c>
      <c r="U2100" t="str">
        <f t="shared" ca="1" si="711"/>
        <v>Private Ward</v>
      </c>
      <c r="V2100" t="str">
        <f t="shared" si="712"/>
        <v>BED2099</v>
      </c>
      <c r="W2100" t="str">
        <f t="shared" ca="1" si="713"/>
        <v>General</v>
      </c>
      <c r="X2100" t="str">
        <f t="shared" si="714"/>
        <v>NUR049</v>
      </c>
      <c r="Y2100" t="str">
        <f t="shared" ca="1" si="715"/>
        <v>Night</v>
      </c>
      <c r="Z2100" t="str">
        <f t="shared" ca="1" si="716"/>
        <v>Ultrasound</v>
      </c>
      <c r="AA2100" t="str">
        <f t="shared" ca="1" si="717"/>
        <v>In Use</v>
      </c>
      <c r="AB2100" t="str">
        <f t="shared" ca="1" si="718"/>
        <v>Paid</v>
      </c>
      <c r="AC2100" t="str">
        <f t="shared" ca="1" si="719"/>
        <v>Credit Card</v>
      </c>
      <c r="AD2100" t="str">
        <f t="shared" ca="1" si="720"/>
        <v>No</v>
      </c>
      <c r="AE2100" t="str">
        <f t="shared" ca="1" si="721"/>
        <v>No</v>
      </c>
      <c r="AF2100" t="str">
        <f t="shared" ca="1" si="722"/>
        <v>Transferred</v>
      </c>
      <c r="AG2100" t="str">
        <f t="shared" ca="1" si="723"/>
        <v>Midwest</v>
      </c>
      <c r="AH2100" t="str">
        <f t="shared" si="706"/>
        <v>November</v>
      </c>
      <c r="AI2100">
        <f t="shared" si="707"/>
        <v>2023</v>
      </c>
      <c r="AJ2100" t="str">
        <f t="shared" ca="1" si="724"/>
        <v>Occupied</v>
      </c>
      <c r="AK2100">
        <f t="shared" ca="1" si="725"/>
        <v>2</v>
      </c>
    </row>
    <row r="2101" spans="1:37" x14ac:dyDescent="0.3">
      <c r="A2101" t="s">
        <v>6465</v>
      </c>
      <c r="B2101">
        <v>42</v>
      </c>
      <c r="C2101" t="s">
        <v>15</v>
      </c>
      <c r="D2101" t="s">
        <v>44</v>
      </c>
      <c r="E2101" t="s">
        <v>64</v>
      </c>
      <c r="F2101" s="1">
        <v>45281</v>
      </c>
      <c r="G2101" t="s">
        <v>4161</v>
      </c>
      <c r="H2101" t="s">
        <v>4162</v>
      </c>
      <c r="I2101" t="s">
        <v>57</v>
      </c>
      <c r="J2101">
        <v>9995</v>
      </c>
      <c r="K2101">
        <v>370</v>
      </c>
      <c r="L2101" t="s">
        <v>29</v>
      </c>
      <c r="M2101" s="1">
        <v>45294</v>
      </c>
      <c r="N2101" t="s">
        <v>37</v>
      </c>
      <c r="O2101" t="s">
        <v>23</v>
      </c>
      <c r="P2101" t="str">
        <f t="shared" si="708"/>
        <v>P2100</v>
      </c>
      <c r="Q2101" t="str">
        <f t="shared" si="704"/>
        <v>Cardiology</v>
      </c>
      <c r="R2101">
        <f t="shared" si="705"/>
        <v>13</v>
      </c>
      <c r="S2101" t="str">
        <f t="shared" ca="1" si="709"/>
        <v>No</v>
      </c>
      <c r="T2101" t="str">
        <f t="shared" ca="1" si="710"/>
        <v>Moderate</v>
      </c>
      <c r="U2101" t="str">
        <f t="shared" ca="1" si="711"/>
        <v>Private Ward</v>
      </c>
      <c r="V2101" t="str">
        <f t="shared" si="712"/>
        <v>BED2100</v>
      </c>
      <c r="W2101" t="str">
        <f t="shared" ca="1" si="713"/>
        <v>General</v>
      </c>
      <c r="X2101" t="str">
        <f t="shared" si="714"/>
        <v>NUR050</v>
      </c>
      <c r="Y2101" t="str">
        <f t="shared" ca="1" si="715"/>
        <v>Night</v>
      </c>
      <c r="Z2101" t="str">
        <f t="shared" ca="1" si="716"/>
        <v>CT Scanner</v>
      </c>
      <c r="AA2101" t="str">
        <f t="shared" ca="1" si="717"/>
        <v>Available</v>
      </c>
      <c r="AB2101" t="str">
        <f t="shared" ca="1" si="718"/>
        <v>Partially Paid</v>
      </c>
      <c r="AC2101" t="str">
        <f t="shared" ca="1" si="719"/>
        <v>Debit Card</v>
      </c>
      <c r="AD2101" t="str">
        <f t="shared" ca="1" si="720"/>
        <v>No</v>
      </c>
      <c r="AE2101" t="str">
        <f t="shared" ca="1" si="721"/>
        <v>Yes</v>
      </c>
      <c r="AF2101" t="str">
        <f t="shared" ca="1" si="722"/>
        <v>Under Observation</v>
      </c>
      <c r="AG2101" t="str">
        <f t="shared" ca="1" si="723"/>
        <v>Northeast</v>
      </c>
      <c r="AH2101" t="str">
        <f t="shared" si="706"/>
        <v>December</v>
      </c>
      <c r="AI2101">
        <f t="shared" si="707"/>
        <v>2023</v>
      </c>
      <c r="AJ2101" t="str">
        <f t="shared" ca="1" si="724"/>
        <v>Occupied</v>
      </c>
      <c r="AK2101">
        <f t="shared" ca="1" si="725"/>
        <v>4</v>
      </c>
    </row>
    <row r="2102" spans="1:37" x14ac:dyDescent="0.3">
      <c r="A2102" t="s">
        <v>6466</v>
      </c>
      <c r="B2102">
        <v>70</v>
      </c>
      <c r="C2102" t="s">
        <v>32</v>
      </c>
      <c r="D2102" t="s">
        <v>52</v>
      </c>
      <c r="E2102" t="s">
        <v>76</v>
      </c>
      <c r="F2102" s="1">
        <v>44226</v>
      </c>
      <c r="G2102" t="s">
        <v>4163</v>
      </c>
      <c r="H2102" t="s">
        <v>4164</v>
      </c>
      <c r="I2102" t="s">
        <v>36</v>
      </c>
      <c r="J2102">
        <v>29254</v>
      </c>
      <c r="K2102">
        <v>446</v>
      </c>
      <c r="L2102" t="s">
        <v>42</v>
      </c>
      <c r="M2102" s="1">
        <v>44240</v>
      </c>
      <c r="N2102" t="s">
        <v>22</v>
      </c>
      <c r="O2102" t="s">
        <v>43</v>
      </c>
      <c r="P2102" t="str">
        <f t="shared" si="708"/>
        <v>P2101</v>
      </c>
      <c r="Q2102" t="str">
        <f t="shared" si="704"/>
        <v>Orthopedics</v>
      </c>
      <c r="R2102">
        <f t="shared" si="705"/>
        <v>14</v>
      </c>
      <c r="S2102" t="str">
        <f t="shared" ca="1" si="709"/>
        <v>No</v>
      </c>
      <c r="T2102" t="str">
        <f t="shared" ca="1" si="710"/>
        <v>Mild</v>
      </c>
      <c r="U2102" t="str">
        <f t="shared" ca="1" si="711"/>
        <v>General Ward</v>
      </c>
      <c r="V2102" t="str">
        <f t="shared" si="712"/>
        <v>BED2101</v>
      </c>
      <c r="W2102" t="str">
        <f t="shared" ca="1" si="713"/>
        <v>Private</v>
      </c>
      <c r="X2102" t="str">
        <f t="shared" si="714"/>
        <v>NUR001</v>
      </c>
      <c r="Y2102" t="str">
        <f t="shared" ca="1" si="715"/>
        <v>Night</v>
      </c>
      <c r="Z2102" t="str">
        <f t="shared" ca="1" si="716"/>
        <v>Ultrasound</v>
      </c>
      <c r="AA2102" t="str">
        <f t="shared" ca="1" si="717"/>
        <v>Maintenance</v>
      </c>
      <c r="AB2102" t="str">
        <f t="shared" ca="1" si="718"/>
        <v>Partially Paid</v>
      </c>
      <c r="AC2102" t="str">
        <f t="shared" ca="1" si="719"/>
        <v>Insurance</v>
      </c>
      <c r="AD2102" t="str">
        <f t="shared" ca="1" si="720"/>
        <v>No</v>
      </c>
      <c r="AE2102" t="str">
        <f t="shared" ca="1" si="721"/>
        <v>Yes</v>
      </c>
      <c r="AF2102" t="str">
        <f t="shared" ca="1" si="722"/>
        <v>Recovered</v>
      </c>
      <c r="AG2102" t="str">
        <f t="shared" ca="1" si="723"/>
        <v>Midwest</v>
      </c>
      <c r="AH2102" t="str">
        <f t="shared" si="706"/>
        <v>January</v>
      </c>
      <c r="AI2102">
        <f t="shared" si="707"/>
        <v>2021</v>
      </c>
      <c r="AJ2102" t="str">
        <f t="shared" ca="1" si="724"/>
        <v>Occupied</v>
      </c>
      <c r="AK2102">
        <f t="shared" ca="1" si="725"/>
        <v>4</v>
      </c>
    </row>
    <row r="2103" spans="1:37" x14ac:dyDescent="0.3">
      <c r="A2103" t="s">
        <v>6467</v>
      </c>
      <c r="B2103">
        <v>59</v>
      </c>
      <c r="C2103" t="s">
        <v>15</v>
      </c>
      <c r="D2103" t="s">
        <v>83</v>
      </c>
      <c r="E2103" t="s">
        <v>17</v>
      </c>
      <c r="F2103" s="1">
        <v>45376</v>
      </c>
      <c r="G2103" t="s">
        <v>4165</v>
      </c>
      <c r="H2103" t="s">
        <v>4166</v>
      </c>
      <c r="I2103" t="s">
        <v>36</v>
      </c>
      <c r="J2103">
        <v>20269</v>
      </c>
      <c r="K2103">
        <v>237</v>
      </c>
      <c r="L2103" t="s">
        <v>21</v>
      </c>
      <c r="M2103" s="1">
        <v>45404</v>
      </c>
      <c r="N2103" t="s">
        <v>37</v>
      </c>
      <c r="O2103" t="s">
        <v>23</v>
      </c>
      <c r="P2103" t="str">
        <f t="shared" si="708"/>
        <v>P2102</v>
      </c>
      <c r="Q2103" t="str">
        <f t="shared" si="704"/>
        <v>Oncology</v>
      </c>
      <c r="R2103">
        <f t="shared" si="705"/>
        <v>28</v>
      </c>
      <c r="S2103" t="str">
        <f t="shared" ca="1" si="709"/>
        <v>Yes</v>
      </c>
      <c r="T2103" t="str">
        <f t="shared" ca="1" si="710"/>
        <v>Severe</v>
      </c>
      <c r="U2103" t="str">
        <f t="shared" ca="1" si="711"/>
        <v>Semi-Private</v>
      </c>
      <c r="V2103" t="str">
        <f t="shared" si="712"/>
        <v>BED2102</v>
      </c>
      <c r="W2103" t="str">
        <f t="shared" ca="1" si="713"/>
        <v>Semi-Private</v>
      </c>
      <c r="X2103" t="str">
        <f t="shared" si="714"/>
        <v>NUR002</v>
      </c>
      <c r="Y2103" t="str">
        <f t="shared" ca="1" si="715"/>
        <v>Night</v>
      </c>
      <c r="Z2103" t="str">
        <f t="shared" ca="1" si="716"/>
        <v>MRI Scanner</v>
      </c>
      <c r="AA2103" t="str">
        <f t="shared" ca="1" si="717"/>
        <v>Available</v>
      </c>
      <c r="AB2103" t="str">
        <f t="shared" ca="1" si="718"/>
        <v>Pending</v>
      </c>
      <c r="AC2103" t="str">
        <f t="shared" ca="1" si="719"/>
        <v>Debit Card</v>
      </c>
      <c r="AD2103" t="str">
        <f t="shared" ca="1" si="720"/>
        <v>No</v>
      </c>
      <c r="AE2103" t="str">
        <f t="shared" ca="1" si="721"/>
        <v>No</v>
      </c>
      <c r="AF2103" t="str">
        <f t="shared" ca="1" si="722"/>
        <v>Transferred</v>
      </c>
      <c r="AG2103" t="str">
        <f t="shared" ca="1" si="723"/>
        <v>Southwest</v>
      </c>
      <c r="AH2103" t="str">
        <f t="shared" si="706"/>
        <v>March</v>
      </c>
      <c r="AI2103">
        <f t="shared" si="707"/>
        <v>2024</v>
      </c>
      <c r="AJ2103" t="str">
        <f t="shared" ca="1" si="724"/>
        <v>Vacant</v>
      </c>
      <c r="AK2103">
        <f t="shared" ca="1" si="725"/>
        <v>2</v>
      </c>
    </row>
    <row r="2104" spans="1:37" x14ac:dyDescent="0.3">
      <c r="A2104" t="s">
        <v>6468</v>
      </c>
      <c r="B2104">
        <v>59</v>
      </c>
      <c r="C2104" t="s">
        <v>32</v>
      </c>
      <c r="D2104" t="s">
        <v>16</v>
      </c>
      <c r="E2104" t="s">
        <v>64</v>
      </c>
      <c r="F2104" s="1">
        <v>45100</v>
      </c>
      <c r="G2104" t="s">
        <v>4167</v>
      </c>
      <c r="H2104" t="s">
        <v>4168</v>
      </c>
      <c r="I2104" t="s">
        <v>20</v>
      </c>
      <c r="J2104">
        <v>19905</v>
      </c>
      <c r="K2104">
        <v>262</v>
      </c>
      <c r="L2104" t="s">
        <v>21</v>
      </c>
      <c r="M2104" s="1">
        <v>45103</v>
      </c>
      <c r="N2104" t="s">
        <v>67</v>
      </c>
      <c r="O2104" t="s">
        <v>43</v>
      </c>
      <c r="P2104" t="str">
        <f t="shared" si="708"/>
        <v>P2103</v>
      </c>
      <c r="Q2104" t="str">
        <f t="shared" si="704"/>
        <v>Cardiology</v>
      </c>
      <c r="R2104">
        <f t="shared" si="705"/>
        <v>3</v>
      </c>
      <c r="S2104" t="str">
        <f t="shared" ca="1" si="709"/>
        <v>No</v>
      </c>
      <c r="T2104" t="str">
        <f t="shared" ca="1" si="710"/>
        <v>Critical</v>
      </c>
      <c r="U2104" t="str">
        <f t="shared" ca="1" si="711"/>
        <v>ICU</v>
      </c>
      <c r="V2104" t="str">
        <f t="shared" si="712"/>
        <v>BED2103</v>
      </c>
      <c r="W2104" t="str">
        <f t="shared" ca="1" si="713"/>
        <v>General</v>
      </c>
      <c r="X2104" t="str">
        <f t="shared" si="714"/>
        <v>NUR003</v>
      </c>
      <c r="Y2104" t="str">
        <f t="shared" ca="1" si="715"/>
        <v>Morning</v>
      </c>
      <c r="Z2104" t="str">
        <f t="shared" ca="1" si="716"/>
        <v>ECG Machine</v>
      </c>
      <c r="AA2104" t="str">
        <f t="shared" ca="1" si="717"/>
        <v>In Use</v>
      </c>
      <c r="AB2104" t="str">
        <f t="shared" ca="1" si="718"/>
        <v>Paid</v>
      </c>
      <c r="AC2104" t="str">
        <f t="shared" ca="1" si="719"/>
        <v>Cash</v>
      </c>
      <c r="AD2104" t="str">
        <f t="shared" ca="1" si="720"/>
        <v>No</v>
      </c>
      <c r="AE2104" t="str">
        <f t="shared" ca="1" si="721"/>
        <v>No</v>
      </c>
      <c r="AF2104" t="str">
        <f t="shared" ca="1" si="722"/>
        <v>Under Observation</v>
      </c>
      <c r="AG2104" t="str">
        <f t="shared" ca="1" si="723"/>
        <v>West Coast</v>
      </c>
      <c r="AH2104" t="str">
        <f t="shared" si="706"/>
        <v>June</v>
      </c>
      <c r="AI2104">
        <f t="shared" si="707"/>
        <v>2023</v>
      </c>
      <c r="AJ2104" t="str">
        <f t="shared" ca="1" si="724"/>
        <v>Occupied</v>
      </c>
      <c r="AK2104">
        <f t="shared" ca="1" si="725"/>
        <v>4</v>
      </c>
    </row>
    <row r="2105" spans="1:37" x14ac:dyDescent="0.3">
      <c r="A2105" t="s">
        <v>6469</v>
      </c>
      <c r="B2105">
        <v>72</v>
      </c>
      <c r="C2105" t="s">
        <v>32</v>
      </c>
      <c r="D2105" t="s">
        <v>16</v>
      </c>
      <c r="E2105" t="s">
        <v>39</v>
      </c>
      <c r="F2105" s="1">
        <v>44276</v>
      </c>
      <c r="G2105" t="s">
        <v>4169</v>
      </c>
      <c r="H2105" t="s">
        <v>4170</v>
      </c>
      <c r="I2105" t="s">
        <v>20</v>
      </c>
      <c r="J2105">
        <v>-577</v>
      </c>
      <c r="K2105">
        <v>369</v>
      </c>
      <c r="L2105" t="s">
        <v>21</v>
      </c>
      <c r="M2105" s="1">
        <v>44303</v>
      </c>
      <c r="N2105" t="s">
        <v>37</v>
      </c>
      <c r="O2105" t="s">
        <v>43</v>
      </c>
      <c r="P2105" t="str">
        <f t="shared" si="708"/>
        <v>P2104</v>
      </c>
      <c r="Q2105" t="str">
        <f t="shared" si="704"/>
        <v>Endocrinology</v>
      </c>
      <c r="R2105">
        <f t="shared" si="705"/>
        <v>27</v>
      </c>
      <c r="S2105" t="str">
        <f t="shared" ca="1" si="709"/>
        <v>No</v>
      </c>
      <c r="T2105" t="str">
        <f t="shared" ca="1" si="710"/>
        <v>Mild</v>
      </c>
      <c r="U2105" t="str">
        <f t="shared" ca="1" si="711"/>
        <v>General Ward</v>
      </c>
      <c r="V2105" t="str">
        <f t="shared" si="712"/>
        <v>BED2104</v>
      </c>
      <c r="W2105" t="str">
        <f t="shared" ca="1" si="713"/>
        <v>Private</v>
      </c>
      <c r="X2105" t="str">
        <f t="shared" si="714"/>
        <v>NUR004</v>
      </c>
      <c r="Y2105" t="str">
        <f t="shared" ca="1" si="715"/>
        <v>Evening</v>
      </c>
      <c r="Z2105" t="str">
        <f t="shared" ca="1" si="716"/>
        <v>CT Scanner</v>
      </c>
      <c r="AA2105" t="str">
        <f t="shared" ca="1" si="717"/>
        <v>In Use</v>
      </c>
      <c r="AB2105" t="str">
        <f t="shared" ca="1" si="718"/>
        <v>Paid</v>
      </c>
      <c r="AC2105" t="str">
        <f t="shared" ca="1" si="719"/>
        <v>Insurance</v>
      </c>
      <c r="AD2105" t="str">
        <f t="shared" ca="1" si="720"/>
        <v>No</v>
      </c>
      <c r="AE2105" t="str">
        <f t="shared" ca="1" si="721"/>
        <v>No</v>
      </c>
      <c r="AF2105" t="str">
        <f t="shared" ca="1" si="722"/>
        <v>Transferred</v>
      </c>
      <c r="AG2105" t="str">
        <f t="shared" ca="1" si="723"/>
        <v>Midwest</v>
      </c>
      <c r="AH2105" t="str">
        <f t="shared" si="706"/>
        <v>March</v>
      </c>
      <c r="AI2105">
        <f t="shared" si="707"/>
        <v>2021</v>
      </c>
      <c r="AJ2105" t="str">
        <f t="shared" ca="1" si="724"/>
        <v>Vacant</v>
      </c>
      <c r="AK2105">
        <f t="shared" ca="1" si="725"/>
        <v>1</v>
      </c>
    </row>
    <row r="2106" spans="1:37" x14ac:dyDescent="0.3">
      <c r="A2106" t="s">
        <v>6470</v>
      </c>
      <c r="B2106">
        <v>50</v>
      </c>
      <c r="C2106" t="s">
        <v>32</v>
      </c>
      <c r="D2106" t="s">
        <v>98</v>
      </c>
      <c r="E2106" t="s">
        <v>64</v>
      </c>
      <c r="F2106" s="1">
        <v>44540</v>
      </c>
      <c r="G2106" t="s">
        <v>4171</v>
      </c>
      <c r="H2106" t="s">
        <v>4172</v>
      </c>
      <c r="I2106" t="s">
        <v>51</v>
      </c>
      <c r="J2106">
        <v>19564</v>
      </c>
      <c r="K2106">
        <v>135</v>
      </c>
      <c r="L2106" t="s">
        <v>21</v>
      </c>
      <c r="M2106" s="1">
        <v>44566</v>
      </c>
      <c r="N2106" t="s">
        <v>47</v>
      </c>
      <c r="O2106" t="s">
        <v>23</v>
      </c>
      <c r="P2106" t="str">
        <f t="shared" si="708"/>
        <v>P2105</v>
      </c>
      <c r="Q2106" t="str">
        <f t="shared" si="704"/>
        <v>Cardiology</v>
      </c>
      <c r="R2106">
        <f t="shared" si="705"/>
        <v>26</v>
      </c>
      <c r="S2106" t="str">
        <f t="shared" ca="1" si="709"/>
        <v>No</v>
      </c>
      <c r="T2106" t="str">
        <f t="shared" ca="1" si="710"/>
        <v>Severe</v>
      </c>
      <c r="U2106" t="str">
        <f t="shared" ca="1" si="711"/>
        <v>Private Ward</v>
      </c>
      <c r="V2106" t="str">
        <f t="shared" si="712"/>
        <v>BED2105</v>
      </c>
      <c r="W2106" t="str">
        <f t="shared" ca="1" si="713"/>
        <v>General</v>
      </c>
      <c r="X2106" t="str">
        <f t="shared" si="714"/>
        <v>NUR005</v>
      </c>
      <c r="Y2106" t="str">
        <f t="shared" ca="1" si="715"/>
        <v>Evening</v>
      </c>
      <c r="Z2106" t="str">
        <f t="shared" ca="1" si="716"/>
        <v>Ventilator</v>
      </c>
      <c r="AA2106" t="str">
        <f t="shared" ca="1" si="717"/>
        <v>Available</v>
      </c>
      <c r="AB2106" t="str">
        <f t="shared" ca="1" si="718"/>
        <v>Paid</v>
      </c>
      <c r="AC2106" t="str">
        <f t="shared" ca="1" si="719"/>
        <v>Insurance</v>
      </c>
      <c r="AD2106" t="str">
        <f t="shared" ca="1" si="720"/>
        <v>No</v>
      </c>
      <c r="AE2106" t="str">
        <f t="shared" ca="1" si="721"/>
        <v>No</v>
      </c>
      <c r="AF2106" t="str">
        <f t="shared" ca="1" si="722"/>
        <v>Recovered</v>
      </c>
      <c r="AG2106" t="str">
        <f t="shared" ca="1" si="723"/>
        <v>West Coast</v>
      </c>
      <c r="AH2106" t="str">
        <f t="shared" si="706"/>
        <v>December</v>
      </c>
      <c r="AI2106">
        <f t="shared" si="707"/>
        <v>2021</v>
      </c>
      <c r="AJ2106" t="str">
        <f t="shared" ca="1" si="724"/>
        <v>Occupied</v>
      </c>
      <c r="AK2106">
        <f t="shared" ca="1" si="725"/>
        <v>1</v>
      </c>
    </row>
    <row r="2107" spans="1:37" x14ac:dyDescent="0.3">
      <c r="A2107" t="s">
        <v>6471</v>
      </c>
      <c r="B2107">
        <v>70</v>
      </c>
      <c r="C2107" t="s">
        <v>15</v>
      </c>
      <c r="D2107" t="s">
        <v>52</v>
      </c>
      <c r="E2107" t="s">
        <v>64</v>
      </c>
      <c r="F2107" s="1">
        <v>44209</v>
      </c>
      <c r="G2107" t="s">
        <v>4173</v>
      </c>
      <c r="H2107" t="s">
        <v>4174</v>
      </c>
      <c r="I2107" t="s">
        <v>57</v>
      </c>
      <c r="J2107">
        <v>41756</v>
      </c>
      <c r="K2107">
        <v>104</v>
      </c>
      <c r="L2107" t="s">
        <v>29</v>
      </c>
      <c r="M2107" s="1">
        <v>44231</v>
      </c>
      <c r="N2107" t="s">
        <v>47</v>
      </c>
      <c r="O2107" t="s">
        <v>43</v>
      </c>
      <c r="P2107" t="str">
        <f t="shared" si="708"/>
        <v>P2106</v>
      </c>
      <c r="Q2107" t="str">
        <f t="shared" si="704"/>
        <v>Cardiology</v>
      </c>
      <c r="R2107">
        <f t="shared" si="705"/>
        <v>22</v>
      </c>
      <c r="S2107" t="str">
        <f t="shared" ca="1" si="709"/>
        <v>No</v>
      </c>
      <c r="T2107" t="str">
        <f t="shared" ca="1" si="710"/>
        <v>Critical</v>
      </c>
      <c r="U2107" t="str">
        <f t="shared" ca="1" si="711"/>
        <v>General Ward</v>
      </c>
      <c r="V2107" t="str">
        <f t="shared" si="712"/>
        <v>BED2106</v>
      </c>
      <c r="W2107" t="str">
        <f t="shared" ca="1" si="713"/>
        <v>Semi-Private</v>
      </c>
      <c r="X2107" t="str">
        <f t="shared" si="714"/>
        <v>NUR006</v>
      </c>
      <c r="Y2107" t="str">
        <f t="shared" ca="1" si="715"/>
        <v>Morning</v>
      </c>
      <c r="Z2107" t="str">
        <f t="shared" ca="1" si="716"/>
        <v>ECG Machine</v>
      </c>
      <c r="AA2107" t="str">
        <f t="shared" ca="1" si="717"/>
        <v>Available</v>
      </c>
      <c r="AB2107" t="str">
        <f t="shared" ca="1" si="718"/>
        <v>Pending</v>
      </c>
      <c r="AC2107" t="str">
        <f t="shared" ca="1" si="719"/>
        <v>Insurance</v>
      </c>
      <c r="AD2107" t="str">
        <f t="shared" ca="1" si="720"/>
        <v>Yes</v>
      </c>
      <c r="AE2107" t="str">
        <f t="shared" ca="1" si="721"/>
        <v>No</v>
      </c>
      <c r="AF2107" t="str">
        <f t="shared" ca="1" si="722"/>
        <v>Under Observation</v>
      </c>
      <c r="AG2107" t="str">
        <f t="shared" ca="1" si="723"/>
        <v>West Coast</v>
      </c>
      <c r="AH2107" t="str">
        <f t="shared" si="706"/>
        <v>January</v>
      </c>
      <c r="AI2107">
        <f t="shared" si="707"/>
        <v>2021</v>
      </c>
      <c r="AJ2107" t="str">
        <f t="shared" ca="1" si="724"/>
        <v>Occupied</v>
      </c>
      <c r="AK2107">
        <f t="shared" ca="1" si="725"/>
        <v>1</v>
      </c>
    </row>
    <row r="2108" spans="1:37" x14ac:dyDescent="0.3">
      <c r="A2108" t="s">
        <v>6472</v>
      </c>
      <c r="B2108">
        <v>70</v>
      </c>
      <c r="C2108" t="s">
        <v>32</v>
      </c>
      <c r="D2108" t="s">
        <v>98</v>
      </c>
      <c r="E2108" t="s">
        <v>25</v>
      </c>
      <c r="F2108" s="1">
        <v>43710</v>
      </c>
      <c r="G2108" t="s">
        <v>4175</v>
      </c>
      <c r="H2108" t="s">
        <v>4176</v>
      </c>
      <c r="I2108" t="s">
        <v>57</v>
      </c>
      <c r="J2108">
        <v>23792</v>
      </c>
      <c r="K2108">
        <v>376</v>
      </c>
      <c r="L2108" t="s">
        <v>29</v>
      </c>
      <c r="M2108" s="1">
        <v>43722</v>
      </c>
      <c r="N2108" t="s">
        <v>37</v>
      </c>
      <c r="O2108" t="s">
        <v>23</v>
      </c>
      <c r="P2108" t="str">
        <f t="shared" si="708"/>
        <v>P2107</v>
      </c>
      <c r="Q2108" t="str">
        <f t="shared" si="704"/>
        <v>Nutrition</v>
      </c>
      <c r="R2108">
        <f t="shared" si="705"/>
        <v>12</v>
      </c>
      <c r="S2108" t="str">
        <f t="shared" ca="1" si="709"/>
        <v>No</v>
      </c>
      <c r="T2108" t="str">
        <f t="shared" ca="1" si="710"/>
        <v>Severe</v>
      </c>
      <c r="U2108" t="str">
        <f t="shared" ca="1" si="711"/>
        <v>ICU</v>
      </c>
      <c r="V2108" t="str">
        <f t="shared" si="712"/>
        <v>BED2107</v>
      </c>
      <c r="W2108" t="str">
        <f t="shared" ca="1" si="713"/>
        <v>ICU</v>
      </c>
      <c r="X2108" t="str">
        <f t="shared" si="714"/>
        <v>NUR007</v>
      </c>
      <c r="Y2108" t="str">
        <f t="shared" ca="1" si="715"/>
        <v>Morning</v>
      </c>
      <c r="Z2108" t="str">
        <f t="shared" ca="1" si="716"/>
        <v>MRI Scanner</v>
      </c>
      <c r="AA2108" t="str">
        <f t="shared" ca="1" si="717"/>
        <v>Maintenance</v>
      </c>
      <c r="AB2108" t="str">
        <f t="shared" ca="1" si="718"/>
        <v>Pending</v>
      </c>
      <c r="AC2108" t="str">
        <f t="shared" ca="1" si="719"/>
        <v>Credit Card</v>
      </c>
      <c r="AD2108" t="str">
        <f t="shared" ca="1" si="720"/>
        <v>No</v>
      </c>
      <c r="AE2108" t="str">
        <f t="shared" ca="1" si="721"/>
        <v>No</v>
      </c>
      <c r="AF2108" t="str">
        <f t="shared" ca="1" si="722"/>
        <v>Recovered</v>
      </c>
      <c r="AG2108" t="str">
        <f t="shared" ca="1" si="723"/>
        <v>Northeast</v>
      </c>
      <c r="AH2108" t="str">
        <f t="shared" si="706"/>
        <v>September</v>
      </c>
      <c r="AI2108">
        <f t="shared" si="707"/>
        <v>2019</v>
      </c>
      <c r="AJ2108" t="str">
        <f t="shared" ca="1" si="724"/>
        <v>Occupied</v>
      </c>
      <c r="AK2108">
        <f t="shared" ca="1" si="725"/>
        <v>4</v>
      </c>
    </row>
    <row r="2109" spans="1:37" x14ac:dyDescent="0.3">
      <c r="A2109" t="s">
        <v>6473</v>
      </c>
      <c r="B2109">
        <v>78</v>
      </c>
      <c r="C2109" t="s">
        <v>15</v>
      </c>
      <c r="D2109" t="s">
        <v>83</v>
      </c>
      <c r="E2109" t="s">
        <v>25</v>
      </c>
      <c r="F2109" s="1">
        <v>44110</v>
      </c>
      <c r="G2109" t="s">
        <v>4177</v>
      </c>
      <c r="H2109" t="s">
        <v>3590</v>
      </c>
      <c r="I2109" t="s">
        <v>51</v>
      </c>
      <c r="J2109">
        <v>50015</v>
      </c>
      <c r="K2109">
        <v>468</v>
      </c>
      <c r="L2109" t="s">
        <v>42</v>
      </c>
      <c r="M2109" s="1">
        <v>44111</v>
      </c>
      <c r="N2109" t="s">
        <v>30</v>
      </c>
      <c r="O2109" t="s">
        <v>23</v>
      </c>
      <c r="P2109" t="str">
        <f t="shared" si="708"/>
        <v>P2108</v>
      </c>
      <c r="Q2109" t="str">
        <f t="shared" si="704"/>
        <v>Nutrition</v>
      </c>
      <c r="R2109">
        <f t="shared" si="705"/>
        <v>1</v>
      </c>
      <c r="S2109" t="str">
        <f t="shared" ca="1" si="709"/>
        <v>No</v>
      </c>
      <c r="T2109" t="str">
        <f t="shared" ca="1" si="710"/>
        <v>Critical</v>
      </c>
      <c r="U2109" t="str">
        <f t="shared" ca="1" si="711"/>
        <v>Private Ward</v>
      </c>
      <c r="V2109" t="str">
        <f t="shared" si="712"/>
        <v>BED2108</v>
      </c>
      <c r="W2109" t="str">
        <f t="shared" ca="1" si="713"/>
        <v>ICU</v>
      </c>
      <c r="X2109" t="str">
        <f t="shared" si="714"/>
        <v>NUR008</v>
      </c>
      <c r="Y2109" t="str">
        <f t="shared" ca="1" si="715"/>
        <v>Evening</v>
      </c>
      <c r="Z2109" t="str">
        <f t="shared" ca="1" si="716"/>
        <v>Ultrasound</v>
      </c>
      <c r="AA2109" t="str">
        <f t="shared" ca="1" si="717"/>
        <v>Available</v>
      </c>
      <c r="AB2109" t="str">
        <f t="shared" ca="1" si="718"/>
        <v>Partially Paid</v>
      </c>
      <c r="AC2109" t="str">
        <f t="shared" ca="1" si="719"/>
        <v>Debit Card</v>
      </c>
      <c r="AD2109" t="str">
        <f t="shared" ca="1" si="720"/>
        <v>No</v>
      </c>
      <c r="AE2109" t="str">
        <f t="shared" ca="1" si="721"/>
        <v>Yes</v>
      </c>
      <c r="AF2109" t="str">
        <f t="shared" ca="1" si="722"/>
        <v>Recovered</v>
      </c>
      <c r="AG2109" t="str">
        <f t="shared" ca="1" si="723"/>
        <v>Southeast</v>
      </c>
      <c r="AH2109" t="str">
        <f t="shared" si="706"/>
        <v>October</v>
      </c>
      <c r="AI2109">
        <f t="shared" si="707"/>
        <v>2020</v>
      </c>
      <c r="AJ2109" t="str">
        <f t="shared" ca="1" si="724"/>
        <v>Occupied</v>
      </c>
      <c r="AK2109">
        <f t="shared" ca="1" si="725"/>
        <v>1</v>
      </c>
    </row>
    <row r="2110" spans="1:37" x14ac:dyDescent="0.3">
      <c r="A2110" t="s">
        <v>6474</v>
      </c>
      <c r="B2110">
        <v>68</v>
      </c>
      <c r="C2110" t="s">
        <v>15</v>
      </c>
      <c r="D2110" t="s">
        <v>38</v>
      </c>
      <c r="E2110" t="s">
        <v>39</v>
      </c>
      <c r="F2110" s="1">
        <v>44280</v>
      </c>
      <c r="G2110" t="s">
        <v>4178</v>
      </c>
      <c r="H2110" t="s">
        <v>4179</v>
      </c>
      <c r="I2110" t="s">
        <v>51</v>
      </c>
      <c r="J2110">
        <v>22356</v>
      </c>
      <c r="K2110">
        <v>301</v>
      </c>
      <c r="L2110" t="s">
        <v>29</v>
      </c>
      <c r="M2110" s="1">
        <v>44286</v>
      </c>
      <c r="N2110" t="s">
        <v>37</v>
      </c>
      <c r="O2110" t="s">
        <v>31</v>
      </c>
      <c r="P2110" t="str">
        <f t="shared" si="708"/>
        <v>P2109</v>
      </c>
      <c r="Q2110" t="str">
        <f t="shared" si="704"/>
        <v>Endocrinology</v>
      </c>
      <c r="R2110">
        <f t="shared" si="705"/>
        <v>6</v>
      </c>
      <c r="S2110" t="str">
        <f t="shared" ca="1" si="709"/>
        <v>No</v>
      </c>
      <c r="T2110" t="str">
        <f t="shared" ca="1" si="710"/>
        <v>Mild</v>
      </c>
      <c r="U2110" t="str">
        <f t="shared" ca="1" si="711"/>
        <v>ICU</v>
      </c>
      <c r="V2110" t="str">
        <f t="shared" si="712"/>
        <v>BED2109</v>
      </c>
      <c r="W2110" t="str">
        <f t="shared" ca="1" si="713"/>
        <v>Private</v>
      </c>
      <c r="X2110" t="str">
        <f t="shared" si="714"/>
        <v>NUR009</v>
      </c>
      <c r="Y2110" t="str">
        <f t="shared" ca="1" si="715"/>
        <v>Evening</v>
      </c>
      <c r="Z2110" t="str">
        <f t="shared" ca="1" si="716"/>
        <v>MRI Scanner</v>
      </c>
      <c r="AA2110" t="str">
        <f t="shared" ca="1" si="717"/>
        <v>Maintenance</v>
      </c>
      <c r="AB2110" t="str">
        <f t="shared" ca="1" si="718"/>
        <v>Paid</v>
      </c>
      <c r="AC2110" t="str">
        <f t="shared" ca="1" si="719"/>
        <v>Cash</v>
      </c>
      <c r="AD2110" t="str">
        <f t="shared" ca="1" si="720"/>
        <v>No</v>
      </c>
      <c r="AE2110" t="str">
        <f t="shared" ca="1" si="721"/>
        <v>No</v>
      </c>
      <c r="AF2110" t="str">
        <f t="shared" ca="1" si="722"/>
        <v>Recovered</v>
      </c>
      <c r="AG2110" t="str">
        <f t="shared" ca="1" si="723"/>
        <v>Northeast</v>
      </c>
      <c r="AH2110" t="str">
        <f t="shared" si="706"/>
        <v>March</v>
      </c>
      <c r="AI2110">
        <f t="shared" si="707"/>
        <v>2021</v>
      </c>
      <c r="AJ2110" t="str">
        <f t="shared" ca="1" si="724"/>
        <v>Vacant</v>
      </c>
      <c r="AK2110">
        <f t="shared" ca="1" si="725"/>
        <v>4</v>
      </c>
    </row>
    <row r="2111" spans="1:37" x14ac:dyDescent="0.3">
      <c r="A2111" t="s">
        <v>6475</v>
      </c>
      <c r="B2111">
        <v>28</v>
      </c>
      <c r="C2111" t="s">
        <v>15</v>
      </c>
      <c r="D2111" t="s">
        <v>38</v>
      </c>
      <c r="E2111" t="s">
        <v>39</v>
      </c>
      <c r="F2111" s="1">
        <v>44206</v>
      </c>
      <c r="G2111" t="s">
        <v>4180</v>
      </c>
      <c r="H2111" t="s">
        <v>4181</v>
      </c>
      <c r="I2111" t="s">
        <v>20</v>
      </c>
      <c r="J2111">
        <v>40334</v>
      </c>
      <c r="K2111">
        <v>483</v>
      </c>
      <c r="L2111" t="s">
        <v>29</v>
      </c>
      <c r="M2111" s="1">
        <v>44212</v>
      </c>
      <c r="N2111" t="s">
        <v>47</v>
      </c>
      <c r="O2111" t="s">
        <v>31</v>
      </c>
      <c r="P2111" t="str">
        <f t="shared" si="708"/>
        <v>P2110</v>
      </c>
      <c r="Q2111" t="str">
        <f t="shared" si="704"/>
        <v>Endocrinology</v>
      </c>
      <c r="R2111">
        <f t="shared" si="705"/>
        <v>6</v>
      </c>
      <c r="S2111" t="str">
        <f t="shared" ca="1" si="709"/>
        <v>No</v>
      </c>
      <c r="T2111" t="str">
        <f t="shared" ca="1" si="710"/>
        <v>Critical</v>
      </c>
      <c r="U2111" t="str">
        <f t="shared" ca="1" si="711"/>
        <v>Private Ward</v>
      </c>
      <c r="V2111" t="str">
        <f t="shared" si="712"/>
        <v>BED2110</v>
      </c>
      <c r="W2111" t="str">
        <f t="shared" ca="1" si="713"/>
        <v>Private</v>
      </c>
      <c r="X2111" t="str">
        <f t="shared" si="714"/>
        <v>NUR010</v>
      </c>
      <c r="Y2111" t="str">
        <f t="shared" ca="1" si="715"/>
        <v>Night</v>
      </c>
      <c r="Z2111" t="str">
        <f t="shared" ca="1" si="716"/>
        <v>Ultrasound</v>
      </c>
      <c r="AA2111" t="str">
        <f t="shared" ca="1" si="717"/>
        <v>In Use</v>
      </c>
      <c r="AB2111" t="str">
        <f t="shared" ca="1" si="718"/>
        <v>Partially Paid</v>
      </c>
      <c r="AC2111" t="str">
        <f t="shared" ca="1" si="719"/>
        <v>Cash</v>
      </c>
      <c r="AD2111" t="str">
        <f t="shared" ca="1" si="720"/>
        <v>No</v>
      </c>
      <c r="AE2111" t="str">
        <f t="shared" ca="1" si="721"/>
        <v>No</v>
      </c>
      <c r="AF2111" t="str">
        <f t="shared" ca="1" si="722"/>
        <v>Under Observation</v>
      </c>
      <c r="AG2111" t="str">
        <f t="shared" ca="1" si="723"/>
        <v>West Coast</v>
      </c>
      <c r="AH2111" t="str">
        <f t="shared" si="706"/>
        <v>January</v>
      </c>
      <c r="AI2111">
        <f t="shared" si="707"/>
        <v>2021</v>
      </c>
      <c r="AJ2111" t="str">
        <f t="shared" ca="1" si="724"/>
        <v>Occupied</v>
      </c>
      <c r="AK2111">
        <f t="shared" ca="1" si="725"/>
        <v>1</v>
      </c>
    </row>
    <row r="2112" spans="1:37" x14ac:dyDescent="0.3">
      <c r="A2112" t="s">
        <v>6476</v>
      </c>
      <c r="B2112">
        <v>47</v>
      </c>
      <c r="C2112" t="s">
        <v>32</v>
      </c>
      <c r="D2112" t="s">
        <v>98</v>
      </c>
      <c r="E2112" t="s">
        <v>17</v>
      </c>
      <c r="F2112" s="1">
        <v>44462</v>
      </c>
      <c r="G2112" t="s">
        <v>4182</v>
      </c>
      <c r="H2112" t="s">
        <v>4183</v>
      </c>
      <c r="I2112" t="s">
        <v>20</v>
      </c>
      <c r="J2112">
        <v>8982</v>
      </c>
      <c r="K2112">
        <v>460</v>
      </c>
      <c r="L2112" t="s">
        <v>21</v>
      </c>
      <c r="M2112" s="1">
        <v>44464</v>
      </c>
      <c r="N2112" t="s">
        <v>67</v>
      </c>
      <c r="O2112" t="s">
        <v>43</v>
      </c>
      <c r="P2112" t="str">
        <f t="shared" si="708"/>
        <v>P2111</v>
      </c>
      <c r="Q2112" t="str">
        <f t="shared" si="704"/>
        <v>Oncology</v>
      </c>
      <c r="R2112">
        <f t="shared" si="705"/>
        <v>2</v>
      </c>
      <c r="S2112" t="str">
        <f t="shared" ca="1" si="709"/>
        <v>No</v>
      </c>
      <c r="T2112" t="str">
        <f t="shared" ca="1" si="710"/>
        <v>Mild</v>
      </c>
      <c r="U2112" t="str">
        <f t="shared" ca="1" si="711"/>
        <v>Emergency</v>
      </c>
      <c r="V2112" t="str">
        <f t="shared" si="712"/>
        <v>BED2111</v>
      </c>
      <c r="W2112" t="str">
        <f t="shared" ca="1" si="713"/>
        <v>Semi-Private</v>
      </c>
      <c r="X2112" t="str">
        <f t="shared" si="714"/>
        <v>NUR011</v>
      </c>
      <c r="Y2112" t="str">
        <f t="shared" ca="1" si="715"/>
        <v>Morning</v>
      </c>
      <c r="Z2112" t="str">
        <f t="shared" ca="1" si="716"/>
        <v>Ultrasound</v>
      </c>
      <c r="AA2112" t="str">
        <f t="shared" ca="1" si="717"/>
        <v>In Use</v>
      </c>
      <c r="AB2112" t="str">
        <f t="shared" ca="1" si="718"/>
        <v>Pending</v>
      </c>
      <c r="AC2112" t="str">
        <f t="shared" ca="1" si="719"/>
        <v>Bank Transfer</v>
      </c>
      <c r="AD2112" t="str">
        <f t="shared" ca="1" si="720"/>
        <v>No</v>
      </c>
      <c r="AE2112" t="str">
        <f t="shared" ca="1" si="721"/>
        <v>No</v>
      </c>
      <c r="AF2112" t="str">
        <f t="shared" ca="1" si="722"/>
        <v>Transferred</v>
      </c>
      <c r="AG2112" t="str">
        <f t="shared" ca="1" si="723"/>
        <v>Southeast</v>
      </c>
      <c r="AH2112" t="str">
        <f t="shared" si="706"/>
        <v>September</v>
      </c>
      <c r="AI2112">
        <f t="shared" si="707"/>
        <v>2021</v>
      </c>
      <c r="AJ2112" t="str">
        <f t="shared" ca="1" si="724"/>
        <v>Occupied</v>
      </c>
      <c r="AK2112">
        <f t="shared" ca="1" si="725"/>
        <v>2</v>
      </c>
    </row>
    <row r="2113" spans="1:37" x14ac:dyDescent="0.3">
      <c r="A2113" t="s">
        <v>6477</v>
      </c>
      <c r="B2113">
        <v>69</v>
      </c>
      <c r="C2113" t="s">
        <v>15</v>
      </c>
      <c r="D2113" t="s">
        <v>24</v>
      </c>
      <c r="E2113" t="s">
        <v>17</v>
      </c>
      <c r="F2113" s="1">
        <v>44288</v>
      </c>
      <c r="G2113" t="s">
        <v>4184</v>
      </c>
      <c r="H2113" t="s">
        <v>4185</v>
      </c>
      <c r="I2113" t="s">
        <v>51</v>
      </c>
      <c r="J2113">
        <v>10277</v>
      </c>
      <c r="K2113">
        <v>484</v>
      </c>
      <c r="L2113" t="s">
        <v>29</v>
      </c>
      <c r="M2113" s="1">
        <v>44317</v>
      </c>
      <c r="N2113" t="s">
        <v>37</v>
      </c>
      <c r="O2113" t="s">
        <v>23</v>
      </c>
      <c r="P2113" t="str">
        <f t="shared" si="708"/>
        <v>P2112</v>
      </c>
      <c r="Q2113" t="str">
        <f t="shared" si="704"/>
        <v>Oncology</v>
      </c>
      <c r="R2113">
        <f t="shared" si="705"/>
        <v>29</v>
      </c>
      <c r="S2113" t="str">
        <f t="shared" ca="1" si="709"/>
        <v>No</v>
      </c>
      <c r="T2113" t="str">
        <f t="shared" ca="1" si="710"/>
        <v>Mild</v>
      </c>
      <c r="U2113" t="str">
        <f t="shared" ca="1" si="711"/>
        <v>Semi-Private</v>
      </c>
      <c r="V2113" t="str">
        <f t="shared" si="712"/>
        <v>BED2112</v>
      </c>
      <c r="W2113" t="str">
        <f t="shared" ca="1" si="713"/>
        <v>ICU</v>
      </c>
      <c r="X2113" t="str">
        <f t="shared" si="714"/>
        <v>NUR012</v>
      </c>
      <c r="Y2113" t="str">
        <f t="shared" ca="1" si="715"/>
        <v>Morning</v>
      </c>
      <c r="Z2113" t="str">
        <f t="shared" ca="1" si="716"/>
        <v>X-Ray</v>
      </c>
      <c r="AA2113" t="str">
        <f t="shared" ca="1" si="717"/>
        <v>In Use</v>
      </c>
      <c r="AB2113" t="str">
        <f t="shared" ca="1" si="718"/>
        <v>Partially Paid</v>
      </c>
      <c r="AC2113" t="str">
        <f t="shared" ca="1" si="719"/>
        <v>Debit Card</v>
      </c>
      <c r="AD2113" t="str">
        <f t="shared" ca="1" si="720"/>
        <v>No</v>
      </c>
      <c r="AE2113" t="str">
        <f t="shared" ca="1" si="721"/>
        <v>No</v>
      </c>
      <c r="AF2113" t="str">
        <f t="shared" ca="1" si="722"/>
        <v>Under Observation</v>
      </c>
      <c r="AG2113" t="str">
        <f t="shared" ca="1" si="723"/>
        <v>West Coast</v>
      </c>
      <c r="AH2113" t="str">
        <f t="shared" si="706"/>
        <v>April</v>
      </c>
      <c r="AI2113">
        <f t="shared" si="707"/>
        <v>2021</v>
      </c>
      <c r="AJ2113" t="str">
        <f t="shared" ca="1" si="724"/>
        <v>Occupied</v>
      </c>
      <c r="AK2113">
        <f t="shared" ca="1" si="725"/>
        <v>1</v>
      </c>
    </row>
    <row r="2114" spans="1:37" x14ac:dyDescent="0.3">
      <c r="A2114" t="s">
        <v>6478</v>
      </c>
      <c r="B2114">
        <v>77</v>
      </c>
      <c r="C2114" t="s">
        <v>15</v>
      </c>
      <c r="D2114" t="s">
        <v>52</v>
      </c>
      <c r="E2114" t="s">
        <v>39</v>
      </c>
      <c r="F2114" s="1">
        <v>44564</v>
      </c>
      <c r="G2114" t="s">
        <v>3787</v>
      </c>
      <c r="H2114" t="s">
        <v>4186</v>
      </c>
      <c r="I2114" t="s">
        <v>36</v>
      </c>
      <c r="J2114">
        <v>27741</v>
      </c>
      <c r="K2114">
        <v>491</v>
      </c>
      <c r="L2114" t="s">
        <v>42</v>
      </c>
      <c r="M2114" s="1">
        <v>44586</v>
      </c>
      <c r="N2114" t="s">
        <v>67</v>
      </c>
      <c r="O2114" t="s">
        <v>31</v>
      </c>
      <c r="P2114" t="str">
        <f t="shared" si="708"/>
        <v>P2113</v>
      </c>
      <c r="Q2114" t="str">
        <f t="shared" ref="Q2114:Q2177" si="726">IF(E2114="Cancer","Oncology",IF(E2114="Obesity","Nutrition",IF(E2114="Diabetes","Endocrinology",IF(E2114="Asthma","Pulmonology",IF(E2114="Arthritis","Orthopedics",IF(E2114="Hypertension","Cardiology","General Medicine"))))))</f>
        <v>Endocrinology</v>
      </c>
      <c r="R2114">
        <f t="shared" ref="R2114:R2177" si="727">M2114-F2114</f>
        <v>22</v>
      </c>
      <c r="S2114" t="str">
        <f t="shared" ca="1" si="709"/>
        <v>No</v>
      </c>
      <c r="T2114" t="str">
        <f t="shared" ca="1" si="710"/>
        <v>Severe</v>
      </c>
      <c r="U2114" t="str">
        <f t="shared" ca="1" si="711"/>
        <v>ICU</v>
      </c>
      <c r="V2114" t="str">
        <f t="shared" si="712"/>
        <v>BED2113</v>
      </c>
      <c r="W2114" t="str">
        <f t="shared" ca="1" si="713"/>
        <v>ICU</v>
      </c>
      <c r="X2114" t="str">
        <f t="shared" si="714"/>
        <v>NUR013</v>
      </c>
      <c r="Y2114" t="str">
        <f t="shared" ca="1" si="715"/>
        <v>Evening</v>
      </c>
      <c r="Z2114" t="str">
        <f t="shared" ca="1" si="716"/>
        <v>Ventilator</v>
      </c>
      <c r="AA2114" t="str">
        <f t="shared" ca="1" si="717"/>
        <v>Maintenance</v>
      </c>
      <c r="AB2114" t="str">
        <f t="shared" ca="1" si="718"/>
        <v>Paid</v>
      </c>
      <c r="AC2114" t="str">
        <f t="shared" ca="1" si="719"/>
        <v>Bank Transfer</v>
      </c>
      <c r="AD2114" t="str">
        <f t="shared" ca="1" si="720"/>
        <v>No</v>
      </c>
      <c r="AE2114" t="str">
        <f t="shared" ca="1" si="721"/>
        <v>No</v>
      </c>
      <c r="AF2114" t="str">
        <f t="shared" ca="1" si="722"/>
        <v>Transferred</v>
      </c>
      <c r="AG2114" t="str">
        <f t="shared" ca="1" si="723"/>
        <v>West Coast</v>
      </c>
      <c r="AH2114" t="str">
        <f t="shared" ref="AH2114:AH2178" si="728">TEXT(F2114,"MMMM")</f>
        <v>January</v>
      </c>
      <c r="AI2114">
        <f t="shared" ref="AI2114:AI2178" si="729">YEAR(F2114)</f>
        <v>2022</v>
      </c>
      <c r="AJ2114" t="str">
        <f t="shared" ca="1" si="724"/>
        <v>Occupied</v>
      </c>
      <c r="AK2114">
        <f t="shared" ca="1" si="725"/>
        <v>2</v>
      </c>
    </row>
    <row r="2115" spans="1:37" x14ac:dyDescent="0.3">
      <c r="A2115" t="s">
        <v>6479</v>
      </c>
      <c r="B2115">
        <v>37</v>
      </c>
      <c r="C2115" t="s">
        <v>32</v>
      </c>
      <c r="D2115" t="s">
        <v>38</v>
      </c>
      <c r="E2115" t="s">
        <v>17</v>
      </c>
      <c r="F2115" s="1">
        <v>44944</v>
      </c>
      <c r="G2115" t="s">
        <v>4187</v>
      </c>
      <c r="H2115" t="s">
        <v>4188</v>
      </c>
      <c r="I2115" t="s">
        <v>36</v>
      </c>
      <c r="J2115">
        <v>25816</v>
      </c>
      <c r="K2115">
        <v>130</v>
      </c>
      <c r="L2115" t="s">
        <v>29</v>
      </c>
      <c r="M2115" s="1">
        <v>44961</v>
      </c>
      <c r="N2115" t="s">
        <v>37</v>
      </c>
      <c r="O2115" t="s">
        <v>31</v>
      </c>
      <c r="P2115" t="str">
        <f t="shared" ref="P2115:P2178" si="730">"P"&amp;TEXT(ROW()-1,"0000")</f>
        <v>P2114</v>
      </c>
      <c r="Q2115" t="str">
        <f t="shared" si="726"/>
        <v>Oncology</v>
      </c>
      <c r="R2115">
        <f t="shared" si="727"/>
        <v>17</v>
      </c>
      <c r="S2115" t="str">
        <f t="shared" ref="S2115:S2178" ca="1" si="731">IF(RAND()&lt;0.1,"Yes","No")</f>
        <v>No</v>
      </c>
      <c r="T2115" t="str">
        <f t="shared" ref="T2115:T2178" ca="1" si="732">CHOOSE(RANDBETWEEN(1,4),"Mild","Moderate","Severe","Critical")</f>
        <v>Critical</v>
      </c>
      <c r="U2115" t="str">
        <f t="shared" ref="U2115:U2178" ca="1" si="733">CHOOSE(RANDBETWEEN(1,5),"General Ward","ICU","Emergency","Private Ward","Semi-Private")</f>
        <v>Emergency</v>
      </c>
      <c r="V2115" t="str">
        <f t="shared" ref="V2115:V2178" si="734">"BED"&amp;TEXT(ROW()-1,"0000")</f>
        <v>BED2114</v>
      </c>
      <c r="W2115" t="str">
        <f t="shared" ref="W2115:W2178" ca="1" si="735">CHOOSE(RANDBETWEEN(1,4),"General","Private","Semi-Private","ICU")</f>
        <v>Semi-Private</v>
      </c>
      <c r="X2115" t="str">
        <f t="shared" ref="X2115:X2178" si="736">"NUR"&amp;TEXT(MOD(ROW()-2,50)+1,"000")</f>
        <v>NUR014</v>
      </c>
      <c r="Y2115" t="str">
        <f t="shared" ref="Y2115:Y2178" ca="1" si="737">CHOOSE(RANDBETWEEN(1,3),"Morning","Evening","Night")</f>
        <v>Morning</v>
      </c>
      <c r="Z2115" t="str">
        <f t="shared" ref="Z2115:Z2178" ca="1" si="738">CHOOSE(RANDBETWEEN(1,6),"MRI Scanner","CT Scanner","Ventilator","X-Ray","ECG Machine","Ultrasound")</f>
        <v>CT Scanner</v>
      </c>
      <c r="AA2115" t="str">
        <f t="shared" ref="AA2115:AA2178" ca="1" si="739">CHOOSE(RANDBETWEEN(1,3),"Available","In Use","Maintenance")</f>
        <v>In Use</v>
      </c>
      <c r="AB2115" t="str">
        <f t="shared" ref="AB2115:AB2178" ca="1" si="740">CHOOSE(RANDBETWEEN(1,3),"Paid","Pending","Partially Paid")</f>
        <v>Partially Paid</v>
      </c>
      <c r="AC2115" t="str">
        <f t="shared" ref="AC2115:AC2178" ca="1" si="741">CHOOSE(RANDBETWEEN(1,5),"Cash","Credit Card","Debit Card","Insurance","Bank Transfer")</f>
        <v>Credit Card</v>
      </c>
      <c r="AD2115" t="str">
        <f t="shared" ref="AD2115:AD2178" ca="1" si="742">IF(RAND()&lt;0.2,"Yes","No")</f>
        <v>No</v>
      </c>
      <c r="AE2115" t="str">
        <f t="shared" ref="AE2115:AE2178" ca="1" si="743">IF(RAND()&lt;0.15,"Yes","No")</f>
        <v>No</v>
      </c>
      <c r="AF2115" t="str">
        <f t="shared" ref="AF2115:AF2178" ca="1" si="744">CHOOSE(RANDBETWEEN(1,3),"Recovered","Transferred","Under Observation")</f>
        <v>Transferred</v>
      </c>
      <c r="AG2115" t="str">
        <f t="shared" ref="AG2115:AG2178" ca="1" si="745">CHOOSE(RANDBETWEEN(1,5),"Northeast","Southeast","Midwest","Southwest","West Coast")</f>
        <v>Southeast</v>
      </c>
      <c r="AH2115" t="str">
        <f t="shared" si="728"/>
        <v>January</v>
      </c>
      <c r="AI2115">
        <f t="shared" si="729"/>
        <v>2023</v>
      </c>
      <c r="AJ2115" t="str">
        <f t="shared" ref="AJ2115:AJ2178" ca="1" si="746">IF(RANDBETWEEN(1,100)&lt;=80,"Occupied","Vacant")</f>
        <v>Occupied</v>
      </c>
      <c r="AK2115">
        <f t="shared" ref="AK2115:AK2178" ca="1" si="747">CHOOSE(RANDBETWEEN(1,3),1,2,4)</f>
        <v>1</v>
      </c>
    </row>
    <row r="2116" spans="1:37" x14ac:dyDescent="0.3">
      <c r="A2116" t="s">
        <v>1174</v>
      </c>
      <c r="B2116">
        <v>70</v>
      </c>
      <c r="C2116" t="s">
        <v>32</v>
      </c>
      <c r="D2116" t="s">
        <v>83</v>
      </c>
      <c r="E2116" t="s">
        <v>25</v>
      </c>
      <c r="F2116" s="1">
        <v>43880</v>
      </c>
      <c r="G2116" t="s">
        <v>4189</v>
      </c>
      <c r="H2116" t="s">
        <v>4190</v>
      </c>
      <c r="I2116" t="s">
        <v>28</v>
      </c>
      <c r="J2116">
        <v>9219</v>
      </c>
      <c r="K2116">
        <v>402</v>
      </c>
      <c r="L2116" t="s">
        <v>21</v>
      </c>
      <c r="M2116" s="1">
        <v>43892</v>
      </c>
      <c r="N2116" t="s">
        <v>30</v>
      </c>
      <c r="O2116" t="s">
        <v>43</v>
      </c>
      <c r="P2116" t="str">
        <f t="shared" si="730"/>
        <v>P2115</v>
      </c>
      <c r="Q2116" t="str">
        <f t="shared" si="726"/>
        <v>Nutrition</v>
      </c>
      <c r="R2116">
        <f t="shared" si="727"/>
        <v>12</v>
      </c>
      <c r="S2116" t="str">
        <f t="shared" ca="1" si="731"/>
        <v>No</v>
      </c>
      <c r="T2116" t="str">
        <f t="shared" ca="1" si="732"/>
        <v>Mild</v>
      </c>
      <c r="U2116" t="str">
        <f t="shared" ca="1" si="733"/>
        <v>ICU</v>
      </c>
      <c r="V2116" t="str">
        <f t="shared" si="734"/>
        <v>BED2115</v>
      </c>
      <c r="W2116" t="str">
        <f t="shared" ca="1" si="735"/>
        <v>General</v>
      </c>
      <c r="X2116" t="str">
        <f t="shared" si="736"/>
        <v>NUR015</v>
      </c>
      <c r="Y2116" t="str">
        <f t="shared" ca="1" si="737"/>
        <v>Night</v>
      </c>
      <c r="Z2116" t="str">
        <f t="shared" ca="1" si="738"/>
        <v>Ventilator</v>
      </c>
      <c r="AA2116" t="str">
        <f t="shared" ca="1" si="739"/>
        <v>Maintenance</v>
      </c>
      <c r="AB2116" t="str">
        <f t="shared" ca="1" si="740"/>
        <v>Pending</v>
      </c>
      <c r="AC2116" t="str">
        <f t="shared" ca="1" si="741"/>
        <v>Debit Card</v>
      </c>
      <c r="AD2116" t="str">
        <f t="shared" ca="1" si="742"/>
        <v>No</v>
      </c>
      <c r="AE2116" t="str">
        <f t="shared" ca="1" si="743"/>
        <v>No</v>
      </c>
      <c r="AF2116" t="str">
        <f t="shared" ca="1" si="744"/>
        <v>Recovered</v>
      </c>
      <c r="AG2116" t="str">
        <f t="shared" ca="1" si="745"/>
        <v>Midwest</v>
      </c>
      <c r="AH2116" t="str">
        <f t="shared" si="728"/>
        <v>February</v>
      </c>
      <c r="AI2116">
        <f t="shared" si="729"/>
        <v>2020</v>
      </c>
      <c r="AJ2116" t="str">
        <f t="shared" ca="1" si="746"/>
        <v>Occupied</v>
      </c>
      <c r="AK2116">
        <f t="shared" ca="1" si="747"/>
        <v>4</v>
      </c>
    </row>
    <row r="2117" spans="1:37" x14ac:dyDescent="0.3">
      <c r="A2117" t="s">
        <v>6480</v>
      </c>
      <c r="B2117">
        <v>47</v>
      </c>
      <c r="C2117" t="s">
        <v>15</v>
      </c>
      <c r="D2117" t="s">
        <v>52</v>
      </c>
      <c r="E2117" t="s">
        <v>17</v>
      </c>
      <c r="F2117" s="1">
        <v>44460</v>
      </c>
      <c r="G2117" t="s">
        <v>4191</v>
      </c>
      <c r="H2117" t="s">
        <v>4192</v>
      </c>
      <c r="I2117" t="s">
        <v>57</v>
      </c>
      <c r="J2117">
        <v>36677</v>
      </c>
      <c r="K2117">
        <v>396</v>
      </c>
      <c r="L2117" t="s">
        <v>21</v>
      </c>
      <c r="M2117" s="1">
        <v>44463</v>
      </c>
      <c r="N2117" t="s">
        <v>22</v>
      </c>
      <c r="O2117" t="s">
        <v>31</v>
      </c>
      <c r="P2117" t="str">
        <f t="shared" si="730"/>
        <v>P2116</v>
      </c>
      <c r="Q2117" t="str">
        <f t="shared" si="726"/>
        <v>Oncology</v>
      </c>
      <c r="R2117">
        <f t="shared" si="727"/>
        <v>3</v>
      </c>
      <c r="S2117" t="str">
        <f t="shared" ca="1" si="731"/>
        <v>No</v>
      </c>
      <c r="T2117" t="str">
        <f t="shared" ca="1" si="732"/>
        <v>Severe</v>
      </c>
      <c r="U2117" t="str">
        <f t="shared" ca="1" si="733"/>
        <v>General Ward</v>
      </c>
      <c r="V2117" t="str">
        <f t="shared" si="734"/>
        <v>BED2116</v>
      </c>
      <c r="W2117" t="str">
        <f t="shared" ca="1" si="735"/>
        <v>General</v>
      </c>
      <c r="X2117" t="str">
        <f t="shared" si="736"/>
        <v>NUR016</v>
      </c>
      <c r="Y2117" t="str">
        <f t="shared" ca="1" si="737"/>
        <v>Night</v>
      </c>
      <c r="Z2117" t="str">
        <f t="shared" ca="1" si="738"/>
        <v>X-Ray</v>
      </c>
      <c r="AA2117" t="str">
        <f t="shared" ca="1" si="739"/>
        <v>Available</v>
      </c>
      <c r="AB2117" t="str">
        <f t="shared" ca="1" si="740"/>
        <v>Partially Paid</v>
      </c>
      <c r="AC2117" t="str">
        <f t="shared" ca="1" si="741"/>
        <v>Insurance</v>
      </c>
      <c r="AD2117" t="str">
        <f t="shared" ca="1" si="742"/>
        <v>Yes</v>
      </c>
      <c r="AE2117" t="str">
        <f t="shared" ca="1" si="743"/>
        <v>No</v>
      </c>
      <c r="AF2117" t="str">
        <f t="shared" ca="1" si="744"/>
        <v>Transferred</v>
      </c>
      <c r="AG2117" t="str">
        <f t="shared" ca="1" si="745"/>
        <v>West Coast</v>
      </c>
      <c r="AH2117" t="str">
        <f t="shared" si="728"/>
        <v>September</v>
      </c>
      <c r="AI2117">
        <f t="shared" si="729"/>
        <v>2021</v>
      </c>
      <c r="AJ2117" t="str">
        <f t="shared" ca="1" si="746"/>
        <v>Occupied</v>
      </c>
      <c r="AK2117">
        <f t="shared" ca="1" si="747"/>
        <v>1</v>
      </c>
    </row>
    <row r="2118" spans="1:37" x14ac:dyDescent="0.3">
      <c r="A2118" t="s">
        <v>6481</v>
      </c>
      <c r="B2118">
        <v>74</v>
      </c>
      <c r="C2118" t="s">
        <v>15</v>
      </c>
      <c r="D2118" t="s">
        <v>33</v>
      </c>
      <c r="E2118" t="s">
        <v>17</v>
      </c>
      <c r="F2118" s="1">
        <v>45090</v>
      </c>
      <c r="G2118" t="s">
        <v>4193</v>
      </c>
      <c r="H2118" t="s">
        <v>4194</v>
      </c>
      <c r="I2118" t="s">
        <v>36</v>
      </c>
      <c r="J2118">
        <v>27053</v>
      </c>
      <c r="K2118">
        <v>294</v>
      </c>
      <c r="L2118" t="s">
        <v>21</v>
      </c>
      <c r="M2118" s="1">
        <v>45115</v>
      </c>
      <c r="N2118" t="s">
        <v>47</v>
      </c>
      <c r="O2118" t="s">
        <v>23</v>
      </c>
      <c r="P2118" t="str">
        <f t="shared" si="730"/>
        <v>P2117</v>
      </c>
      <c r="Q2118" t="str">
        <f t="shared" si="726"/>
        <v>Oncology</v>
      </c>
      <c r="R2118">
        <f t="shared" si="727"/>
        <v>25</v>
      </c>
      <c r="S2118" t="str">
        <f t="shared" ca="1" si="731"/>
        <v>No</v>
      </c>
      <c r="T2118" t="str">
        <f t="shared" ca="1" si="732"/>
        <v>Moderate</v>
      </c>
      <c r="U2118" t="str">
        <f t="shared" ca="1" si="733"/>
        <v>Private Ward</v>
      </c>
      <c r="V2118" t="str">
        <f t="shared" si="734"/>
        <v>BED2117</v>
      </c>
      <c r="W2118" t="str">
        <f t="shared" ca="1" si="735"/>
        <v>Semi-Private</v>
      </c>
      <c r="X2118" t="str">
        <f t="shared" si="736"/>
        <v>NUR017</v>
      </c>
      <c r="Y2118" t="str">
        <f t="shared" ca="1" si="737"/>
        <v>Night</v>
      </c>
      <c r="Z2118" t="str">
        <f t="shared" ca="1" si="738"/>
        <v>MRI Scanner</v>
      </c>
      <c r="AA2118" t="str">
        <f t="shared" ca="1" si="739"/>
        <v>Maintenance</v>
      </c>
      <c r="AB2118" t="str">
        <f t="shared" ca="1" si="740"/>
        <v>Partially Paid</v>
      </c>
      <c r="AC2118" t="str">
        <f t="shared" ca="1" si="741"/>
        <v>Credit Card</v>
      </c>
      <c r="AD2118" t="str">
        <f t="shared" ca="1" si="742"/>
        <v>No</v>
      </c>
      <c r="AE2118" t="str">
        <f t="shared" ca="1" si="743"/>
        <v>No</v>
      </c>
      <c r="AF2118" t="str">
        <f t="shared" ca="1" si="744"/>
        <v>Recovered</v>
      </c>
      <c r="AG2118" t="str">
        <f t="shared" ca="1" si="745"/>
        <v>Northeast</v>
      </c>
      <c r="AH2118" t="str">
        <f t="shared" si="728"/>
        <v>June</v>
      </c>
      <c r="AI2118">
        <f t="shared" si="729"/>
        <v>2023</v>
      </c>
      <c r="AJ2118" t="str">
        <f t="shared" ca="1" si="746"/>
        <v>Occupied</v>
      </c>
      <c r="AK2118">
        <f t="shared" ca="1" si="747"/>
        <v>2</v>
      </c>
    </row>
    <row r="2119" spans="1:37" x14ac:dyDescent="0.3">
      <c r="A2119" t="s">
        <v>6482</v>
      </c>
      <c r="B2119">
        <v>38</v>
      </c>
      <c r="C2119" t="s">
        <v>32</v>
      </c>
      <c r="D2119" t="s">
        <v>44</v>
      </c>
      <c r="E2119" t="s">
        <v>25</v>
      </c>
      <c r="F2119" s="1">
        <v>44680</v>
      </c>
      <c r="G2119" t="s">
        <v>4195</v>
      </c>
      <c r="H2119" t="s">
        <v>4196</v>
      </c>
      <c r="I2119" t="s">
        <v>20</v>
      </c>
      <c r="J2119">
        <v>17741</v>
      </c>
      <c r="K2119">
        <v>450</v>
      </c>
      <c r="L2119" t="s">
        <v>21</v>
      </c>
      <c r="M2119" s="1">
        <v>44707</v>
      </c>
      <c r="N2119" t="s">
        <v>67</v>
      </c>
      <c r="O2119" t="s">
        <v>43</v>
      </c>
      <c r="P2119" t="str">
        <f t="shared" si="730"/>
        <v>P2118</v>
      </c>
      <c r="Q2119" t="str">
        <f t="shared" si="726"/>
        <v>Nutrition</v>
      </c>
      <c r="R2119">
        <f t="shared" si="727"/>
        <v>27</v>
      </c>
      <c r="S2119" t="str">
        <f t="shared" ca="1" si="731"/>
        <v>No</v>
      </c>
      <c r="T2119" t="str">
        <f t="shared" ca="1" si="732"/>
        <v>Critical</v>
      </c>
      <c r="U2119" t="str">
        <f t="shared" ca="1" si="733"/>
        <v>Private Ward</v>
      </c>
      <c r="V2119" t="str">
        <f t="shared" si="734"/>
        <v>BED2118</v>
      </c>
      <c r="W2119" t="str">
        <f t="shared" ca="1" si="735"/>
        <v>General</v>
      </c>
      <c r="X2119" t="str">
        <f t="shared" si="736"/>
        <v>NUR018</v>
      </c>
      <c r="Y2119" t="str">
        <f t="shared" ca="1" si="737"/>
        <v>Morning</v>
      </c>
      <c r="Z2119" t="str">
        <f t="shared" ca="1" si="738"/>
        <v>Ventilator</v>
      </c>
      <c r="AA2119" t="str">
        <f t="shared" ca="1" si="739"/>
        <v>Maintenance</v>
      </c>
      <c r="AB2119" t="str">
        <f t="shared" ca="1" si="740"/>
        <v>Partially Paid</v>
      </c>
      <c r="AC2119" t="str">
        <f t="shared" ca="1" si="741"/>
        <v>Insurance</v>
      </c>
      <c r="AD2119" t="str">
        <f t="shared" ca="1" si="742"/>
        <v>Yes</v>
      </c>
      <c r="AE2119" t="str">
        <f t="shared" ca="1" si="743"/>
        <v>No</v>
      </c>
      <c r="AF2119" t="str">
        <f t="shared" ca="1" si="744"/>
        <v>Recovered</v>
      </c>
      <c r="AG2119" t="str">
        <f t="shared" ca="1" si="745"/>
        <v>Midwest</v>
      </c>
      <c r="AH2119" t="str">
        <f t="shared" si="728"/>
        <v>April</v>
      </c>
      <c r="AI2119">
        <f t="shared" si="729"/>
        <v>2022</v>
      </c>
      <c r="AJ2119" t="str">
        <f t="shared" ca="1" si="746"/>
        <v>Occupied</v>
      </c>
      <c r="AK2119">
        <f t="shared" ca="1" si="747"/>
        <v>2</v>
      </c>
    </row>
    <row r="2120" spans="1:37" x14ac:dyDescent="0.3">
      <c r="A2120" t="s">
        <v>6483</v>
      </c>
      <c r="B2120">
        <v>58</v>
      </c>
      <c r="C2120" t="s">
        <v>32</v>
      </c>
      <c r="D2120" t="s">
        <v>98</v>
      </c>
      <c r="E2120" t="s">
        <v>76</v>
      </c>
      <c r="F2120" s="1">
        <v>44521</v>
      </c>
      <c r="G2120" t="s">
        <v>4197</v>
      </c>
      <c r="H2120" t="s">
        <v>4198</v>
      </c>
      <c r="I2120" t="s">
        <v>28</v>
      </c>
      <c r="J2120">
        <v>23026</v>
      </c>
      <c r="K2120">
        <v>422</v>
      </c>
      <c r="L2120" t="s">
        <v>21</v>
      </c>
      <c r="M2120" s="1">
        <v>44528</v>
      </c>
      <c r="N2120" t="s">
        <v>37</v>
      </c>
      <c r="O2120" t="s">
        <v>43</v>
      </c>
      <c r="P2120" t="str">
        <f t="shared" si="730"/>
        <v>P2119</v>
      </c>
      <c r="Q2120" t="str">
        <f t="shared" si="726"/>
        <v>Orthopedics</v>
      </c>
      <c r="R2120">
        <f t="shared" si="727"/>
        <v>7</v>
      </c>
      <c r="S2120" t="str">
        <f t="shared" ca="1" si="731"/>
        <v>No</v>
      </c>
      <c r="T2120" t="str">
        <f t="shared" ca="1" si="732"/>
        <v>Critical</v>
      </c>
      <c r="U2120" t="str">
        <f t="shared" ca="1" si="733"/>
        <v>Semi-Private</v>
      </c>
      <c r="V2120" t="str">
        <f t="shared" si="734"/>
        <v>BED2119</v>
      </c>
      <c r="W2120" t="str">
        <f t="shared" ca="1" si="735"/>
        <v>Semi-Private</v>
      </c>
      <c r="X2120" t="str">
        <f t="shared" si="736"/>
        <v>NUR019</v>
      </c>
      <c r="Y2120" t="str">
        <f t="shared" ca="1" si="737"/>
        <v>Night</v>
      </c>
      <c r="Z2120" t="str">
        <f t="shared" ca="1" si="738"/>
        <v>ECG Machine</v>
      </c>
      <c r="AA2120" t="str">
        <f t="shared" ca="1" si="739"/>
        <v>Available</v>
      </c>
      <c r="AB2120" t="str">
        <f t="shared" ca="1" si="740"/>
        <v>Partially Paid</v>
      </c>
      <c r="AC2120" t="str">
        <f t="shared" ca="1" si="741"/>
        <v>Bank Transfer</v>
      </c>
      <c r="AD2120" t="str">
        <f t="shared" ca="1" si="742"/>
        <v>Yes</v>
      </c>
      <c r="AE2120" t="str">
        <f t="shared" ca="1" si="743"/>
        <v>No</v>
      </c>
      <c r="AF2120" t="str">
        <f t="shared" ca="1" si="744"/>
        <v>Recovered</v>
      </c>
      <c r="AG2120" t="str">
        <f t="shared" ca="1" si="745"/>
        <v>Southeast</v>
      </c>
      <c r="AH2120" t="str">
        <f t="shared" si="728"/>
        <v>November</v>
      </c>
      <c r="AI2120">
        <f t="shared" si="729"/>
        <v>2021</v>
      </c>
      <c r="AJ2120" t="str">
        <f t="shared" ca="1" si="746"/>
        <v>Vacant</v>
      </c>
      <c r="AK2120">
        <f t="shared" ca="1" si="747"/>
        <v>2</v>
      </c>
    </row>
    <row r="2121" spans="1:37" x14ac:dyDescent="0.3">
      <c r="A2121" t="s">
        <v>6484</v>
      </c>
      <c r="B2121">
        <v>28</v>
      </c>
      <c r="C2121" t="s">
        <v>32</v>
      </c>
      <c r="D2121" t="s">
        <v>24</v>
      </c>
      <c r="E2121" t="s">
        <v>17</v>
      </c>
      <c r="F2121" s="1">
        <v>44057</v>
      </c>
      <c r="G2121" t="s">
        <v>4199</v>
      </c>
      <c r="H2121" t="s">
        <v>4200</v>
      </c>
      <c r="I2121" t="s">
        <v>57</v>
      </c>
      <c r="J2121">
        <v>43095</v>
      </c>
      <c r="K2121">
        <v>220</v>
      </c>
      <c r="L2121" t="s">
        <v>42</v>
      </c>
      <c r="M2121" s="1">
        <v>44073</v>
      </c>
      <c r="N2121" t="s">
        <v>37</v>
      </c>
      <c r="O2121" t="s">
        <v>23</v>
      </c>
      <c r="P2121" t="str">
        <f t="shared" si="730"/>
        <v>P2120</v>
      </c>
      <c r="Q2121" t="str">
        <f t="shared" si="726"/>
        <v>Oncology</v>
      </c>
      <c r="R2121">
        <f t="shared" si="727"/>
        <v>16</v>
      </c>
      <c r="S2121" t="str">
        <f t="shared" ca="1" si="731"/>
        <v>No</v>
      </c>
      <c r="T2121" t="str">
        <f t="shared" ca="1" si="732"/>
        <v>Mild</v>
      </c>
      <c r="U2121" t="str">
        <f t="shared" ca="1" si="733"/>
        <v>Semi-Private</v>
      </c>
      <c r="V2121" t="str">
        <f t="shared" si="734"/>
        <v>BED2120</v>
      </c>
      <c r="W2121" t="str">
        <f t="shared" ca="1" si="735"/>
        <v>General</v>
      </c>
      <c r="X2121" t="str">
        <f t="shared" si="736"/>
        <v>NUR020</v>
      </c>
      <c r="Y2121" t="str">
        <f t="shared" ca="1" si="737"/>
        <v>Night</v>
      </c>
      <c r="Z2121" t="str">
        <f t="shared" ca="1" si="738"/>
        <v>CT Scanner</v>
      </c>
      <c r="AA2121" t="str">
        <f t="shared" ca="1" si="739"/>
        <v>In Use</v>
      </c>
      <c r="AB2121" t="str">
        <f t="shared" ca="1" si="740"/>
        <v>Partially Paid</v>
      </c>
      <c r="AC2121" t="str">
        <f t="shared" ca="1" si="741"/>
        <v>Bank Transfer</v>
      </c>
      <c r="AD2121" t="str">
        <f t="shared" ca="1" si="742"/>
        <v>No</v>
      </c>
      <c r="AE2121" t="str">
        <f t="shared" ca="1" si="743"/>
        <v>Yes</v>
      </c>
      <c r="AF2121" t="str">
        <f t="shared" ca="1" si="744"/>
        <v>Recovered</v>
      </c>
      <c r="AG2121" t="str">
        <f t="shared" ca="1" si="745"/>
        <v>Northeast</v>
      </c>
      <c r="AH2121" t="str">
        <f t="shared" si="728"/>
        <v>August</v>
      </c>
      <c r="AI2121">
        <f t="shared" si="729"/>
        <v>2020</v>
      </c>
      <c r="AJ2121" t="str">
        <f t="shared" ca="1" si="746"/>
        <v>Occupied</v>
      </c>
      <c r="AK2121">
        <f t="shared" ca="1" si="747"/>
        <v>1</v>
      </c>
    </row>
    <row r="2122" spans="1:37" x14ac:dyDescent="0.3">
      <c r="A2122" t="s">
        <v>6485</v>
      </c>
      <c r="B2122">
        <v>82</v>
      </c>
      <c r="C2122" t="s">
        <v>15</v>
      </c>
      <c r="D2122" t="s">
        <v>38</v>
      </c>
      <c r="E2122" t="s">
        <v>64</v>
      </c>
      <c r="F2122" s="1">
        <v>45276</v>
      </c>
      <c r="G2122" t="s">
        <v>4201</v>
      </c>
      <c r="H2122" t="s">
        <v>4202</v>
      </c>
      <c r="I2122" t="s">
        <v>57</v>
      </c>
      <c r="J2122">
        <v>29409</v>
      </c>
      <c r="K2122">
        <v>482</v>
      </c>
      <c r="L2122" t="s">
        <v>29</v>
      </c>
      <c r="M2122" s="1">
        <v>45295</v>
      </c>
      <c r="N2122" t="s">
        <v>37</v>
      </c>
      <c r="O2122" t="s">
        <v>31</v>
      </c>
      <c r="P2122" t="str">
        <f t="shared" si="730"/>
        <v>P2121</v>
      </c>
      <c r="Q2122" t="str">
        <f t="shared" si="726"/>
        <v>Cardiology</v>
      </c>
      <c r="R2122">
        <f t="shared" si="727"/>
        <v>19</v>
      </c>
      <c r="S2122" t="str">
        <f t="shared" ca="1" si="731"/>
        <v>No</v>
      </c>
      <c r="T2122" t="str">
        <f t="shared" ca="1" si="732"/>
        <v>Mild</v>
      </c>
      <c r="U2122" t="str">
        <f t="shared" ca="1" si="733"/>
        <v>ICU</v>
      </c>
      <c r="V2122" t="str">
        <f t="shared" si="734"/>
        <v>BED2121</v>
      </c>
      <c r="W2122" t="str">
        <f t="shared" ca="1" si="735"/>
        <v>General</v>
      </c>
      <c r="X2122" t="str">
        <f t="shared" si="736"/>
        <v>NUR021</v>
      </c>
      <c r="Y2122" t="str">
        <f t="shared" ca="1" si="737"/>
        <v>Night</v>
      </c>
      <c r="Z2122" t="str">
        <f t="shared" ca="1" si="738"/>
        <v>Ultrasound</v>
      </c>
      <c r="AA2122" t="str">
        <f t="shared" ca="1" si="739"/>
        <v>Available</v>
      </c>
      <c r="AB2122" t="str">
        <f t="shared" ca="1" si="740"/>
        <v>Paid</v>
      </c>
      <c r="AC2122" t="str">
        <f t="shared" ca="1" si="741"/>
        <v>Bank Transfer</v>
      </c>
      <c r="AD2122" t="str">
        <f t="shared" ca="1" si="742"/>
        <v>Yes</v>
      </c>
      <c r="AE2122" t="str">
        <f t="shared" ca="1" si="743"/>
        <v>No</v>
      </c>
      <c r="AF2122" t="str">
        <f t="shared" ca="1" si="744"/>
        <v>Under Observation</v>
      </c>
      <c r="AG2122" t="str">
        <f t="shared" ca="1" si="745"/>
        <v>West Coast</v>
      </c>
      <c r="AH2122" t="str">
        <f t="shared" si="728"/>
        <v>December</v>
      </c>
      <c r="AI2122">
        <f t="shared" si="729"/>
        <v>2023</v>
      </c>
      <c r="AJ2122" t="str">
        <f t="shared" ca="1" si="746"/>
        <v>Occupied</v>
      </c>
      <c r="AK2122">
        <f t="shared" ca="1" si="747"/>
        <v>2</v>
      </c>
    </row>
    <row r="2123" spans="1:37" x14ac:dyDescent="0.3">
      <c r="A2123" t="s">
        <v>6486</v>
      </c>
      <c r="B2123">
        <v>75</v>
      </c>
      <c r="C2123" t="s">
        <v>15</v>
      </c>
      <c r="D2123" t="s">
        <v>33</v>
      </c>
      <c r="E2123" t="s">
        <v>76</v>
      </c>
      <c r="F2123" s="1">
        <v>45399</v>
      </c>
      <c r="G2123" t="s">
        <v>4203</v>
      </c>
      <c r="H2123" t="s">
        <v>4204</v>
      </c>
      <c r="I2123" t="s">
        <v>20</v>
      </c>
      <c r="J2123">
        <v>10821</v>
      </c>
      <c r="K2123">
        <v>207</v>
      </c>
      <c r="L2123" t="s">
        <v>21</v>
      </c>
      <c r="M2123" s="1">
        <v>45429</v>
      </c>
      <c r="N2123" t="s">
        <v>47</v>
      </c>
      <c r="O2123" t="s">
        <v>23</v>
      </c>
      <c r="P2123" t="str">
        <f t="shared" si="730"/>
        <v>P2122</v>
      </c>
      <c r="Q2123" t="str">
        <f t="shared" si="726"/>
        <v>Orthopedics</v>
      </c>
      <c r="R2123">
        <f t="shared" si="727"/>
        <v>30</v>
      </c>
      <c r="S2123" t="str">
        <f t="shared" ca="1" si="731"/>
        <v>No</v>
      </c>
      <c r="T2123" t="str">
        <f t="shared" ca="1" si="732"/>
        <v>Critical</v>
      </c>
      <c r="U2123" t="str">
        <f t="shared" ca="1" si="733"/>
        <v>Semi-Private</v>
      </c>
      <c r="V2123" t="str">
        <f t="shared" si="734"/>
        <v>BED2122</v>
      </c>
      <c r="W2123" t="str">
        <f t="shared" ca="1" si="735"/>
        <v>Semi-Private</v>
      </c>
      <c r="X2123" t="str">
        <f t="shared" si="736"/>
        <v>NUR022</v>
      </c>
      <c r="Y2123" t="str">
        <f t="shared" ca="1" si="737"/>
        <v>Morning</v>
      </c>
      <c r="Z2123" t="str">
        <f t="shared" ca="1" si="738"/>
        <v>CT Scanner</v>
      </c>
      <c r="AA2123" t="str">
        <f t="shared" ca="1" si="739"/>
        <v>Available</v>
      </c>
      <c r="AB2123" t="str">
        <f t="shared" ca="1" si="740"/>
        <v>Paid</v>
      </c>
      <c r="AC2123" t="str">
        <f t="shared" ca="1" si="741"/>
        <v>Credit Card</v>
      </c>
      <c r="AD2123" t="str">
        <f t="shared" ca="1" si="742"/>
        <v>No</v>
      </c>
      <c r="AE2123" t="str">
        <f t="shared" ca="1" si="743"/>
        <v>No</v>
      </c>
      <c r="AF2123" t="str">
        <f t="shared" ca="1" si="744"/>
        <v>Under Observation</v>
      </c>
      <c r="AG2123" t="str">
        <f t="shared" ca="1" si="745"/>
        <v>Midwest</v>
      </c>
      <c r="AH2123" t="str">
        <f t="shared" si="728"/>
        <v>April</v>
      </c>
      <c r="AI2123">
        <f t="shared" si="729"/>
        <v>2024</v>
      </c>
      <c r="AJ2123" t="str">
        <f t="shared" ca="1" si="746"/>
        <v>Occupied</v>
      </c>
      <c r="AK2123">
        <f t="shared" ca="1" si="747"/>
        <v>1</v>
      </c>
    </row>
    <row r="2124" spans="1:37" x14ac:dyDescent="0.3">
      <c r="A2124" t="s">
        <v>6487</v>
      </c>
      <c r="B2124">
        <v>47</v>
      </c>
      <c r="C2124" t="s">
        <v>15</v>
      </c>
      <c r="D2124" t="s">
        <v>24</v>
      </c>
      <c r="E2124" t="s">
        <v>39</v>
      </c>
      <c r="F2124" s="1">
        <v>44423</v>
      </c>
      <c r="G2124" t="s">
        <v>4205</v>
      </c>
      <c r="H2124" t="s">
        <v>4206</v>
      </c>
      <c r="I2124" t="s">
        <v>57</v>
      </c>
      <c r="J2124">
        <v>50064</v>
      </c>
      <c r="K2124">
        <v>449</v>
      </c>
      <c r="L2124" t="s">
        <v>21</v>
      </c>
      <c r="M2124" s="1">
        <v>44443</v>
      </c>
      <c r="N2124" t="s">
        <v>37</v>
      </c>
      <c r="O2124" t="s">
        <v>31</v>
      </c>
      <c r="P2124" t="str">
        <f t="shared" si="730"/>
        <v>P2123</v>
      </c>
      <c r="Q2124" t="str">
        <f t="shared" si="726"/>
        <v>Endocrinology</v>
      </c>
      <c r="R2124">
        <f t="shared" si="727"/>
        <v>20</v>
      </c>
      <c r="S2124" t="str">
        <f t="shared" ca="1" si="731"/>
        <v>No</v>
      </c>
      <c r="T2124" t="str">
        <f t="shared" ca="1" si="732"/>
        <v>Moderate</v>
      </c>
      <c r="U2124" t="str">
        <f t="shared" ca="1" si="733"/>
        <v>Private Ward</v>
      </c>
      <c r="V2124" t="str">
        <f t="shared" si="734"/>
        <v>BED2123</v>
      </c>
      <c r="W2124" t="str">
        <f t="shared" ca="1" si="735"/>
        <v>Semi-Private</v>
      </c>
      <c r="X2124" t="str">
        <f t="shared" si="736"/>
        <v>NUR023</v>
      </c>
      <c r="Y2124" t="str">
        <f t="shared" ca="1" si="737"/>
        <v>Night</v>
      </c>
      <c r="Z2124" t="str">
        <f t="shared" ca="1" si="738"/>
        <v>CT Scanner</v>
      </c>
      <c r="AA2124" t="str">
        <f t="shared" ca="1" si="739"/>
        <v>Available</v>
      </c>
      <c r="AB2124" t="str">
        <f t="shared" ca="1" si="740"/>
        <v>Partially Paid</v>
      </c>
      <c r="AC2124" t="str">
        <f t="shared" ca="1" si="741"/>
        <v>Cash</v>
      </c>
      <c r="AD2124" t="str">
        <f t="shared" ca="1" si="742"/>
        <v>Yes</v>
      </c>
      <c r="AE2124" t="str">
        <f t="shared" ca="1" si="743"/>
        <v>Yes</v>
      </c>
      <c r="AF2124" t="str">
        <f t="shared" ca="1" si="744"/>
        <v>Transferred</v>
      </c>
      <c r="AG2124" t="str">
        <f t="shared" ca="1" si="745"/>
        <v>Southwest</v>
      </c>
      <c r="AH2124" t="str">
        <f t="shared" si="728"/>
        <v>August</v>
      </c>
      <c r="AI2124">
        <f t="shared" si="729"/>
        <v>2021</v>
      </c>
      <c r="AJ2124" t="str">
        <f t="shared" ca="1" si="746"/>
        <v>Occupied</v>
      </c>
      <c r="AK2124">
        <f t="shared" ca="1" si="747"/>
        <v>1</v>
      </c>
    </row>
    <row r="2125" spans="1:37" x14ac:dyDescent="0.3">
      <c r="A2125" t="s">
        <v>6488</v>
      </c>
      <c r="B2125">
        <v>50</v>
      </c>
      <c r="C2125" t="s">
        <v>15</v>
      </c>
      <c r="D2125" t="s">
        <v>98</v>
      </c>
      <c r="E2125" t="s">
        <v>17</v>
      </c>
      <c r="F2125" s="1">
        <v>44843</v>
      </c>
      <c r="G2125" t="s">
        <v>4207</v>
      </c>
      <c r="H2125" t="s">
        <v>4208</v>
      </c>
      <c r="I2125" t="s">
        <v>28</v>
      </c>
      <c r="J2125">
        <v>18165</v>
      </c>
      <c r="K2125">
        <v>174</v>
      </c>
      <c r="L2125" t="s">
        <v>21</v>
      </c>
      <c r="M2125" s="1">
        <v>44852</v>
      </c>
      <c r="N2125" t="s">
        <v>30</v>
      </c>
      <c r="O2125" t="s">
        <v>43</v>
      </c>
      <c r="P2125" t="str">
        <f t="shared" si="730"/>
        <v>P2124</v>
      </c>
      <c r="Q2125" t="str">
        <f t="shared" si="726"/>
        <v>Oncology</v>
      </c>
      <c r="R2125">
        <f t="shared" si="727"/>
        <v>9</v>
      </c>
      <c r="S2125" t="str">
        <f t="shared" ca="1" si="731"/>
        <v>No</v>
      </c>
      <c r="T2125" t="str">
        <f t="shared" ca="1" si="732"/>
        <v>Moderate</v>
      </c>
      <c r="U2125" t="str">
        <f t="shared" ca="1" si="733"/>
        <v>Semi-Private</v>
      </c>
      <c r="V2125" t="str">
        <f t="shared" si="734"/>
        <v>BED2124</v>
      </c>
      <c r="W2125" t="str">
        <f t="shared" ca="1" si="735"/>
        <v>ICU</v>
      </c>
      <c r="X2125" t="str">
        <f t="shared" si="736"/>
        <v>NUR024</v>
      </c>
      <c r="Y2125" t="str">
        <f t="shared" ca="1" si="737"/>
        <v>Night</v>
      </c>
      <c r="Z2125" t="str">
        <f t="shared" ca="1" si="738"/>
        <v>X-Ray</v>
      </c>
      <c r="AA2125" t="str">
        <f t="shared" ca="1" si="739"/>
        <v>Available</v>
      </c>
      <c r="AB2125" t="str">
        <f t="shared" ca="1" si="740"/>
        <v>Partially Paid</v>
      </c>
      <c r="AC2125" t="str">
        <f t="shared" ca="1" si="741"/>
        <v>Credit Card</v>
      </c>
      <c r="AD2125" t="str">
        <f t="shared" ca="1" si="742"/>
        <v>No</v>
      </c>
      <c r="AE2125" t="str">
        <f t="shared" ca="1" si="743"/>
        <v>No</v>
      </c>
      <c r="AF2125" t="str">
        <f t="shared" ca="1" si="744"/>
        <v>Transferred</v>
      </c>
      <c r="AG2125" t="str">
        <f t="shared" ca="1" si="745"/>
        <v>Southwest</v>
      </c>
      <c r="AH2125" t="str">
        <f t="shared" si="728"/>
        <v>October</v>
      </c>
      <c r="AI2125">
        <f t="shared" si="729"/>
        <v>2022</v>
      </c>
      <c r="AJ2125" t="str">
        <f t="shared" ca="1" si="746"/>
        <v>Occupied</v>
      </c>
      <c r="AK2125">
        <f t="shared" ca="1" si="747"/>
        <v>4</v>
      </c>
    </row>
    <row r="2126" spans="1:37" x14ac:dyDescent="0.3">
      <c r="A2126" t="s">
        <v>6489</v>
      </c>
      <c r="B2126">
        <v>20</v>
      </c>
      <c r="C2126" t="s">
        <v>32</v>
      </c>
      <c r="D2126" t="s">
        <v>38</v>
      </c>
      <c r="E2126" t="s">
        <v>48</v>
      </c>
      <c r="F2126" s="1">
        <v>44220</v>
      </c>
      <c r="G2126" t="s">
        <v>4209</v>
      </c>
      <c r="H2126" t="s">
        <v>4210</v>
      </c>
      <c r="I2126" t="s">
        <v>28</v>
      </c>
      <c r="J2126">
        <v>32167</v>
      </c>
      <c r="K2126">
        <v>292</v>
      </c>
      <c r="L2126" t="s">
        <v>29</v>
      </c>
      <c r="M2126" s="1">
        <v>44241</v>
      </c>
      <c r="N2126" t="s">
        <v>22</v>
      </c>
      <c r="O2126" t="s">
        <v>43</v>
      </c>
      <c r="P2126" t="str">
        <f t="shared" si="730"/>
        <v>P2125</v>
      </c>
      <c r="Q2126" t="str">
        <f t="shared" si="726"/>
        <v>Pulmonology</v>
      </c>
      <c r="R2126">
        <f t="shared" si="727"/>
        <v>21</v>
      </c>
      <c r="S2126" t="str">
        <f t="shared" ca="1" si="731"/>
        <v>No</v>
      </c>
      <c r="T2126" t="str">
        <f t="shared" ca="1" si="732"/>
        <v>Severe</v>
      </c>
      <c r="U2126" t="str">
        <f t="shared" ca="1" si="733"/>
        <v>Semi-Private</v>
      </c>
      <c r="V2126" t="str">
        <f t="shared" si="734"/>
        <v>BED2125</v>
      </c>
      <c r="W2126" t="str">
        <f t="shared" ca="1" si="735"/>
        <v>Private</v>
      </c>
      <c r="X2126" t="str">
        <f t="shared" si="736"/>
        <v>NUR025</v>
      </c>
      <c r="Y2126" t="str">
        <f t="shared" ca="1" si="737"/>
        <v>Night</v>
      </c>
      <c r="Z2126" t="str">
        <f t="shared" ca="1" si="738"/>
        <v>CT Scanner</v>
      </c>
      <c r="AA2126" t="str">
        <f t="shared" ca="1" si="739"/>
        <v>In Use</v>
      </c>
      <c r="AB2126" t="str">
        <f t="shared" ca="1" si="740"/>
        <v>Paid</v>
      </c>
      <c r="AC2126" t="str">
        <f t="shared" ca="1" si="741"/>
        <v>Cash</v>
      </c>
      <c r="AD2126" t="str">
        <f t="shared" ca="1" si="742"/>
        <v>No</v>
      </c>
      <c r="AE2126" t="str">
        <f t="shared" ca="1" si="743"/>
        <v>No</v>
      </c>
      <c r="AF2126" t="str">
        <f t="shared" ca="1" si="744"/>
        <v>Under Observation</v>
      </c>
      <c r="AG2126" t="str">
        <f t="shared" ca="1" si="745"/>
        <v>Southwest</v>
      </c>
      <c r="AH2126" t="str">
        <f t="shared" si="728"/>
        <v>January</v>
      </c>
      <c r="AI2126">
        <f t="shared" si="729"/>
        <v>2021</v>
      </c>
      <c r="AJ2126" t="str">
        <f t="shared" ca="1" si="746"/>
        <v>Occupied</v>
      </c>
      <c r="AK2126">
        <f t="shared" ca="1" si="747"/>
        <v>4</v>
      </c>
    </row>
    <row r="2127" spans="1:37" x14ac:dyDescent="0.3">
      <c r="A2127" t="s">
        <v>6490</v>
      </c>
      <c r="B2127">
        <v>78</v>
      </c>
      <c r="C2127" t="s">
        <v>15</v>
      </c>
      <c r="D2127" t="s">
        <v>38</v>
      </c>
      <c r="E2127" t="s">
        <v>39</v>
      </c>
      <c r="F2127" s="1">
        <v>45039</v>
      </c>
      <c r="G2127" t="s">
        <v>4211</v>
      </c>
      <c r="H2127" t="s">
        <v>4212</v>
      </c>
      <c r="I2127" t="s">
        <v>28</v>
      </c>
      <c r="J2127">
        <v>45722</v>
      </c>
      <c r="K2127">
        <v>479</v>
      </c>
      <c r="L2127" t="s">
        <v>21</v>
      </c>
      <c r="M2127" s="1">
        <v>45049</v>
      </c>
      <c r="N2127" t="s">
        <v>47</v>
      </c>
      <c r="O2127" t="s">
        <v>31</v>
      </c>
      <c r="P2127" t="str">
        <f t="shared" si="730"/>
        <v>P2126</v>
      </c>
      <c r="Q2127" t="str">
        <f t="shared" si="726"/>
        <v>Endocrinology</v>
      </c>
      <c r="R2127">
        <f t="shared" si="727"/>
        <v>10</v>
      </c>
      <c r="S2127" t="str">
        <f t="shared" ca="1" si="731"/>
        <v>No</v>
      </c>
      <c r="T2127" t="str">
        <f t="shared" ca="1" si="732"/>
        <v>Critical</v>
      </c>
      <c r="U2127" t="str">
        <f t="shared" ca="1" si="733"/>
        <v>Emergency</v>
      </c>
      <c r="V2127" t="str">
        <f t="shared" si="734"/>
        <v>BED2126</v>
      </c>
      <c r="W2127" t="str">
        <f t="shared" ca="1" si="735"/>
        <v>ICU</v>
      </c>
      <c r="X2127" t="str">
        <f t="shared" si="736"/>
        <v>NUR026</v>
      </c>
      <c r="Y2127" t="str">
        <f t="shared" ca="1" si="737"/>
        <v>Morning</v>
      </c>
      <c r="Z2127" t="str">
        <f t="shared" ca="1" si="738"/>
        <v>Ultrasound</v>
      </c>
      <c r="AA2127" t="str">
        <f t="shared" ca="1" si="739"/>
        <v>Available</v>
      </c>
      <c r="AB2127" t="str">
        <f t="shared" ca="1" si="740"/>
        <v>Partially Paid</v>
      </c>
      <c r="AC2127" t="str">
        <f t="shared" ca="1" si="741"/>
        <v>Credit Card</v>
      </c>
      <c r="AD2127" t="str">
        <f t="shared" ca="1" si="742"/>
        <v>No</v>
      </c>
      <c r="AE2127" t="str">
        <f t="shared" ca="1" si="743"/>
        <v>Yes</v>
      </c>
      <c r="AF2127" t="str">
        <f t="shared" ca="1" si="744"/>
        <v>Recovered</v>
      </c>
      <c r="AG2127" t="str">
        <f t="shared" ca="1" si="745"/>
        <v>Northeast</v>
      </c>
      <c r="AH2127" t="str">
        <f t="shared" si="728"/>
        <v>April</v>
      </c>
      <c r="AI2127">
        <f t="shared" si="729"/>
        <v>2023</v>
      </c>
      <c r="AJ2127" t="str">
        <f t="shared" ca="1" si="746"/>
        <v>Occupied</v>
      </c>
      <c r="AK2127">
        <f t="shared" ca="1" si="747"/>
        <v>1</v>
      </c>
    </row>
    <row r="2128" spans="1:37" x14ac:dyDescent="0.3">
      <c r="A2128" t="s">
        <v>6491</v>
      </c>
      <c r="B2128">
        <v>79</v>
      </c>
      <c r="C2128" t="s">
        <v>32</v>
      </c>
      <c r="D2128" t="s">
        <v>38</v>
      </c>
      <c r="E2128" t="s">
        <v>39</v>
      </c>
      <c r="F2128" s="1">
        <v>44796</v>
      </c>
      <c r="G2128" t="s">
        <v>4213</v>
      </c>
      <c r="H2128" t="s">
        <v>4214</v>
      </c>
      <c r="I2128" t="s">
        <v>20</v>
      </c>
      <c r="J2128">
        <v>34829</v>
      </c>
      <c r="K2128">
        <v>384</v>
      </c>
      <c r="L2128" t="s">
        <v>29</v>
      </c>
      <c r="M2128" s="1">
        <v>44822</v>
      </c>
      <c r="N2128" t="s">
        <v>67</v>
      </c>
      <c r="O2128" t="s">
        <v>23</v>
      </c>
      <c r="P2128" t="str">
        <f t="shared" si="730"/>
        <v>P2127</v>
      </c>
      <c r="Q2128" t="str">
        <f t="shared" si="726"/>
        <v>Endocrinology</v>
      </c>
      <c r="R2128">
        <f t="shared" si="727"/>
        <v>26</v>
      </c>
      <c r="S2128" t="str">
        <f t="shared" ca="1" si="731"/>
        <v>No</v>
      </c>
      <c r="T2128" t="str">
        <f t="shared" ca="1" si="732"/>
        <v>Mild</v>
      </c>
      <c r="U2128" t="str">
        <f t="shared" ca="1" si="733"/>
        <v>Semi-Private</v>
      </c>
      <c r="V2128" t="str">
        <f t="shared" si="734"/>
        <v>BED2127</v>
      </c>
      <c r="W2128" t="str">
        <f t="shared" ca="1" si="735"/>
        <v>Semi-Private</v>
      </c>
      <c r="X2128" t="str">
        <f t="shared" si="736"/>
        <v>NUR027</v>
      </c>
      <c r="Y2128" t="str">
        <f t="shared" ca="1" si="737"/>
        <v>Evening</v>
      </c>
      <c r="Z2128" t="str">
        <f t="shared" ca="1" si="738"/>
        <v>Ultrasound</v>
      </c>
      <c r="AA2128" t="str">
        <f t="shared" ca="1" si="739"/>
        <v>Available</v>
      </c>
      <c r="AB2128" t="str">
        <f t="shared" ca="1" si="740"/>
        <v>Pending</v>
      </c>
      <c r="AC2128" t="str">
        <f t="shared" ca="1" si="741"/>
        <v>Debit Card</v>
      </c>
      <c r="AD2128" t="str">
        <f t="shared" ca="1" si="742"/>
        <v>No</v>
      </c>
      <c r="AE2128" t="str">
        <f t="shared" ca="1" si="743"/>
        <v>No</v>
      </c>
      <c r="AF2128" t="str">
        <f t="shared" ca="1" si="744"/>
        <v>Transferred</v>
      </c>
      <c r="AG2128" t="str">
        <f t="shared" ca="1" si="745"/>
        <v>Southeast</v>
      </c>
      <c r="AH2128" t="str">
        <f t="shared" si="728"/>
        <v>August</v>
      </c>
      <c r="AI2128">
        <f t="shared" si="729"/>
        <v>2022</v>
      </c>
      <c r="AJ2128" t="str">
        <f t="shared" ca="1" si="746"/>
        <v>Occupied</v>
      </c>
      <c r="AK2128">
        <f t="shared" ca="1" si="747"/>
        <v>1</v>
      </c>
    </row>
    <row r="2129" spans="1:37" x14ac:dyDescent="0.3">
      <c r="A2129" t="s">
        <v>6492</v>
      </c>
      <c r="B2129">
        <v>54</v>
      </c>
      <c r="C2129" t="s">
        <v>32</v>
      </c>
      <c r="D2129" t="s">
        <v>98</v>
      </c>
      <c r="E2129" t="s">
        <v>64</v>
      </c>
      <c r="F2129" s="1">
        <v>43843</v>
      </c>
      <c r="G2129" t="s">
        <v>4215</v>
      </c>
      <c r="H2129" t="s">
        <v>4216</v>
      </c>
      <c r="I2129" t="s">
        <v>28</v>
      </c>
      <c r="J2129">
        <v>43457</v>
      </c>
      <c r="K2129">
        <v>249</v>
      </c>
      <c r="L2129" t="s">
        <v>42</v>
      </c>
      <c r="M2129" s="1">
        <v>43864</v>
      </c>
      <c r="N2129" t="s">
        <v>22</v>
      </c>
      <c r="O2129" t="s">
        <v>43</v>
      </c>
      <c r="P2129" t="str">
        <f t="shared" si="730"/>
        <v>P2128</v>
      </c>
      <c r="Q2129" t="str">
        <f t="shared" si="726"/>
        <v>Cardiology</v>
      </c>
      <c r="R2129">
        <f t="shared" si="727"/>
        <v>21</v>
      </c>
      <c r="S2129" t="str">
        <f t="shared" ca="1" si="731"/>
        <v>No</v>
      </c>
      <c r="T2129" t="str">
        <f t="shared" ca="1" si="732"/>
        <v>Mild</v>
      </c>
      <c r="U2129" t="str">
        <f t="shared" ca="1" si="733"/>
        <v>Private Ward</v>
      </c>
      <c r="V2129" t="str">
        <f t="shared" si="734"/>
        <v>BED2128</v>
      </c>
      <c r="W2129" t="str">
        <f t="shared" ca="1" si="735"/>
        <v>Private</v>
      </c>
      <c r="X2129" t="str">
        <f t="shared" si="736"/>
        <v>NUR028</v>
      </c>
      <c r="Y2129" t="str">
        <f t="shared" ca="1" si="737"/>
        <v>Morning</v>
      </c>
      <c r="Z2129" t="str">
        <f t="shared" ca="1" si="738"/>
        <v>Ultrasound</v>
      </c>
      <c r="AA2129" t="str">
        <f t="shared" ca="1" si="739"/>
        <v>Available</v>
      </c>
      <c r="AB2129" t="str">
        <f t="shared" ca="1" si="740"/>
        <v>Partially Paid</v>
      </c>
      <c r="AC2129" t="str">
        <f t="shared" ca="1" si="741"/>
        <v>Debit Card</v>
      </c>
      <c r="AD2129" t="str">
        <f t="shared" ca="1" si="742"/>
        <v>No</v>
      </c>
      <c r="AE2129" t="str">
        <f t="shared" ca="1" si="743"/>
        <v>No</v>
      </c>
      <c r="AF2129" t="str">
        <f t="shared" ca="1" si="744"/>
        <v>Transferred</v>
      </c>
      <c r="AG2129" t="str">
        <f t="shared" ca="1" si="745"/>
        <v>Northeast</v>
      </c>
      <c r="AH2129" t="str">
        <f t="shared" si="728"/>
        <v>January</v>
      </c>
      <c r="AI2129">
        <f t="shared" si="729"/>
        <v>2020</v>
      </c>
      <c r="AJ2129" t="str">
        <f t="shared" ca="1" si="746"/>
        <v>Occupied</v>
      </c>
      <c r="AK2129">
        <f t="shared" ca="1" si="747"/>
        <v>4</v>
      </c>
    </row>
    <row r="2130" spans="1:37" x14ac:dyDescent="0.3">
      <c r="A2130" t="s">
        <v>6493</v>
      </c>
      <c r="B2130">
        <v>65</v>
      </c>
      <c r="C2130" t="s">
        <v>32</v>
      </c>
      <c r="D2130" t="s">
        <v>44</v>
      </c>
      <c r="E2130" t="s">
        <v>17</v>
      </c>
      <c r="F2130" s="1">
        <v>43601</v>
      </c>
      <c r="G2130" t="s">
        <v>4217</v>
      </c>
      <c r="H2130" t="s">
        <v>4218</v>
      </c>
      <c r="I2130" t="s">
        <v>57</v>
      </c>
      <c r="J2130">
        <v>50241</v>
      </c>
      <c r="K2130">
        <v>389</v>
      </c>
      <c r="L2130" t="s">
        <v>42</v>
      </c>
      <c r="M2130" s="1">
        <v>43623</v>
      </c>
      <c r="N2130" t="s">
        <v>22</v>
      </c>
      <c r="O2130" t="s">
        <v>43</v>
      </c>
      <c r="P2130" t="str">
        <f t="shared" si="730"/>
        <v>P2129</v>
      </c>
      <c r="Q2130" t="str">
        <f t="shared" si="726"/>
        <v>Oncology</v>
      </c>
      <c r="R2130">
        <f t="shared" si="727"/>
        <v>22</v>
      </c>
      <c r="S2130" t="str">
        <f t="shared" ca="1" si="731"/>
        <v>No</v>
      </c>
      <c r="T2130" t="str">
        <f t="shared" ca="1" si="732"/>
        <v>Critical</v>
      </c>
      <c r="U2130" t="str">
        <f t="shared" ca="1" si="733"/>
        <v>ICU</v>
      </c>
      <c r="V2130" t="str">
        <f t="shared" si="734"/>
        <v>BED2129</v>
      </c>
      <c r="W2130" t="str">
        <f t="shared" ca="1" si="735"/>
        <v>ICU</v>
      </c>
      <c r="X2130" t="str">
        <f t="shared" si="736"/>
        <v>NUR029</v>
      </c>
      <c r="Y2130" t="str">
        <f t="shared" ca="1" si="737"/>
        <v>Night</v>
      </c>
      <c r="Z2130" t="str">
        <f t="shared" ca="1" si="738"/>
        <v>ECG Machine</v>
      </c>
      <c r="AA2130" t="str">
        <f t="shared" ca="1" si="739"/>
        <v>Available</v>
      </c>
      <c r="AB2130" t="str">
        <f t="shared" ca="1" si="740"/>
        <v>Partially Paid</v>
      </c>
      <c r="AC2130" t="str">
        <f t="shared" ca="1" si="741"/>
        <v>Debit Card</v>
      </c>
      <c r="AD2130" t="str">
        <f t="shared" ca="1" si="742"/>
        <v>No</v>
      </c>
      <c r="AE2130" t="str">
        <f t="shared" ca="1" si="743"/>
        <v>No</v>
      </c>
      <c r="AF2130" t="str">
        <f t="shared" ca="1" si="744"/>
        <v>Transferred</v>
      </c>
      <c r="AG2130" t="str">
        <f t="shared" ca="1" si="745"/>
        <v>Northeast</v>
      </c>
      <c r="AH2130" t="str">
        <f t="shared" si="728"/>
        <v>May</v>
      </c>
      <c r="AI2130">
        <f t="shared" si="729"/>
        <v>2019</v>
      </c>
      <c r="AJ2130" t="str">
        <f t="shared" ca="1" si="746"/>
        <v>Occupied</v>
      </c>
      <c r="AK2130">
        <f t="shared" ca="1" si="747"/>
        <v>1</v>
      </c>
    </row>
    <row r="2131" spans="1:37" x14ac:dyDescent="0.3">
      <c r="A2131" t="s">
        <v>6494</v>
      </c>
      <c r="B2131">
        <v>45</v>
      </c>
      <c r="C2131" t="s">
        <v>15</v>
      </c>
      <c r="D2131" t="s">
        <v>83</v>
      </c>
      <c r="E2131" t="s">
        <v>39</v>
      </c>
      <c r="F2131" s="1">
        <v>43843</v>
      </c>
      <c r="G2131" t="s">
        <v>4219</v>
      </c>
      <c r="H2131" t="s">
        <v>4220</v>
      </c>
      <c r="I2131" t="s">
        <v>57</v>
      </c>
      <c r="J2131">
        <v>21899</v>
      </c>
      <c r="K2131">
        <v>210</v>
      </c>
      <c r="L2131" t="s">
        <v>21</v>
      </c>
      <c r="M2131" s="1">
        <v>43865</v>
      </c>
      <c r="N2131" t="s">
        <v>37</v>
      </c>
      <c r="O2131" t="s">
        <v>31</v>
      </c>
      <c r="P2131" t="str">
        <f t="shared" si="730"/>
        <v>P2130</v>
      </c>
      <c r="Q2131" t="str">
        <f t="shared" si="726"/>
        <v>Endocrinology</v>
      </c>
      <c r="R2131">
        <f t="shared" si="727"/>
        <v>22</v>
      </c>
      <c r="S2131" t="str">
        <f t="shared" ca="1" si="731"/>
        <v>No</v>
      </c>
      <c r="T2131" t="str">
        <f t="shared" ca="1" si="732"/>
        <v>Critical</v>
      </c>
      <c r="U2131" t="str">
        <f t="shared" ca="1" si="733"/>
        <v>ICU</v>
      </c>
      <c r="V2131" t="str">
        <f t="shared" si="734"/>
        <v>BED2130</v>
      </c>
      <c r="W2131" t="str">
        <f t="shared" ca="1" si="735"/>
        <v>ICU</v>
      </c>
      <c r="X2131" t="str">
        <f t="shared" si="736"/>
        <v>NUR030</v>
      </c>
      <c r="Y2131" t="str">
        <f t="shared" ca="1" si="737"/>
        <v>Morning</v>
      </c>
      <c r="Z2131" t="str">
        <f t="shared" ca="1" si="738"/>
        <v>CT Scanner</v>
      </c>
      <c r="AA2131" t="str">
        <f t="shared" ca="1" si="739"/>
        <v>Available</v>
      </c>
      <c r="AB2131" t="str">
        <f t="shared" ca="1" si="740"/>
        <v>Pending</v>
      </c>
      <c r="AC2131" t="str">
        <f t="shared" ca="1" si="741"/>
        <v>Bank Transfer</v>
      </c>
      <c r="AD2131" t="str">
        <f t="shared" ca="1" si="742"/>
        <v>No</v>
      </c>
      <c r="AE2131" t="str">
        <f t="shared" ca="1" si="743"/>
        <v>No</v>
      </c>
      <c r="AF2131" t="str">
        <f t="shared" ca="1" si="744"/>
        <v>Transferred</v>
      </c>
      <c r="AG2131" t="str">
        <f t="shared" ca="1" si="745"/>
        <v>Northeast</v>
      </c>
      <c r="AH2131" t="str">
        <f t="shared" si="728"/>
        <v>January</v>
      </c>
      <c r="AI2131">
        <f t="shared" si="729"/>
        <v>2020</v>
      </c>
      <c r="AJ2131" t="str">
        <f t="shared" ca="1" si="746"/>
        <v>Occupied</v>
      </c>
      <c r="AK2131">
        <f t="shared" ca="1" si="747"/>
        <v>2</v>
      </c>
    </row>
    <row r="2132" spans="1:37" x14ac:dyDescent="0.3">
      <c r="A2132" t="s">
        <v>6495</v>
      </c>
      <c r="B2132">
        <v>77</v>
      </c>
      <c r="C2132" t="s">
        <v>15</v>
      </c>
      <c r="D2132" t="s">
        <v>38</v>
      </c>
      <c r="E2132" t="s">
        <v>17</v>
      </c>
      <c r="F2132" s="1">
        <v>44882</v>
      </c>
      <c r="G2132" t="s">
        <v>4221</v>
      </c>
      <c r="H2132" t="s">
        <v>4222</v>
      </c>
      <c r="I2132" t="s">
        <v>51</v>
      </c>
      <c r="J2132">
        <v>6558</v>
      </c>
      <c r="K2132">
        <v>136</v>
      </c>
      <c r="L2132" t="s">
        <v>42</v>
      </c>
      <c r="M2132" s="1">
        <v>44891</v>
      </c>
      <c r="N2132" t="s">
        <v>67</v>
      </c>
      <c r="O2132" t="s">
        <v>23</v>
      </c>
      <c r="P2132" t="str">
        <f t="shared" si="730"/>
        <v>P2131</v>
      </c>
      <c r="Q2132" t="str">
        <f t="shared" si="726"/>
        <v>Oncology</v>
      </c>
      <c r="R2132">
        <f t="shared" si="727"/>
        <v>9</v>
      </c>
      <c r="S2132" t="str">
        <f t="shared" ca="1" si="731"/>
        <v>No</v>
      </c>
      <c r="T2132" t="str">
        <f t="shared" ca="1" si="732"/>
        <v>Mild</v>
      </c>
      <c r="U2132" t="str">
        <f t="shared" ca="1" si="733"/>
        <v>Private Ward</v>
      </c>
      <c r="V2132" t="str">
        <f t="shared" si="734"/>
        <v>BED2131</v>
      </c>
      <c r="W2132" t="str">
        <f t="shared" ca="1" si="735"/>
        <v>General</v>
      </c>
      <c r="X2132" t="str">
        <f t="shared" si="736"/>
        <v>NUR031</v>
      </c>
      <c r="Y2132" t="str">
        <f t="shared" ca="1" si="737"/>
        <v>Morning</v>
      </c>
      <c r="Z2132" t="str">
        <f t="shared" ca="1" si="738"/>
        <v>MRI Scanner</v>
      </c>
      <c r="AA2132" t="str">
        <f t="shared" ca="1" si="739"/>
        <v>Maintenance</v>
      </c>
      <c r="AB2132" t="str">
        <f t="shared" ca="1" si="740"/>
        <v>Pending</v>
      </c>
      <c r="AC2132" t="str">
        <f t="shared" ca="1" si="741"/>
        <v>Insurance</v>
      </c>
      <c r="AD2132" t="str">
        <f t="shared" ca="1" si="742"/>
        <v>Yes</v>
      </c>
      <c r="AE2132" t="str">
        <f t="shared" ca="1" si="743"/>
        <v>No</v>
      </c>
      <c r="AF2132" t="str">
        <f t="shared" ca="1" si="744"/>
        <v>Transferred</v>
      </c>
      <c r="AG2132" t="str">
        <f t="shared" ca="1" si="745"/>
        <v>Southeast</v>
      </c>
      <c r="AH2132" t="str">
        <f t="shared" si="728"/>
        <v>November</v>
      </c>
      <c r="AI2132">
        <f t="shared" si="729"/>
        <v>2022</v>
      </c>
      <c r="AJ2132" t="str">
        <f t="shared" ca="1" si="746"/>
        <v>Occupied</v>
      </c>
      <c r="AK2132">
        <f t="shared" ca="1" si="747"/>
        <v>2</v>
      </c>
    </row>
    <row r="2133" spans="1:37" x14ac:dyDescent="0.3">
      <c r="A2133" t="s">
        <v>6496</v>
      </c>
      <c r="B2133">
        <v>57</v>
      </c>
      <c r="C2133" t="s">
        <v>15</v>
      </c>
      <c r="D2133" t="s">
        <v>33</v>
      </c>
      <c r="E2133" t="s">
        <v>76</v>
      </c>
      <c r="F2133" s="1">
        <v>44650</v>
      </c>
      <c r="G2133" t="s">
        <v>4223</v>
      </c>
      <c r="H2133" t="s">
        <v>4224</v>
      </c>
      <c r="I2133" t="s">
        <v>28</v>
      </c>
      <c r="J2133">
        <v>15197</v>
      </c>
      <c r="K2133">
        <v>281</v>
      </c>
      <c r="L2133" t="s">
        <v>42</v>
      </c>
      <c r="M2133" s="1">
        <v>44662</v>
      </c>
      <c r="N2133" t="s">
        <v>47</v>
      </c>
      <c r="O2133" t="s">
        <v>43</v>
      </c>
      <c r="P2133" t="str">
        <f t="shared" si="730"/>
        <v>P2132</v>
      </c>
      <c r="Q2133" t="str">
        <f t="shared" si="726"/>
        <v>Orthopedics</v>
      </c>
      <c r="R2133">
        <f t="shared" si="727"/>
        <v>12</v>
      </c>
      <c r="S2133" t="str">
        <f t="shared" ca="1" si="731"/>
        <v>No</v>
      </c>
      <c r="T2133" t="str">
        <f t="shared" ca="1" si="732"/>
        <v>Critical</v>
      </c>
      <c r="U2133" t="str">
        <f t="shared" ca="1" si="733"/>
        <v>Semi-Private</v>
      </c>
      <c r="V2133" t="str">
        <f t="shared" si="734"/>
        <v>BED2132</v>
      </c>
      <c r="W2133" t="str">
        <f t="shared" ca="1" si="735"/>
        <v>Semi-Private</v>
      </c>
      <c r="X2133" t="str">
        <f t="shared" si="736"/>
        <v>NUR032</v>
      </c>
      <c r="Y2133" t="str">
        <f t="shared" ca="1" si="737"/>
        <v>Evening</v>
      </c>
      <c r="Z2133" t="str">
        <f t="shared" ca="1" si="738"/>
        <v>CT Scanner</v>
      </c>
      <c r="AA2133" t="str">
        <f t="shared" ca="1" si="739"/>
        <v>Available</v>
      </c>
      <c r="AB2133" t="str">
        <f t="shared" ca="1" si="740"/>
        <v>Paid</v>
      </c>
      <c r="AC2133" t="str">
        <f t="shared" ca="1" si="741"/>
        <v>Insurance</v>
      </c>
      <c r="AD2133" t="str">
        <f t="shared" ca="1" si="742"/>
        <v>Yes</v>
      </c>
      <c r="AE2133" t="str">
        <f t="shared" ca="1" si="743"/>
        <v>No</v>
      </c>
      <c r="AF2133" t="str">
        <f t="shared" ca="1" si="744"/>
        <v>Under Observation</v>
      </c>
      <c r="AG2133" t="str">
        <f t="shared" ca="1" si="745"/>
        <v>Southeast</v>
      </c>
      <c r="AH2133" t="str">
        <f t="shared" si="728"/>
        <v>March</v>
      </c>
      <c r="AI2133">
        <f t="shared" si="729"/>
        <v>2022</v>
      </c>
      <c r="AJ2133" t="str">
        <f t="shared" ca="1" si="746"/>
        <v>Occupied</v>
      </c>
      <c r="AK2133">
        <f t="shared" ca="1" si="747"/>
        <v>2</v>
      </c>
    </row>
    <row r="2134" spans="1:37" x14ac:dyDescent="0.3">
      <c r="A2134" t="s">
        <v>6011</v>
      </c>
      <c r="B2134">
        <v>61</v>
      </c>
      <c r="C2134" t="s">
        <v>15</v>
      </c>
      <c r="D2134" t="s">
        <v>38</v>
      </c>
      <c r="E2134" t="s">
        <v>25</v>
      </c>
      <c r="F2134" s="1">
        <v>44811</v>
      </c>
      <c r="G2134" t="s">
        <v>4225</v>
      </c>
      <c r="H2134" t="s">
        <v>4226</v>
      </c>
      <c r="I2134" t="s">
        <v>36</v>
      </c>
      <c r="J2134">
        <v>32365</v>
      </c>
      <c r="K2134">
        <v>256</v>
      </c>
      <c r="L2134" t="s">
        <v>42</v>
      </c>
      <c r="M2134" s="1">
        <v>44813</v>
      </c>
      <c r="N2134" t="s">
        <v>47</v>
      </c>
      <c r="O2134" t="s">
        <v>23</v>
      </c>
      <c r="P2134" t="str">
        <f t="shared" si="730"/>
        <v>P2133</v>
      </c>
      <c r="Q2134" t="str">
        <f t="shared" si="726"/>
        <v>Nutrition</v>
      </c>
      <c r="R2134">
        <f t="shared" si="727"/>
        <v>2</v>
      </c>
      <c r="S2134" t="str">
        <f t="shared" ca="1" si="731"/>
        <v>No</v>
      </c>
      <c r="T2134" t="str">
        <f t="shared" ca="1" si="732"/>
        <v>Moderate</v>
      </c>
      <c r="U2134" t="str">
        <f t="shared" ca="1" si="733"/>
        <v>Private Ward</v>
      </c>
      <c r="V2134" t="str">
        <f t="shared" si="734"/>
        <v>BED2133</v>
      </c>
      <c r="W2134" t="str">
        <f t="shared" ca="1" si="735"/>
        <v>Private</v>
      </c>
      <c r="X2134" t="str">
        <f t="shared" si="736"/>
        <v>NUR033</v>
      </c>
      <c r="Y2134" t="str">
        <f t="shared" ca="1" si="737"/>
        <v>Morning</v>
      </c>
      <c r="Z2134" t="str">
        <f t="shared" ca="1" si="738"/>
        <v>Ultrasound</v>
      </c>
      <c r="AA2134" t="str">
        <f t="shared" ca="1" si="739"/>
        <v>Maintenance</v>
      </c>
      <c r="AB2134" t="str">
        <f t="shared" ca="1" si="740"/>
        <v>Pending</v>
      </c>
      <c r="AC2134" t="str">
        <f t="shared" ca="1" si="741"/>
        <v>Bank Transfer</v>
      </c>
      <c r="AD2134" t="str">
        <f t="shared" ca="1" si="742"/>
        <v>No</v>
      </c>
      <c r="AE2134" t="str">
        <f t="shared" ca="1" si="743"/>
        <v>Yes</v>
      </c>
      <c r="AF2134" t="str">
        <f t="shared" ca="1" si="744"/>
        <v>Recovered</v>
      </c>
      <c r="AG2134" t="str">
        <f t="shared" ca="1" si="745"/>
        <v>West Coast</v>
      </c>
      <c r="AH2134" t="str">
        <f t="shared" si="728"/>
        <v>September</v>
      </c>
      <c r="AI2134">
        <f t="shared" si="729"/>
        <v>2022</v>
      </c>
      <c r="AJ2134" t="str">
        <f t="shared" ca="1" si="746"/>
        <v>Occupied</v>
      </c>
      <c r="AK2134">
        <f t="shared" ca="1" si="747"/>
        <v>1</v>
      </c>
    </row>
    <row r="2135" spans="1:37" x14ac:dyDescent="0.3">
      <c r="A2135" t="s">
        <v>6497</v>
      </c>
      <c r="B2135">
        <v>51</v>
      </c>
      <c r="C2135" t="s">
        <v>32</v>
      </c>
      <c r="D2135" t="s">
        <v>83</v>
      </c>
      <c r="E2135" t="s">
        <v>76</v>
      </c>
      <c r="F2135" s="1">
        <v>44727</v>
      </c>
      <c r="G2135" t="s">
        <v>4227</v>
      </c>
      <c r="H2135" t="s">
        <v>4228</v>
      </c>
      <c r="I2135" t="s">
        <v>20</v>
      </c>
      <c r="J2135">
        <v>50506</v>
      </c>
      <c r="K2135">
        <v>410</v>
      </c>
      <c r="L2135" t="s">
        <v>29</v>
      </c>
      <c r="M2135" s="1">
        <v>44737</v>
      </c>
      <c r="N2135" t="s">
        <v>47</v>
      </c>
      <c r="O2135" t="s">
        <v>31</v>
      </c>
      <c r="P2135" t="str">
        <f t="shared" si="730"/>
        <v>P2134</v>
      </c>
      <c r="Q2135" t="str">
        <f t="shared" si="726"/>
        <v>Orthopedics</v>
      </c>
      <c r="R2135">
        <f t="shared" si="727"/>
        <v>10</v>
      </c>
      <c r="S2135" t="str">
        <f t="shared" ca="1" si="731"/>
        <v>No</v>
      </c>
      <c r="T2135" t="str">
        <f t="shared" ca="1" si="732"/>
        <v>Critical</v>
      </c>
      <c r="U2135" t="str">
        <f t="shared" ca="1" si="733"/>
        <v>ICU</v>
      </c>
      <c r="V2135" t="str">
        <f t="shared" si="734"/>
        <v>BED2134</v>
      </c>
      <c r="W2135" t="str">
        <f t="shared" ca="1" si="735"/>
        <v>Private</v>
      </c>
      <c r="X2135" t="str">
        <f t="shared" si="736"/>
        <v>NUR034</v>
      </c>
      <c r="Y2135" t="str">
        <f t="shared" ca="1" si="737"/>
        <v>Morning</v>
      </c>
      <c r="Z2135" t="str">
        <f t="shared" ca="1" si="738"/>
        <v>CT Scanner</v>
      </c>
      <c r="AA2135" t="str">
        <f t="shared" ca="1" si="739"/>
        <v>Available</v>
      </c>
      <c r="AB2135" t="str">
        <f t="shared" ca="1" si="740"/>
        <v>Pending</v>
      </c>
      <c r="AC2135" t="str">
        <f t="shared" ca="1" si="741"/>
        <v>Credit Card</v>
      </c>
      <c r="AD2135" t="str">
        <f t="shared" ca="1" si="742"/>
        <v>No</v>
      </c>
      <c r="AE2135" t="str">
        <f t="shared" ca="1" si="743"/>
        <v>Yes</v>
      </c>
      <c r="AF2135" t="str">
        <f t="shared" ca="1" si="744"/>
        <v>Transferred</v>
      </c>
      <c r="AG2135" t="str">
        <f t="shared" ca="1" si="745"/>
        <v>West Coast</v>
      </c>
      <c r="AH2135" t="str">
        <f t="shared" si="728"/>
        <v>June</v>
      </c>
      <c r="AI2135">
        <f t="shared" si="729"/>
        <v>2022</v>
      </c>
      <c r="AJ2135" t="str">
        <f t="shared" ca="1" si="746"/>
        <v>Vacant</v>
      </c>
      <c r="AK2135">
        <f t="shared" ca="1" si="747"/>
        <v>4</v>
      </c>
    </row>
    <row r="2136" spans="1:37" x14ac:dyDescent="0.3">
      <c r="A2136" t="s">
        <v>6498</v>
      </c>
      <c r="B2136">
        <v>53</v>
      </c>
      <c r="C2136" t="s">
        <v>32</v>
      </c>
      <c r="D2136" t="s">
        <v>52</v>
      </c>
      <c r="E2136" t="s">
        <v>48</v>
      </c>
      <c r="F2136" s="1">
        <v>44752</v>
      </c>
      <c r="G2136" t="s">
        <v>4229</v>
      </c>
      <c r="H2136" t="s">
        <v>4230</v>
      </c>
      <c r="I2136" t="s">
        <v>51</v>
      </c>
      <c r="J2136">
        <v>39202</v>
      </c>
      <c r="K2136">
        <v>346</v>
      </c>
      <c r="L2136" t="s">
        <v>29</v>
      </c>
      <c r="M2136" s="1">
        <v>44778</v>
      </c>
      <c r="N2136" t="s">
        <v>37</v>
      </c>
      <c r="O2136" t="s">
        <v>43</v>
      </c>
      <c r="P2136" t="str">
        <f t="shared" si="730"/>
        <v>P2135</v>
      </c>
      <c r="Q2136" t="str">
        <f t="shared" si="726"/>
        <v>Pulmonology</v>
      </c>
      <c r="R2136">
        <f t="shared" si="727"/>
        <v>26</v>
      </c>
      <c r="S2136" t="str">
        <f t="shared" ca="1" si="731"/>
        <v>No</v>
      </c>
      <c r="T2136" t="str">
        <f t="shared" ca="1" si="732"/>
        <v>Mild</v>
      </c>
      <c r="U2136" t="str">
        <f t="shared" ca="1" si="733"/>
        <v>Semi-Private</v>
      </c>
      <c r="V2136" t="str">
        <f t="shared" si="734"/>
        <v>BED2135</v>
      </c>
      <c r="W2136" t="str">
        <f t="shared" ca="1" si="735"/>
        <v>General</v>
      </c>
      <c r="X2136" t="str">
        <f t="shared" si="736"/>
        <v>NUR035</v>
      </c>
      <c r="Y2136" t="str">
        <f t="shared" ca="1" si="737"/>
        <v>Morning</v>
      </c>
      <c r="Z2136" t="str">
        <f t="shared" ca="1" si="738"/>
        <v>Ultrasound</v>
      </c>
      <c r="AA2136" t="str">
        <f t="shared" ca="1" si="739"/>
        <v>Maintenance</v>
      </c>
      <c r="AB2136" t="str">
        <f t="shared" ca="1" si="740"/>
        <v>Paid</v>
      </c>
      <c r="AC2136" t="str">
        <f t="shared" ca="1" si="741"/>
        <v>Credit Card</v>
      </c>
      <c r="AD2136" t="str">
        <f t="shared" ca="1" si="742"/>
        <v>Yes</v>
      </c>
      <c r="AE2136" t="str">
        <f t="shared" ca="1" si="743"/>
        <v>No</v>
      </c>
      <c r="AF2136" t="str">
        <f t="shared" ca="1" si="744"/>
        <v>Under Observation</v>
      </c>
      <c r="AG2136" t="str">
        <f t="shared" ca="1" si="745"/>
        <v>Northeast</v>
      </c>
      <c r="AH2136" t="str">
        <f t="shared" si="728"/>
        <v>July</v>
      </c>
      <c r="AI2136">
        <f t="shared" si="729"/>
        <v>2022</v>
      </c>
      <c r="AJ2136" t="str">
        <f t="shared" ca="1" si="746"/>
        <v>Vacant</v>
      </c>
      <c r="AK2136">
        <f t="shared" ca="1" si="747"/>
        <v>4</v>
      </c>
    </row>
    <row r="2137" spans="1:37" x14ac:dyDescent="0.3">
      <c r="A2137" t="s">
        <v>6499</v>
      </c>
      <c r="B2137">
        <v>20</v>
      </c>
      <c r="C2137" t="s">
        <v>32</v>
      </c>
      <c r="D2137" t="s">
        <v>24</v>
      </c>
      <c r="E2137" t="s">
        <v>39</v>
      </c>
      <c r="F2137" s="1">
        <v>45394</v>
      </c>
      <c r="G2137" t="s">
        <v>4231</v>
      </c>
      <c r="H2137" t="s">
        <v>4232</v>
      </c>
      <c r="I2137" t="s">
        <v>51</v>
      </c>
      <c r="J2137">
        <v>16522</v>
      </c>
      <c r="K2137">
        <v>254</v>
      </c>
      <c r="L2137" t="s">
        <v>21</v>
      </c>
      <c r="M2137" s="1">
        <v>45402</v>
      </c>
      <c r="N2137" t="s">
        <v>67</v>
      </c>
      <c r="O2137" t="s">
        <v>23</v>
      </c>
      <c r="P2137" t="str">
        <f t="shared" si="730"/>
        <v>P2136</v>
      </c>
      <c r="Q2137" t="str">
        <f t="shared" si="726"/>
        <v>Endocrinology</v>
      </c>
      <c r="R2137">
        <f t="shared" si="727"/>
        <v>8</v>
      </c>
      <c r="S2137" t="str">
        <f t="shared" ca="1" si="731"/>
        <v>No</v>
      </c>
      <c r="T2137" t="str">
        <f t="shared" ca="1" si="732"/>
        <v>Mild</v>
      </c>
      <c r="U2137" t="str">
        <f t="shared" ca="1" si="733"/>
        <v>ICU</v>
      </c>
      <c r="V2137" t="str">
        <f t="shared" si="734"/>
        <v>BED2136</v>
      </c>
      <c r="W2137" t="str">
        <f t="shared" ca="1" si="735"/>
        <v>ICU</v>
      </c>
      <c r="X2137" t="str">
        <f t="shared" si="736"/>
        <v>NUR036</v>
      </c>
      <c r="Y2137" t="str">
        <f t="shared" ca="1" si="737"/>
        <v>Morning</v>
      </c>
      <c r="Z2137" t="str">
        <f t="shared" ca="1" si="738"/>
        <v>CT Scanner</v>
      </c>
      <c r="AA2137" t="str">
        <f t="shared" ca="1" si="739"/>
        <v>In Use</v>
      </c>
      <c r="AB2137" t="str">
        <f t="shared" ca="1" si="740"/>
        <v>Paid</v>
      </c>
      <c r="AC2137" t="str">
        <f t="shared" ca="1" si="741"/>
        <v>Insurance</v>
      </c>
      <c r="AD2137" t="str">
        <f t="shared" ca="1" si="742"/>
        <v>No</v>
      </c>
      <c r="AE2137" t="str">
        <f t="shared" ca="1" si="743"/>
        <v>No</v>
      </c>
      <c r="AF2137" t="str">
        <f t="shared" ca="1" si="744"/>
        <v>Transferred</v>
      </c>
      <c r="AG2137" t="str">
        <f t="shared" ca="1" si="745"/>
        <v>Northeast</v>
      </c>
      <c r="AH2137" t="str">
        <f t="shared" si="728"/>
        <v>April</v>
      </c>
      <c r="AI2137">
        <f t="shared" si="729"/>
        <v>2024</v>
      </c>
      <c r="AJ2137" t="str">
        <f t="shared" ca="1" si="746"/>
        <v>Occupied</v>
      </c>
      <c r="AK2137">
        <f t="shared" ca="1" si="747"/>
        <v>4</v>
      </c>
    </row>
    <row r="2138" spans="1:37" x14ac:dyDescent="0.3">
      <c r="A2138" t="s">
        <v>6500</v>
      </c>
      <c r="B2138">
        <v>85</v>
      </c>
      <c r="C2138" t="s">
        <v>15</v>
      </c>
      <c r="D2138" t="s">
        <v>52</v>
      </c>
      <c r="E2138" t="s">
        <v>39</v>
      </c>
      <c r="F2138" s="1">
        <v>44585</v>
      </c>
      <c r="G2138" t="s">
        <v>4233</v>
      </c>
      <c r="H2138" t="s">
        <v>2870</v>
      </c>
      <c r="I2138" t="s">
        <v>36</v>
      </c>
      <c r="J2138">
        <v>45207</v>
      </c>
      <c r="K2138">
        <v>320</v>
      </c>
      <c r="L2138" t="s">
        <v>21</v>
      </c>
      <c r="M2138" s="1">
        <v>44605</v>
      </c>
      <c r="N2138" t="s">
        <v>47</v>
      </c>
      <c r="O2138" t="s">
        <v>23</v>
      </c>
      <c r="P2138" t="str">
        <f t="shared" si="730"/>
        <v>P2137</v>
      </c>
      <c r="Q2138" t="str">
        <f t="shared" si="726"/>
        <v>Endocrinology</v>
      </c>
      <c r="R2138">
        <f t="shared" si="727"/>
        <v>20</v>
      </c>
      <c r="S2138" t="str">
        <f t="shared" ca="1" si="731"/>
        <v>No</v>
      </c>
      <c r="T2138" t="str">
        <f t="shared" ca="1" si="732"/>
        <v>Severe</v>
      </c>
      <c r="U2138" t="str">
        <f t="shared" ca="1" si="733"/>
        <v>Emergency</v>
      </c>
      <c r="V2138" t="str">
        <f t="shared" si="734"/>
        <v>BED2137</v>
      </c>
      <c r="W2138" t="str">
        <f t="shared" ca="1" si="735"/>
        <v>General</v>
      </c>
      <c r="X2138" t="str">
        <f t="shared" si="736"/>
        <v>NUR037</v>
      </c>
      <c r="Y2138" t="str">
        <f t="shared" ca="1" si="737"/>
        <v>Evening</v>
      </c>
      <c r="Z2138" t="str">
        <f t="shared" ca="1" si="738"/>
        <v>Ultrasound</v>
      </c>
      <c r="AA2138" t="str">
        <f t="shared" ca="1" si="739"/>
        <v>Maintenance</v>
      </c>
      <c r="AB2138" t="str">
        <f t="shared" ca="1" si="740"/>
        <v>Paid</v>
      </c>
      <c r="AC2138" t="str">
        <f t="shared" ca="1" si="741"/>
        <v>Insurance</v>
      </c>
      <c r="AD2138" t="str">
        <f t="shared" ca="1" si="742"/>
        <v>No</v>
      </c>
      <c r="AE2138" t="str">
        <f t="shared" ca="1" si="743"/>
        <v>No</v>
      </c>
      <c r="AF2138" t="str">
        <f t="shared" ca="1" si="744"/>
        <v>Transferred</v>
      </c>
      <c r="AG2138" t="str">
        <f t="shared" ca="1" si="745"/>
        <v>Northeast</v>
      </c>
      <c r="AH2138" t="str">
        <f t="shared" si="728"/>
        <v>January</v>
      </c>
      <c r="AI2138">
        <f t="shared" si="729"/>
        <v>2022</v>
      </c>
      <c r="AJ2138" t="str">
        <f t="shared" ca="1" si="746"/>
        <v>Vacant</v>
      </c>
      <c r="AK2138">
        <f t="shared" ca="1" si="747"/>
        <v>4</v>
      </c>
    </row>
    <row r="2139" spans="1:37" x14ac:dyDescent="0.3">
      <c r="A2139" t="s">
        <v>6501</v>
      </c>
      <c r="B2139">
        <v>51</v>
      </c>
      <c r="C2139" t="s">
        <v>15</v>
      </c>
      <c r="D2139" t="s">
        <v>33</v>
      </c>
      <c r="E2139" t="s">
        <v>64</v>
      </c>
      <c r="F2139" s="1">
        <v>43656</v>
      </c>
      <c r="G2139" t="s">
        <v>4234</v>
      </c>
      <c r="H2139" t="s">
        <v>3842</v>
      </c>
      <c r="I2139" t="s">
        <v>36</v>
      </c>
      <c r="J2139">
        <v>50464</v>
      </c>
      <c r="K2139">
        <v>191</v>
      </c>
      <c r="L2139" t="s">
        <v>29</v>
      </c>
      <c r="M2139" s="1">
        <v>43680</v>
      </c>
      <c r="N2139" t="s">
        <v>47</v>
      </c>
      <c r="O2139" t="s">
        <v>31</v>
      </c>
      <c r="P2139" t="str">
        <f t="shared" si="730"/>
        <v>P2138</v>
      </c>
      <c r="Q2139" t="str">
        <f t="shared" si="726"/>
        <v>Cardiology</v>
      </c>
      <c r="R2139">
        <f t="shared" si="727"/>
        <v>24</v>
      </c>
      <c r="S2139" t="str">
        <f t="shared" ca="1" si="731"/>
        <v>Yes</v>
      </c>
      <c r="T2139" t="str">
        <f t="shared" ca="1" si="732"/>
        <v>Moderate</v>
      </c>
      <c r="U2139" t="str">
        <f t="shared" ca="1" si="733"/>
        <v>Semi-Private</v>
      </c>
      <c r="V2139" t="str">
        <f t="shared" si="734"/>
        <v>BED2138</v>
      </c>
      <c r="W2139" t="str">
        <f t="shared" ca="1" si="735"/>
        <v>Private</v>
      </c>
      <c r="X2139" t="str">
        <f t="shared" si="736"/>
        <v>NUR038</v>
      </c>
      <c r="Y2139" t="str">
        <f t="shared" ca="1" si="737"/>
        <v>Evening</v>
      </c>
      <c r="Z2139" t="str">
        <f t="shared" ca="1" si="738"/>
        <v>X-Ray</v>
      </c>
      <c r="AA2139" t="str">
        <f t="shared" ca="1" si="739"/>
        <v>Maintenance</v>
      </c>
      <c r="AB2139" t="str">
        <f t="shared" ca="1" si="740"/>
        <v>Paid</v>
      </c>
      <c r="AC2139" t="str">
        <f t="shared" ca="1" si="741"/>
        <v>Insurance</v>
      </c>
      <c r="AD2139" t="str">
        <f t="shared" ca="1" si="742"/>
        <v>No</v>
      </c>
      <c r="AE2139" t="str">
        <f t="shared" ca="1" si="743"/>
        <v>Yes</v>
      </c>
      <c r="AF2139" t="str">
        <f t="shared" ca="1" si="744"/>
        <v>Transferred</v>
      </c>
      <c r="AG2139" t="str">
        <f t="shared" ca="1" si="745"/>
        <v>Midwest</v>
      </c>
      <c r="AH2139" t="str">
        <f t="shared" si="728"/>
        <v>July</v>
      </c>
      <c r="AI2139">
        <f t="shared" si="729"/>
        <v>2019</v>
      </c>
      <c r="AJ2139" t="str">
        <f t="shared" ca="1" si="746"/>
        <v>Occupied</v>
      </c>
      <c r="AK2139">
        <f t="shared" ca="1" si="747"/>
        <v>4</v>
      </c>
    </row>
    <row r="2140" spans="1:37" x14ac:dyDescent="0.3">
      <c r="A2140" t="s">
        <v>6502</v>
      </c>
      <c r="B2140">
        <v>83</v>
      </c>
      <c r="C2140" t="s">
        <v>32</v>
      </c>
      <c r="D2140" t="s">
        <v>24</v>
      </c>
      <c r="E2140" t="s">
        <v>64</v>
      </c>
      <c r="F2140" s="1">
        <v>45025</v>
      </c>
      <c r="G2140" t="s">
        <v>4235</v>
      </c>
      <c r="H2140" t="s">
        <v>4236</v>
      </c>
      <c r="I2140" t="s">
        <v>57</v>
      </c>
      <c r="J2140">
        <v>47406</v>
      </c>
      <c r="K2140">
        <v>267</v>
      </c>
      <c r="L2140" t="s">
        <v>29</v>
      </c>
      <c r="M2140" s="1">
        <v>45052</v>
      </c>
      <c r="N2140" t="s">
        <v>30</v>
      </c>
      <c r="O2140" t="s">
        <v>23</v>
      </c>
      <c r="P2140" t="str">
        <f t="shared" si="730"/>
        <v>P2139</v>
      </c>
      <c r="Q2140" t="str">
        <f t="shared" si="726"/>
        <v>Cardiology</v>
      </c>
      <c r="R2140">
        <f t="shared" si="727"/>
        <v>27</v>
      </c>
      <c r="S2140" t="str">
        <f t="shared" ca="1" si="731"/>
        <v>No</v>
      </c>
      <c r="T2140" t="str">
        <f t="shared" ca="1" si="732"/>
        <v>Mild</v>
      </c>
      <c r="U2140" t="str">
        <f t="shared" ca="1" si="733"/>
        <v>ICU</v>
      </c>
      <c r="V2140" t="str">
        <f t="shared" si="734"/>
        <v>BED2139</v>
      </c>
      <c r="W2140" t="str">
        <f t="shared" ca="1" si="735"/>
        <v>Semi-Private</v>
      </c>
      <c r="X2140" t="str">
        <f t="shared" si="736"/>
        <v>NUR039</v>
      </c>
      <c r="Y2140" t="str">
        <f t="shared" ca="1" si="737"/>
        <v>Night</v>
      </c>
      <c r="Z2140" t="str">
        <f t="shared" ca="1" si="738"/>
        <v>MRI Scanner</v>
      </c>
      <c r="AA2140" t="str">
        <f t="shared" ca="1" si="739"/>
        <v>Maintenance</v>
      </c>
      <c r="AB2140" t="str">
        <f t="shared" ca="1" si="740"/>
        <v>Partially Paid</v>
      </c>
      <c r="AC2140" t="str">
        <f t="shared" ca="1" si="741"/>
        <v>Cash</v>
      </c>
      <c r="AD2140" t="str">
        <f t="shared" ca="1" si="742"/>
        <v>No</v>
      </c>
      <c r="AE2140" t="str">
        <f t="shared" ca="1" si="743"/>
        <v>No</v>
      </c>
      <c r="AF2140" t="str">
        <f t="shared" ca="1" si="744"/>
        <v>Under Observation</v>
      </c>
      <c r="AG2140" t="str">
        <f t="shared" ca="1" si="745"/>
        <v>West Coast</v>
      </c>
      <c r="AH2140" t="str">
        <f t="shared" si="728"/>
        <v>April</v>
      </c>
      <c r="AI2140">
        <f t="shared" si="729"/>
        <v>2023</v>
      </c>
      <c r="AJ2140" t="str">
        <f t="shared" ca="1" si="746"/>
        <v>Occupied</v>
      </c>
      <c r="AK2140">
        <f t="shared" ca="1" si="747"/>
        <v>2</v>
      </c>
    </row>
    <row r="2141" spans="1:37" x14ac:dyDescent="0.3">
      <c r="A2141" t="s">
        <v>6503</v>
      </c>
      <c r="B2141">
        <v>23</v>
      </c>
      <c r="C2141" t="s">
        <v>32</v>
      </c>
      <c r="D2141" t="s">
        <v>83</v>
      </c>
      <c r="E2141" t="s">
        <v>48</v>
      </c>
      <c r="F2141" s="1">
        <v>45036</v>
      </c>
      <c r="G2141" t="s">
        <v>4237</v>
      </c>
      <c r="H2141" t="s">
        <v>4238</v>
      </c>
      <c r="I2141" t="s">
        <v>57</v>
      </c>
      <c r="J2141">
        <v>2207</v>
      </c>
      <c r="K2141">
        <v>234</v>
      </c>
      <c r="L2141" t="s">
        <v>42</v>
      </c>
      <c r="M2141" s="1">
        <v>45065</v>
      </c>
      <c r="N2141" t="s">
        <v>67</v>
      </c>
      <c r="O2141" t="s">
        <v>31</v>
      </c>
      <c r="P2141" t="str">
        <f t="shared" si="730"/>
        <v>P2140</v>
      </c>
      <c r="Q2141" t="str">
        <f t="shared" si="726"/>
        <v>Pulmonology</v>
      </c>
      <c r="R2141">
        <f t="shared" si="727"/>
        <v>29</v>
      </c>
      <c r="S2141" t="str">
        <f t="shared" ca="1" si="731"/>
        <v>No</v>
      </c>
      <c r="T2141" t="str">
        <f t="shared" ca="1" si="732"/>
        <v>Severe</v>
      </c>
      <c r="U2141" t="str">
        <f t="shared" ca="1" si="733"/>
        <v>Emergency</v>
      </c>
      <c r="V2141" t="str">
        <f t="shared" si="734"/>
        <v>BED2140</v>
      </c>
      <c r="W2141" t="str">
        <f t="shared" ca="1" si="735"/>
        <v>General</v>
      </c>
      <c r="X2141" t="str">
        <f t="shared" si="736"/>
        <v>NUR040</v>
      </c>
      <c r="Y2141" t="str">
        <f t="shared" ca="1" si="737"/>
        <v>Evening</v>
      </c>
      <c r="Z2141" t="str">
        <f t="shared" ca="1" si="738"/>
        <v>CT Scanner</v>
      </c>
      <c r="AA2141" t="str">
        <f t="shared" ca="1" si="739"/>
        <v>In Use</v>
      </c>
      <c r="AB2141" t="str">
        <f t="shared" ca="1" si="740"/>
        <v>Pending</v>
      </c>
      <c r="AC2141" t="str">
        <f t="shared" ca="1" si="741"/>
        <v>Debit Card</v>
      </c>
      <c r="AD2141" t="str">
        <f t="shared" ca="1" si="742"/>
        <v>No</v>
      </c>
      <c r="AE2141" t="str">
        <f t="shared" ca="1" si="743"/>
        <v>No</v>
      </c>
      <c r="AF2141" t="str">
        <f t="shared" ca="1" si="744"/>
        <v>Under Observation</v>
      </c>
      <c r="AG2141" t="str">
        <f t="shared" ca="1" si="745"/>
        <v>Northeast</v>
      </c>
      <c r="AH2141" t="str">
        <f t="shared" si="728"/>
        <v>April</v>
      </c>
      <c r="AI2141">
        <f t="shared" si="729"/>
        <v>2023</v>
      </c>
      <c r="AJ2141" t="str">
        <f t="shared" ca="1" si="746"/>
        <v>Occupied</v>
      </c>
      <c r="AK2141">
        <f t="shared" ca="1" si="747"/>
        <v>2</v>
      </c>
    </row>
    <row r="2142" spans="1:37" x14ac:dyDescent="0.3">
      <c r="A2142" t="s">
        <v>6504</v>
      </c>
      <c r="B2142">
        <v>57</v>
      </c>
      <c r="C2142" t="s">
        <v>15</v>
      </c>
      <c r="D2142" t="s">
        <v>16</v>
      </c>
      <c r="E2142" t="s">
        <v>48</v>
      </c>
      <c r="F2142" s="1">
        <v>44166</v>
      </c>
      <c r="G2142" t="s">
        <v>4239</v>
      </c>
      <c r="H2142" t="s">
        <v>4240</v>
      </c>
      <c r="I2142" t="s">
        <v>36</v>
      </c>
      <c r="J2142">
        <v>4808</v>
      </c>
      <c r="K2142">
        <v>233</v>
      </c>
      <c r="L2142" t="s">
        <v>29</v>
      </c>
      <c r="M2142" s="1">
        <v>44193</v>
      </c>
      <c r="N2142" t="s">
        <v>30</v>
      </c>
      <c r="O2142" t="s">
        <v>23</v>
      </c>
      <c r="P2142" t="str">
        <f t="shared" si="730"/>
        <v>P2141</v>
      </c>
      <c r="Q2142" t="str">
        <f t="shared" si="726"/>
        <v>Pulmonology</v>
      </c>
      <c r="R2142">
        <f t="shared" si="727"/>
        <v>27</v>
      </c>
      <c r="S2142" t="str">
        <f t="shared" ca="1" si="731"/>
        <v>No</v>
      </c>
      <c r="T2142" t="str">
        <f t="shared" ca="1" si="732"/>
        <v>Critical</v>
      </c>
      <c r="U2142" t="str">
        <f t="shared" ca="1" si="733"/>
        <v>Semi-Private</v>
      </c>
      <c r="V2142" t="str">
        <f t="shared" si="734"/>
        <v>BED2141</v>
      </c>
      <c r="W2142" t="str">
        <f t="shared" ca="1" si="735"/>
        <v>ICU</v>
      </c>
      <c r="X2142" t="str">
        <f t="shared" si="736"/>
        <v>NUR041</v>
      </c>
      <c r="Y2142" t="str">
        <f t="shared" ca="1" si="737"/>
        <v>Night</v>
      </c>
      <c r="Z2142" t="str">
        <f t="shared" ca="1" si="738"/>
        <v>Ultrasound</v>
      </c>
      <c r="AA2142" t="str">
        <f t="shared" ca="1" si="739"/>
        <v>In Use</v>
      </c>
      <c r="AB2142" t="str">
        <f t="shared" ca="1" si="740"/>
        <v>Paid</v>
      </c>
      <c r="AC2142" t="str">
        <f t="shared" ca="1" si="741"/>
        <v>Bank Transfer</v>
      </c>
      <c r="AD2142" t="str">
        <f t="shared" ca="1" si="742"/>
        <v>No</v>
      </c>
      <c r="AE2142" t="str">
        <f t="shared" ca="1" si="743"/>
        <v>No</v>
      </c>
      <c r="AF2142" t="str">
        <f t="shared" ca="1" si="744"/>
        <v>Transferred</v>
      </c>
      <c r="AG2142" t="str">
        <f t="shared" ca="1" si="745"/>
        <v>West Coast</v>
      </c>
      <c r="AH2142" t="str">
        <f t="shared" si="728"/>
        <v>December</v>
      </c>
      <c r="AI2142">
        <f t="shared" si="729"/>
        <v>2020</v>
      </c>
      <c r="AJ2142" t="str">
        <f t="shared" ca="1" si="746"/>
        <v>Occupied</v>
      </c>
      <c r="AK2142">
        <f t="shared" ca="1" si="747"/>
        <v>1</v>
      </c>
    </row>
    <row r="2143" spans="1:37" x14ac:dyDescent="0.3">
      <c r="A2143" t="s">
        <v>6505</v>
      </c>
      <c r="B2143">
        <v>51</v>
      </c>
      <c r="C2143" t="s">
        <v>32</v>
      </c>
      <c r="D2143" t="s">
        <v>38</v>
      </c>
      <c r="E2143" t="s">
        <v>76</v>
      </c>
      <c r="F2143" s="1">
        <v>44786</v>
      </c>
      <c r="G2143" t="s">
        <v>4241</v>
      </c>
      <c r="H2143" t="s">
        <v>4242</v>
      </c>
      <c r="I2143" t="s">
        <v>57</v>
      </c>
      <c r="J2143">
        <v>47173</v>
      </c>
      <c r="K2143">
        <v>468</v>
      </c>
      <c r="L2143" t="s">
        <v>21</v>
      </c>
      <c r="M2143" s="1">
        <v>44806</v>
      </c>
      <c r="N2143" t="s">
        <v>37</v>
      </c>
      <c r="O2143" t="s">
        <v>43</v>
      </c>
      <c r="P2143" t="str">
        <f t="shared" si="730"/>
        <v>P2142</v>
      </c>
      <c r="Q2143" t="str">
        <f t="shared" si="726"/>
        <v>Orthopedics</v>
      </c>
      <c r="R2143">
        <f t="shared" si="727"/>
        <v>20</v>
      </c>
      <c r="S2143" t="str">
        <f t="shared" ca="1" si="731"/>
        <v>No</v>
      </c>
      <c r="T2143" t="str">
        <f t="shared" ca="1" si="732"/>
        <v>Mild</v>
      </c>
      <c r="U2143" t="str">
        <f t="shared" ca="1" si="733"/>
        <v>General Ward</v>
      </c>
      <c r="V2143" t="str">
        <f t="shared" si="734"/>
        <v>BED2142</v>
      </c>
      <c r="W2143" t="str">
        <f t="shared" ca="1" si="735"/>
        <v>General</v>
      </c>
      <c r="X2143" t="str">
        <f t="shared" si="736"/>
        <v>NUR042</v>
      </c>
      <c r="Y2143" t="str">
        <f t="shared" ca="1" si="737"/>
        <v>Evening</v>
      </c>
      <c r="Z2143" t="str">
        <f t="shared" ca="1" si="738"/>
        <v>ECG Machine</v>
      </c>
      <c r="AA2143" t="str">
        <f t="shared" ca="1" si="739"/>
        <v>Available</v>
      </c>
      <c r="AB2143" t="str">
        <f t="shared" ca="1" si="740"/>
        <v>Partially Paid</v>
      </c>
      <c r="AC2143" t="str">
        <f t="shared" ca="1" si="741"/>
        <v>Credit Card</v>
      </c>
      <c r="AD2143" t="str">
        <f t="shared" ca="1" si="742"/>
        <v>No</v>
      </c>
      <c r="AE2143" t="str">
        <f t="shared" ca="1" si="743"/>
        <v>No</v>
      </c>
      <c r="AF2143" t="str">
        <f t="shared" ca="1" si="744"/>
        <v>Under Observation</v>
      </c>
      <c r="AG2143" t="str">
        <f t="shared" ca="1" si="745"/>
        <v>Midwest</v>
      </c>
      <c r="AH2143" t="str">
        <f t="shared" si="728"/>
        <v>August</v>
      </c>
      <c r="AI2143">
        <f t="shared" si="729"/>
        <v>2022</v>
      </c>
      <c r="AJ2143" t="str">
        <f t="shared" ca="1" si="746"/>
        <v>Vacant</v>
      </c>
      <c r="AK2143">
        <f t="shared" ca="1" si="747"/>
        <v>2</v>
      </c>
    </row>
    <row r="2144" spans="1:37" x14ac:dyDescent="0.3">
      <c r="A2144" t="s">
        <v>6506</v>
      </c>
      <c r="B2144">
        <v>42</v>
      </c>
      <c r="C2144" t="s">
        <v>32</v>
      </c>
      <c r="D2144" t="s">
        <v>38</v>
      </c>
      <c r="E2144" t="s">
        <v>48</v>
      </c>
      <c r="F2144" s="1">
        <v>45388</v>
      </c>
      <c r="G2144" t="s">
        <v>4243</v>
      </c>
      <c r="H2144" t="s">
        <v>4244</v>
      </c>
      <c r="I2144" t="s">
        <v>57</v>
      </c>
      <c r="J2144">
        <v>43318</v>
      </c>
      <c r="K2144">
        <v>408</v>
      </c>
      <c r="L2144" t="s">
        <v>42</v>
      </c>
      <c r="M2144" s="1">
        <v>45406</v>
      </c>
      <c r="N2144" t="s">
        <v>37</v>
      </c>
      <c r="O2144" t="s">
        <v>23</v>
      </c>
      <c r="P2144" t="str">
        <f t="shared" si="730"/>
        <v>P2143</v>
      </c>
      <c r="Q2144" t="str">
        <f t="shared" si="726"/>
        <v>Pulmonology</v>
      </c>
      <c r="R2144">
        <f t="shared" si="727"/>
        <v>18</v>
      </c>
      <c r="S2144" t="str">
        <f t="shared" ca="1" si="731"/>
        <v>No</v>
      </c>
      <c r="T2144" t="str">
        <f t="shared" ca="1" si="732"/>
        <v>Critical</v>
      </c>
      <c r="U2144" t="str">
        <f t="shared" ca="1" si="733"/>
        <v>Private Ward</v>
      </c>
      <c r="V2144" t="str">
        <f t="shared" si="734"/>
        <v>BED2143</v>
      </c>
      <c r="W2144" t="str">
        <f t="shared" ca="1" si="735"/>
        <v>General</v>
      </c>
      <c r="X2144" t="str">
        <f t="shared" si="736"/>
        <v>NUR043</v>
      </c>
      <c r="Y2144" t="str">
        <f t="shared" ca="1" si="737"/>
        <v>Morning</v>
      </c>
      <c r="Z2144" t="str">
        <f t="shared" ca="1" si="738"/>
        <v>CT Scanner</v>
      </c>
      <c r="AA2144" t="str">
        <f t="shared" ca="1" si="739"/>
        <v>Available</v>
      </c>
      <c r="AB2144" t="str">
        <f t="shared" ca="1" si="740"/>
        <v>Pending</v>
      </c>
      <c r="AC2144" t="str">
        <f t="shared" ca="1" si="741"/>
        <v>Bank Transfer</v>
      </c>
      <c r="AD2144" t="str">
        <f t="shared" ca="1" si="742"/>
        <v>No</v>
      </c>
      <c r="AE2144" t="str">
        <f t="shared" ca="1" si="743"/>
        <v>Yes</v>
      </c>
      <c r="AF2144" t="str">
        <f t="shared" ca="1" si="744"/>
        <v>Under Observation</v>
      </c>
      <c r="AG2144" t="str">
        <f t="shared" ca="1" si="745"/>
        <v>Northeast</v>
      </c>
      <c r="AH2144" t="str">
        <f t="shared" si="728"/>
        <v>April</v>
      </c>
      <c r="AI2144">
        <f t="shared" si="729"/>
        <v>2024</v>
      </c>
      <c r="AJ2144" t="str">
        <f t="shared" ca="1" si="746"/>
        <v>Vacant</v>
      </c>
      <c r="AK2144">
        <f t="shared" ca="1" si="747"/>
        <v>2</v>
      </c>
    </row>
    <row r="2145" spans="1:37" x14ac:dyDescent="0.3">
      <c r="A2145" t="s">
        <v>6507</v>
      </c>
      <c r="B2145">
        <v>24</v>
      </c>
      <c r="C2145" t="s">
        <v>15</v>
      </c>
      <c r="D2145" t="s">
        <v>44</v>
      </c>
      <c r="E2145" t="s">
        <v>76</v>
      </c>
      <c r="F2145" s="1">
        <v>43633</v>
      </c>
      <c r="G2145" t="s">
        <v>4245</v>
      </c>
      <c r="H2145" t="s">
        <v>4246</v>
      </c>
      <c r="I2145" t="s">
        <v>51</v>
      </c>
      <c r="J2145">
        <v>42202</v>
      </c>
      <c r="K2145">
        <v>213</v>
      </c>
      <c r="L2145" t="s">
        <v>21</v>
      </c>
      <c r="M2145" s="1">
        <v>43635</v>
      </c>
      <c r="N2145" t="s">
        <v>22</v>
      </c>
      <c r="O2145" t="s">
        <v>43</v>
      </c>
      <c r="P2145" t="str">
        <f t="shared" si="730"/>
        <v>P2144</v>
      </c>
      <c r="Q2145" t="str">
        <f t="shared" si="726"/>
        <v>Orthopedics</v>
      </c>
      <c r="R2145">
        <f t="shared" si="727"/>
        <v>2</v>
      </c>
      <c r="S2145" t="str">
        <f t="shared" ca="1" si="731"/>
        <v>No</v>
      </c>
      <c r="T2145" t="str">
        <f t="shared" ca="1" si="732"/>
        <v>Critical</v>
      </c>
      <c r="U2145" t="str">
        <f t="shared" ca="1" si="733"/>
        <v>General Ward</v>
      </c>
      <c r="V2145" t="str">
        <f t="shared" si="734"/>
        <v>BED2144</v>
      </c>
      <c r="W2145" t="str">
        <f t="shared" ca="1" si="735"/>
        <v>General</v>
      </c>
      <c r="X2145" t="str">
        <f t="shared" si="736"/>
        <v>NUR044</v>
      </c>
      <c r="Y2145" t="str">
        <f t="shared" ca="1" si="737"/>
        <v>Evening</v>
      </c>
      <c r="Z2145" t="str">
        <f t="shared" ca="1" si="738"/>
        <v>Ultrasound</v>
      </c>
      <c r="AA2145" t="str">
        <f t="shared" ca="1" si="739"/>
        <v>Maintenance</v>
      </c>
      <c r="AB2145" t="str">
        <f t="shared" ca="1" si="740"/>
        <v>Partially Paid</v>
      </c>
      <c r="AC2145" t="str">
        <f t="shared" ca="1" si="741"/>
        <v>Insurance</v>
      </c>
      <c r="AD2145" t="str">
        <f t="shared" ca="1" si="742"/>
        <v>No</v>
      </c>
      <c r="AE2145" t="str">
        <f t="shared" ca="1" si="743"/>
        <v>No</v>
      </c>
      <c r="AF2145" t="str">
        <f t="shared" ca="1" si="744"/>
        <v>Under Observation</v>
      </c>
      <c r="AG2145" t="str">
        <f t="shared" ca="1" si="745"/>
        <v>Southwest</v>
      </c>
      <c r="AH2145" t="str">
        <f t="shared" si="728"/>
        <v>June</v>
      </c>
      <c r="AI2145">
        <f t="shared" si="729"/>
        <v>2019</v>
      </c>
      <c r="AJ2145" t="str">
        <f t="shared" ca="1" si="746"/>
        <v>Occupied</v>
      </c>
      <c r="AK2145">
        <f t="shared" ca="1" si="747"/>
        <v>4</v>
      </c>
    </row>
    <row r="2146" spans="1:37" x14ac:dyDescent="0.3">
      <c r="A2146" t="s">
        <v>6508</v>
      </c>
      <c r="B2146">
        <v>27</v>
      </c>
      <c r="C2146" t="s">
        <v>32</v>
      </c>
      <c r="D2146" t="s">
        <v>98</v>
      </c>
      <c r="E2146" t="s">
        <v>76</v>
      </c>
      <c r="F2146" s="1">
        <v>43894</v>
      </c>
      <c r="G2146" t="s">
        <v>4247</v>
      </c>
      <c r="H2146" t="s">
        <v>4248</v>
      </c>
      <c r="I2146" t="s">
        <v>28</v>
      </c>
      <c r="J2146">
        <v>45269</v>
      </c>
      <c r="K2146">
        <v>181</v>
      </c>
      <c r="L2146" t="s">
        <v>29</v>
      </c>
      <c r="M2146" s="1">
        <v>43921</v>
      </c>
      <c r="N2146" t="s">
        <v>30</v>
      </c>
      <c r="O2146" t="s">
        <v>23</v>
      </c>
      <c r="P2146" t="str">
        <f t="shared" si="730"/>
        <v>P2145</v>
      </c>
      <c r="Q2146" t="str">
        <f t="shared" si="726"/>
        <v>Orthopedics</v>
      </c>
      <c r="R2146">
        <f t="shared" si="727"/>
        <v>27</v>
      </c>
      <c r="S2146" t="str">
        <f t="shared" ca="1" si="731"/>
        <v>No</v>
      </c>
      <c r="T2146" t="str">
        <f t="shared" ca="1" si="732"/>
        <v>Mild</v>
      </c>
      <c r="U2146" t="str">
        <f t="shared" ca="1" si="733"/>
        <v>Semi-Private</v>
      </c>
      <c r="V2146" t="str">
        <f t="shared" si="734"/>
        <v>BED2145</v>
      </c>
      <c r="W2146" t="str">
        <f t="shared" ca="1" si="735"/>
        <v>ICU</v>
      </c>
      <c r="X2146" t="str">
        <f t="shared" si="736"/>
        <v>NUR045</v>
      </c>
      <c r="Y2146" t="str">
        <f t="shared" ca="1" si="737"/>
        <v>Morning</v>
      </c>
      <c r="Z2146" t="str">
        <f t="shared" ca="1" si="738"/>
        <v>X-Ray</v>
      </c>
      <c r="AA2146" t="str">
        <f t="shared" ca="1" si="739"/>
        <v>Available</v>
      </c>
      <c r="AB2146" t="str">
        <f t="shared" ca="1" si="740"/>
        <v>Paid</v>
      </c>
      <c r="AC2146" t="str">
        <f t="shared" ca="1" si="741"/>
        <v>Insurance</v>
      </c>
      <c r="AD2146" t="str">
        <f t="shared" ca="1" si="742"/>
        <v>No</v>
      </c>
      <c r="AE2146" t="str">
        <f t="shared" ca="1" si="743"/>
        <v>No</v>
      </c>
      <c r="AF2146" t="str">
        <f t="shared" ca="1" si="744"/>
        <v>Recovered</v>
      </c>
      <c r="AG2146" t="str">
        <f t="shared" ca="1" si="745"/>
        <v>Southeast</v>
      </c>
      <c r="AH2146" t="str">
        <f t="shared" si="728"/>
        <v>March</v>
      </c>
      <c r="AI2146">
        <f t="shared" si="729"/>
        <v>2020</v>
      </c>
      <c r="AJ2146" t="str">
        <f t="shared" ca="1" si="746"/>
        <v>Occupied</v>
      </c>
      <c r="AK2146">
        <f t="shared" ca="1" si="747"/>
        <v>1</v>
      </c>
    </row>
    <row r="2147" spans="1:37" x14ac:dyDescent="0.3">
      <c r="A2147" t="s">
        <v>6509</v>
      </c>
      <c r="B2147">
        <v>59</v>
      </c>
      <c r="C2147" t="s">
        <v>15</v>
      </c>
      <c r="D2147" t="s">
        <v>38</v>
      </c>
      <c r="E2147" t="s">
        <v>17</v>
      </c>
      <c r="F2147" s="1">
        <v>44339</v>
      </c>
      <c r="G2147" t="s">
        <v>4249</v>
      </c>
      <c r="H2147" t="s">
        <v>4250</v>
      </c>
      <c r="I2147" t="s">
        <v>36</v>
      </c>
      <c r="J2147">
        <v>7102</v>
      </c>
      <c r="K2147">
        <v>108</v>
      </c>
      <c r="L2147" t="s">
        <v>21</v>
      </c>
      <c r="M2147" s="1">
        <v>44356</v>
      </c>
      <c r="N2147" t="s">
        <v>30</v>
      </c>
      <c r="O2147" t="s">
        <v>23</v>
      </c>
      <c r="P2147" t="str">
        <f t="shared" si="730"/>
        <v>P2146</v>
      </c>
      <c r="Q2147" t="str">
        <f t="shared" si="726"/>
        <v>Oncology</v>
      </c>
      <c r="R2147">
        <f t="shared" si="727"/>
        <v>17</v>
      </c>
      <c r="S2147" t="str">
        <f t="shared" ca="1" si="731"/>
        <v>No</v>
      </c>
      <c r="T2147" t="str">
        <f t="shared" ca="1" si="732"/>
        <v>Severe</v>
      </c>
      <c r="U2147" t="str">
        <f t="shared" ca="1" si="733"/>
        <v>Semi-Private</v>
      </c>
      <c r="V2147" t="str">
        <f t="shared" si="734"/>
        <v>BED2146</v>
      </c>
      <c r="W2147" t="str">
        <f t="shared" ca="1" si="735"/>
        <v>Semi-Private</v>
      </c>
      <c r="X2147" t="str">
        <f t="shared" si="736"/>
        <v>NUR046</v>
      </c>
      <c r="Y2147" t="str">
        <f t="shared" ca="1" si="737"/>
        <v>Evening</v>
      </c>
      <c r="Z2147" t="str">
        <f t="shared" ca="1" si="738"/>
        <v>ECG Machine</v>
      </c>
      <c r="AA2147" t="str">
        <f t="shared" ca="1" si="739"/>
        <v>In Use</v>
      </c>
      <c r="AB2147" t="str">
        <f t="shared" ca="1" si="740"/>
        <v>Pending</v>
      </c>
      <c r="AC2147" t="str">
        <f t="shared" ca="1" si="741"/>
        <v>Cash</v>
      </c>
      <c r="AD2147" t="str">
        <f t="shared" ca="1" si="742"/>
        <v>No</v>
      </c>
      <c r="AE2147" t="str">
        <f t="shared" ca="1" si="743"/>
        <v>No</v>
      </c>
      <c r="AF2147" t="str">
        <f t="shared" ca="1" si="744"/>
        <v>Recovered</v>
      </c>
      <c r="AG2147" t="str">
        <f t="shared" ca="1" si="745"/>
        <v>Northeast</v>
      </c>
      <c r="AH2147" t="str">
        <f t="shared" si="728"/>
        <v>May</v>
      </c>
      <c r="AI2147">
        <f t="shared" si="729"/>
        <v>2021</v>
      </c>
      <c r="AJ2147" t="str">
        <f t="shared" ca="1" si="746"/>
        <v>Vacant</v>
      </c>
      <c r="AK2147">
        <f t="shared" ca="1" si="747"/>
        <v>1</v>
      </c>
    </row>
    <row r="2148" spans="1:37" x14ac:dyDescent="0.3">
      <c r="A2148" t="s">
        <v>6510</v>
      </c>
      <c r="B2148">
        <v>63</v>
      </c>
      <c r="C2148" t="s">
        <v>15</v>
      </c>
      <c r="D2148" t="s">
        <v>38</v>
      </c>
      <c r="E2148" t="s">
        <v>39</v>
      </c>
      <c r="F2148" s="1">
        <v>44168</v>
      </c>
      <c r="G2148" t="s">
        <v>4251</v>
      </c>
      <c r="H2148" t="s">
        <v>4252</v>
      </c>
      <c r="I2148" t="s">
        <v>36</v>
      </c>
      <c r="J2148">
        <v>6395</v>
      </c>
      <c r="K2148">
        <v>204</v>
      </c>
      <c r="L2148" t="s">
        <v>29</v>
      </c>
      <c r="M2148" s="1">
        <v>44177</v>
      </c>
      <c r="N2148" t="s">
        <v>67</v>
      </c>
      <c r="O2148" t="s">
        <v>23</v>
      </c>
      <c r="P2148" t="str">
        <f t="shared" si="730"/>
        <v>P2147</v>
      </c>
      <c r="Q2148" t="str">
        <f t="shared" si="726"/>
        <v>Endocrinology</v>
      </c>
      <c r="R2148">
        <f t="shared" si="727"/>
        <v>9</v>
      </c>
      <c r="S2148" t="str">
        <f t="shared" ca="1" si="731"/>
        <v>Yes</v>
      </c>
      <c r="T2148" t="str">
        <f t="shared" ca="1" si="732"/>
        <v>Moderate</v>
      </c>
      <c r="U2148" t="str">
        <f t="shared" ca="1" si="733"/>
        <v>General Ward</v>
      </c>
      <c r="V2148" t="str">
        <f t="shared" si="734"/>
        <v>BED2147</v>
      </c>
      <c r="W2148" t="str">
        <f t="shared" ca="1" si="735"/>
        <v>Semi-Private</v>
      </c>
      <c r="X2148" t="str">
        <f t="shared" si="736"/>
        <v>NUR047</v>
      </c>
      <c r="Y2148" t="str">
        <f t="shared" ca="1" si="737"/>
        <v>Evening</v>
      </c>
      <c r="Z2148" t="str">
        <f t="shared" ca="1" si="738"/>
        <v>CT Scanner</v>
      </c>
      <c r="AA2148" t="str">
        <f t="shared" ca="1" si="739"/>
        <v>Available</v>
      </c>
      <c r="AB2148" t="str">
        <f t="shared" ca="1" si="740"/>
        <v>Partially Paid</v>
      </c>
      <c r="AC2148" t="str">
        <f t="shared" ca="1" si="741"/>
        <v>Credit Card</v>
      </c>
      <c r="AD2148" t="str">
        <f t="shared" ca="1" si="742"/>
        <v>No</v>
      </c>
      <c r="AE2148" t="str">
        <f t="shared" ca="1" si="743"/>
        <v>Yes</v>
      </c>
      <c r="AF2148" t="str">
        <f t="shared" ca="1" si="744"/>
        <v>Under Observation</v>
      </c>
      <c r="AG2148" t="str">
        <f t="shared" ca="1" si="745"/>
        <v>Midwest</v>
      </c>
      <c r="AH2148" t="str">
        <f t="shared" si="728"/>
        <v>December</v>
      </c>
      <c r="AI2148">
        <f t="shared" si="729"/>
        <v>2020</v>
      </c>
      <c r="AJ2148" t="str">
        <f t="shared" ca="1" si="746"/>
        <v>Vacant</v>
      </c>
      <c r="AK2148">
        <f t="shared" ca="1" si="747"/>
        <v>1</v>
      </c>
    </row>
    <row r="2149" spans="1:37" x14ac:dyDescent="0.3">
      <c r="A2149" t="s">
        <v>6511</v>
      </c>
      <c r="B2149">
        <v>65</v>
      </c>
      <c r="C2149" t="s">
        <v>15</v>
      </c>
      <c r="D2149" t="s">
        <v>98</v>
      </c>
      <c r="E2149" t="s">
        <v>17</v>
      </c>
      <c r="F2149" s="1">
        <v>44234</v>
      </c>
      <c r="G2149" t="s">
        <v>4253</v>
      </c>
      <c r="H2149" t="s">
        <v>4254</v>
      </c>
      <c r="I2149" t="s">
        <v>28</v>
      </c>
      <c r="J2149">
        <v>27143</v>
      </c>
      <c r="K2149">
        <v>287</v>
      </c>
      <c r="L2149" t="s">
        <v>42</v>
      </c>
      <c r="M2149" s="1">
        <v>44249</v>
      </c>
      <c r="N2149" t="s">
        <v>47</v>
      </c>
      <c r="O2149" t="s">
        <v>31</v>
      </c>
      <c r="P2149" t="str">
        <f t="shared" si="730"/>
        <v>P2148</v>
      </c>
      <c r="Q2149" t="str">
        <f t="shared" si="726"/>
        <v>Oncology</v>
      </c>
      <c r="R2149">
        <f t="shared" si="727"/>
        <v>15</v>
      </c>
      <c r="S2149" t="str">
        <f t="shared" ca="1" si="731"/>
        <v>Yes</v>
      </c>
      <c r="T2149" t="str">
        <f t="shared" ca="1" si="732"/>
        <v>Critical</v>
      </c>
      <c r="U2149" t="str">
        <f t="shared" ca="1" si="733"/>
        <v>ICU</v>
      </c>
      <c r="V2149" t="str">
        <f t="shared" si="734"/>
        <v>BED2148</v>
      </c>
      <c r="W2149" t="str">
        <f t="shared" ca="1" si="735"/>
        <v>Semi-Private</v>
      </c>
      <c r="X2149" t="str">
        <f t="shared" si="736"/>
        <v>NUR048</v>
      </c>
      <c r="Y2149" t="str">
        <f t="shared" ca="1" si="737"/>
        <v>Morning</v>
      </c>
      <c r="Z2149" t="str">
        <f t="shared" ca="1" si="738"/>
        <v>CT Scanner</v>
      </c>
      <c r="AA2149" t="str">
        <f t="shared" ca="1" si="739"/>
        <v>Available</v>
      </c>
      <c r="AB2149" t="str">
        <f t="shared" ca="1" si="740"/>
        <v>Paid</v>
      </c>
      <c r="AC2149" t="str">
        <f t="shared" ca="1" si="741"/>
        <v>Debit Card</v>
      </c>
      <c r="AD2149" t="str">
        <f t="shared" ca="1" si="742"/>
        <v>No</v>
      </c>
      <c r="AE2149" t="str">
        <f t="shared" ca="1" si="743"/>
        <v>No</v>
      </c>
      <c r="AF2149" t="str">
        <f t="shared" ca="1" si="744"/>
        <v>Recovered</v>
      </c>
      <c r="AG2149" t="str">
        <f t="shared" ca="1" si="745"/>
        <v>Midwest</v>
      </c>
      <c r="AH2149" t="str">
        <f t="shared" si="728"/>
        <v>February</v>
      </c>
      <c r="AI2149">
        <f t="shared" si="729"/>
        <v>2021</v>
      </c>
      <c r="AJ2149" t="str">
        <f t="shared" ca="1" si="746"/>
        <v>Vacant</v>
      </c>
      <c r="AK2149">
        <f t="shared" ca="1" si="747"/>
        <v>2</v>
      </c>
    </row>
    <row r="2150" spans="1:37" x14ac:dyDescent="0.3">
      <c r="A2150" t="s">
        <v>6512</v>
      </c>
      <c r="B2150">
        <v>50</v>
      </c>
      <c r="C2150" t="s">
        <v>15</v>
      </c>
      <c r="D2150" t="s">
        <v>98</v>
      </c>
      <c r="E2150" t="s">
        <v>17</v>
      </c>
      <c r="F2150" s="1">
        <v>44388</v>
      </c>
      <c r="G2150" t="s">
        <v>3529</v>
      </c>
      <c r="H2150" t="s">
        <v>4255</v>
      </c>
      <c r="I2150" t="s">
        <v>36</v>
      </c>
      <c r="J2150">
        <v>15014</v>
      </c>
      <c r="K2150">
        <v>210</v>
      </c>
      <c r="L2150" t="s">
        <v>42</v>
      </c>
      <c r="M2150" s="1">
        <v>44403</v>
      </c>
      <c r="N2150" t="s">
        <v>67</v>
      </c>
      <c r="O2150" t="s">
        <v>43</v>
      </c>
      <c r="P2150" t="str">
        <f t="shared" si="730"/>
        <v>P2149</v>
      </c>
      <c r="Q2150" t="str">
        <f t="shared" si="726"/>
        <v>Oncology</v>
      </c>
      <c r="R2150">
        <f t="shared" si="727"/>
        <v>15</v>
      </c>
      <c r="S2150" t="str">
        <f t="shared" ca="1" si="731"/>
        <v>No</v>
      </c>
      <c r="T2150" t="str">
        <f t="shared" ca="1" si="732"/>
        <v>Critical</v>
      </c>
      <c r="U2150" t="str">
        <f t="shared" ca="1" si="733"/>
        <v>Private Ward</v>
      </c>
      <c r="V2150" t="str">
        <f t="shared" si="734"/>
        <v>BED2149</v>
      </c>
      <c r="W2150" t="str">
        <f t="shared" ca="1" si="735"/>
        <v>ICU</v>
      </c>
      <c r="X2150" t="str">
        <f t="shared" si="736"/>
        <v>NUR049</v>
      </c>
      <c r="Y2150" t="str">
        <f t="shared" ca="1" si="737"/>
        <v>Morning</v>
      </c>
      <c r="Z2150" t="str">
        <f t="shared" ca="1" si="738"/>
        <v>ECG Machine</v>
      </c>
      <c r="AA2150" t="str">
        <f t="shared" ca="1" si="739"/>
        <v>Maintenance</v>
      </c>
      <c r="AB2150" t="str">
        <f t="shared" ca="1" si="740"/>
        <v>Paid</v>
      </c>
      <c r="AC2150" t="str">
        <f t="shared" ca="1" si="741"/>
        <v>Debit Card</v>
      </c>
      <c r="AD2150" t="str">
        <f t="shared" ca="1" si="742"/>
        <v>No</v>
      </c>
      <c r="AE2150" t="str">
        <f t="shared" ca="1" si="743"/>
        <v>No</v>
      </c>
      <c r="AF2150" t="str">
        <f t="shared" ca="1" si="744"/>
        <v>Recovered</v>
      </c>
      <c r="AG2150" t="str">
        <f t="shared" ca="1" si="745"/>
        <v>Northeast</v>
      </c>
      <c r="AH2150" t="str">
        <f t="shared" si="728"/>
        <v>July</v>
      </c>
      <c r="AI2150">
        <f t="shared" si="729"/>
        <v>2021</v>
      </c>
      <c r="AJ2150" t="str">
        <f t="shared" ca="1" si="746"/>
        <v>Occupied</v>
      </c>
      <c r="AK2150">
        <f t="shared" ca="1" si="747"/>
        <v>2</v>
      </c>
    </row>
    <row r="2151" spans="1:37" x14ac:dyDescent="0.3">
      <c r="A2151" t="s">
        <v>6513</v>
      </c>
      <c r="B2151">
        <v>49</v>
      </c>
      <c r="C2151" t="s">
        <v>32</v>
      </c>
      <c r="D2151" t="s">
        <v>83</v>
      </c>
      <c r="E2151" t="s">
        <v>64</v>
      </c>
      <c r="F2151" s="1">
        <v>44726</v>
      </c>
      <c r="G2151" t="s">
        <v>4256</v>
      </c>
      <c r="H2151" t="s">
        <v>322</v>
      </c>
      <c r="I2151" t="s">
        <v>57</v>
      </c>
      <c r="J2151">
        <v>9955</v>
      </c>
      <c r="K2151">
        <v>137</v>
      </c>
      <c r="L2151" t="s">
        <v>21</v>
      </c>
      <c r="M2151" s="1">
        <v>44731</v>
      </c>
      <c r="N2151" t="s">
        <v>22</v>
      </c>
      <c r="O2151" t="s">
        <v>23</v>
      </c>
      <c r="P2151" t="str">
        <f t="shared" si="730"/>
        <v>P2150</v>
      </c>
      <c r="Q2151" t="str">
        <f t="shared" si="726"/>
        <v>Cardiology</v>
      </c>
      <c r="R2151">
        <f t="shared" si="727"/>
        <v>5</v>
      </c>
      <c r="S2151" t="str">
        <f t="shared" ca="1" si="731"/>
        <v>No</v>
      </c>
      <c r="T2151" t="str">
        <f t="shared" ca="1" si="732"/>
        <v>Severe</v>
      </c>
      <c r="U2151" t="str">
        <f t="shared" ca="1" si="733"/>
        <v>ICU</v>
      </c>
      <c r="V2151" t="str">
        <f t="shared" si="734"/>
        <v>BED2150</v>
      </c>
      <c r="W2151" t="str">
        <f t="shared" ca="1" si="735"/>
        <v>Semi-Private</v>
      </c>
      <c r="X2151" t="str">
        <f t="shared" si="736"/>
        <v>NUR050</v>
      </c>
      <c r="Y2151" t="str">
        <f t="shared" ca="1" si="737"/>
        <v>Evening</v>
      </c>
      <c r="Z2151" t="str">
        <f t="shared" ca="1" si="738"/>
        <v>X-Ray</v>
      </c>
      <c r="AA2151" t="str">
        <f t="shared" ca="1" si="739"/>
        <v>In Use</v>
      </c>
      <c r="AB2151" t="str">
        <f t="shared" ca="1" si="740"/>
        <v>Partially Paid</v>
      </c>
      <c r="AC2151" t="str">
        <f t="shared" ca="1" si="741"/>
        <v>Cash</v>
      </c>
      <c r="AD2151" t="str">
        <f t="shared" ca="1" si="742"/>
        <v>Yes</v>
      </c>
      <c r="AE2151" t="str">
        <f t="shared" ca="1" si="743"/>
        <v>No</v>
      </c>
      <c r="AF2151" t="str">
        <f t="shared" ca="1" si="744"/>
        <v>Transferred</v>
      </c>
      <c r="AG2151" t="str">
        <f t="shared" ca="1" si="745"/>
        <v>West Coast</v>
      </c>
      <c r="AH2151" t="str">
        <f t="shared" si="728"/>
        <v>June</v>
      </c>
      <c r="AI2151">
        <f t="shared" si="729"/>
        <v>2022</v>
      </c>
      <c r="AJ2151" t="str">
        <f t="shared" ca="1" si="746"/>
        <v>Occupied</v>
      </c>
      <c r="AK2151">
        <f t="shared" ca="1" si="747"/>
        <v>2</v>
      </c>
    </row>
    <row r="2152" spans="1:37" x14ac:dyDescent="0.3">
      <c r="A2152" t="s">
        <v>6514</v>
      </c>
      <c r="B2152">
        <v>51</v>
      </c>
      <c r="C2152" t="s">
        <v>15</v>
      </c>
      <c r="D2152" t="s">
        <v>44</v>
      </c>
      <c r="E2152" t="s">
        <v>25</v>
      </c>
      <c r="F2152" s="1">
        <v>44234</v>
      </c>
      <c r="G2152" t="s">
        <v>4257</v>
      </c>
      <c r="H2152" t="s">
        <v>478</v>
      </c>
      <c r="I2152" t="s">
        <v>36</v>
      </c>
      <c r="J2152">
        <v>10872</v>
      </c>
      <c r="K2152">
        <v>231</v>
      </c>
      <c r="L2152" t="s">
        <v>42</v>
      </c>
      <c r="M2152" s="1">
        <v>44250</v>
      </c>
      <c r="N2152" t="s">
        <v>22</v>
      </c>
      <c r="O2152" t="s">
        <v>43</v>
      </c>
      <c r="P2152" t="str">
        <f t="shared" si="730"/>
        <v>P2151</v>
      </c>
      <c r="Q2152" t="str">
        <f t="shared" si="726"/>
        <v>Nutrition</v>
      </c>
      <c r="R2152">
        <f t="shared" si="727"/>
        <v>16</v>
      </c>
      <c r="S2152" t="str">
        <f t="shared" ca="1" si="731"/>
        <v>No</v>
      </c>
      <c r="T2152" t="str">
        <f t="shared" ca="1" si="732"/>
        <v>Mild</v>
      </c>
      <c r="U2152" t="str">
        <f t="shared" ca="1" si="733"/>
        <v>Emergency</v>
      </c>
      <c r="V2152" t="str">
        <f t="shared" si="734"/>
        <v>BED2151</v>
      </c>
      <c r="W2152" t="str">
        <f t="shared" ca="1" si="735"/>
        <v>ICU</v>
      </c>
      <c r="X2152" t="str">
        <f t="shared" si="736"/>
        <v>NUR001</v>
      </c>
      <c r="Y2152" t="str">
        <f t="shared" ca="1" si="737"/>
        <v>Morning</v>
      </c>
      <c r="Z2152" t="str">
        <f t="shared" ca="1" si="738"/>
        <v>ECG Machine</v>
      </c>
      <c r="AA2152" t="str">
        <f t="shared" ca="1" si="739"/>
        <v>Available</v>
      </c>
      <c r="AB2152" t="str">
        <f t="shared" ca="1" si="740"/>
        <v>Partially Paid</v>
      </c>
      <c r="AC2152" t="str">
        <f t="shared" ca="1" si="741"/>
        <v>Bank Transfer</v>
      </c>
      <c r="AD2152" t="str">
        <f t="shared" ca="1" si="742"/>
        <v>No</v>
      </c>
      <c r="AE2152" t="str">
        <f t="shared" ca="1" si="743"/>
        <v>No</v>
      </c>
      <c r="AF2152" t="str">
        <f t="shared" ca="1" si="744"/>
        <v>Recovered</v>
      </c>
      <c r="AG2152" t="str">
        <f t="shared" ca="1" si="745"/>
        <v>Midwest</v>
      </c>
      <c r="AH2152" t="str">
        <f t="shared" si="728"/>
        <v>February</v>
      </c>
      <c r="AI2152">
        <f t="shared" si="729"/>
        <v>2021</v>
      </c>
      <c r="AJ2152" t="str">
        <f t="shared" ca="1" si="746"/>
        <v>Occupied</v>
      </c>
      <c r="AK2152">
        <f t="shared" ca="1" si="747"/>
        <v>4</v>
      </c>
    </row>
    <row r="2153" spans="1:37" x14ac:dyDescent="0.3">
      <c r="A2153" t="s">
        <v>6515</v>
      </c>
      <c r="B2153">
        <v>62</v>
      </c>
      <c r="C2153" t="s">
        <v>15</v>
      </c>
      <c r="D2153" t="s">
        <v>33</v>
      </c>
      <c r="E2153" t="s">
        <v>76</v>
      </c>
      <c r="F2153" s="1">
        <v>43674</v>
      </c>
      <c r="G2153" t="s">
        <v>4258</v>
      </c>
      <c r="H2153" t="s">
        <v>4259</v>
      </c>
      <c r="I2153" t="s">
        <v>51</v>
      </c>
      <c r="J2153">
        <v>20945</v>
      </c>
      <c r="K2153">
        <v>429</v>
      </c>
      <c r="L2153" t="s">
        <v>42</v>
      </c>
      <c r="M2153" s="1">
        <v>43698</v>
      </c>
      <c r="N2153" t="s">
        <v>67</v>
      </c>
      <c r="O2153" t="s">
        <v>23</v>
      </c>
      <c r="P2153" t="str">
        <f t="shared" si="730"/>
        <v>P2152</v>
      </c>
      <c r="Q2153" t="str">
        <f t="shared" si="726"/>
        <v>Orthopedics</v>
      </c>
      <c r="R2153">
        <f t="shared" si="727"/>
        <v>24</v>
      </c>
      <c r="S2153" t="str">
        <f t="shared" ca="1" si="731"/>
        <v>No</v>
      </c>
      <c r="T2153" t="str">
        <f t="shared" ca="1" si="732"/>
        <v>Moderate</v>
      </c>
      <c r="U2153" t="str">
        <f t="shared" ca="1" si="733"/>
        <v>ICU</v>
      </c>
      <c r="V2153" t="str">
        <f t="shared" si="734"/>
        <v>BED2152</v>
      </c>
      <c r="W2153" t="str">
        <f t="shared" ca="1" si="735"/>
        <v>General</v>
      </c>
      <c r="X2153" t="str">
        <f t="shared" si="736"/>
        <v>NUR002</v>
      </c>
      <c r="Y2153" t="str">
        <f t="shared" ca="1" si="737"/>
        <v>Evening</v>
      </c>
      <c r="Z2153" t="str">
        <f t="shared" ca="1" si="738"/>
        <v>ECG Machine</v>
      </c>
      <c r="AA2153" t="str">
        <f t="shared" ca="1" si="739"/>
        <v>Maintenance</v>
      </c>
      <c r="AB2153" t="str">
        <f t="shared" ca="1" si="740"/>
        <v>Paid</v>
      </c>
      <c r="AC2153" t="str">
        <f t="shared" ca="1" si="741"/>
        <v>Insurance</v>
      </c>
      <c r="AD2153" t="str">
        <f t="shared" ca="1" si="742"/>
        <v>Yes</v>
      </c>
      <c r="AE2153" t="str">
        <f t="shared" ca="1" si="743"/>
        <v>No</v>
      </c>
      <c r="AF2153" t="str">
        <f t="shared" ca="1" si="744"/>
        <v>Recovered</v>
      </c>
      <c r="AG2153" t="str">
        <f t="shared" ca="1" si="745"/>
        <v>Southwest</v>
      </c>
      <c r="AH2153" t="str">
        <f t="shared" si="728"/>
        <v>July</v>
      </c>
      <c r="AI2153">
        <f t="shared" si="729"/>
        <v>2019</v>
      </c>
      <c r="AJ2153" t="str">
        <f t="shared" ca="1" si="746"/>
        <v>Occupied</v>
      </c>
      <c r="AK2153">
        <f t="shared" ca="1" si="747"/>
        <v>4</v>
      </c>
    </row>
    <row r="2154" spans="1:37" x14ac:dyDescent="0.3">
      <c r="A2154" t="s">
        <v>6516</v>
      </c>
      <c r="B2154">
        <v>33</v>
      </c>
      <c r="C2154" t="s">
        <v>32</v>
      </c>
      <c r="D2154" t="s">
        <v>83</v>
      </c>
      <c r="E2154" t="s">
        <v>25</v>
      </c>
      <c r="F2154" s="1">
        <v>43975</v>
      </c>
      <c r="G2154" t="s">
        <v>4260</v>
      </c>
      <c r="H2154" t="s">
        <v>4261</v>
      </c>
      <c r="I2154" t="s">
        <v>28</v>
      </c>
      <c r="J2154">
        <v>5037</v>
      </c>
      <c r="K2154">
        <v>296</v>
      </c>
      <c r="L2154" t="s">
        <v>29</v>
      </c>
      <c r="M2154" s="1">
        <v>43977</v>
      </c>
      <c r="N2154" t="s">
        <v>30</v>
      </c>
      <c r="O2154" t="s">
        <v>23</v>
      </c>
      <c r="P2154" t="str">
        <f t="shared" si="730"/>
        <v>P2153</v>
      </c>
      <c r="Q2154" t="str">
        <f t="shared" si="726"/>
        <v>Nutrition</v>
      </c>
      <c r="R2154">
        <f t="shared" si="727"/>
        <v>2</v>
      </c>
      <c r="S2154" t="str">
        <f t="shared" ca="1" si="731"/>
        <v>No</v>
      </c>
      <c r="T2154" t="str">
        <f t="shared" ca="1" si="732"/>
        <v>Moderate</v>
      </c>
      <c r="U2154" t="str">
        <f t="shared" ca="1" si="733"/>
        <v>Semi-Private</v>
      </c>
      <c r="V2154" t="str">
        <f t="shared" si="734"/>
        <v>BED2153</v>
      </c>
      <c r="W2154" t="str">
        <f t="shared" ca="1" si="735"/>
        <v>ICU</v>
      </c>
      <c r="X2154" t="str">
        <f t="shared" si="736"/>
        <v>NUR003</v>
      </c>
      <c r="Y2154" t="str">
        <f t="shared" ca="1" si="737"/>
        <v>Night</v>
      </c>
      <c r="Z2154" t="str">
        <f t="shared" ca="1" si="738"/>
        <v>Ventilator</v>
      </c>
      <c r="AA2154" t="str">
        <f t="shared" ca="1" si="739"/>
        <v>In Use</v>
      </c>
      <c r="AB2154" t="str">
        <f t="shared" ca="1" si="740"/>
        <v>Paid</v>
      </c>
      <c r="AC2154" t="str">
        <f t="shared" ca="1" si="741"/>
        <v>Insurance</v>
      </c>
      <c r="AD2154" t="str">
        <f t="shared" ca="1" si="742"/>
        <v>No</v>
      </c>
      <c r="AE2154" t="str">
        <f t="shared" ca="1" si="743"/>
        <v>No</v>
      </c>
      <c r="AF2154" t="str">
        <f t="shared" ca="1" si="744"/>
        <v>Under Observation</v>
      </c>
      <c r="AG2154" t="str">
        <f t="shared" ca="1" si="745"/>
        <v>Northeast</v>
      </c>
      <c r="AH2154" t="str">
        <f t="shared" si="728"/>
        <v>May</v>
      </c>
      <c r="AI2154">
        <f t="shared" si="729"/>
        <v>2020</v>
      </c>
      <c r="AJ2154" t="str">
        <f t="shared" ca="1" si="746"/>
        <v>Occupied</v>
      </c>
      <c r="AK2154">
        <f t="shared" ca="1" si="747"/>
        <v>2</v>
      </c>
    </row>
    <row r="2155" spans="1:37" x14ac:dyDescent="0.3">
      <c r="A2155" t="s">
        <v>6517</v>
      </c>
      <c r="B2155">
        <v>27</v>
      </c>
      <c r="C2155" t="s">
        <v>32</v>
      </c>
      <c r="D2155" t="s">
        <v>33</v>
      </c>
      <c r="E2155" t="s">
        <v>48</v>
      </c>
      <c r="F2155" s="1">
        <v>43918</v>
      </c>
      <c r="G2155" t="s">
        <v>4262</v>
      </c>
      <c r="H2155" t="s">
        <v>4263</v>
      </c>
      <c r="I2155" t="s">
        <v>36</v>
      </c>
      <c r="J2155">
        <v>47088</v>
      </c>
      <c r="K2155">
        <v>310</v>
      </c>
      <c r="L2155" t="s">
        <v>42</v>
      </c>
      <c r="M2155" s="1">
        <v>43946</v>
      </c>
      <c r="N2155" t="s">
        <v>30</v>
      </c>
      <c r="O2155" t="s">
        <v>31</v>
      </c>
      <c r="P2155" t="str">
        <f t="shared" si="730"/>
        <v>P2154</v>
      </c>
      <c r="Q2155" t="str">
        <f t="shared" si="726"/>
        <v>Pulmonology</v>
      </c>
      <c r="R2155">
        <f t="shared" si="727"/>
        <v>28</v>
      </c>
      <c r="S2155" t="str">
        <f t="shared" ca="1" si="731"/>
        <v>No</v>
      </c>
      <c r="T2155" t="str">
        <f t="shared" ca="1" si="732"/>
        <v>Severe</v>
      </c>
      <c r="U2155" t="str">
        <f t="shared" ca="1" si="733"/>
        <v>General Ward</v>
      </c>
      <c r="V2155" t="str">
        <f t="shared" si="734"/>
        <v>BED2154</v>
      </c>
      <c r="W2155" t="str">
        <f t="shared" ca="1" si="735"/>
        <v>Private</v>
      </c>
      <c r="X2155" t="str">
        <f t="shared" si="736"/>
        <v>NUR004</v>
      </c>
      <c r="Y2155" t="str">
        <f t="shared" ca="1" si="737"/>
        <v>Evening</v>
      </c>
      <c r="Z2155" t="str">
        <f t="shared" ca="1" si="738"/>
        <v>MRI Scanner</v>
      </c>
      <c r="AA2155" t="str">
        <f t="shared" ca="1" si="739"/>
        <v>Available</v>
      </c>
      <c r="AB2155" t="str">
        <f t="shared" ca="1" si="740"/>
        <v>Paid</v>
      </c>
      <c r="AC2155" t="str">
        <f t="shared" ca="1" si="741"/>
        <v>Debit Card</v>
      </c>
      <c r="AD2155" t="str">
        <f t="shared" ca="1" si="742"/>
        <v>No</v>
      </c>
      <c r="AE2155" t="str">
        <f t="shared" ca="1" si="743"/>
        <v>No</v>
      </c>
      <c r="AF2155" t="str">
        <f t="shared" ca="1" si="744"/>
        <v>Under Observation</v>
      </c>
      <c r="AG2155" t="str">
        <f t="shared" ca="1" si="745"/>
        <v>Midwest</v>
      </c>
      <c r="AH2155" t="str">
        <f t="shared" si="728"/>
        <v>March</v>
      </c>
      <c r="AI2155">
        <f t="shared" si="729"/>
        <v>2020</v>
      </c>
      <c r="AJ2155" t="str">
        <f t="shared" ca="1" si="746"/>
        <v>Occupied</v>
      </c>
      <c r="AK2155">
        <f t="shared" ca="1" si="747"/>
        <v>1</v>
      </c>
    </row>
    <row r="2156" spans="1:37" x14ac:dyDescent="0.3">
      <c r="A2156" t="s">
        <v>6518</v>
      </c>
      <c r="B2156">
        <v>34</v>
      </c>
      <c r="C2156" t="s">
        <v>15</v>
      </c>
      <c r="D2156" t="s">
        <v>44</v>
      </c>
      <c r="E2156" t="s">
        <v>39</v>
      </c>
      <c r="F2156" s="1">
        <v>44508</v>
      </c>
      <c r="G2156" t="s">
        <v>4264</v>
      </c>
      <c r="H2156" t="s">
        <v>4265</v>
      </c>
      <c r="I2156" t="s">
        <v>20</v>
      </c>
      <c r="J2156">
        <v>8853</v>
      </c>
      <c r="K2156">
        <v>406</v>
      </c>
      <c r="L2156" t="s">
        <v>42</v>
      </c>
      <c r="M2156" s="1">
        <v>44509</v>
      </c>
      <c r="N2156" t="s">
        <v>47</v>
      </c>
      <c r="O2156" t="s">
        <v>31</v>
      </c>
      <c r="P2156" t="str">
        <f t="shared" si="730"/>
        <v>P2155</v>
      </c>
      <c r="Q2156" t="str">
        <f t="shared" si="726"/>
        <v>Endocrinology</v>
      </c>
      <c r="R2156">
        <f t="shared" si="727"/>
        <v>1</v>
      </c>
      <c r="S2156" t="str">
        <f t="shared" ca="1" si="731"/>
        <v>No</v>
      </c>
      <c r="T2156" t="str">
        <f t="shared" ca="1" si="732"/>
        <v>Mild</v>
      </c>
      <c r="U2156" t="str">
        <f t="shared" ca="1" si="733"/>
        <v>Emergency</v>
      </c>
      <c r="V2156" t="str">
        <f t="shared" si="734"/>
        <v>BED2155</v>
      </c>
      <c r="W2156" t="str">
        <f t="shared" ca="1" si="735"/>
        <v>Private</v>
      </c>
      <c r="X2156" t="str">
        <f t="shared" si="736"/>
        <v>NUR005</v>
      </c>
      <c r="Y2156" t="str">
        <f t="shared" ca="1" si="737"/>
        <v>Evening</v>
      </c>
      <c r="Z2156" t="str">
        <f t="shared" ca="1" si="738"/>
        <v>ECG Machine</v>
      </c>
      <c r="AA2156" t="str">
        <f t="shared" ca="1" si="739"/>
        <v>In Use</v>
      </c>
      <c r="AB2156" t="str">
        <f t="shared" ca="1" si="740"/>
        <v>Pending</v>
      </c>
      <c r="AC2156" t="str">
        <f t="shared" ca="1" si="741"/>
        <v>Credit Card</v>
      </c>
      <c r="AD2156" t="str">
        <f t="shared" ca="1" si="742"/>
        <v>No</v>
      </c>
      <c r="AE2156" t="str">
        <f t="shared" ca="1" si="743"/>
        <v>No</v>
      </c>
      <c r="AF2156" t="str">
        <f t="shared" ca="1" si="744"/>
        <v>Under Observation</v>
      </c>
      <c r="AG2156" t="str">
        <f t="shared" ca="1" si="745"/>
        <v>Midwest</v>
      </c>
      <c r="AH2156" t="str">
        <f t="shared" si="728"/>
        <v>November</v>
      </c>
      <c r="AI2156">
        <f t="shared" si="729"/>
        <v>2021</v>
      </c>
      <c r="AJ2156" t="str">
        <f t="shared" ca="1" si="746"/>
        <v>Occupied</v>
      </c>
      <c r="AK2156">
        <f t="shared" ca="1" si="747"/>
        <v>2</v>
      </c>
    </row>
    <row r="2157" spans="1:37" x14ac:dyDescent="0.3">
      <c r="A2157" t="s">
        <v>6519</v>
      </c>
      <c r="B2157">
        <v>50</v>
      </c>
      <c r="C2157" t="s">
        <v>32</v>
      </c>
      <c r="D2157" t="s">
        <v>83</v>
      </c>
      <c r="E2157" t="s">
        <v>25</v>
      </c>
      <c r="F2157" s="1">
        <v>44212</v>
      </c>
      <c r="G2157" t="s">
        <v>4266</v>
      </c>
      <c r="H2157" t="s">
        <v>4267</v>
      </c>
      <c r="I2157" t="s">
        <v>51</v>
      </c>
      <c r="J2157">
        <v>10283</v>
      </c>
      <c r="K2157">
        <v>386</v>
      </c>
      <c r="L2157" t="s">
        <v>21</v>
      </c>
      <c r="M2157" s="1">
        <v>44223</v>
      </c>
      <c r="N2157" t="s">
        <v>30</v>
      </c>
      <c r="O2157" t="s">
        <v>23</v>
      </c>
      <c r="P2157" t="str">
        <f t="shared" si="730"/>
        <v>P2156</v>
      </c>
      <c r="Q2157" t="str">
        <f t="shared" si="726"/>
        <v>Nutrition</v>
      </c>
      <c r="R2157">
        <f t="shared" si="727"/>
        <v>11</v>
      </c>
      <c r="S2157" t="str">
        <f t="shared" ca="1" si="731"/>
        <v>No</v>
      </c>
      <c r="T2157" t="str">
        <f t="shared" ca="1" si="732"/>
        <v>Mild</v>
      </c>
      <c r="U2157" t="str">
        <f t="shared" ca="1" si="733"/>
        <v>Emergency</v>
      </c>
      <c r="V2157" t="str">
        <f t="shared" si="734"/>
        <v>BED2156</v>
      </c>
      <c r="W2157" t="str">
        <f t="shared" ca="1" si="735"/>
        <v>Private</v>
      </c>
      <c r="X2157" t="str">
        <f t="shared" si="736"/>
        <v>NUR006</v>
      </c>
      <c r="Y2157" t="str">
        <f t="shared" ca="1" si="737"/>
        <v>Evening</v>
      </c>
      <c r="Z2157" t="str">
        <f t="shared" ca="1" si="738"/>
        <v>MRI Scanner</v>
      </c>
      <c r="AA2157" t="str">
        <f t="shared" ca="1" si="739"/>
        <v>Maintenance</v>
      </c>
      <c r="AB2157" t="str">
        <f t="shared" ca="1" si="740"/>
        <v>Paid</v>
      </c>
      <c r="AC2157" t="str">
        <f t="shared" ca="1" si="741"/>
        <v>Bank Transfer</v>
      </c>
      <c r="AD2157" t="str">
        <f t="shared" ca="1" si="742"/>
        <v>No</v>
      </c>
      <c r="AE2157" t="str">
        <f t="shared" ca="1" si="743"/>
        <v>No</v>
      </c>
      <c r="AF2157" t="str">
        <f t="shared" ca="1" si="744"/>
        <v>Recovered</v>
      </c>
      <c r="AG2157" t="str">
        <f t="shared" ca="1" si="745"/>
        <v>Southeast</v>
      </c>
      <c r="AH2157" t="str">
        <f t="shared" si="728"/>
        <v>January</v>
      </c>
      <c r="AI2157">
        <f t="shared" si="729"/>
        <v>2021</v>
      </c>
      <c r="AJ2157" t="str">
        <f t="shared" ca="1" si="746"/>
        <v>Occupied</v>
      </c>
      <c r="AK2157">
        <f t="shared" ca="1" si="747"/>
        <v>1</v>
      </c>
    </row>
    <row r="2158" spans="1:37" x14ac:dyDescent="0.3">
      <c r="A2158" t="s">
        <v>6520</v>
      </c>
      <c r="B2158">
        <v>26</v>
      </c>
      <c r="C2158" t="s">
        <v>32</v>
      </c>
      <c r="D2158" t="s">
        <v>16</v>
      </c>
      <c r="E2158" t="s">
        <v>39</v>
      </c>
      <c r="F2158" s="1">
        <v>44390</v>
      </c>
      <c r="G2158" t="s">
        <v>4268</v>
      </c>
      <c r="H2158" t="s">
        <v>4269</v>
      </c>
      <c r="I2158" t="s">
        <v>28</v>
      </c>
      <c r="J2158">
        <v>37501</v>
      </c>
      <c r="K2158">
        <v>452</v>
      </c>
      <c r="L2158" t="s">
        <v>21</v>
      </c>
      <c r="M2158" s="1">
        <v>44393</v>
      </c>
      <c r="N2158" t="s">
        <v>47</v>
      </c>
      <c r="O2158" t="s">
        <v>31</v>
      </c>
      <c r="P2158" t="str">
        <f t="shared" si="730"/>
        <v>P2157</v>
      </c>
      <c r="Q2158" t="str">
        <f t="shared" si="726"/>
        <v>Endocrinology</v>
      </c>
      <c r="R2158">
        <f t="shared" si="727"/>
        <v>3</v>
      </c>
      <c r="S2158" t="str">
        <f t="shared" ca="1" si="731"/>
        <v>No</v>
      </c>
      <c r="T2158" t="str">
        <f t="shared" ca="1" si="732"/>
        <v>Severe</v>
      </c>
      <c r="U2158" t="str">
        <f t="shared" ca="1" si="733"/>
        <v>Semi-Private</v>
      </c>
      <c r="V2158" t="str">
        <f t="shared" si="734"/>
        <v>BED2157</v>
      </c>
      <c r="W2158" t="str">
        <f t="shared" ca="1" si="735"/>
        <v>ICU</v>
      </c>
      <c r="X2158" t="str">
        <f t="shared" si="736"/>
        <v>NUR007</v>
      </c>
      <c r="Y2158" t="str">
        <f t="shared" ca="1" si="737"/>
        <v>Evening</v>
      </c>
      <c r="Z2158" t="str">
        <f t="shared" ca="1" si="738"/>
        <v>Ultrasound</v>
      </c>
      <c r="AA2158" t="str">
        <f t="shared" ca="1" si="739"/>
        <v>Maintenance</v>
      </c>
      <c r="AB2158" t="str">
        <f t="shared" ca="1" si="740"/>
        <v>Partially Paid</v>
      </c>
      <c r="AC2158" t="str">
        <f t="shared" ca="1" si="741"/>
        <v>Debit Card</v>
      </c>
      <c r="AD2158" t="str">
        <f t="shared" ca="1" si="742"/>
        <v>No</v>
      </c>
      <c r="AE2158" t="str">
        <f t="shared" ca="1" si="743"/>
        <v>No</v>
      </c>
      <c r="AF2158" t="str">
        <f t="shared" ca="1" si="744"/>
        <v>Under Observation</v>
      </c>
      <c r="AG2158" t="str">
        <f t="shared" ca="1" si="745"/>
        <v>Northeast</v>
      </c>
      <c r="AH2158" t="str">
        <f t="shared" si="728"/>
        <v>July</v>
      </c>
      <c r="AI2158">
        <f t="shared" si="729"/>
        <v>2021</v>
      </c>
      <c r="AJ2158" t="str">
        <f t="shared" ca="1" si="746"/>
        <v>Occupied</v>
      </c>
      <c r="AK2158">
        <f t="shared" ca="1" si="747"/>
        <v>4</v>
      </c>
    </row>
    <row r="2159" spans="1:37" x14ac:dyDescent="0.3">
      <c r="A2159" t="s">
        <v>6521</v>
      </c>
      <c r="B2159">
        <v>47</v>
      </c>
      <c r="C2159" t="s">
        <v>15</v>
      </c>
      <c r="D2159" t="s">
        <v>98</v>
      </c>
      <c r="E2159" t="s">
        <v>48</v>
      </c>
      <c r="F2159" s="1">
        <v>44346</v>
      </c>
      <c r="G2159" t="s">
        <v>4270</v>
      </c>
      <c r="H2159" t="s">
        <v>4271</v>
      </c>
      <c r="I2159" t="s">
        <v>20</v>
      </c>
      <c r="J2159">
        <v>18466</v>
      </c>
      <c r="K2159">
        <v>381</v>
      </c>
      <c r="L2159" t="s">
        <v>29</v>
      </c>
      <c r="M2159" s="1">
        <v>44370</v>
      </c>
      <c r="N2159" t="s">
        <v>47</v>
      </c>
      <c r="O2159" t="s">
        <v>23</v>
      </c>
      <c r="P2159" t="str">
        <f t="shared" si="730"/>
        <v>P2158</v>
      </c>
      <c r="Q2159" t="str">
        <f t="shared" si="726"/>
        <v>Pulmonology</v>
      </c>
      <c r="R2159">
        <f t="shared" si="727"/>
        <v>24</v>
      </c>
      <c r="S2159" t="str">
        <f t="shared" ca="1" si="731"/>
        <v>No</v>
      </c>
      <c r="T2159" t="str">
        <f t="shared" ca="1" si="732"/>
        <v>Severe</v>
      </c>
      <c r="U2159" t="str">
        <f t="shared" ca="1" si="733"/>
        <v>General Ward</v>
      </c>
      <c r="V2159" t="str">
        <f t="shared" si="734"/>
        <v>BED2158</v>
      </c>
      <c r="W2159" t="str">
        <f t="shared" ca="1" si="735"/>
        <v>Private</v>
      </c>
      <c r="X2159" t="str">
        <f t="shared" si="736"/>
        <v>NUR008</v>
      </c>
      <c r="Y2159" t="str">
        <f t="shared" ca="1" si="737"/>
        <v>Night</v>
      </c>
      <c r="Z2159" t="str">
        <f t="shared" ca="1" si="738"/>
        <v>MRI Scanner</v>
      </c>
      <c r="AA2159" t="str">
        <f t="shared" ca="1" si="739"/>
        <v>Available</v>
      </c>
      <c r="AB2159" t="str">
        <f t="shared" ca="1" si="740"/>
        <v>Partially Paid</v>
      </c>
      <c r="AC2159" t="str">
        <f t="shared" ca="1" si="741"/>
        <v>Credit Card</v>
      </c>
      <c r="AD2159" t="str">
        <f t="shared" ca="1" si="742"/>
        <v>No</v>
      </c>
      <c r="AE2159" t="str">
        <f t="shared" ca="1" si="743"/>
        <v>No</v>
      </c>
      <c r="AF2159" t="str">
        <f t="shared" ca="1" si="744"/>
        <v>Under Observation</v>
      </c>
      <c r="AG2159" t="str">
        <f t="shared" ca="1" si="745"/>
        <v>West Coast</v>
      </c>
      <c r="AH2159" t="str">
        <f t="shared" si="728"/>
        <v>May</v>
      </c>
      <c r="AI2159">
        <f t="shared" si="729"/>
        <v>2021</v>
      </c>
      <c r="AJ2159" t="str">
        <f t="shared" ca="1" si="746"/>
        <v>Vacant</v>
      </c>
      <c r="AK2159">
        <f t="shared" ca="1" si="747"/>
        <v>1</v>
      </c>
    </row>
    <row r="2160" spans="1:37" x14ac:dyDescent="0.3">
      <c r="A2160" t="s">
        <v>6522</v>
      </c>
      <c r="B2160">
        <v>40</v>
      </c>
      <c r="C2160" t="s">
        <v>32</v>
      </c>
      <c r="D2160" t="s">
        <v>52</v>
      </c>
      <c r="E2160" t="s">
        <v>76</v>
      </c>
      <c r="F2160" s="1">
        <v>44971</v>
      </c>
      <c r="G2160" t="s">
        <v>4272</v>
      </c>
      <c r="H2160" t="s">
        <v>4273</v>
      </c>
      <c r="I2160" t="s">
        <v>51</v>
      </c>
      <c r="J2160">
        <v>37658</v>
      </c>
      <c r="K2160">
        <v>442</v>
      </c>
      <c r="L2160" t="s">
        <v>21</v>
      </c>
      <c r="M2160" s="1">
        <v>44980</v>
      </c>
      <c r="N2160" t="s">
        <v>30</v>
      </c>
      <c r="O2160" t="s">
        <v>31</v>
      </c>
      <c r="P2160" t="str">
        <f t="shared" si="730"/>
        <v>P2159</v>
      </c>
      <c r="Q2160" t="str">
        <f t="shared" si="726"/>
        <v>Orthopedics</v>
      </c>
      <c r="R2160">
        <f t="shared" si="727"/>
        <v>9</v>
      </c>
      <c r="S2160" t="str">
        <f t="shared" ca="1" si="731"/>
        <v>No</v>
      </c>
      <c r="T2160" t="str">
        <f t="shared" ca="1" si="732"/>
        <v>Moderate</v>
      </c>
      <c r="U2160" t="str">
        <f t="shared" ca="1" si="733"/>
        <v>Semi-Private</v>
      </c>
      <c r="V2160" t="str">
        <f t="shared" si="734"/>
        <v>BED2159</v>
      </c>
      <c r="W2160" t="str">
        <f t="shared" ca="1" si="735"/>
        <v>Private</v>
      </c>
      <c r="X2160" t="str">
        <f t="shared" si="736"/>
        <v>NUR009</v>
      </c>
      <c r="Y2160" t="str">
        <f t="shared" ca="1" si="737"/>
        <v>Night</v>
      </c>
      <c r="Z2160" t="str">
        <f t="shared" ca="1" si="738"/>
        <v>ECG Machine</v>
      </c>
      <c r="AA2160" t="str">
        <f t="shared" ca="1" si="739"/>
        <v>In Use</v>
      </c>
      <c r="AB2160" t="str">
        <f t="shared" ca="1" si="740"/>
        <v>Pending</v>
      </c>
      <c r="AC2160" t="str">
        <f t="shared" ca="1" si="741"/>
        <v>Credit Card</v>
      </c>
      <c r="AD2160" t="str">
        <f t="shared" ca="1" si="742"/>
        <v>Yes</v>
      </c>
      <c r="AE2160" t="str">
        <f t="shared" ca="1" si="743"/>
        <v>Yes</v>
      </c>
      <c r="AF2160" t="str">
        <f t="shared" ca="1" si="744"/>
        <v>Under Observation</v>
      </c>
      <c r="AG2160" t="str">
        <f t="shared" ca="1" si="745"/>
        <v>Midwest</v>
      </c>
      <c r="AH2160" t="str">
        <f t="shared" si="728"/>
        <v>February</v>
      </c>
      <c r="AI2160">
        <f t="shared" si="729"/>
        <v>2023</v>
      </c>
      <c r="AJ2160" t="str">
        <f t="shared" ca="1" si="746"/>
        <v>Vacant</v>
      </c>
      <c r="AK2160">
        <f t="shared" ca="1" si="747"/>
        <v>2</v>
      </c>
    </row>
    <row r="2161" spans="1:37" x14ac:dyDescent="0.3">
      <c r="A2161" t="s">
        <v>6523</v>
      </c>
      <c r="B2161">
        <v>84</v>
      </c>
      <c r="C2161" t="s">
        <v>15</v>
      </c>
      <c r="D2161" t="s">
        <v>24</v>
      </c>
      <c r="E2161" t="s">
        <v>17</v>
      </c>
      <c r="F2161" s="1">
        <v>43853</v>
      </c>
      <c r="G2161" t="s">
        <v>4274</v>
      </c>
      <c r="H2161" t="s">
        <v>4275</v>
      </c>
      <c r="I2161" t="s">
        <v>28</v>
      </c>
      <c r="J2161">
        <v>39156</v>
      </c>
      <c r="K2161">
        <v>146</v>
      </c>
      <c r="L2161" t="s">
        <v>42</v>
      </c>
      <c r="M2161" s="1">
        <v>43882</v>
      </c>
      <c r="N2161" t="s">
        <v>37</v>
      </c>
      <c r="O2161" t="s">
        <v>31</v>
      </c>
      <c r="P2161" t="str">
        <f t="shared" si="730"/>
        <v>P2160</v>
      </c>
      <c r="Q2161" t="str">
        <f t="shared" si="726"/>
        <v>Oncology</v>
      </c>
      <c r="R2161">
        <f t="shared" si="727"/>
        <v>29</v>
      </c>
      <c r="S2161" t="str">
        <f t="shared" ca="1" si="731"/>
        <v>No</v>
      </c>
      <c r="T2161" t="str">
        <f t="shared" ca="1" si="732"/>
        <v>Severe</v>
      </c>
      <c r="U2161" t="str">
        <f t="shared" ca="1" si="733"/>
        <v>Private Ward</v>
      </c>
      <c r="V2161" t="str">
        <f t="shared" si="734"/>
        <v>BED2160</v>
      </c>
      <c r="W2161" t="str">
        <f t="shared" ca="1" si="735"/>
        <v>Private</v>
      </c>
      <c r="X2161" t="str">
        <f t="shared" si="736"/>
        <v>NUR010</v>
      </c>
      <c r="Y2161" t="str">
        <f t="shared" ca="1" si="737"/>
        <v>Morning</v>
      </c>
      <c r="Z2161" t="str">
        <f t="shared" ca="1" si="738"/>
        <v>MRI Scanner</v>
      </c>
      <c r="AA2161" t="str">
        <f t="shared" ca="1" si="739"/>
        <v>Available</v>
      </c>
      <c r="AB2161" t="str">
        <f t="shared" ca="1" si="740"/>
        <v>Paid</v>
      </c>
      <c r="AC2161" t="str">
        <f t="shared" ca="1" si="741"/>
        <v>Credit Card</v>
      </c>
      <c r="AD2161" t="str">
        <f t="shared" ca="1" si="742"/>
        <v>No</v>
      </c>
      <c r="AE2161" t="str">
        <f t="shared" ca="1" si="743"/>
        <v>No</v>
      </c>
      <c r="AF2161" t="str">
        <f t="shared" ca="1" si="744"/>
        <v>Under Observation</v>
      </c>
      <c r="AG2161" t="str">
        <f t="shared" ca="1" si="745"/>
        <v>Northeast</v>
      </c>
      <c r="AH2161" t="str">
        <f t="shared" si="728"/>
        <v>January</v>
      </c>
      <c r="AI2161">
        <f t="shared" si="729"/>
        <v>2020</v>
      </c>
      <c r="AJ2161" t="str">
        <f t="shared" ca="1" si="746"/>
        <v>Occupied</v>
      </c>
      <c r="AK2161">
        <f t="shared" ca="1" si="747"/>
        <v>2</v>
      </c>
    </row>
    <row r="2162" spans="1:37" x14ac:dyDescent="0.3">
      <c r="A2162" t="s">
        <v>6524</v>
      </c>
      <c r="B2162">
        <v>72</v>
      </c>
      <c r="C2162" t="s">
        <v>32</v>
      </c>
      <c r="D2162" t="s">
        <v>98</v>
      </c>
      <c r="E2162" t="s">
        <v>48</v>
      </c>
      <c r="F2162" s="1">
        <v>45192</v>
      </c>
      <c r="G2162" t="s">
        <v>4276</v>
      </c>
      <c r="H2162" t="s">
        <v>4277</v>
      </c>
      <c r="I2162" t="s">
        <v>57</v>
      </c>
      <c r="J2162">
        <v>40460</v>
      </c>
      <c r="K2162">
        <v>455</v>
      </c>
      <c r="L2162" t="s">
        <v>21</v>
      </c>
      <c r="M2162" s="1">
        <v>45195</v>
      </c>
      <c r="N2162" t="s">
        <v>30</v>
      </c>
      <c r="O2162" t="s">
        <v>23</v>
      </c>
      <c r="P2162" t="str">
        <f t="shared" si="730"/>
        <v>P2161</v>
      </c>
      <c r="Q2162" t="str">
        <f t="shared" si="726"/>
        <v>Pulmonology</v>
      </c>
      <c r="R2162">
        <f t="shared" si="727"/>
        <v>3</v>
      </c>
      <c r="S2162" t="str">
        <f t="shared" ca="1" si="731"/>
        <v>No</v>
      </c>
      <c r="T2162" t="str">
        <f t="shared" ca="1" si="732"/>
        <v>Moderate</v>
      </c>
      <c r="U2162" t="str">
        <f t="shared" ca="1" si="733"/>
        <v>Emergency</v>
      </c>
      <c r="V2162" t="str">
        <f t="shared" si="734"/>
        <v>BED2161</v>
      </c>
      <c r="W2162" t="str">
        <f t="shared" ca="1" si="735"/>
        <v>General</v>
      </c>
      <c r="X2162" t="str">
        <f t="shared" si="736"/>
        <v>NUR011</v>
      </c>
      <c r="Y2162" t="str">
        <f t="shared" ca="1" si="737"/>
        <v>Morning</v>
      </c>
      <c r="Z2162" t="str">
        <f t="shared" ca="1" si="738"/>
        <v>Ventilator</v>
      </c>
      <c r="AA2162" t="str">
        <f t="shared" ca="1" si="739"/>
        <v>Maintenance</v>
      </c>
      <c r="AB2162" t="str">
        <f t="shared" ca="1" si="740"/>
        <v>Pending</v>
      </c>
      <c r="AC2162" t="str">
        <f t="shared" ca="1" si="741"/>
        <v>Debit Card</v>
      </c>
      <c r="AD2162" t="str">
        <f t="shared" ca="1" si="742"/>
        <v>No</v>
      </c>
      <c r="AE2162" t="str">
        <f t="shared" ca="1" si="743"/>
        <v>No</v>
      </c>
      <c r="AF2162" t="str">
        <f t="shared" ca="1" si="744"/>
        <v>Transferred</v>
      </c>
      <c r="AG2162" t="str">
        <f t="shared" ca="1" si="745"/>
        <v>Northeast</v>
      </c>
      <c r="AH2162" t="str">
        <f t="shared" si="728"/>
        <v>September</v>
      </c>
      <c r="AI2162">
        <f t="shared" si="729"/>
        <v>2023</v>
      </c>
      <c r="AJ2162" t="str">
        <f t="shared" ca="1" si="746"/>
        <v>Occupied</v>
      </c>
      <c r="AK2162">
        <f t="shared" ca="1" si="747"/>
        <v>2</v>
      </c>
    </row>
    <row r="2163" spans="1:37" x14ac:dyDescent="0.3">
      <c r="A2163" t="s">
        <v>6525</v>
      </c>
      <c r="B2163">
        <v>18</v>
      </c>
      <c r="C2163" t="s">
        <v>32</v>
      </c>
      <c r="D2163" t="s">
        <v>38</v>
      </c>
      <c r="E2163" t="s">
        <v>64</v>
      </c>
      <c r="F2163" s="1">
        <v>44076</v>
      </c>
      <c r="G2163" t="s">
        <v>4278</v>
      </c>
      <c r="H2163" t="s">
        <v>4279</v>
      </c>
      <c r="I2163" t="s">
        <v>36</v>
      </c>
      <c r="J2163">
        <v>46335</v>
      </c>
      <c r="K2163">
        <v>338</v>
      </c>
      <c r="L2163" t="s">
        <v>42</v>
      </c>
      <c r="M2163" s="1">
        <v>44090</v>
      </c>
      <c r="N2163" t="s">
        <v>22</v>
      </c>
      <c r="O2163" t="s">
        <v>23</v>
      </c>
      <c r="P2163" t="str">
        <f t="shared" si="730"/>
        <v>P2162</v>
      </c>
      <c r="Q2163" t="str">
        <f t="shared" si="726"/>
        <v>Cardiology</v>
      </c>
      <c r="R2163">
        <f t="shared" si="727"/>
        <v>14</v>
      </c>
      <c r="S2163" t="str">
        <f t="shared" ca="1" si="731"/>
        <v>No</v>
      </c>
      <c r="T2163" t="str">
        <f t="shared" ca="1" si="732"/>
        <v>Critical</v>
      </c>
      <c r="U2163" t="str">
        <f t="shared" ca="1" si="733"/>
        <v>Private Ward</v>
      </c>
      <c r="V2163" t="str">
        <f t="shared" si="734"/>
        <v>BED2162</v>
      </c>
      <c r="W2163" t="str">
        <f t="shared" ca="1" si="735"/>
        <v>ICU</v>
      </c>
      <c r="X2163" t="str">
        <f t="shared" si="736"/>
        <v>NUR012</v>
      </c>
      <c r="Y2163" t="str">
        <f t="shared" ca="1" si="737"/>
        <v>Evening</v>
      </c>
      <c r="Z2163" t="str">
        <f t="shared" ca="1" si="738"/>
        <v>CT Scanner</v>
      </c>
      <c r="AA2163" t="str">
        <f t="shared" ca="1" si="739"/>
        <v>Available</v>
      </c>
      <c r="AB2163" t="str">
        <f t="shared" ca="1" si="740"/>
        <v>Partially Paid</v>
      </c>
      <c r="AC2163" t="str">
        <f t="shared" ca="1" si="741"/>
        <v>Bank Transfer</v>
      </c>
      <c r="AD2163" t="str">
        <f t="shared" ca="1" si="742"/>
        <v>Yes</v>
      </c>
      <c r="AE2163" t="str">
        <f t="shared" ca="1" si="743"/>
        <v>No</v>
      </c>
      <c r="AF2163" t="str">
        <f t="shared" ca="1" si="744"/>
        <v>Under Observation</v>
      </c>
      <c r="AG2163" t="str">
        <f t="shared" ca="1" si="745"/>
        <v>Midwest</v>
      </c>
      <c r="AH2163" t="str">
        <f t="shared" si="728"/>
        <v>September</v>
      </c>
      <c r="AI2163">
        <f t="shared" si="729"/>
        <v>2020</v>
      </c>
      <c r="AJ2163" t="str">
        <f t="shared" ca="1" si="746"/>
        <v>Occupied</v>
      </c>
      <c r="AK2163">
        <f t="shared" ca="1" si="747"/>
        <v>4</v>
      </c>
    </row>
    <row r="2164" spans="1:37" x14ac:dyDescent="0.3">
      <c r="A2164" t="s">
        <v>6526</v>
      </c>
      <c r="B2164">
        <v>18</v>
      </c>
      <c r="C2164" t="s">
        <v>32</v>
      </c>
      <c r="D2164" t="s">
        <v>33</v>
      </c>
      <c r="E2164" t="s">
        <v>25</v>
      </c>
      <c r="F2164" s="1">
        <v>45152</v>
      </c>
      <c r="G2164" t="s">
        <v>4280</v>
      </c>
      <c r="H2164" t="s">
        <v>4281</v>
      </c>
      <c r="I2164" t="s">
        <v>28</v>
      </c>
      <c r="J2164">
        <v>19360</v>
      </c>
      <c r="K2164">
        <v>150</v>
      </c>
      <c r="L2164" t="s">
        <v>21</v>
      </c>
      <c r="M2164" s="1">
        <v>45180</v>
      </c>
      <c r="N2164" t="s">
        <v>30</v>
      </c>
      <c r="O2164" t="s">
        <v>43</v>
      </c>
      <c r="P2164" t="str">
        <f t="shared" si="730"/>
        <v>P2163</v>
      </c>
      <c r="Q2164" t="str">
        <f t="shared" si="726"/>
        <v>Nutrition</v>
      </c>
      <c r="R2164">
        <f t="shared" si="727"/>
        <v>28</v>
      </c>
      <c r="S2164" t="str">
        <f t="shared" ca="1" si="731"/>
        <v>No</v>
      </c>
      <c r="T2164" t="str">
        <f t="shared" ca="1" si="732"/>
        <v>Moderate</v>
      </c>
      <c r="U2164" t="str">
        <f t="shared" ca="1" si="733"/>
        <v>ICU</v>
      </c>
      <c r="V2164" t="str">
        <f t="shared" si="734"/>
        <v>BED2163</v>
      </c>
      <c r="W2164" t="str">
        <f t="shared" ca="1" si="735"/>
        <v>Semi-Private</v>
      </c>
      <c r="X2164" t="str">
        <f t="shared" si="736"/>
        <v>NUR013</v>
      </c>
      <c r="Y2164" t="str">
        <f t="shared" ca="1" si="737"/>
        <v>Night</v>
      </c>
      <c r="Z2164" t="str">
        <f t="shared" ca="1" si="738"/>
        <v>ECG Machine</v>
      </c>
      <c r="AA2164" t="str">
        <f t="shared" ca="1" si="739"/>
        <v>Maintenance</v>
      </c>
      <c r="AB2164" t="str">
        <f t="shared" ca="1" si="740"/>
        <v>Paid</v>
      </c>
      <c r="AC2164" t="str">
        <f t="shared" ca="1" si="741"/>
        <v>Insurance</v>
      </c>
      <c r="AD2164" t="str">
        <f t="shared" ca="1" si="742"/>
        <v>Yes</v>
      </c>
      <c r="AE2164" t="str">
        <f t="shared" ca="1" si="743"/>
        <v>No</v>
      </c>
      <c r="AF2164" t="str">
        <f t="shared" ca="1" si="744"/>
        <v>Under Observation</v>
      </c>
      <c r="AG2164" t="str">
        <f t="shared" ca="1" si="745"/>
        <v>Northeast</v>
      </c>
      <c r="AH2164" t="str">
        <f t="shared" si="728"/>
        <v>August</v>
      </c>
      <c r="AI2164">
        <f t="shared" si="729"/>
        <v>2023</v>
      </c>
      <c r="AJ2164" t="str">
        <f t="shared" ca="1" si="746"/>
        <v>Vacant</v>
      </c>
      <c r="AK2164">
        <f t="shared" ca="1" si="747"/>
        <v>1</v>
      </c>
    </row>
    <row r="2165" spans="1:37" x14ac:dyDescent="0.3">
      <c r="A2165" t="s">
        <v>489</v>
      </c>
      <c r="B2165">
        <v>40</v>
      </c>
      <c r="C2165" t="s">
        <v>32</v>
      </c>
      <c r="D2165" t="s">
        <v>38</v>
      </c>
      <c r="E2165" t="s">
        <v>76</v>
      </c>
      <c r="F2165" s="1">
        <v>44462</v>
      </c>
      <c r="G2165" t="s">
        <v>4282</v>
      </c>
      <c r="H2165" t="s">
        <v>4098</v>
      </c>
      <c r="I2165" t="s">
        <v>20</v>
      </c>
      <c r="J2165">
        <v>5621</v>
      </c>
      <c r="K2165">
        <v>129</v>
      </c>
      <c r="L2165" t="s">
        <v>29</v>
      </c>
      <c r="M2165" s="1">
        <v>44469</v>
      </c>
      <c r="N2165" t="s">
        <v>30</v>
      </c>
      <c r="O2165" t="s">
        <v>23</v>
      </c>
      <c r="P2165" t="str">
        <f t="shared" si="730"/>
        <v>P2164</v>
      </c>
      <c r="Q2165" t="str">
        <f t="shared" si="726"/>
        <v>Orthopedics</v>
      </c>
      <c r="R2165">
        <f t="shared" si="727"/>
        <v>7</v>
      </c>
      <c r="S2165" t="str">
        <f t="shared" ca="1" si="731"/>
        <v>No</v>
      </c>
      <c r="T2165" t="str">
        <f t="shared" ca="1" si="732"/>
        <v>Moderate</v>
      </c>
      <c r="U2165" t="str">
        <f t="shared" ca="1" si="733"/>
        <v>Private Ward</v>
      </c>
      <c r="V2165" t="str">
        <f t="shared" si="734"/>
        <v>BED2164</v>
      </c>
      <c r="W2165" t="str">
        <f t="shared" ca="1" si="735"/>
        <v>Semi-Private</v>
      </c>
      <c r="X2165" t="str">
        <f t="shared" si="736"/>
        <v>NUR014</v>
      </c>
      <c r="Y2165" t="str">
        <f t="shared" ca="1" si="737"/>
        <v>Morning</v>
      </c>
      <c r="Z2165" t="str">
        <f t="shared" ca="1" si="738"/>
        <v>X-Ray</v>
      </c>
      <c r="AA2165" t="str">
        <f t="shared" ca="1" si="739"/>
        <v>Available</v>
      </c>
      <c r="AB2165" t="str">
        <f t="shared" ca="1" si="740"/>
        <v>Paid</v>
      </c>
      <c r="AC2165" t="str">
        <f t="shared" ca="1" si="741"/>
        <v>Credit Card</v>
      </c>
      <c r="AD2165" t="str">
        <f t="shared" ca="1" si="742"/>
        <v>No</v>
      </c>
      <c r="AE2165" t="str">
        <f t="shared" ca="1" si="743"/>
        <v>Yes</v>
      </c>
      <c r="AF2165" t="str">
        <f t="shared" ca="1" si="744"/>
        <v>Recovered</v>
      </c>
      <c r="AG2165" t="str">
        <f t="shared" ca="1" si="745"/>
        <v>Southwest</v>
      </c>
      <c r="AH2165" t="str">
        <f t="shared" si="728"/>
        <v>September</v>
      </c>
      <c r="AI2165">
        <f t="shared" si="729"/>
        <v>2021</v>
      </c>
      <c r="AJ2165" t="str">
        <f t="shared" ca="1" si="746"/>
        <v>Occupied</v>
      </c>
      <c r="AK2165">
        <f t="shared" ca="1" si="747"/>
        <v>1</v>
      </c>
    </row>
    <row r="2166" spans="1:37" x14ac:dyDescent="0.3">
      <c r="A2166" t="s">
        <v>6527</v>
      </c>
      <c r="B2166">
        <v>62</v>
      </c>
      <c r="C2166" t="s">
        <v>32</v>
      </c>
      <c r="D2166" t="s">
        <v>52</v>
      </c>
      <c r="E2166" t="s">
        <v>64</v>
      </c>
      <c r="F2166" s="1">
        <v>43993</v>
      </c>
      <c r="G2166" t="s">
        <v>4283</v>
      </c>
      <c r="H2166" t="s">
        <v>4284</v>
      </c>
      <c r="I2166" t="s">
        <v>28</v>
      </c>
      <c r="J2166">
        <v>20620</v>
      </c>
      <c r="K2166">
        <v>281</v>
      </c>
      <c r="L2166" t="s">
        <v>29</v>
      </c>
      <c r="M2166" s="1">
        <v>44018</v>
      </c>
      <c r="N2166" t="s">
        <v>37</v>
      </c>
      <c r="O2166" t="s">
        <v>43</v>
      </c>
      <c r="P2166" t="str">
        <f t="shared" si="730"/>
        <v>P2165</v>
      </c>
      <c r="Q2166" t="str">
        <f t="shared" si="726"/>
        <v>Cardiology</v>
      </c>
      <c r="R2166">
        <f t="shared" si="727"/>
        <v>25</v>
      </c>
      <c r="S2166" t="str">
        <f t="shared" ca="1" si="731"/>
        <v>No</v>
      </c>
      <c r="T2166" t="str">
        <f t="shared" ca="1" si="732"/>
        <v>Mild</v>
      </c>
      <c r="U2166" t="str">
        <f t="shared" ca="1" si="733"/>
        <v>ICU</v>
      </c>
      <c r="V2166" t="str">
        <f t="shared" si="734"/>
        <v>BED2165</v>
      </c>
      <c r="W2166" t="str">
        <f t="shared" ca="1" si="735"/>
        <v>ICU</v>
      </c>
      <c r="X2166" t="str">
        <f t="shared" si="736"/>
        <v>NUR015</v>
      </c>
      <c r="Y2166" t="str">
        <f t="shared" ca="1" si="737"/>
        <v>Night</v>
      </c>
      <c r="Z2166" t="str">
        <f t="shared" ca="1" si="738"/>
        <v>Ventilator</v>
      </c>
      <c r="AA2166" t="str">
        <f t="shared" ca="1" si="739"/>
        <v>In Use</v>
      </c>
      <c r="AB2166" t="str">
        <f t="shared" ca="1" si="740"/>
        <v>Paid</v>
      </c>
      <c r="AC2166" t="str">
        <f t="shared" ca="1" si="741"/>
        <v>Cash</v>
      </c>
      <c r="AD2166" t="str">
        <f t="shared" ca="1" si="742"/>
        <v>No</v>
      </c>
      <c r="AE2166" t="str">
        <f t="shared" ca="1" si="743"/>
        <v>No</v>
      </c>
      <c r="AF2166" t="str">
        <f t="shared" ca="1" si="744"/>
        <v>Under Observation</v>
      </c>
      <c r="AG2166" t="str">
        <f t="shared" ca="1" si="745"/>
        <v>Northeast</v>
      </c>
      <c r="AH2166" t="str">
        <f t="shared" si="728"/>
        <v>June</v>
      </c>
      <c r="AI2166">
        <f t="shared" si="729"/>
        <v>2020</v>
      </c>
      <c r="AJ2166" t="str">
        <f t="shared" ca="1" si="746"/>
        <v>Occupied</v>
      </c>
      <c r="AK2166">
        <f t="shared" ca="1" si="747"/>
        <v>2</v>
      </c>
    </row>
    <row r="2167" spans="1:37" x14ac:dyDescent="0.3">
      <c r="A2167" t="s">
        <v>6528</v>
      </c>
      <c r="B2167">
        <v>33</v>
      </c>
      <c r="C2167" t="s">
        <v>15</v>
      </c>
      <c r="D2167" t="s">
        <v>24</v>
      </c>
      <c r="E2167" t="s">
        <v>39</v>
      </c>
      <c r="F2167" s="1">
        <v>44008</v>
      </c>
      <c r="G2167" t="s">
        <v>4285</v>
      </c>
      <c r="H2167" t="s">
        <v>4286</v>
      </c>
      <c r="I2167" t="s">
        <v>51</v>
      </c>
      <c r="J2167">
        <v>48607</v>
      </c>
      <c r="K2167">
        <v>118</v>
      </c>
      <c r="L2167" t="s">
        <v>42</v>
      </c>
      <c r="M2167" s="1">
        <v>44029</v>
      </c>
      <c r="N2167" t="s">
        <v>47</v>
      </c>
      <c r="O2167" t="s">
        <v>31</v>
      </c>
      <c r="P2167" t="str">
        <f t="shared" si="730"/>
        <v>P2166</v>
      </c>
      <c r="Q2167" t="str">
        <f t="shared" si="726"/>
        <v>Endocrinology</v>
      </c>
      <c r="R2167">
        <f t="shared" si="727"/>
        <v>21</v>
      </c>
      <c r="S2167" t="str">
        <f t="shared" ca="1" si="731"/>
        <v>No</v>
      </c>
      <c r="T2167" t="str">
        <f t="shared" ca="1" si="732"/>
        <v>Critical</v>
      </c>
      <c r="U2167" t="str">
        <f t="shared" ca="1" si="733"/>
        <v>General Ward</v>
      </c>
      <c r="V2167" t="str">
        <f t="shared" si="734"/>
        <v>BED2166</v>
      </c>
      <c r="W2167" t="str">
        <f t="shared" ca="1" si="735"/>
        <v>ICU</v>
      </c>
      <c r="X2167" t="str">
        <f t="shared" si="736"/>
        <v>NUR016</v>
      </c>
      <c r="Y2167" t="str">
        <f t="shared" ca="1" si="737"/>
        <v>Morning</v>
      </c>
      <c r="Z2167" t="str">
        <f t="shared" ca="1" si="738"/>
        <v>Ventilator</v>
      </c>
      <c r="AA2167" t="str">
        <f t="shared" ca="1" si="739"/>
        <v>Available</v>
      </c>
      <c r="AB2167" t="str">
        <f t="shared" ca="1" si="740"/>
        <v>Paid</v>
      </c>
      <c r="AC2167" t="str">
        <f t="shared" ca="1" si="741"/>
        <v>Bank Transfer</v>
      </c>
      <c r="AD2167" t="str">
        <f t="shared" ca="1" si="742"/>
        <v>No</v>
      </c>
      <c r="AE2167" t="str">
        <f t="shared" ca="1" si="743"/>
        <v>No</v>
      </c>
      <c r="AF2167" t="str">
        <f t="shared" ca="1" si="744"/>
        <v>Under Observation</v>
      </c>
      <c r="AG2167" t="str">
        <f t="shared" ca="1" si="745"/>
        <v>Midwest</v>
      </c>
      <c r="AH2167" t="str">
        <f t="shared" si="728"/>
        <v>June</v>
      </c>
      <c r="AI2167">
        <f t="shared" si="729"/>
        <v>2020</v>
      </c>
      <c r="AJ2167" t="str">
        <f t="shared" ca="1" si="746"/>
        <v>Occupied</v>
      </c>
      <c r="AK2167">
        <f t="shared" ca="1" si="747"/>
        <v>4</v>
      </c>
    </row>
    <row r="2168" spans="1:37" x14ac:dyDescent="0.3">
      <c r="A2168" t="s">
        <v>6529</v>
      </c>
      <c r="B2168">
        <v>80</v>
      </c>
      <c r="C2168" t="s">
        <v>15</v>
      </c>
      <c r="D2168" t="s">
        <v>52</v>
      </c>
      <c r="E2168" t="s">
        <v>17</v>
      </c>
      <c r="F2168" s="1">
        <v>44330</v>
      </c>
      <c r="G2168" t="s">
        <v>4287</v>
      </c>
      <c r="H2168" t="s">
        <v>4288</v>
      </c>
      <c r="I2168" t="s">
        <v>28</v>
      </c>
      <c r="J2168">
        <v>18154</v>
      </c>
      <c r="K2168">
        <v>391</v>
      </c>
      <c r="L2168" t="s">
        <v>29</v>
      </c>
      <c r="M2168" s="1">
        <v>44338</v>
      </c>
      <c r="N2168" t="s">
        <v>30</v>
      </c>
      <c r="O2168" t="s">
        <v>31</v>
      </c>
      <c r="P2168" t="str">
        <f t="shared" si="730"/>
        <v>P2167</v>
      </c>
      <c r="Q2168" t="str">
        <f t="shared" si="726"/>
        <v>Oncology</v>
      </c>
      <c r="R2168">
        <f t="shared" si="727"/>
        <v>8</v>
      </c>
      <c r="S2168" t="str">
        <f t="shared" ca="1" si="731"/>
        <v>No</v>
      </c>
      <c r="T2168" t="str">
        <f t="shared" ca="1" si="732"/>
        <v>Mild</v>
      </c>
      <c r="U2168" t="str">
        <f t="shared" ca="1" si="733"/>
        <v>ICU</v>
      </c>
      <c r="V2168" t="str">
        <f t="shared" si="734"/>
        <v>BED2167</v>
      </c>
      <c r="W2168" t="str">
        <f t="shared" ca="1" si="735"/>
        <v>Private</v>
      </c>
      <c r="X2168" t="str">
        <f t="shared" si="736"/>
        <v>NUR017</v>
      </c>
      <c r="Y2168" t="str">
        <f t="shared" ca="1" si="737"/>
        <v>Evening</v>
      </c>
      <c r="Z2168" t="str">
        <f t="shared" ca="1" si="738"/>
        <v>CT Scanner</v>
      </c>
      <c r="AA2168" t="str">
        <f t="shared" ca="1" si="739"/>
        <v>In Use</v>
      </c>
      <c r="AB2168" t="str">
        <f t="shared" ca="1" si="740"/>
        <v>Paid</v>
      </c>
      <c r="AC2168" t="str">
        <f t="shared" ca="1" si="741"/>
        <v>Debit Card</v>
      </c>
      <c r="AD2168" t="str">
        <f t="shared" ca="1" si="742"/>
        <v>Yes</v>
      </c>
      <c r="AE2168" t="str">
        <f t="shared" ca="1" si="743"/>
        <v>No</v>
      </c>
      <c r="AF2168" t="str">
        <f t="shared" ca="1" si="744"/>
        <v>Recovered</v>
      </c>
      <c r="AG2168" t="str">
        <f t="shared" ca="1" si="745"/>
        <v>Midwest</v>
      </c>
      <c r="AH2168" t="str">
        <f t="shared" si="728"/>
        <v>May</v>
      </c>
      <c r="AI2168">
        <f t="shared" si="729"/>
        <v>2021</v>
      </c>
      <c r="AJ2168" t="str">
        <f t="shared" ca="1" si="746"/>
        <v>Vacant</v>
      </c>
      <c r="AK2168">
        <f t="shared" ca="1" si="747"/>
        <v>2</v>
      </c>
    </row>
    <row r="2169" spans="1:37" x14ac:dyDescent="0.3">
      <c r="A2169" t="s">
        <v>6530</v>
      </c>
      <c r="B2169">
        <v>76</v>
      </c>
      <c r="C2169" t="s">
        <v>15</v>
      </c>
      <c r="D2169" t="s">
        <v>38</v>
      </c>
      <c r="E2169" t="s">
        <v>76</v>
      </c>
      <c r="F2169" s="1">
        <v>43978</v>
      </c>
      <c r="G2169" t="s">
        <v>4289</v>
      </c>
      <c r="H2169" t="s">
        <v>4290</v>
      </c>
      <c r="I2169" t="s">
        <v>51</v>
      </c>
      <c r="J2169">
        <v>26863</v>
      </c>
      <c r="K2169">
        <v>212</v>
      </c>
      <c r="L2169" t="s">
        <v>21</v>
      </c>
      <c r="M2169" s="1">
        <v>43983</v>
      </c>
      <c r="N2169" t="s">
        <v>30</v>
      </c>
      <c r="O2169" t="s">
        <v>31</v>
      </c>
      <c r="P2169" t="str">
        <f t="shared" si="730"/>
        <v>P2168</v>
      </c>
      <c r="Q2169" t="str">
        <f t="shared" si="726"/>
        <v>Orthopedics</v>
      </c>
      <c r="R2169">
        <f t="shared" si="727"/>
        <v>5</v>
      </c>
      <c r="S2169" t="str">
        <f t="shared" ca="1" si="731"/>
        <v>No</v>
      </c>
      <c r="T2169" t="str">
        <f t="shared" ca="1" si="732"/>
        <v>Severe</v>
      </c>
      <c r="U2169" t="str">
        <f t="shared" ca="1" si="733"/>
        <v>ICU</v>
      </c>
      <c r="V2169" t="str">
        <f t="shared" si="734"/>
        <v>BED2168</v>
      </c>
      <c r="W2169" t="str">
        <f t="shared" ca="1" si="735"/>
        <v>General</v>
      </c>
      <c r="X2169" t="str">
        <f t="shared" si="736"/>
        <v>NUR018</v>
      </c>
      <c r="Y2169" t="str">
        <f t="shared" ca="1" si="737"/>
        <v>Morning</v>
      </c>
      <c r="Z2169" t="str">
        <f t="shared" ca="1" si="738"/>
        <v>ECG Machine</v>
      </c>
      <c r="AA2169" t="str">
        <f t="shared" ca="1" si="739"/>
        <v>Maintenance</v>
      </c>
      <c r="AB2169" t="str">
        <f t="shared" ca="1" si="740"/>
        <v>Paid</v>
      </c>
      <c r="AC2169" t="str">
        <f t="shared" ca="1" si="741"/>
        <v>Credit Card</v>
      </c>
      <c r="AD2169" t="str">
        <f t="shared" ca="1" si="742"/>
        <v>No</v>
      </c>
      <c r="AE2169" t="str">
        <f t="shared" ca="1" si="743"/>
        <v>No</v>
      </c>
      <c r="AF2169" t="str">
        <f t="shared" ca="1" si="744"/>
        <v>Under Observation</v>
      </c>
      <c r="AG2169" t="str">
        <f t="shared" ca="1" si="745"/>
        <v>Midwest</v>
      </c>
      <c r="AH2169" t="str">
        <f t="shared" si="728"/>
        <v>May</v>
      </c>
      <c r="AI2169">
        <f t="shared" si="729"/>
        <v>2020</v>
      </c>
      <c r="AJ2169" t="str">
        <f t="shared" ca="1" si="746"/>
        <v>Vacant</v>
      </c>
      <c r="AK2169">
        <f t="shared" ca="1" si="747"/>
        <v>1</v>
      </c>
    </row>
    <row r="2170" spans="1:37" x14ac:dyDescent="0.3">
      <c r="A2170" t="s">
        <v>6531</v>
      </c>
      <c r="B2170">
        <v>53</v>
      </c>
      <c r="C2170" t="s">
        <v>32</v>
      </c>
      <c r="D2170" t="s">
        <v>98</v>
      </c>
      <c r="E2170" t="s">
        <v>48</v>
      </c>
      <c r="F2170" s="1">
        <v>44572</v>
      </c>
      <c r="G2170" t="s">
        <v>4291</v>
      </c>
      <c r="H2170" t="s">
        <v>4292</v>
      </c>
      <c r="I2170" t="s">
        <v>57</v>
      </c>
      <c r="J2170">
        <v>29864</v>
      </c>
      <c r="K2170">
        <v>493</v>
      </c>
      <c r="L2170" t="s">
        <v>21</v>
      </c>
      <c r="M2170" s="1">
        <v>44575</v>
      </c>
      <c r="N2170" t="s">
        <v>37</v>
      </c>
      <c r="O2170" t="s">
        <v>23</v>
      </c>
      <c r="P2170" t="str">
        <f t="shared" si="730"/>
        <v>P2169</v>
      </c>
      <c r="Q2170" t="str">
        <f t="shared" si="726"/>
        <v>Pulmonology</v>
      </c>
      <c r="R2170">
        <f t="shared" si="727"/>
        <v>3</v>
      </c>
      <c r="S2170" t="str">
        <f t="shared" ca="1" si="731"/>
        <v>Yes</v>
      </c>
      <c r="T2170" t="str">
        <f t="shared" ca="1" si="732"/>
        <v>Severe</v>
      </c>
      <c r="U2170" t="str">
        <f t="shared" ca="1" si="733"/>
        <v>Private Ward</v>
      </c>
      <c r="V2170" t="str">
        <f t="shared" si="734"/>
        <v>BED2169</v>
      </c>
      <c r="W2170" t="str">
        <f t="shared" ca="1" si="735"/>
        <v>ICU</v>
      </c>
      <c r="X2170" t="str">
        <f t="shared" si="736"/>
        <v>NUR019</v>
      </c>
      <c r="Y2170" t="str">
        <f t="shared" ca="1" si="737"/>
        <v>Night</v>
      </c>
      <c r="Z2170" t="str">
        <f t="shared" ca="1" si="738"/>
        <v>CT Scanner</v>
      </c>
      <c r="AA2170" t="str">
        <f t="shared" ca="1" si="739"/>
        <v>Maintenance</v>
      </c>
      <c r="AB2170" t="str">
        <f t="shared" ca="1" si="740"/>
        <v>Paid</v>
      </c>
      <c r="AC2170" t="str">
        <f t="shared" ca="1" si="741"/>
        <v>Debit Card</v>
      </c>
      <c r="AD2170" t="str">
        <f t="shared" ca="1" si="742"/>
        <v>No</v>
      </c>
      <c r="AE2170" t="str">
        <f t="shared" ca="1" si="743"/>
        <v>No</v>
      </c>
      <c r="AF2170" t="str">
        <f t="shared" ca="1" si="744"/>
        <v>Under Observation</v>
      </c>
      <c r="AG2170" t="str">
        <f t="shared" ca="1" si="745"/>
        <v>Northeast</v>
      </c>
      <c r="AH2170" t="str">
        <f t="shared" si="728"/>
        <v>January</v>
      </c>
      <c r="AI2170">
        <f t="shared" si="729"/>
        <v>2022</v>
      </c>
      <c r="AJ2170" t="str">
        <f t="shared" ca="1" si="746"/>
        <v>Occupied</v>
      </c>
      <c r="AK2170">
        <f t="shared" ca="1" si="747"/>
        <v>4</v>
      </c>
    </row>
    <row r="2171" spans="1:37" x14ac:dyDescent="0.3">
      <c r="A2171" t="s">
        <v>6532</v>
      </c>
      <c r="B2171">
        <v>37</v>
      </c>
      <c r="C2171" t="s">
        <v>32</v>
      </c>
      <c r="D2171" t="s">
        <v>83</v>
      </c>
      <c r="E2171" t="s">
        <v>48</v>
      </c>
      <c r="F2171" s="1">
        <v>44877</v>
      </c>
      <c r="G2171" t="s">
        <v>4293</v>
      </c>
      <c r="H2171" t="s">
        <v>4294</v>
      </c>
      <c r="I2171" t="s">
        <v>51</v>
      </c>
      <c r="J2171">
        <v>33212</v>
      </c>
      <c r="K2171">
        <v>392</v>
      </c>
      <c r="L2171" t="s">
        <v>21</v>
      </c>
      <c r="M2171" s="1">
        <v>44886</v>
      </c>
      <c r="N2171" t="s">
        <v>47</v>
      </c>
      <c r="O2171" t="s">
        <v>23</v>
      </c>
      <c r="P2171" t="str">
        <f t="shared" si="730"/>
        <v>P2170</v>
      </c>
      <c r="Q2171" t="str">
        <f t="shared" si="726"/>
        <v>Pulmonology</v>
      </c>
      <c r="R2171">
        <f t="shared" si="727"/>
        <v>9</v>
      </c>
      <c r="S2171" t="str">
        <f t="shared" ca="1" si="731"/>
        <v>No</v>
      </c>
      <c r="T2171" t="str">
        <f t="shared" ca="1" si="732"/>
        <v>Critical</v>
      </c>
      <c r="U2171" t="str">
        <f t="shared" ca="1" si="733"/>
        <v>Emergency</v>
      </c>
      <c r="V2171" t="str">
        <f t="shared" si="734"/>
        <v>BED2170</v>
      </c>
      <c r="W2171" t="str">
        <f t="shared" ca="1" si="735"/>
        <v>ICU</v>
      </c>
      <c r="X2171" t="str">
        <f t="shared" si="736"/>
        <v>NUR020</v>
      </c>
      <c r="Y2171" t="str">
        <f t="shared" ca="1" si="737"/>
        <v>Morning</v>
      </c>
      <c r="Z2171" t="str">
        <f t="shared" ca="1" si="738"/>
        <v>Ventilator</v>
      </c>
      <c r="AA2171" t="str">
        <f t="shared" ca="1" si="739"/>
        <v>Available</v>
      </c>
      <c r="AB2171" t="str">
        <f t="shared" ca="1" si="740"/>
        <v>Pending</v>
      </c>
      <c r="AC2171" t="str">
        <f t="shared" ca="1" si="741"/>
        <v>Credit Card</v>
      </c>
      <c r="AD2171" t="str">
        <f t="shared" ca="1" si="742"/>
        <v>No</v>
      </c>
      <c r="AE2171" t="str">
        <f t="shared" ca="1" si="743"/>
        <v>No</v>
      </c>
      <c r="AF2171" t="str">
        <f t="shared" ca="1" si="744"/>
        <v>Transferred</v>
      </c>
      <c r="AG2171" t="str">
        <f t="shared" ca="1" si="745"/>
        <v>Midwest</v>
      </c>
      <c r="AH2171" t="str">
        <f t="shared" si="728"/>
        <v>November</v>
      </c>
      <c r="AI2171">
        <f t="shared" si="729"/>
        <v>2022</v>
      </c>
      <c r="AJ2171" t="str">
        <f t="shared" ca="1" si="746"/>
        <v>Occupied</v>
      </c>
      <c r="AK2171">
        <f t="shared" ca="1" si="747"/>
        <v>4</v>
      </c>
    </row>
    <row r="2172" spans="1:37" x14ac:dyDescent="0.3">
      <c r="A2172" t="s">
        <v>6533</v>
      </c>
      <c r="B2172">
        <v>80</v>
      </c>
      <c r="C2172" t="s">
        <v>32</v>
      </c>
      <c r="D2172" t="s">
        <v>33</v>
      </c>
      <c r="E2172" t="s">
        <v>39</v>
      </c>
      <c r="F2172" s="1">
        <v>45222</v>
      </c>
      <c r="G2172" t="s">
        <v>4295</v>
      </c>
      <c r="H2172" t="s">
        <v>4296</v>
      </c>
      <c r="I2172" t="s">
        <v>36</v>
      </c>
      <c r="J2172">
        <v>26761</v>
      </c>
      <c r="K2172">
        <v>309</v>
      </c>
      <c r="L2172" t="s">
        <v>21</v>
      </c>
      <c r="M2172" s="1">
        <v>45245</v>
      </c>
      <c r="N2172" t="s">
        <v>22</v>
      </c>
      <c r="O2172" t="s">
        <v>23</v>
      </c>
      <c r="P2172" t="str">
        <f t="shared" si="730"/>
        <v>P2171</v>
      </c>
      <c r="Q2172" t="str">
        <f t="shared" si="726"/>
        <v>Endocrinology</v>
      </c>
      <c r="R2172">
        <f t="shared" si="727"/>
        <v>23</v>
      </c>
      <c r="S2172" t="str">
        <f t="shared" ca="1" si="731"/>
        <v>No</v>
      </c>
      <c r="T2172" t="str">
        <f t="shared" ca="1" si="732"/>
        <v>Moderate</v>
      </c>
      <c r="U2172" t="str">
        <f t="shared" ca="1" si="733"/>
        <v>Emergency</v>
      </c>
      <c r="V2172" t="str">
        <f t="shared" si="734"/>
        <v>BED2171</v>
      </c>
      <c r="W2172" t="str">
        <f t="shared" ca="1" si="735"/>
        <v>Private</v>
      </c>
      <c r="X2172" t="str">
        <f t="shared" si="736"/>
        <v>NUR021</v>
      </c>
      <c r="Y2172" t="str">
        <f t="shared" ca="1" si="737"/>
        <v>Evening</v>
      </c>
      <c r="Z2172" t="str">
        <f t="shared" ca="1" si="738"/>
        <v>Ultrasound</v>
      </c>
      <c r="AA2172" t="str">
        <f t="shared" ca="1" si="739"/>
        <v>In Use</v>
      </c>
      <c r="AB2172" t="str">
        <f t="shared" ca="1" si="740"/>
        <v>Partially Paid</v>
      </c>
      <c r="AC2172" t="str">
        <f t="shared" ca="1" si="741"/>
        <v>Cash</v>
      </c>
      <c r="AD2172" t="str">
        <f t="shared" ca="1" si="742"/>
        <v>Yes</v>
      </c>
      <c r="AE2172" t="str">
        <f t="shared" ca="1" si="743"/>
        <v>No</v>
      </c>
      <c r="AF2172" t="str">
        <f t="shared" ca="1" si="744"/>
        <v>Under Observation</v>
      </c>
      <c r="AG2172" t="str">
        <f t="shared" ca="1" si="745"/>
        <v>Northeast</v>
      </c>
      <c r="AH2172" t="str">
        <f t="shared" si="728"/>
        <v>October</v>
      </c>
      <c r="AI2172">
        <f t="shared" si="729"/>
        <v>2023</v>
      </c>
      <c r="AJ2172" t="str">
        <f t="shared" ca="1" si="746"/>
        <v>Occupied</v>
      </c>
      <c r="AK2172">
        <f t="shared" ca="1" si="747"/>
        <v>1</v>
      </c>
    </row>
    <row r="2173" spans="1:37" x14ac:dyDescent="0.3">
      <c r="A2173" t="s">
        <v>6534</v>
      </c>
      <c r="B2173">
        <v>56</v>
      </c>
      <c r="C2173" t="s">
        <v>15</v>
      </c>
      <c r="D2173" t="s">
        <v>24</v>
      </c>
      <c r="E2173" t="s">
        <v>48</v>
      </c>
      <c r="F2173" s="1">
        <v>43915</v>
      </c>
      <c r="G2173" t="s">
        <v>4297</v>
      </c>
      <c r="H2173" t="s">
        <v>4298</v>
      </c>
      <c r="I2173" t="s">
        <v>28</v>
      </c>
      <c r="J2173">
        <v>7335</v>
      </c>
      <c r="K2173">
        <v>267</v>
      </c>
      <c r="L2173" t="s">
        <v>42</v>
      </c>
      <c r="M2173" s="1">
        <v>43926</v>
      </c>
      <c r="N2173" t="s">
        <v>37</v>
      </c>
      <c r="O2173" t="s">
        <v>43</v>
      </c>
      <c r="P2173" t="str">
        <f t="shared" si="730"/>
        <v>P2172</v>
      </c>
      <c r="Q2173" t="str">
        <f t="shared" si="726"/>
        <v>Pulmonology</v>
      </c>
      <c r="R2173">
        <f t="shared" si="727"/>
        <v>11</v>
      </c>
      <c r="S2173" t="str">
        <f t="shared" ca="1" si="731"/>
        <v>No</v>
      </c>
      <c r="T2173" t="str">
        <f t="shared" ca="1" si="732"/>
        <v>Severe</v>
      </c>
      <c r="U2173" t="str">
        <f t="shared" ca="1" si="733"/>
        <v>Semi-Private</v>
      </c>
      <c r="V2173" t="str">
        <f t="shared" si="734"/>
        <v>BED2172</v>
      </c>
      <c r="W2173" t="str">
        <f t="shared" ca="1" si="735"/>
        <v>General</v>
      </c>
      <c r="X2173" t="str">
        <f t="shared" si="736"/>
        <v>NUR022</v>
      </c>
      <c r="Y2173" t="str">
        <f t="shared" ca="1" si="737"/>
        <v>Evening</v>
      </c>
      <c r="Z2173" t="str">
        <f t="shared" ca="1" si="738"/>
        <v>Ventilator</v>
      </c>
      <c r="AA2173" t="str">
        <f t="shared" ca="1" si="739"/>
        <v>Maintenance</v>
      </c>
      <c r="AB2173" t="str">
        <f t="shared" ca="1" si="740"/>
        <v>Partially Paid</v>
      </c>
      <c r="AC2173" t="str">
        <f t="shared" ca="1" si="741"/>
        <v>Cash</v>
      </c>
      <c r="AD2173" t="str">
        <f t="shared" ca="1" si="742"/>
        <v>No</v>
      </c>
      <c r="AE2173" t="str">
        <f t="shared" ca="1" si="743"/>
        <v>No</v>
      </c>
      <c r="AF2173" t="str">
        <f t="shared" ca="1" si="744"/>
        <v>Recovered</v>
      </c>
      <c r="AG2173" t="str">
        <f t="shared" ca="1" si="745"/>
        <v>Southeast</v>
      </c>
      <c r="AH2173" t="str">
        <f t="shared" si="728"/>
        <v>March</v>
      </c>
      <c r="AI2173">
        <f t="shared" si="729"/>
        <v>2020</v>
      </c>
      <c r="AJ2173" t="str">
        <f t="shared" ca="1" si="746"/>
        <v>Occupied</v>
      </c>
      <c r="AK2173">
        <f t="shared" ca="1" si="747"/>
        <v>1</v>
      </c>
    </row>
    <row r="2174" spans="1:37" x14ac:dyDescent="0.3">
      <c r="A2174" t="s">
        <v>6535</v>
      </c>
      <c r="B2174">
        <v>43</v>
      </c>
      <c r="C2174" t="s">
        <v>15</v>
      </c>
      <c r="D2174" t="s">
        <v>44</v>
      </c>
      <c r="E2174" t="s">
        <v>64</v>
      </c>
      <c r="F2174" s="1">
        <v>45162</v>
      </c>
      <c r="G2174" t="s">
        <v>4299</v>
      </c>
      <c r="H2174" t="s">
        <v>4300</v>
      </c>
      <c r="I2174" t="s">
        <v>51</v>
      </c>
      <c r="J2174">
        <v>23484</v>
      </c>
      <c r="K2174">
        <v>146</v>
      </c>
      <c r="L2174" t="s">
        <v>42</v>
      </c>
      <c r="M2174" s="1">
        <v>45182</v>
      </c>
      <c r="N2174" t="s">
        <v>22</v>
      </c>
      <c r="O2174" t="s">
        <v>23</v>
      </c>
      <c r="P2174" t="str">
        <f t="shared" si="730"/>
        <v>P2173</v>
      </c>
      <c r="Q2174" t="str">
        <f t="shared" si="726"/>
        <v>Cardiology</v>
      </c>
      <c r="R2174">
        <f t="shared" si="727"/>
        <v>20</v>
      </c>
      <c r="S2174" t="str">
        <f t="shared" ca="1" si="731"/>
        <v>No</v>
      </c>
      <c r="T2174" t="str">
        <f t="shared" ca="1" si="732"/>
        <v>Severe</v>
      </c>
      <c r="U2174" t="str">
        <f t="shared" ca="1" si="733"/>
        <v>General Ward</v>
      </c>
      <c r="V2174" t="str">
        <f t="shared" si="734"/>
        <v>BED2173</v>
      </c>
      <c r="W2174" t="str">
        <f t="shared" ca="1" si="735"/>
        <v>General</v>
      </c>
      <c r="X2174" t="str">
        <f t="shared" si="736"/>
        <v>NUR023</v>
      </c>
      <c r="Y2174" t="str">
        <f t="shared" ca="1" si="737"/>
        <v>Morning</v>
      </c>
      <c r="Z2174" t="str">
        <f t="shared" ca="1" si="738"/>
        <v>Ventilator</v>
      </c>
      <c r="AA2174" t="str">
        <f t="shared" ca="1" si="739"/>
        <v>Maintenance</v>
      </c>
      <c r="AB2174" t="str">
        <f t="shared" ca="1" si="740"/>
        <v>Partially Paid</v>
      </c>
      <c r="AC2174" t="str">
        <f t="shared" ca="1" si="741"/>
        <v>Debit Card</v>
      </c>
      <c r="AD2174" t="str">
        <f t="shared" ca="1" si="742"/>
        <v>No</v>
      </c>
      <c r="AE2174" t="str">
        <f t="shared" ca="1" si="743"/>
        <v>No</v>
      </c>
      <c r="AF2174" t="str">
        <f t="shared" ca="1" si="744"/>
        <v>Transferred</v>
      </c>
      <c r="AG2174" t="str">
        <f t="shared" ca="1" si="745"/>
        <v>West Coast</v>
      </c>
      <c r="AH2174" t="str">
        <f t="shared" si="728"/>
        <v>August</v>
      </c>
      <c r="AI2174">
        <f t="shared" si="729"/>
        <v>2023</v>
      </c>
      <c r="AJ2174" t="str">
        <f t="shared" ca="1" si="746"/>
        <v>Occupied</v>
      </c>
      <c r="AK2174">
        <f t="shared" ca="1" si="747"/>
        <v>4</v>
      </c>
    </row>
    <row r="2175" spans="1:37" x14ac:dyDescent="0.3">
      <c r="A2175" t="s">
        <v>6536</v>
      </c>
      <c r="B2175">
        <v>41</v>
      </c>
      <c r="C2175" t="s">
        <v>15</v>
      </c>
      <c r="D2175" t="s">
        <v>38</v>
      </c>
      <c r="E2175" t="s">
        <v>64</v>
      </c>
      <c r="F2175" s="1">
        <v>44110</v>
      </c>
      <c r="G2175" t="s">
        <v>4301</v>
      </c>
      <c r="H2175" t="s">
        <v>4302</v>
      </c>
      <c r="I2175" t="s">
        <v>28</v>
      </c>
      <c r="J2175">
        <v>12503</v>
      </c>
      <c r="K2175">
        <v>197</v>
      </c>
      <c r="L2175" t="s">
        <v>29</v>
      </c>
      <c r="M2175" s="1">
        <v>44116</v>
      </c>
      <c r="N2175" t="s">
        <v>47</v>
      </c>
      <c r="O2175" t="s">
        <v>43</v>
      </c>
      <c r="P2175" t="str">
        <f t="shared" si="730"/>
        <v>P2174</v>
      </c>
      <c r="Q2175" t="str">
        <f t="shared" si="726"/>
        <v>Cardiology</v>
      </c>
      <c r="R2175">
        <f t="shared" si="727"/>
        <v>6</v>
      </c>
      <c r="S2175" t="str">
        <f t="shared" ca="1" si="731"/>
        <v>No</v>
      </c>
      <c r="T2175" t="str">
        <f t="shared" ca="1" si="732"/>
        <v>Mild</v>
      </c>
      <c r="U2175" t="str">
        <f t="shared" ca="1" si="733"/>
        <v>ICU</v>
      </c>
      <c r="V2175" t="str">
        <f t="shared" si="734"/>
        <v>BED2174</v>
      </c>
      <c r="W2175" t="str">
        <f t="shared" ca="1" si="735"/>
        <v>General</v>
      </c>
      <c r="X2175" t="str">
        <f t="shared" si="736"/>
        <v>NUR024</v>
      </c>
      <c r="Y2175" t="str">
        <f t="shared" ca="1" si="737"/>
        <v>Evening</v>
      </c>
      <c r="Z2175" t="str">
        <f t="shared" ca="1" si="738"/>
        <v>X-Ray</v>
      </c>
      <c r="AA2175" t="str">
        <f t="shared" ca="1" si="739"/>
        <v>Available</v>
      </c>
      <c r="AB2175" t="str">
        <f t="shared" ca="1" si="740"/>
        <v>Pending</v>
      </c>
      <c r="AC2175" t="str">
        <f t="shared" ca="1" si="741"/>
        <v>Debit Card</v>
      </c>
      <c r="AD2175" t="str">
        <f t="shared" ca="1" si="742"/>
        <v>No</v>
      </c>
      <c r="AE2175" t="str">
        <f t="shared" ca="1" si="743"/>
        <v>No</v>
      </c>
      <c r="AF2175" t="str">
        <f t="shared" ca="1" si="744"/>
        <v>Under Observation</v>
      </c>
      <c r="AG2175" t="str">
        <f t="shared" ca="1" si="745"/>
        <v>West Coast</v>
      </c>
      <c r="AH2175" t="str">
        <f t="shared" si="728"/>
        <v>October</v>
      </c>
      <c r="AI2175">
        <f t="shared" si="729"/>
        <v>2020</v>
      </c>
      <c r="AJ2175" t="str">
        <f t="shared" ca="1" si="746"/>
        <v>Occupied</v>
      </c>
      <c r="AK2175">
        <f t="shared" ca="1" si="747"/>
        <v>1</v>
      </c>
    </row>
    <row r="2176" spans="1:37" x14ac:dyDescent="0.3">
      <c r="A2176" t="s">
        <v>6537</v>
      </c>
      <c r="B2176">
        <v>55</v>
      </c>
      <c r="C2176" t="s">
        <v>15</v>
      </c>
      <c r="D2176" t="s">
        <v>38</v>
      </c>
      <c r="E2176" t="s">
        <v>48</v>
      </c>
      <c r="F2176" s="1">
        <v>44693</v>
      </c>
      <c r="G2176" t="s">
        <v>4303</v>
      </c>
      <c r="H2176" t="s">
        <v>4304</v>
      </c>
      <c r="I2176" t="s">
        <v>57</v>
      </c>
      <c r="J2176">
        <v>7603</v>
      </c>
      <c r="K2176">
        <v>244</v>
      </c>
      <c r="L2176" t="s">
        <v>21</v>
      </c>
      <c r="M2176" s="1">
        <v>44696</v>
      </c>
      <c r="N2176" t="s">
        <v>37</v>
      </c>
      <c r="O2176" t="s">
        <v>43</v>
      </c>
      <c r="P2176" t="str">
        <f t="shared" si="730"/>
        <v>P2175</v>
      </c>
      <c r="Q2176" t="str">
        <f t="shared" si="726"/>
        <v>Pulmonology</v>
      </c>
      <c r="R2176">
        <f t="shared" si="727"/>
        <v>3</v>
      </c>
      <c r="S2176" t="str">
        <f t="shared" ca="1" si="731"/>
        <v>Yes</v>
      </c>
      <c r="T2176" t="str">
        <f t="shared" ca="1" si="732"/>
        <v>Moderate</v>
      </c>
      <c r="U2176" t="str">
        <f t="shared" ca="1" si="733"/>
        <v>General Ward</v>
      </c>
      <c r="V2176" t="str">
        <f t="shared" si="734"/>
        <v>BED2175</v>
      </c>
      <c r="W2176" t="str">
        <f t="shared" ca="1" si="735"/>
        <v>General</v>
      </c>
      <c r="X2176" t="str">
        <f t="shared" si="736"/>
        <v>NUR025</v>
      </c>
      <c r="Y2176" t="str">
        <f t="shared" ca="1" si="737"/>
        <v>Night</v>
      </c>
      <c r="Z2176" t="str">
        <f t="shared" ca="1" si="738"/>
        <v>ECG Machine</v>
      </c>
      <c r="AA2176" t="str">
        <f t="shared" ca="1" si="739"/>
        <v>Maintenance</v>
      </c>
      <c r="AB2176" t="str">
        <f t="shared" ca="1" si="740"/>
        <v>Paid</v>
      </c>
      <c r="AC2176" t="str">
        <f t="shared" ca="1" si="741"/>
        <v>Credit Card</v>
      </c>
      <c r="AD2176" t="str">
        <f t="shared" ca="1" si="742"/>
        <v>No</v>
      </c>
      <c r="AE2176" t="str">
        <f t="shared" ca="1" si="743"/>
        <v>No</v>
      </c>
      <c r="AF2176" t="str">
        <f t="shared" ca="1" si="744"/>
        <v>Recovered</v>
      </c>
      <c r="AG2176" t="str">
        <f t="shared" ca="1" si="745"/>
        <v>Southeast</v>
      </c>
      <c r="AH2176" t="str">
        <f t="shared" si="728"/>
        <v>May</v>
      </c>
      <c r="AI2176">
        <f t="shared" si="729"/>
        <v>2022</v>
      </c>
      <c r="AJ2176" t="str">
        <f t="shared" ca="1" si="746"/>
        <v>Occupied</v>
      </c>
      <c r="AK2176">
        <f t="shared" ca="1" si="747"/>
        <v>2</v>
      </c>
    </row>
    <row r="2177" spans="1:37" x14ac:dyDescent="0.3">
      <c r="A2177" t="s">
        <v>6538</v>
      </c>
      <c r="B2177">
        <v>37</v>
      </c>
      <c r="C2177" t="s">
        <v>15</v>
      </c>
      <c r="D2177" t="s">
        <v>24</v>
      </c>
      <c r="E2177" t="s">
        <v>48</v>
      </c>
      <c r="F2177" s="1">
        <v>44910</v>
      </c>
      <c r="G2177" t="s">
        <v>4305</v>
      </c>
      <c r="H2177" t="s">
        <v>4306</v>
      </c>
      <c r="I2177" t="s">
        <v>28</v>
      </c>
      <c r="J2177">
        <v>40831</v>
      </c>
      <c r="K2177">
        <v>297</v>
      </c>
      <c r="L2177" t="s">
        <v>21</v>
      </c>
      <c r="M2177" s="1">
        <v>44939</v>
      </c>
      <c r="N2177" t="s">
        <v>47</v>
      </c>
      <c r="O2177" t="s">
        <v>31</v>
      </c>
      <c r="P2177" t="str">
        <f t="shared" si="730"/>
        <v>P2176</v>
      </c>
      <c r="Q2177" t="str">
        <f t="shared" si="726"/>
        <v>Pulmonology</v>
      </c>
      <c r="R2177">
        <f t="shared" si="727"/>
        <v>29</v>
      </c>
      <c r="S2177" t="str">
        <f t="shared" ca="1" si="731"/>
        <v>No</v>
      </c>
      <c r="T2177" t="str">
        <f t="shared" ca="1" si="732"/>
        <v>Critical</v>
      </c>
      <c r="U2177" t="str">
        <f t="shared" ca="1" si="733"/>
        <v>ICU</v>
      </c>
      <c r="V2177" t="str">
        <f t="shared" si="734"/>
        <v>BED2176</v>
      </c>
      <c r="W2177" t="str">
        <f t="shared" ca="1" si="735"/>
        <v>General</v>
      </c>
      <c r="X2177" t="str">
        <f t="shared" si="736"/>
        <v>NUR026</v>
      </c>
      <c r="Y2177" t="str">
        <f t="shared" ca="1" si="737"/>
        <v>Evening</v>
      </c>
      <c r="Z2177" t="str">
        <f t="shared" ca="1" si="738"/>
        <v>CT Scanner</v>
      </c>
      <c r="AA2177" t="str">
        <f t="shared" ca="1" si="739"/>
        <v>In Use</v>
      </c>
      <c r="AB2177" t="str">
        <f t="shared" ca="1" si="740"/>
        <v>Partially Paid</v>
      </c>
      <c r="AC2177" t="str">
        <f t="shared" ca="1" si="741"/>
        <v>Bank Transfer</v>
      </c>
      <c r="AD2177" t="str">
        <f t="shared" ca="1" si="742"/>
        <v>No</v>
      </c>
      <c r="AE2177" t="str">
        <f t="shared" ca="1" si="743"/>
        <v>No</v>
      </c>
      <c r="AF2177" t="str">
        <f t="shared" ca="1" si="744"/>
        <v>Transferred</v>
      </c>
      <c r="AG2177" t="str">
        <f t="shared" ca="1" si="745"/>
        <v>Southeast</v>
      </c>
      <c r="AH2177" t="str">
        <f t="shared" si="728"/>
        <v>December</v>
      </c>
      <c r="AI2177">
        <f t="shared" si="729"/>
        <v>2022</v>
      </c>
      <c r="AJ2177" t="str">
        <f t="shared" ca="1" si="746"/>
        <v>Vacant</v>
      </c>
      <c r="AK2177">
        <f t="shared" ca="1" si="747"/>
        <v>1</v>
      </c>
    </row>
    <row r="2178" spans="1:37" x14ac:dyDescent="0.3">
      <c r="A2178" t="s">
        <v>6539</v>
      </c>
      <c r="B2178">
        <v>61</v>
      </c>
      <c r="C2178" t="s">
        <v>32</v>
      </c>
      <c r="D2178" t="s">
        <v>16</v>
      </c>
      <c r="E2178" t="s">
        <v>64</v>
      </c>
      <c r="F2178" s="1">
        <v>44653</v>
      </c>
      <c r="G2178" t="s">
        <v>4307</v>
      </c>
      <c r="H2178" t="s">
        <v>4308</v>
      </c>
      <c r="I2178" t="s">
        <v>36</v>
      </c>
      <c r="J2178">
        <v>25448</v>
      </c>
      <c r="K2178">
        <v>248</v>
      </c>
      <c r="L2178" t="s">
        <v>29</v>
      </c>
      <c r="M2178" s="1">
        <v>44660</v>
      </c>
      <c r="N2178" t="s">
        <v>47</v>
      </c>
      <c r="O2178" t="s">
        <v>31</v>
      </c>
      <c r="P2178" t="str">
        <f t="shared" si="730"/>
        <v>P2177</v>
      </c>
      <c r="Q2178" t="str">
        <f t="shared" ref="Q2178:Q2239" si="748">IF(E2178="Cancer","Oncology",IF(E2178="Obesity","Nutrition",IF(E2178="Diabetes","Endocrinology",IF(E2178="Asthma","Pulmonology",IF(E2178="Arthritis","Orthopedics",IF(E2178="Hypertension","Cardiology","General Medicine"))))))</f>
        <v>Cardiology</v>
      </c>
      <c r="R2178">
        <f t="shared" ref="R2178:R2239" si="749">M2178-F2178</f>
        <v>7</v>
      </c>
      <c r="S2178" t="str">
        <f t="shared" ca="1" si="731"/>
        <v>No</v>
      </c>
      <c r="T2178" t="str">
        <f t="shared" ca="1" si="732"/>
        <v>Mild</v>
      </c>
      <c r="U2178" t="str">
        <f t="shared" ca="1" si="733"/>
        <v>Emergency</v>
      </c>
      <c r="V2178" t="str">
        <f t="shared" si="734"/>
        <v>BED2177</v>
      </c>
      <c r="W2178" t="str">
        <f t="shared" ca="1" si="735"/>
        <v>Private</v>
      </c>
      <c r="X2178" t="str">
        <f t="shared" si="736"/>
        <v>NUR027</v>
      </c>
      <c r="Y2178" t="str">
        <f t="shared" ca="1" si="737"/>
        <v>Evening</v>
      </c>
      <c r="Z2178" t="str">
        <f t="shared" ca="1" si="738"/>
        <v>X-Ray</v>
      </c>
      <c r="AA2178" t="str">
        <f t="shared" ca="1" si="739"/>
        <v>Maintenance</v>
      </c>
      <c r="AB2178" t="str">
        <f t="shared" ca="1" si="740"/>
        <v>Partially Paid</v>
      </c>
      <c r="AC2178" t="str">
        <f t="shared" ca="1" si="741"/>
        <v>Cash</v>
      </c>
      <c r="AD2178" t="str">
        <f t="shared" ca="1" si="742"/>
        <v>Yes</v>
      </c>
      <c r="AE2178" t="str">
        <f t="shared" ca="1" si="743"/>
        <v>No</v>
      </c>
      <c r="AF2178" t="str">
        <f t="shared" ca="1" si="744"/>
        <v>Under Observation</v>
      </c>
      <c r="AG2178" t="str">
        <f t="shared" ca="1" si="745"/>
        <v>Midwest</v>
      </c>
      <c r="AH2178" t="str">
        <f t="shared" si="728"/>
        <v>April</v>
      </c>
      <c r="AI2178">
        <f t="shared" si="729"/>
        <v>2022</v>
      </c>
      <c r="AJ2178" t="str">
        <f t="shared" ca="1" si="746"/>
        <v>Vacant</v>
      </c>
      <c r="AK2178">
        <f t="shared" ca="1" si="747"/>
        <v>4</v>
      </c>
    </row>
    <row r="2179" spans="1:37" x14ac:dyDescent="0.3">
      <c r="A2179" t="s">
        <v>6540</v>
      </c>
      <c r="B2179">
        <v>49</v>
      </c>
      <c r="C2179" t="s">
        <v>32</v>
      </c>
      <c r="D2179" t="s">
        <v>44</v>
      </c>
      <c r="E2179" t="s">
        <v>64</v>
      </c>
      <c r="F2179" s="1">
        <v>44360</v>
      </c>
      <c r="G2179" t="s">
        <v>4309</v>
      </c>
      <c r="H2179" t="s">
        <v>4310</v>
      </c>
      <c r="I2179" t="s">
        <v>57</v>
      </c>
      <c r="J2179">
        <v>16666</v>
      </c>
      <c r="K2179">
        <v>447</v>
      </c>
      <c r="L2179" t="s">
        <v>21</v>
      </c>
      <c r="M2179" s="1">
        <v>44388</v>
      </c>
      <c r="N2179" t="s">
        <v>30</v>
      </c>
      <c r="O2179" t="s">
        <v>23</v>
      </c>
      <c r="P2179" t="str">
        <f t="shared" ref="P2179:P2239" si="750">"P"&amp;TEXT(ROW()-1,"0000")</f>
        <v>P2178</v>
      </c>
      <c r="Q2179" t="str">
        <f t="shared" si="748"/>
        <v>Cardiology</v>
      </c>
      <c r="R2179">
        <f t="shared" si="749"/>
        <v>28</v>
      </c>
      <c r="S2179" t="str">
        <f t="shared" ref="S2179:S2239" ca="1" si="751">IF(RAND()&lt;0.1,"Yes","No")</f>
        <v>No</v>
      </c>
      <c r="T2179" t="str">
        <f t="shared" ref="T2179:T2239" ca="1" si="752">CHOOSE(RANDBETWEEN(1,4),"Mild","Moderate","Severe","Critical")</f>
        <v>Moderate</v>
      </c>
      <c r="U2179" t="str">
        <f t="shared" ref="U2179:U2239" ca="1" si="753">CHOOSE(RANDBETWEEN(1,5),"General Ward","ICU","Emergency","Private Ward","Semi-Private")</f>
        <v>ICU</v>
      </c>
      <c r="V2179" t="str">
        <f t="shared" ref="V2179:V2239" si="754">"BED"&amp;TEXT(ROW()-1,"0000")</f>
        <v>BED2178</v>
      </c>
      <c r="W2179" t="str">
        <f t="shared" ref="W2179:W2239" ca="1" si="755">CHOOSE(RANDBETWEEN(1,4),"General","Private","Semi-Private","ICU")</f>
        <v>ICU</v>
      </c>
      <c r="X2179" t="str">
        <f t="shared" ref="X2179:X2239" si="756">"NUR"&amp;TEXT(MOD(ROW()-2,50)+1,"000")</f>
        <v>NUR028</v>
      </c>
      <c r="Y2179" t="str">
        <f t="shared" ref="Y2179:Y2239" ca="1" si="757">CHOOSE(RANDBETWEEN(1,3),"Morning","Evening","Night")</f>
        <v>Night</v>
      </c>
      <c r="Z2179" t="str">
        <f t="shared" ref="Z2179:Z2239" ca="1" si="758">CHOOSE(RANDBETWEEN(1,6),"MRI Scanner","CT Scanner","Ventilator","X-Ray","ECG Machine","Ultrasound")</f>
        <v>ECG Machine</v>
      </c>
      <c r="AA2179" t="str">
        <f t="shared" ref="AA2179:AA2239" ca="1" si="759">CHOOSE(RANDBETWEEN(1,3),"Available","In Use","Maintenance")</f>
        <v>In Use</v>
      </c>
      <c r="AB2179" t="str">
        <f t="shared" ref="AB2179:AB2239" ca="1" si="760">CHOOSE(RANDBETWEEN(1,3),"Paid","Pending","Partially Paid")</f>
        <v>Partially Paid</v>
      </c>
      <c r="AC2179" t="str">
        <f t="shared" ref="AC2179:AC2239" ca="1" si="761">CHOOSE(RANDBETWEEN(1,5),"Cash","Credit Card","Debit Card","Insurance","Bank Transfer")</f>
        <v>Credit Card</v>
      </c>
      <c r="AD2179" t="str">
        <f t="shared" ref="AD2179:AD2239" ca="1" si="762">IF(RAND()&lt;0.2,"Yes","No")</f>
        <v>Yes</v>
      </c>
      <c r="AE2179" t="str">
        <f t="shared" ref="AE2179:AE2239" ca="1" si="763">IF(RAND()&lt;0.15,"Yes","No")</f>
        <v>No</v>
      </c>
      <c r="AF2179" t="str">
        <f t="shared" ref="AF2179:AF2239" ca="1" si="764">CHOOSE(RANDBETWEEN(1,3),"Recovered","Transferred","Under Observation")</f>
        <v>Under Observation</v>
      </c>
      <c r="AG2179" t="str">
        <f t="shared" ref="AG2179:AG2239" ca="1" si="765">CHOOSE(RANDBETWEEN(1,5),"Northeast","Southeast","Midwest","Southwest","West Coast")</f>
        <v>West Coast</v>
      </c>
      <c r="AH2179" t="str">
        <f t="shared" ref="AH2179:AH2239" si="766">TEXT(F2179,"MMMM")</f>
        <v>June</v>
      </c>
      <c r="AI2179">
        <f t="shared" ref="AI2179:AI2239" si="767">YEAR(F2179)</f>
        <v>2021</v>
      </c>
      <c r="AJ2179" t="str">
        <f t="shared" ref="AJ2179:AJ2239" ca="1" si="768">IF(RANDBETWEEN(1,100)&lt;=80,"Occupied","Vacant")</f>
        <v>Occupied</v>
      </c>
      <c r="AK2179">
        <f t="shared" ref="AK2179:AK2239" ca="1" si="769">CHOOSE(RANDBETWEEN(1,3),1,2,4)</f>
        <v>1</v>
      </c>
    </row>
    <row r="2180" spans="1:37" x14ac:dyDescent="0.3">
      <c r="A2180" t="s">
        <v>6541</v>
      </c>
      <c r="B2180">
        <v>58</v>
      </c>
      <c r="C2180" t="s">
        <v>15</v>
      </c>
      <c r="D2180" t="s">
        <v>33</v>
      </c>
      <c r="E2180" t="s">
        <v>17</v>
      </c>
      <c r="F2180" s="1">
        <v>43985</v>
      </c>
      <c r="G2180" t="s">
        <v>4311</v>
      </c>
      <c r="H2180" t="s">
        <v>4312</v>
      </c>
      <c r="I2180" t="s">
        <v>20</v>
      </c>
      <c r="J2180">
        <v>20402</v>
      </c>
      <c r="K2180">
        <v>414</v>
      </c>
      <c r="L2180" t="s">
        <v>42</v>
      </c>
      <c r="M2180" s="1">
        <v>43987</v>
      </c>
      <c r="N2180" t="s">
        <v>67</v>
      </c>
      <c r="O2180" t="s">
        <v>31</v>
      </c>
      <c r="P2180" t="str">
        <f t="shared" si="750"/>
        <v>P2179</v>
      </c>
      <c r="Q2180" t="str">
        <f t="shared" si="748"/>
        <v>Oncology</v>
      </c>
      <c r="R2180">
        <f t="shared" si="749"/>
        <v>2</v>
      </c>
      <c r="S2180" t="str">
        <f t="shared" ca="1" si="751"/>
        <v>No</v>
      </c>
      <c r="T2180" t="str">
        <f t="shared" ca="1" si="752"/>
        <v>Moderate</v>
      </c>
      <c r="U2180" t="str">
        <f t="shared" ca="1" si="753"/>
        <v>ICU</v>
      </c>
      <c r="V2180" t="str">
        <f t="shared" si="754"/>
        <v>BED2179</v>
      </c>
      <c r="W2180" t="str">
        <f t="shared" ca="1" si="755"/>
        <v>Semi-Private</v>
      </c>
      <c r="X2180" t="str">
        <f t="shared" si="756"/>
        <v>NUR029</v>
      </c>
      <c r="Y2180" t="str">
        <f t="shared" ca="1" si="757"/>
        <v>Evening</v>
      </c>
      <c r="Z2180" t="str">
        <f t="shared" ca="1" si="758"/>
        <v>Ultrasound</v>
      </c>
      <c r="AA2180" t="str">
        <f t="shared" ca="1" si="759"/>
        <v>In Use</v>
      </c>
      <c r="AB2180" t="str">
        <f t="shared" ca="1" si="760"/>
        <v>Pending</v>
      </c>
      <c r="AC2180" t="str">
        <f t="shared" ca="1" si="761"/>
        <v>Credit Card</v>
      </c>
      <c r="AD2180" t="str">
        <f t="shared" ca="1" si="762"/>
        <v>No</v>
      </c>
      <c r="AE2180" t="str">
        <f t="shared" ca="1" si="763"/>
        <v>No</v>
      </c>
      <c r="AF2180" t="str">
        <f t="shared" ca="1" si="764"/>
        <v>Under Observation</v>
      </c>
      <c r="AG2180" t="str">
        <f t="shared" ca="1" si="765"/>
        <v>Northeast</v>
      </c>
      <c r="AH2180" t="str">
        <f t="shared" si="766"/>
        <v>June</v>
      </c>
      <c r="AI2180">
        <f t="shared" si="767"/>
        <v>2020</v>
      </c>
      <c r="AJ2180" t="str">
        <f t="shared" ca="1" si="768"/>
        <v>Occupied</v>
      </c>
      <c r="AK2180">
        <f t="shared" ca="1" si="769"/>
        <v>2</v>
      </c>
    </row>
    <row r="2181" spans="1:37" x14ac:dyDescent="0.3">
      <c r="A2181" t="s">
        <v>6542</v>
      </c>
      <c r="B2181">
        <v>20</v>
      </c>
      <c r="C2181" t="s">
        <v>15</v>
      </c>
      <c r="D2181" t="s">
        <v>38</v>
      </c>
      <c r="E2181" t="s">
        <v>64</v>
      </c>
      <c r="F2181" s="1">
        <v>44236</v>
      </c>
      <c r="G2181" t="s">
        <v>4313</v>
      </c>
      <c r="H2181" t="s">
        <v>4314</v>
      </c>
      <c r="I2181" t="s">
        <v>20</v>
      </c>
      <c r="J2181">
        <v>30141</v>
      </c>
      <c r="K2181">
        <v>314</v>
      </c>
      <c r="L2181" t="s">
        <v>21</v>
      </c>
      <c r="M2181" s="1">
        <v>44261</v>
      </c>
      <c r="N2181" t="s">
        <v>22</v>
      </c>
      <c r="O2181" t="s">
        <v>23</v>
      </c>
      <c r="P2181" t="str">
        <f t="shared" si="750"/>
        <v>P2180</v>
      </c>
      <c r="Q2181" t="str">
        <f t="shared" si="748"/>
        <v>Cardiology</v>
      </c>
      <c r="R2181">
        <f t="shared" si="749"/>
        <v>25</v>
      </c>
      <c r="S2181" t="str">
        <f t="shared" ca="1" si="751"/>
        <v>Yes</v>
      </c>
      <c r="T2181" t="str">
        <f t="shared" ca="1" si="752"/>
        <v>Severe</v>
      </c>
      <c r="U2181" t="str">
        <f t="shared" ca="1" si="753"/>
        <v>Emergency</v>
      </c>
      <c r="V2181" t="str">
        <f t="shared" si="754"/>
        <v>BED2180</v>
      </c>
      <c r="W2181" t="str">
        <f t="shared" ca="1" si="755"/>
        <v>Semi-Private</v>
      </c>
      <c r="X2181" t="str">
        <f t="shared" si="756"/>
        <v>NUR030</v>
      </c>
      <c r="Y2181" t="str">
        <f t="shared" ca="1" si="757"/>
        <v>Night</v>
      </c>
      <c r="Z2181" t="str">
        <f t="shared" ca="1" si="758"/>
        <v>X-Ray</v>
      </c>
      <c r="AA2181" t="str">
        <f t="shared" ca="1" si="759"/>
        <v>Maintenance</v>
      </c>
      <c r="AB2181" t="str">
        <f t="shared" ca="1" si="760"/>
        <v>Paid</v>
      </c>
      <c r="AC2181" t="str">
        <f t="shared" ca="1" si="761"/>
        <v>Insurance</v>
      </c>
      <c r="AD2181" t="str">
        <f t="shared" ca="1" si="762"/>
        <v>No</v>
      </c>
      <c r="AE2181" t="str">
        <f t="shared" ca="1" si="763"/>
        <v>No</v>
      </c>
      <c r="AF2181" t="str">
        <f t="shared" ca="1" si="764"/>
        <v>Transferred</v>
      </c>
      <c r="AG2181" t="str">
        <f t="shared" ca="1" si="765"/>
        <v>West Coast</v>
      </c>
      <c r="AH2181" t="str">
        <f t="shared" si="766"/>
        <v>February</v>
      </c>
      <c r="AI2181">
        <f t="shared" si="767"/>
        <v>2021</v>
      </c>
      <c r="AJ2181" t="str">
        <f t="shared" ca="1" si="768"/>
        <v>Occupied</v>
      </c>
      <c r="AK2181">
        <f t="shared" ca="1" si="769"/>
        <v>1</v>
      </c>
    </row>
    <row r="2182" spans="1:37" x14ac:dyDescent="0.3">
      <c r="A2182" t="s">
        <v>6543</v>
      </c>
      <c r="B2182">
        <v>59</v>
      </c>
      <c r="C2182" t="s">
        <v>32</v>
      </c>
      <c r="D2182" t="s">
        <v>98</v>
      </c>
      <c r="E2182" t="s">
        <v>64</v>
      </c>
      <c r="F2182" s="1">
        <v>44266</v>
      </c>
      <c r="G2182" t="s">
        <v>4315</v>
      </c>
      <c r="H2182" t="s">
        <v>4316</v>
      </c>
      <c r="I2182" t="s">
        <v>28</v>
      </c>
      <c r="J2182">
        <v>8268</v>
      </c>
      <c r="K2182">
        <v>390</v>
      </c>
      <c r="L2182" t="s">
        <v>42</v>
      </c>
      <c r="M2182" s="1">
        <v>44269</v>
      </c>
      <c r="N2182" t="s">
        <v>22</v>
      </c>
      <c r="O2182" t="s">
        <v>43</v>
      </c>
      <c r="P2182" t="str">
        <f t="shared" si="750"/>
        <v>P2181</v>
      </c>
      <c r="Q2182" t="str">
        <f t="shared" si="748"/>
        <v>Cardiology</v>
      </c>
      <c r="R2182">
        <f t="shared" si="749"/>
        <v>3</v>
      </c>
      <c r="S2182" t="str">
        <f t="shared" ca="1" si="751"/>
        <v>No</v>
      </c>
      <c r="T2182" t="str">
        <f t="shared" ca="1" si="752"/>
        <v>Moderate</v>
      </c>
      <c r="U2182" t="str">
        <f t="shared" ca="1" si="753"/>
        <v>Emergency</v>
      </c>
      <c r="V2182" t="str">
        <f t="shared" si="754"/>
        <v>BED2181</v>
      </c>
      <c r="W2182" t="str">
        <f t="shared" ca="1" si="755"/>
        <v>ICU</v>
      </c>
      <c r="X2182" t="str">
        <f t="shared" si="756"/>
        <v>NUR031</v>
      </c>
      <c r="Y2182" t="str">
        <f t="shared" ca="1" si="757"/>
        <v>Night</v>
      </c>
      <c r="Z2182" t="str">
        <f t="shared" ca="1" si="758"/>
        <v>Ventilator</v>
      </c>
      <c r="AA2182" t="str">
        <f t="shared" ca="1" si="759"/>
        <v>Maintenance</v>
      </c>
      <c r="AB2182" t="str">
        <f t="shared" ca="1" si="760"/>
        <v>Pending</v>
      </c>
      <c r="AC2182" t="str">
        <f t="shared" ca="1" si="761"/>
        <v>Debit Card</v>
      </c>
      <c r="AD2182" t="str">
        <f t="shared" ca="1" si="762"/>
        <v>No</v>
      </c>
      <c r="AE2182" t="str">
        <f t="shared" ca="1" si="763"/>
        <v>No</v>
      </c>
      <c r="AF2182" t="str">
        <f t="shared" ca="1" si="764"/>
        <v>Under Observation</v>
      </c>
      <c r="AG2182" t="str">
        <f t="shared" ca="1" si="765"/>
        <v>Southeast</v>
      </c>
      <c r="AH2182" t="str">
        <f t="shared" si="766"/>
        <v>March</v>
      </c>
      <c r="AI2182">
        <f t="shared" si="767"/>
        <v>2021</v>
      </c>
      <c r="AJ2182" t="str">
        <f t="shared" ca="1" si="768"/>
        <v>Vacant</v>
      </c>
      <c r="AK2182">
        <f t="shared" ca="1" si="769"/>
        <v>2</v>
      </c>
    </row>
    <row r="2183" spans="1:37" x14ac:dyDescent="0.3">
      <c r="A2183" t="s">
        <v>6544</v>
      </c>
      <c r="B2183">
        <v>18</v>
      </c>
      <c r="C2183" t="s">
        <v>15</v>
      </c>
      <c r="D2183" t="s">
        <v>16</v>
      </c>
      <c r="E2183" t="s">
        <v>48</v>
      </c>
      <c r="F2183" s="1">
        <v>43885</v>
      </c>
      <c r="G2183" t="s">
        <v>4317</v>
      </c>
      <c r="H2183" t="s">
        <v>4318</v>
      </c>
      <c r="I2183" t="s">
        <v>28</v>
      </c>
      <c r="J2183">
        <v>12204</v>
      </c>
      <c r="K2183">
        <v>260</v>
      </c>
      <c r="L2183" t="s">
        <v>42</v>
      </c>
      <c r="M2183" s="1">
        <v>43893</v>
      </c>
      <c r="N2183" t="s">
        <v>22</v>
      </c>
      <c r="O2183" t="s">
        <v>43</v>
      </c>
      <c r="P2183" t="str">
        <f t="shared" si="750"/>
        <v>P2182</v>
      </c>
      <c r="Q2183" t="str">
        <f t="shared" si="748"/>
        <v>Pulmonology</v>
      </c>
      <c r="R2183">
        <f t="shared" si="749"/>
        <v>8</v>
      </c>
      <c r="S2183" t="str">
        <f t="shared" ca="1" si="751"/>
        <v>No</v>
      </c>
      <c r="T2183" t="str">
        <f t="shared" ca="1" si="752"/>
        <v>Moderate</v>
      </c>
      <c r="U2183" t="str">
        <f t="shared" ca="1" si="753"/>
        <v>ICU</v>
      </c>
      <c r="V2183" t="str">
        <f t="shared" si="754"/>
        <v>BED2182</v>
      </c>
      <c r="W2183" t="str">
        <f t="shared" ca="1" si="755"/>
        <v>Private</v>
      </c>
      <c r="X2183" t="str">
        <f t="shared" si="756"/>
        <v>NUR032</v>
      </c>
      <c r="Y2183" t="str">
        <f t="shared" ca="1" si="757"/>
        <v>Evening</v>
      </c>
      <c r="Z2183" t="str">
        <f t="shared" ca="1" si="758"/>
        <v>MRI Scanner</v>
      </c>
      <c r="AA2183" t="str">
        <f t="shared" ca="1" si="759"/>
        <v>In Use</v>
      </c>
      <c r="AB2183" t="str">
        <f t="shared" ca="1" si="760"/>
        <v>Partially Paid</v>
      </c>
      <c r="AC2183" t="str">
        <f t="shared" ca="1" si="761"/>
        <v>Insurance</v>
      </c>
      <c r="AD2183" t="str">
        <f t="shared" ca="1" si="762"/>
        <v>No</v>
      </c>
      <c r="AE2183" t="str">
        <f t="shared" ca="1" si="763"/>
        <v>No</v>
      </c>
      <c r="AF2183" t="str">
        <f t="shared" ca="1" si="764"/>
        <v>Recovered</v>
      </c>
      <c r="AG2183" t="str">
        <f t="shared" ca="1" si="765"/>
        <v>Northeast</v>
      </c>
      <c r="AH2183" t="str">
        <f t="shared" si="766"/>
        <v>February</v>
      </c>
      <c r="AI2183">
        <f t="shared" si="767"/>
        <v>2020</v>
      </c>
      <c r="AJ2183" t="str">
        <f t="shared" ca="1" si="768"/>
        <v>Vacant</v>
      </c>
      <c r="AK2183">
        <f t="shared" ca="1" si="769"/>
        <v>4</v>
      </c>
    </row>
    <row r="2184" spans="1:37" x14ac:dyDescent="0.3">
      <c r="A2184" t="s">
        <v>6545</v>
      </c>
      <c r="B2184">
        <v>84</v>
      </c>
      <c r="C2184" t="s">
        <v>32</v>
      </c>
      <c r="D2184" t="s">
        <v>33</v>
      </c>
      <c r="E2184" t="s">
        <v>25</v>
      </c>
      <c r="F2184" s="1">
        <v>44015</v>
      </c>
      <c r="G2184" t="s">
        <v>4319</v>
      </c>
      <c r="H2184" t="s">
        <v>4320</v>
      </c>
      <c r="I2184" t="s">
        <v>57</v>
      </c>
      <c r="J2184">
        <v>5229</v>
      </c>
      <c r="K2184">
        <v>342</v>
      </c>
      <c r="L2184" t="s">
        <v>42</v>
      </c>
      <c r="M2184" s="1">
        <v>44039</v>
      </c>
      <c r="N2184" t="s">
        <v>22</v>
      </c>
      <c r="O2184" t="s">
        <v>31</v>
      </c>
      <c r="P2184" t="str">
        <f t="shared" si="750"/>
        <v>P2183</v>
      </c>
      <c r="Q2184" t="str">
        <f t="shared" si="748"/>
        <v>Nutrition</v>
      </c>
      <c r="R2184">
        <f t="shared" si="749"/>
        <v>24</v>
      </c>
      <c r="S2184" t="str">
        <f t="shared" ca="1" si="751"/>
        <v>No</v>
      </c>
      <c r="T2184" t="str">
        <f t="shared" ca="1" si="752"/>
        <v>Severe</v>
      </c>
      <c r="U2184" t="str">
        <f t="shared" ca="1" si="753"/>
        <v>Semi-Private</v>
      </c>
      <c r="V2184" t="str">
        <f t="shared" si="754"/>
        <v>BED2183</v>
      </c>
      <c r="W2184" t="str">
        <f t="shared" ca="1" si="755"/>
        <v>ICU</v>
      </c>
      <c r="X2184" t="str">
        <f t="shared" si="756"/>
        <v>NUR033</v>
      </c>
      <c r="Y2184" t="str">
        <f t="shared" ca="1" si="757"/>
        <v>Evening</v>
      </c>
      <c r="Z2184" t="str">
        <f t="shared" ca="1" si="758"/>
        <v>Ventilator</v>
      </c>
      <c r="AA2184" t="str">
        <f t="shared" ca="1" si="759"/>
        <v>Maintenance</v>
      </c>
      <c r="AB2184" t="str">
        <f t="shared" ca="1" si="760"/>
        <v>Partially Paid</v>
      </c>
      <c r="AC2184" t="str">
        <f t="shared" ca="1" si="761"/>
        <v>Debit Card</v>
      </c>
      <c r="AD2184" t="str">
        <f t="shared" ca="1" si="762"/>
        <v>No</v>
      </c>
      <c r="AE2184" t="str">
        <f t="shared" ca="1" si="763"/>
        <v>No</v>
      </c>
      <c r="AF2184" t="str">
        <f t="shared" ca="1" si="764"/>
        <v>Transferred</v>
      </c>
      <c r="AG2184" t="str">
        <f t="shared" ca="1" si="765"/>
        <v>Midwest</v>
      </c>
      <c r="AH2184" t="str">
        <f t="shared" si="766"/>
        <v>July</v>
      </c>
      <c r="AI2184">
        <f t="shared" si="767"/>
        <v>2020</v>
      </c>
      <c r="AJ2184" t="str">
        <f t="shared" ca="1" si="768"/>
        <v>Vacant</v>
      </c>
      <c r="AK2184">
        <f t="shared" ca="1" si="769"/>
        <v>4</v>
      </c>
    </row>
    <row r="2185" spans="1:37" x14ac:dyDescent="0.3">
      <c r="A2185" t="s">
        <v>6546</v>
      </c>
      <c r="B2185">
        <v>53</v>
      </c>
      <c r="C2185" t="s">
        <v>32</v>
      </c>
      <c r="D2185" t="s">
        <v>52</v>
      </c>
      <c r="E2185" t="s">
        <v>17</v>
      </c>
      <c r="F2185" s="1">
        <v>43781</v>
      </c>
      <c r="G2185" t="s">
        <v>4321</v>
      </c>
      <c r="H2185" t="s">
        <v>4322</v>
      </c>
      <c r="I2185" t="s">
        <v>51</v>
      </c>
      <c r="J2185">
        <v>43887</v>
      </c>
      <c r="K2185">
        <v>431</v>
      </c>
      <c r="L2185" t="s">
        <v>21</v>
      </c>
      <c r="M2185" s="1">
        <v>43803</v>
      </c>
      <c r="N2185" t="s">
        <v>22</v>
      </c>
      <c r="O2185" t="s">
        <v>31</v>
      </c>
      <c r="P2185" t="str">
        <f t="shared" si="750"/>
        <v>P2184</v>
      </c>
      <c r="Q2185" t="str">
        <f t="shared" si="748"/>
        <v>Oncology</v>
      </c>
      <c r="R2185">
        <f t="shared" si="749"/>
        <v>22</v>
      </c>
      <c r="S2185" t="str">
        <f t="shared" ca="1" si="751"/>
        <v>No</v>
      </c>
      <c r="T2185" t="str">
        <f t="shared" ca="1" si="752"/>
        <v>Critical</v>
      </c>
      <c r="U2185" t="str">
        <f t="shared" ca="1" si="753"/>
        <v>General Ward</v>
      </c>
      <c r="V2185" t="str">
        <f t="shared" si="754"/>
        <v>BED2184</v>
      </c>
      <c r="W2185" t="str">
        <f t="shared" ca="1" si="755"/>
        <v>General</v>
      </c>
      <c r="X2185" t="str">
        <f t="shared" si="756"/>
        <v>NUR034</v>
      </c>
      <c r="Y2185" t="str">
        <f t="shared" ca="1" si="757"/>
        <v>Evening</v>
      </c>
      <c r="Z2185" t="str">
        <f t="shared" ca="1" si="758"/>
        <v>CT Scanner</v>
      </c>
      <c r="AA2185" t="str">
        <f t="shared" ca="1" si="759"/>
        <v>In Use</v>
      </c>
      <c r="AB2185" t="str">
        <f t="shared" ca="1" si="760"/>
        <v>Pending</v>
      </c>
      <c r="AC2185" t="str">
        <f t="shared" ca="1" si="761"/>
        <v>Cash</v>
      </c>
      <c r="AD2185" t="str">
        <f t="shared" ca="1" si="762"/>
        <v>No</v>
      </c>
      <c r="AE2185" t="str">
        <f t="shared" ca="1" si="763"/>
        <v>No</v>
      </c>
      <c r="AF2185" t="str">
        <f t="shared" ca="1" si="764"/>
        <v>Recovered</v>
      </c>
      <c r="AG2185" t="str">
        <f t="shared" ca="1" si="765"/>
        <v>Southeast</v>
      </c>
      <c r="AH2185" t="str">
        <f t="shared" si="766"/>
        <v>November</v>
      </c>
      <c r="AI2185">
        <f t="shared" si="767"/>
        <v>2019</v>
      </c>
      <c r="AJ2185" t="str">
        <f t="shared" ca="1" si="768"/>
        <v>Vacant</v>
      </c>
      <c r="AK2185">
        <f t="shared" ca="1" si="769"/>
        <v>1</v>
      </c>
    </row>
    <row r="2186" spans="1:37" x14ac:dyDescent="0.3">
      <c r="A2186" t="s">
        <v>6547</v>
      </c>
      <c r="B2186">
        <v>22</v>
      </c>
      <c r="C2186" t="s">
        <v>15</v>
      </c>
      <c r="D2186" t="s">
        <v>38</v>
      </c>
      <c r="E2186" t="s">
        <v>48</v>
      </c>
      <c r="F2186" s="1">
        <v>44043</v>
      </c>
      <c r="G2186" t="s">
        <v>4323</v>
      </c>
      <c r="H2186" t="s">
        <v>4324</v>
      </c>
      <c r="I2186" t="s">
        <v>28</v>
      </c>
      <c r="J2186">
        <v>17869</v>
      </c>
      <c r="K2186">
        <v>332</v>
      </c>
      <c r="L2186" t="s">
        <v>21</v>
      </c>
      <c r="M2186" s="1">
        <v>44057</v>
      </c>
      <c r="N2186" t="s">
        <v>30</v>
      </c>
      <c r="O2186" t="s">
        <v>43</v>
      </c>
      <c r="P2186" t="str">
        <f t="shared" si="750"/>
        <v>P2185</v>
      </c>
      <c r="Q2186" t="str">
        <f t="shared" si="748"/>
        <v>Pulmonology</v>
      </c>
      <c r="R2186">
        <f t="shared" si="749"/>
        <v>14</v>
      </c>
      <c r="S2186" t="str">
        <f t="shared" ca="1" si="751"/>
        <v>No</v>
      </c>
      <c r="T2186" t="str">
        <f t="shared" ca="1" si="752"/>
        <v>Critical</v>
      </c>
      <c r="U2186" t="str">
        <f t="shared" ca="1" si="753"/>
        <v>Semi-Private</v>
      </c>
      <c r="V2186" t="str">
        <f t="shared" si="754"/>
        <v>BED2185</v>
      </c>
      <c r="W2186" t="str">
        <f t="shared" ca="1" si="755"/>
        <v>General</v>
      </c>
      <c r="X2186" t="str">
        <f t="shared" si="756"/>
        <v>NUR035</v>
      </c>
      <c r="Y2186" t="str">
        <f t="shared" ca="1" si="757"/>
        <v>Night</v>
      </c>
      <c r="Z2186" t="str">
        <f t="shared" ca="1" si="758"/>
        <v>CT Scanner</v>
      </c>
      <c r="AA2186" t="str">
        <f t="shared" ca="1" si="759"/>
        <v>Maintenance</v>
      </c>
      <c r="AB2186" t="str">
        <f t="shared" ca="1" si="760"/>
        <v>Partially Paid</v>
      </c>
      <c r="AC2186" t="str">
        <f t="shared" ca="1" si="761"/>
        <v>Credit Card</v>
      </c>
      <c r="AD2186" t="str">
        <f t="shared" ca="1" si="762"/>
        <v>No</v>
      </c>
      <c r="AE2186" t="str">
        <f t="shared" ca="1" si="763"/>
        <v>No</v>
      </c>
      <c r="AF2186" t="str">
        <f t="shared" ca="1" si="764"/>
        <v>Under Observation</v>
      </c>
      <c r="AG2186" t="str">
        <f t="shared" ca="1" si="765"/>
        <v>Southwest</v>
      </c>
      <c r="AH2186" t="str">
        <f t="shared" si="766"/>
        <v>July</v>
      </c>
      <c r="AI2186">
        <f t="shared" si="767"/>
        <v>2020</v>
      </c>
      <c r="AJ2186" t="str">
        <f t="shared" ca="1" si="768"/>
        <v>Occupied</v>
      </c>
      <c r="AK2186">
        <f t="shared" ca="1" si="769"/>
        <v>4</v>
      </c>
    </row>
    <row r="2187" spans="1:37" x14ac:dyDescent="0.3">
      <c r="A2187" t="s">
        <v>6548</v>
      </c>
      <c r="B2187">
        <v>54</v>
      </c>
      <c r="C2187" t="s">
        <v>15</v>
      </c>
      <c r="D2187" t="s">
        <v>33</v>
      </c>
      <c r="E2187" t="s">
        <v>39</v>
      </c>
      <c r="F2187" s="1">
        <v>45170</v>
      </c>
      <c r="G2187" t="s">
        <v>4325</v>
      </c>
      <c r="H2187" t="s">
        <v>4326</v>
      </c>
      <c r="I2187" t="s">
        <v>28</v>
      </c>
      <c r="J2187">
        <v>2749</v>
      </c>
      <c r="K2187">
        <v>286</v>
      </c>
      <c r="L2187" t="s">
        <v>21</v>
      </c>
      <c r="M2187" s="1">
        <v>45189</v>
      </c>
      <c r="N2187" t="s">
        <v>67</v>
      </c>
      <c r="O2187" t="s">
        <v>43</v>
      </c>
      <c r="P2187" t="str">
        <f t="shared" si="750"/>
        <v>P2186</v>
      </c>
      <c r="Q2187" t="str">
        <f t="shared" si="748"/>
        <v>Endocrinology</v>
      </c>
      <c r="R2187">
        <f t="shared" si="749"/>
        <v>19</v>
      </c>
      <c r="S2187" t="str">
        <f t="shared" ca="1" si="751"/>
        <v>No</v>
      </c>
      <c r="T2187" t="str">
        <f t="shared" ca="1" si="752"/>
        <v>Mild</v>
      </c>
      <c r="U2187" t="str">
        <f t="shared" ca="1" si="753"/>
        <v>Private Ward</v>
      </c>
      <c r="V2187" t="str">
        <f t="shared" si="754"/>
        <v>BED2186</v>
      </c>
      <c r="W2187" t="str">
        <f t="shared" ca="1" si="755"/>
        <v>ICU</v>
      </c>
      <c r="X2187" t="str">
        <f t="shared" si="756"/>
        <v>NUR036</v>
      </c>
      <c r="Y2187" t="str">
        <f t="shared" ca="1" si="757"/>
        <v>Morning</v>
      </c>
      <c r="Z2187" t="str">
        <f t="shared" ca="1" si="758"/>
        <v>ECG Machine</v>
      </c>
      <c r="AA2187" t="str">
        <f t="shared" ca="1" si="759"/>
        <v>In Use</v>
      </c>
      <c r="AB2187" t="str">
        <f t="shared" ca="1" si="760"/>
        <v>Paid</v>
      </c>
      <c r="AC2187" t="str">
        <f t="shared" ca="1" si="761"/>
        <v>Credit Card</v>
      </c>
      <c r="AD2187" t="str">
        <f t="shared" ca="1" si="762"/>
        <v>No</v>
      </c>
      <c r="AE2187" t="str">
        <f t="shared" ca="1" si="763"/>
        <v>No</v>
      </c>
      <c r="AF2187" t="str">
        <f t="shared" ca="1" si="764"/>
        <v>Recovered</v>
      </c>
      <c r="AG2187" t="str">
        <f t="shared" ca="1" si="765"/>
        <v>West Coast</v>
      </c>
      <c r="AH2187" t="str">
        <f t="shared" si="766"/>
        <v>September</v>
      </c>
      <c r="AI2187">
        <f t="shared" si="767"/>
        <v>2023</v>
      </c>
      <c r="AJ2187" t="str">
        <f t="shared" ca="1" si="768"/>
        <v>Occupied</v>
      </c>
      <c r="AK2187">
        <f t="shared" ca="1" si="769"/>
        <v>2</v>
      </c>
    </row>
    <row r="2188" spans="1:37" x14ac:dyDescent="0.3">
      <c r="A2188" t="s">
        <v>6549</v>
      </c>
      <c r="B2188">
        <v>79</v>
      </c>
      <c r="C2188" t="s">
        <v>32</v>
      </c>
      <c r="D2188" t="s">
        <v>44</v>
      </c>
      <c r="E2188" t="s">
        <v>17</v>
      </c>
      <c r="F2188" s="1">
        <v>44848</v>
      </c>
      <c r="G2188" t="s">
        <v>4327</v>
      </c>
      <c r="H2188" t="s">
        <v>4328</v>
      </c>
      <c r="I2188" t="s">
        <v>36</v>
      </c>
      <c r="J2188">
        <v>3029</v>
      </c>
      <c r="K2188">
        <v>157</v>
      </c>
      <c r="L2188" t="s">
        <v>29</v>
      </c>
      <c r="M2188" s="1">
        <v>44862</v>
      </c>
      <c r="N2188" t="s">
        <v>47</v>
      </c>
      <c r="O2188" t="s">
        <v>23</v>
      </c>
      <c r="P2188" t="str">
        <f t="shared" si="750"/>
        <v>P2187</v>
      </c>
      <c r="Q2188" t="str">
        <f t="shared" si="748"/>
        <v>Oncology</v>
      </c>
      <c r="R2188">
        <f t="shared" si="749"/>
        <v>14</v>
      </c>
      <c r="S2188" t="str">
        <f t="shared" ca="1" si="751"/>
        <v>No</v>
      </c>
      <c r="T2188" t="str">
        <f t="shared" ca="1" si="752"/>
        <v>Mild</v>
      </c>
      <c r="U2188" t="str">
        <f t="shared" ca="1" si="753"/>
        <v>ICU</v>
      </c>
      <c r="V2188" t="str">
        <f t="shared" si="754"/>
        <v>BED2187</v>
      </c>
      <c r="W2188" t="str">
        <f t="shared" ca="1" si="755"/>
        <v>General</v>
      </c>
      <c r="X2188" t="str">
        <f t="shared" si="756"/>
        <v>NUR037</v>
      </c>
      <c r="Y2188" t="str">
        <f t="shared" ca="1" si="757"/>
        <v>Evening</v>
      </c>
      <c r="Z2188" t="str">
        <f t="shared" ca="1" si="758"/>
        <v>CT Scanner</v>
      </c>
      <c r="AA2188" t="str">
        <f t="shared" ca="1" si="759"/>
        <v>In Use</v>
      </c>
      <c r="AB2188" t="str">
        <f t="shared" ca="1" si="760"/>
        <v>Partially Paid</v>
      </c>
      <c r="AC2188" t="str">
        <f t="shared" ca="1" si="761"/>
        <v>Insurance</v>
      </c>
      <c r="AD2188" t="str">
        <f t="shared" ca="1" si="762"/>
        <v>No</v>
      </c>
      <c r="AE2188" t="str">
        <f t="shared" ca="1" si="763"/>
        <v>No</v>
      </c>
      <c r="AF2188" t="str">
        <f t="shared" ca="1" si="764"/>
        <v>Transferred</v>
      </c>
      <c r="AG2188" t="str">
        <f t="shared" ca="1" si="765"/>
        <v>Southeast</v>
      </c>
      <c r="AH2188" t="str">
        <f t="shared" si="766"/>
        <v>October</v>
      </c>
      <c r="AI2188">
        <f t="shared" si="767"/>
        <v>2022</v>
      </c>
      <c r="AJ2188" t="str">
        <f t="shared" ca="1" si="768"/>
        <v>Occupied</v>
      </c>
      <c r="AK2188">
        <f t="shared" ca="1" si="769"/>
        <v>4</v>
      </c>
    </row>
    <row r="2189" spans="1:37" x14ac:dyDescent="0.3">
      <c r="A2189" t="s">
        <v>6550</v>
      </c>
      <c r="B2189">
        <v>63</v>
      </c>
      <c r="C2189" t="s">
        <v>15</v>
      </c>
      <c r="D2189" t="s">
        <v>24</v>
      </c>
      <c r="E2189" t="s">
        <v>76</v>
      </c>
      <c r="F2189" s="1">
        <v>43771</v>
      </c>
      <c r="G2189" t="s">
        <v>4329</v>
      </c>
      <c r="H2189" t="s">
        <v>4330</v>
      </c>
      <c r="I2189" t="s">
        <v>20</v>
      </c>
      <c r="J2189">
        <v>16762</v>
      </c>
      <c r="K2189">
        <v>114</v>
      </c>
      <c r="L2189" t="s">
        <v>29</v>
      </c>
      <c r="M2189" s="1">
        <v>43777</v>
      </c>
      <c r="N2189" t="s">
        <v>67</v>
      </c>
      <c r="O2189" t="s">
        <v>23</v>
      </c>
      <c r="P2189" t="str">
        <f t="shared" si="750"/>
        <v>P2188</v>
      </c>
      <c r="Q2189" t="str">
        <f t="shared" si="748"/>
        <v>Orthopedics</v>
      </c>
      <c r="R2189">
        <f t="shared" si="749"/>
        <v>6</v>
      </c>
      <c r="S2189" t="str">
        <f t="shared" ca="1" si="751"/>
        <v>No</v>
      </c>
      <c r="T2189" t="str">
        <f t="shared" ca="1" si="752"/>
        <v>Critical</v>
      </c>
      <c r="U2189" t="str">
        <f t="shared" ca="1" si="753"/>
        <v>Emergency</v>
      </c>
      <c r="V2189" t="str">
        <f t="shared" si="754"/>
        <v>BED2188</v>
      </c>
      <c r="W2189" t="str">
        <f t="shared" ca="1" si="755"/>
        <v>General</v>
      </c>
      <c r="X2189" t="str">
        <f t="shared" si="756"/>
        <v>NUR038</v>
      </c>
      <c r="Y2189" t="str">
        <f t="shared" ca="1" si="757"/>
        <v>Night</v>
      </c>
      <c r="Z2189" t="str">
        <f t="shared" ca="1" si="758"/>
        <v>Ventilator</v>
      </c>
      <c r="AA2189" t="str">
        <f t="shared" ca="1" si="759"/>
        <v>Maintenance</v>
      </c>
      <c r="AB2189" t="str">
        <f t="shared" ca="1" si="760"/>
        <v>Paid</v>
      </c>
      <c r="AC2189" t="str">
        <f t="shared" ca="1" si="761"/>
        <v>Cash</v>
      </c>
      <c r="AD2189" t="str">
        <f t="shared" ca="1" si="762"/>
        <v>No</v>
      </c>
      <c r="AE2189" t="str">
        <f t="shared" ca="1" si="763"/>
        <v>Yes</v>
      </c>
      <c r="AF2189" t="str">
        <f t="shared" ca="1" si="764"/>
        <v>Transferred</v>
      </c>
      <c r="AG2189" t="str">
        <f t="shared" ca="1" si="765"/>
        <v>Southwest</v>
      </c>
      <c r="AH2189" t="str">
        <f t="shared" si="766"/>
        <v>November</v>
      </c>
      <c r="AI2189">
        <f t="shared" si="767"/>
        <v>2019</v>
      </c>
      <c r="AJ2189" t="str">
        <f t="shared" ca="1" si="768"/>
        <v>Occupied</v>
      </c>
      <c r="AK2189">
        <f t="shared" ca="1" si="769"/>
        <v>2</v>
      </c>
    </row>
    <row r="2190" spans="1:37" x14ac:dyDescent="0.3">
      <c r="A2190" t="s">
        <v>6551</v>
      </c>
      <c r="B2190">
        <v>70</v>
      </c>
      <c r="C2190" t="s">
        <v>32</v>
      </c>
      <c r="D2190" t="s">
        <v>16</v>
      </c>
      <c r="E2190" t="s">
        <v>39</v>
      </c>
      <c r="F2190" s="1">
        <v>44759</v>
      </c>
      <c r="G2190" t="s">
        <v>4331</v>
      </c>
      <c r="H2190" t="s">
        <v>4332</v>
      </c>
      <c r="I2190" t="s">
        <v>36</v>
      </c>
      <c r="J2190">
        <v>15690</v>
      </c>
      <c r="K2190">
        <v>429</v>
      </c>
      <c r="L2190" t="s">
        <v>29</v>
      </c>
      <c r="M2190" s="1">
        <v>44770</v>
      </c>
      <c r="N2190" t="s">
        <v>37</v>
      </c>
      <c r="O2190" t="s">
        <v>23</v>
      </c>
      <c r="P2190" t="str">
        <f t="shared" si="750"/>
        <v>P2189</v>
      </c>
      <c r="Q2190" t="str">
        <f t="shared" si="748"/>
        <v>Endocrinology</v>
      </c>
      <c r="R2190">
        <f t="shared" si="749"/>
        <v>11</v>
      </c>
      <c r="S2190" t="str">
        <f t="shared" ca="1" si="751"/>
        <v>No</v>
      </c>
      <c r="T2190" t="str">
        <f t="shared" ca="1" si="752"/>
        <v>Mild</v>
      </c>
      <c r="U2190" t="str">
        <f t="shared" ca="1" si="753"/>
        <v>Emergency</v>
      </c>
      <c r="V2190" t="str">
        <f t="shared" si="754"/>
        <v>BED2189</v>
      </c>
      <c r="W2190" t="str">
        <f t="shared" ca="1" si="755"/>
        <v>Private</v>
      </c>
      <c r="X2190" t="str">
        <f t="shared" si="756"/>
        <v>NUR039</v>
      </c>
      <c r="Y2190" t="str">
        <f t="shared" ca="1" si="757"/>
        <v>Morning</v>
      </c>
      <c r="Z2190" t="str">
        <f t="shared" ca="1" si="758"/>
        <v>Ultrasound</v>
      </c>
      <c r="AA2190" t="str">
        <f t="shared" ca="1" si="759"/>
        <v>Maintenance</v>
      </c>
      <c r="AB2190" t="str">
        <f t="shared" ca="1" si="760"/>
        <v>Partially Paid</v>
      </c>
      <c r="AC2190" t="str">
        <f t="shared" ca="1" si="761"/>
        <v>Insurance</v>
      </c>
      <c r="AD2190" t="str">
        <f t="shared" ca="1" si="762"/>
        <v>No</v>
      </c>
      <c r="AE2190" t="str">
        <f t="shared" ca="1" si="763"/>
        <v>No</v>
      </c>
      <c r="AF2190" t="str">
        <f t="shared" ca="1" si="764"/>
        <v>Transferred</v>
      </c>
      <c r="AG2190" t="str">
        <f t="shared" ca="1" si="765"/>
        <v>Northeast</v>
      </c>
      <c r="AH2190" t="str">
        <f t="shared" si="766"/>
        <v>July</v>
      </c>
      <c r="AI2190">
        <f t="shared" si="767"/>
        <v>2022</v>
      </c>
      <c r="AJ2190" t="str">
        <f t="shared" ca="1" si="768"/>
        <v>Occupied</v>
      </c>
      <c r="AK2190">
        <f t="shared" ca="1" si="769"/>
        <v>1</v>
      </c>
    </row>
    <row r="2191" spans="1:37" x14ac:dyDescent="0.3">
      <c r="A2191" t="s">
        <v>6552</v>
      </c>
      <c r="B2191">
        <v>27</v>
      </c>
      <c r="C2191" t="s">
        <v>32</v>
      </c>
      <c r="D2191" t="s">
        <v>44</v>
      </c>
      <c r="E2191" t="s">
        <v>25</v>
      </c>
      <c r="F2191" s="1">
        <v>44411</v>
      </c>
      <c r="G2191" t="s">
        <v>4333</v>
      </c>
      <c r="H2191" t="s">
        <v>4334</v>
      </c>
      <c r="I2191" t="s">
        <v>36</v>
      </c>
      <c r="J2191">
        <v>22580</v>
      </c>
      <c r="K2191">
        <v>169</v>
      </c>
      <c r="L2191" t="s">
        <v>21</v>
      </c>
      <c r="M2191" s="1">
        <v>44435</v>
      </c>
      <c r="N2191" t="s">
        <v>47</v>
      </c>
      <c r="O2191" t="s">
        <v>43</v>
      </c>
      <c r="P2191" t="str">
        <f t="shared" si="750"/>
        <v>P2190</v>
      </c>
      <c r="Q2191" t="str">
        <f t="shared" si="748"/>
        <v>Nutrition</v>
      </c>
      <c r="R2191">
        <f t="shared" si="749"/>
        <v>24</v>
      </c>
      <c r="S2191" t="str">
        <f t="shared" ca="1" si="751"/>
        <v>No</v>
      </c>
      <c r="T2191" t="str">
        <f t="shared" ca="1" si="752"/>
        <v>Moderate</v>
      </c>
      <c r="U2191" t="str">
        <f t="shared" ca="1" si="753"/>
        <v>Semi-Private</v>
      </c>
      <c r="V2191" t="str">
        <f t="shared" si="754"/>
        <v>BED2190</v>
      </c>
      <c r="W2191" t="str">
        <f t="shared" ca="1" si="755"/>
        <v>Private</v>
      </c>
      <c r="X2191" t="str">
        <f t="shared" si="756"/>
        <v>NUR040</v>
      </c>
      <c r="Y2191" t="str">
        <f t="shared" ca="1" si="757"/>
        <v>Morning</v>
      </c>
      <c r="Z2191" t="str">
        <f t="shared" ca="1" si="758"/>
        <v>Ventilator</v>
      </c>
      <c r="AA2191" t="str">
        <f t="shared" ca="1" si="759"/>
        <v>In Use</v>
      </c>
      <c r="AB2191" t="str">
        <f t="shared" ca="1" si="760"/>
        <v>Pending</v>
      </c>
      <c r="AC2191" t="str">
        <f t="shared" ca="1" si="761"/>
        <v>Insurance</v>
      </c>
      <c r="AD2191" t="str">
        <f t="shared" ca="1" si="762"/>
        <v>No</v>
      </c>
      <c r="AE2191" t="str">
        <f t="shared" ca="1" si="763"/>
        <v>Yes</v>
      </c>
      <c r="AF2191" t="str">
        <f t="shared" ca="1" si="764"/>
        <v>Recovered</v>
      </c>
      <c r="AG2191" t="str">
        <f t="shared" ca="1" si="765"/>
        <v>Southeast</v>
      </c>
      <c r="AH2191" t="str">
        <f t="shared" si="766"/>
        <v>August</v>
      </c>
      <c r="AI2191">
        <f t="shared" si="767"/>
        <v>2021</v>
      </c>
      <c r="AJ2191" t="str">
        <f t="shared" ca="1" si="768"/>
        <v>Occupied</v>
      </c>
      <c r="AK2191">
        <f t="shared" ca="1" si="769"/>
        <v>4</v>
      </c>
    </row>
    <row r="2192" spans="1:37" x14ac:dyDescent="0.3">
      <c r="A2192" t="s">
        <v>6553</v>
      </c>
      <c r="B2192">
        <v>81</v>
      </c>
      <c r="C2192" t="s">
        <v>32</v>
      </c>
      <c r="D2192" t="s">
        <v>38</v>
      </c>
      <c r="E2192" t="s">
        <v>48</v>
      </c>
      <c r="F2192" s="1">
        <v>44458</v>
      </c>
      <c r="G2192" t="s">
        <v>4335</v>
      </c>
      <c r="H2192" t="s">
        <v>4336</v>
      </c>
      <c r="I2192" t="s">
        <v>28</v>
      </c>
      <c r="J2192">
        <v>7701</v>
      </c>
      <c r="K2192">
        <v>438</v>
      </c>
      <c r="L2192" t="s">
        <v>29</v>
      </c>
      <c r="M2192" s="1">
        <v>44476</v>
      </c>
      <c r="N2192" t="s">
        <v>47</v>
      </c>
      <c r="O2192" t="s">
        <v>23</v>
      </c>
      <c r="P2192" t="str">
        <f t="shared" si="750"/>
        <v>P2191</v>
      </c>
      <c r="Q2192" t="str">
        <f t="shared" si="748"/>
        <v>Pulmonology</v>
      </c>
      <c r="R2192">
        <f t="shared" si="749"/>
        <v>18</v>
      </c>
      <c r="S2192" t="str">
        <f t="shared" ca="1" si="751"/>
        <v>No</v>
      </c>
      <c r="T2192" t="str">
        <f t="shared" ca="1" si="752"/>
        <v>Mild</v>
      </c>
      <c r="U2192" t="str">
        <f t="shared" ca="1" si="753"/>
        <v>General Ward</v>
      </c>
      <c r="V2192" t="str">
        <f t="shared" si="754"/>
        <v>BED2191</v>
      </c>
      <c r="W2192" t="str">
        <f t="shared" ca="1" si="755"/>
        <v>Private</v>
      </c>
      <c r="X2192" t="str">
        <f t="shared" si="756"/>
        <v>NUR041</v>
      </c>
      <c r="Y2192" t="str">
        <f t="shared" ca="1" si="757"/>
        <v>Morning</v>
      </c>
      <c r="Z2192" t="str">
        <f t="shared" ca="1" si="758"/>
        <v>Ultrasound</v>
      </c>
      <c r="AA2192" t="str">
        <f t="shared" ca="1" si="759"/>
        <v>In Use</v>
      </c>
      <c r="AB2192" t="str">
        <f t="shared" ca="1" si="760"/>
        <v>Partially Paid</v>
      </c>
      <c r="AC2192" t="str">
        <f t="shared" ca="1" si="761"/>
        <v>Credit Card</v>
      </c>
      <c r="AD2192" t="str">
        <f t="shared" ca="1" si="762"/>
        <v>No</v>
      </c>
      <c r="AE2192" t="str">
        <f t="shared" ca="1" si="763"/>
        <v>No</v>
      </c>
      <c r="AF2192" t="str">
        <f t="shared" ca="1" si="764"/>
        <v>Transferred</v>
      </c>
      <c r="AG2192" t="str">
        <f t="shared" ca="1" si="765"/>
        <v>Northeast</v>
      </c>
      <c r="AH2192" t="str">
        <f t="shared" si="766"/>
        <v>September</v>
      </c>
      <c r="AI2192">
        <f t="shared" si="767"/>
        <v>2021</v>
      </c>
      <c r="AJ2192" t="str">
        <f t="shared" ca="1" si="768"/>
        <v>Occupied</v>
      </c>
      <c r="AK2192">
        <f t="shared" ca="1" si="769"/>
        <v>4</v>
      </c>
    </row>
    <row r="2193" spans="1:37" x14ac:dyDescent="0.3">
      <c r="A2193" t="s">
        <v>6554</v>
      </c>
      <c r="B2193">
        <v>58</v>
      </c>
      <c r="C2193" t="s">
        <v>32</v>
      </c>
      <c r="D2193" t="s">
        <v>24</v>
      </c>
      <c r="E2193" t="s">
        <v>25</v>
      </c>
      <c r="F2193" s="1">
        <v>45081</v>
      </c>
      <c r="G2193" t="s">
        <v>4337</v>
      </c>
      <c r="H2193" t="s">
        <v>4338</v>
      </c>
      <c r="I2193" t="s">
        <v>20</v>
      </c>
      <c r="J2193">
        <v>3164</v>
      </c>
      <c r="K2193">
        <v>438</v>
      </c>
      <c r="L2193" t="s">
        <v>42</v>
      </c>
      <c r="M2193" s="1">
        <v>45082</v>
      </c>
      <c r="N2193" t="s">
        <v>67</v>
      </c>
      <c r="O2193" t="s">
        <v>31</v>
      </c>
      <c r="P2193" t="str">
        <f t="shared" si="750"/>
        <v>P2192</v>
      </c>
      <c r="Q2193" t="str">
        <f t="shared" si="748"/>
        <v>Nutrition</v>
      </c>
      <c r="R2193">
        <f t="shared" si="749"/>
        <v>1</v>
      </c>
      <c r="S2193" t="str">
        <f t="shared" ca="1" si="751"/>
        <v>No</v>
      </c>
      <c r="T2193" t="str">
        <f t="shared" ca="1" si="752"/>
        <v>Mild</v>
      </c>
      <c r="U2193" t="str">
        <f t="shared" ca="1" si="753"/>
        <v>ICU</v>
      </c>
      <c r="V2193" t="str">
        <f t="shared" si="754"/>
        <v>BED2192</v>
      </c>
      <c r="W2193" t="str">
        <f t="shared" ca="1" si="755"/>
        <v>Private</v>
      </c>
      <c r="X2193" t="str">
        <f t="shared" si="756"/>
        <v>NUR042</v>
      </c>
      <c r="Y2193" t="str">
        <f t="shared" ca="1" si="757"/>
        <v>Night</v>
      </c>
      <c r="Z2193" t="str">
        <f t="shared" ca="1" si="758"/>
        <v>MRI Scanner</v>
      </c>
      <c r="AA2193" t="str">
        <f t="shared" ca="1" si="759"/>
        <v>Maintenance</v>
      </c>
      <c r="AB2193" t="str">
        <f t="shared" ca="1" si="760"/>
        <v>Partially Paid</v>
      </c>
      <c r="AC2193" t="str">
        <f t="shared" ca="1" si="761"/>
        <v>Insurance</v>
      </c>
      <c r="AD2193" t="str">
        <f t="shared" ca="1" si="762"/>
        <v>No</v>
      </c>
      <c r="AE2193" t="str">
        <f t="shared" ca="1" si="763"/>
        <v>No</v>
      </c>
      <c r="AF2193" t="str">
        <f t="shared" ca="1" si="764"/>
        <v>Recovered</v>
      </c>
      <c r="AG2193" t="str">
        <f t="shared" ca="1" si="765"/>
        <v>Southwest</v>
      </c>
      <c r="AH2193" t="str">
        <f t="shared" si="766"/>
        <v>June</v>
      </c>
      <c r="AI2193">
        <f t="shared" si="767"/>
        <v>2023</v>
      </c>
      <c r="AJ2193" t="str">
        <f t="shared" ca="1" si="768"/>
        <v>Vacant</v>
      </c>
      <c r="AK2193">
        <f t="shared" ca="1" si="769"/>
        <v>2</v>
      </c>
    </row>
    <row r="2194" spans="1:37" x14ac:dyDescent="0.3">
      <c r="A2194" t="s">
        <v>6555</v>
      </c>
      <c r="B2194">
        <v>80</v>
      </c>
      <c r="C2194" t="s">
        <v>32</v>
      </c>
      <c r="D2194" t="s">
        <v>38</v>
      </c>
      <c r="E2194" t="s">
        <v>64</v>
      </c>
      <c r="F2194" s="1">
        <v>44589</v>
      </c>
      <c r="G2194" t="s">
        <v>4339</v>
      </c>
      <c r="H2194" t="s">
        <v>4340</v>
      </c>
      <c r="I2194" t="s">
        <v>57</v>
      </c>
      <c r="J2194">
        <v>38027</v>
      </c>
      <c r="K2194">
        <v>455</v>
      </c>
      <c r="L2194" t="s">
        <v>42</v>
      </c>
      <c r="M2194" s="1">
        <v>44613</v>
      </c>
      <c r="N2194" t="s">
        <v>47</v>
      </c>
      <c r="O2194" t="s">
        <v>43</v>
      </c>
      <c r="P2194" t="str">
        <f t="shared" si="750"/>
        <v>P2193</v>
      </c>
      <c r="Q2194" t="str">
        <f t="shared" si="748"/>
        <v>Cardiology</v>
      </c>
      <c r="R2194">
        <f t="shared" si="749"/>
        <v>24</v>
      </c>
      <c r="S2194" t="str">
        <f t="shared" ca="1" si="751"/>
        <v>No</v>
      </c>
      <c r="T2194" t="str">
        <f t="shared" ca="1" si="752"/>
        <v>Severe</v>
      </c>
      <c r="U2194" t="str">
        <f t="shared" ca="1" si="753"/>
        <v>General Ward</v>
      </c>
      <c r="V2194" t="str">
        <f t="shared" si="754"/>
        <v>BED2193</v>
      </c>
      <c r="W2194" t="str">
        <f t="shared" ca="1" si="755"/>
        <v>General</v>
      </c>
      <c r="X2194" t="str">
        <f t="shared" si="756"/>
        <v>NUR043</v>
      </c>
      <c r="Y2194" t="str">
        <f t="shared" ca="1" si="757"/>
        <v>Night</v>
      </c>
      <c r="Z2194" t="str">
        <f t="shared" ca="1" si="758"/>
        <v>ECG Machine</v>
      </c>
      <c r="AA2194" t="str">
        <f t="shared" ca="1" si="759"/>
        <v>Maintenance</v>
      </c>
      <c r="AB2194" t="str">
        <f t="shared" ca="1" si="760"/>
        <v>Paid</v>
      </c>
      <c r="AC2194" t="str">
        <f t="shared" ca="1" si="761"/>
        <v>Debit Card</v>
      </c>
      <c r="AD2194" t="str">
        <f t="shared" ca="1" si="762"/>
        <v>No</v>
      </c>
      <c r="AE2194" t="str">
        <f t="shared" ca="1" si="763"/>
        <v>No</v>
      </c>
      <c r="AF2194" t="str">
        <f t="shared" ca="1" si="764"/>
        <v>Recovered</v>
      </c>
      <c r="AG2194" t="str">
        <f t="shared" ca="1" si="765"/>
        <v>Southeast</v>
      </c>
      <c r="AH2194" t="str">
        <f t="shared" si="766"/>
        <v>January</v>
      </c>
      <c r="AI2194">
        <f t="shared" si="767"/>
        <v>2022</v>
      </c>
      <c r="AJ2194" t="str">
        <f t="shared" ca="1" si="768"/>
        <v>Occupied</v>
      </c>
      <c r="AK2194">
        <f t="shared" ca="1" si="769"/>
        <v>4</v>
      </c>
    </row>
    <row r="2195" spans="1:37" x14ac:dyDescent="0.3">
      <c r="A2195" t="s">
        <v>6556</v>
      </c>
      <c r="B2195">
        <v>69</v>
      </c>
      <c r="C2195" t="s">
        <v>32</v>
      </c>
      <c r="D2195" t="s">
        <v>52</v>
      </c>
      <c r="E2195" t="s">
        <v>25</v>
      </c>
      <c r="F2195" s="1">
        <v>43961</v>
      </c>
      <c r="G2195" t="s">
        <v>4341</v>
      </c>
      <c r="H2195" t="s">
        <v>4342</v>
      </c>
      <c r="I2195" t="s">
        <v>28</v>
      </c>
      <c r="J2195">
        <v>44879</v>
      </c>
      <c r="K2195">
        <v>292</v>
      </c>
      <c r="L2195" t="s">
        <v>29</v>
      </c>
      <c r="M2195" s="1">
        <v>43987</v>
      </c>
      <c r="N2195" t="s">
        <v>30</v>
      </c>
      <c r="O2195" t="s">
        <v>31</v>
      </c>
      <c r="P2195" t="str">
        <f t="shared" si="750"/>
        <v>P2194</v>
      </c>
      <c r="Q2195" t="str">
        <f t="shared" si="748"/>
        <v>Nutrition</v>
      </c>
      <c r="R2195">
        <f t="shared" si="749"/>
        <v>26</v>
      </c>
      <c r="S2195" t="str">
        <f t="shared" ca="1" si="751"/>
        <v>No</v>
      </c>
      <c r="T2195" t="str">
        <f t="shared" ca="1" si="752"/>
        <v>Moderate</v>
      </c>
      <c r="U2195" t="str">
        <f t="shared" ca="1" si="753"/>
        <v>ICU</v>
      </c>
      <c r="V2195" t="str">
        <f t="shared" si="754"/>
        <v>BED2194</v>
      </c>
      <c r="W2195" t="str">
        <f t="shared" ca="1" si="755"/>
        <v>ICU</v>
      </c>
      <c r="X2195" t="str">
        <f t="shared" si="756"/>
        <v>NUR044</v>
      </c>
      <c r="Y2195" t="str">
        <f t="shared" ca="1" si="757"/>
        <v>Morning</v>
      </c>
      <c r="Z2195" t="str">
        <f t="shared" ca="1" si="758"/>
        <v>CT Scanner</v>
      </c>
      <c r="AA2195" t="str">
        <f t="shared" ca="1" si="759"/>
        <v>Maintenance</v>
      </c>
      <c r="AB2195" t="str">
        <f t="shared" ca="1" si="760"/>
        <v>Partially Paid</v>
      </c>
      <c r="AC2195" t="str">
        <f t="shared" ca="1" si="761"/>
        <v>Credit Card</v>
      </c>
      <c r="AD2195" t="str">
        <f t="shared" ca="1" si="762"/>
        <v>No</v>
      </c>
      <c r="AE2195" t="str">
        <f t="shared" ca="1" si="763"/>
        <v>No</v>
      </c>
      <c r="AF2195" t="str">
        <f t="shared" ca="1" si="764"/>
        <v>Under Observation</v>
      </c>
      <c r="AG2195" t="str">
        <f t="shared" ca="1" si="765"/>
        <v>Northeast</v>
      </c>
      <c r="AH2195" t="str">
        <f t="shared" si="766"/>
        <v>May</v>
      </c>
      <c r="AI2195">
        <f t="shared" si="767"/>
        <v>2020</v>
      </c>
      <c r="AJ2195" t="str">
        <f t="shared" ca="1" si="768"/>
        <v>Occupied</v>
      </c>
      <c r="AK2195">
        <f t="shared" ca="1" si="769"/>
        <v>2</v>
      </c>
    </row>
    <row r="2196" spans="1:37" x14ac:dyDescent="0.3">
      <c r="A2196" t="s">
        <v>6557</v>
      </c>
      <c r="B2196">
        <v>61</v>
      </c>
      <c r="C2196" t="s">
        <v>32</v>
      </c>
      <c r="D2196" t="s">
        <v>44</v>
      </c>
      <c r="E2196" t="s">
        <v>17</v>
      </c>
      <c r="F2196" s="1">
        <v>43888</v>
      </c>
      <c r="G2196" t="s">
        <v>4343</v>
      </c>
      <c r="H2196" t="s">
        <v>4344</v>
      </c>
      <c r="I2196" t="s">
        <v>28</v>
      </c>
      <c r="J2196">
        <v>42665</v>
      </c>
      <c r="K2196">
        <v>122</v>
      </c>
      <c r="L2196" t="s">
        <v>42</v>
      </c>
      <c r="M2196" s="1">
        <v>43895</v>
      </c>
      <c r="N2196" t="s">
        <v>30</v>
      </c>
      <c r="O2196" t="s">
        <v>31</v>
      </c>
      <c r="P2196" t="str">
        <f t="shared" si="750"/>
        <v>P2195</v>
      </c>
      <c r="Q2196" t="str">
        <f t="shared" si="748"/>
        <v>Oncology</v>
      </c>
      <c r="R2196">
        <f t="shared" si="749"/>
        <v>7</v>
      </c>
      <c r="S2196" t="str">
        <f t="shared" ca="1" si="751"/>
        <v>No</v>
      </c>
      <c r="T2196" t="str">
        <f t="shared" ca="1" si="752"/>
        <v>Mild</v>
      </c>
      <c r="U2196" t="str">
        <f t="shared" ca="1" si="753"/>
        <v>General Ward</v>
      </c>
      <c r="V2196" t="str">
        <f t="shared" si="754"/>
        <v>BED2195</v>
      </c>
      <c r="W2196" t="str">
        <f t="shared" ca="1" si="755"/>
        <v>Private</v>
      </c>
      <c r="X2196" t="str">
        <f t="shared" si="756"/>
        <v>NUR045</v>
      </c>
      <c r="Y2196" t="str">
        <f t="shared" ca="1" si="757"/>
        <v>Morning</v>
      </c>
      <c r="Z2196" t="str">
        <f t="shared" ca="1" si="758"/>
        <v>Ultrasound</v>
      </c>
      <c r="AA2196" t="str">
        <f t="shared" ca="1" si="759"/>
        <v>Available</v>
      </c>
      <c r="AB2196" t="str">
        <f t="shared" ca="1" si="760"/>
        <v>Partially Paid</v>
      </c>
      <c r="AC2196" t="str">
        <f t="shared" ca="1" si="761"/>
        <v>Debit Card</v>
      </c>
      <c r="AD2196" t="str">
        <f t="shared" ca="1" si="762"/>
        <v>No</v>
      </c>
      <c r="AE2196" t="str">
        <f t="shared" ca="1" si="763"/>
        <v>No</v>
      </c>
      <c r="AF2196" t="str">
        <f t="shared" ca="1" si="764"/>
        <v>Under Observation</v>
      </c>
      <c r="AG2196" t="str">
        <f t="shared" ca="1" si="765"/>
        <v>Midwest</v>
      </c>
      <c r="AH2196" t="str">
        <f t="shared" si="766"/>
        <v>February</v>
      </c>
      <c r="AI2196">
        <f t="shared" si="767"/>
        <v>2020</v>
      </c>
      <c r="AJ2196" t="str">
        <f t="shared" ca="1" si="768"/>
        <v>Occupied</v>
      </c>
      <c r="AK2196">
        <f t="shared" ca="1" si="769"/>
        <v>2</v>
      </c>
    </row>
    <row r="2197" spans="1:37" x14ac:dyDescent="0.3">
      <c r="A2197" t="s">
        <v>6558</v>
      </c>
      <c r="B2197">
        <v>30</v>
      </c>
      <c r="C2197" t="s">
        <v>15</v>
      </c>
      <c r="D2197" t="s">
        <v>33</v>
      </c>
      <c r="E2197" t="s">
        <v>48</v>
      </c>
      <c r="F2197" s="1">
        <v>44669</v>
      </c>
      <c r="G2197" t="s">
        <v>4345</v>
      </c>
      <c r="H2197" t="s">
        <v>4346</v>
      </c>
      <c r="I2197" t="s">
        <v>57</v>
      </c>
      <c r="J2197">
        <v>29270</v>
      </c>
      <c r="K2197">
        <v>230</v>
      </c>
      <c r="L2197" t="s">
        <v>42</v>
      </c>
      <c r="M2197" s="1">
        <v>44693</v>
      </c>
      <c r="N2197" t="s">
        <v>37</v>
      </c>
      <c r="O2197" t="s">
        <v>43</v>
      </c>
      <c r="P2197" t="str">
        <f t="shared" si="750"/>
        <v>P2196</v>
      </c>
      <c r="Q2197" t="str">
        <f t="shared" si="748"/>
        <v>Pulmonology</v>
      </c>
      <c r="R2197">
        <f t="shared" si="749"/>
        <v>24</v>
      </c>
      <c r="S2197" t="str">
        <f t="shared" ca="1" si="751"/>
        <v>No</v>
      </c>
      <c r="T2197" t="str">
        <f t="shared" ca="1" si="752"/>
        <v>Critical</v>
      </c>
      <c r="U2197" t="str">
        <f t="shared" ca="1" si="753"/>
        <v>Private Ward</v>
      </c>
      <c r="V2197" t="str">
        <f t="shared" si="754"/>
        <v>BED2196</v>
      </c>
      <c r="W2197" t="str">
        <f t="shared" ca="1" si="755"/>
        <v>Semi-Private</v>
      </c>
      <c r="X2197" t="str">
        <f t="shared" si="756"/>
        <v>NUR046</v>
      </c>
      <c r="Y2197" t="str">
        <f t="shared" ca="1" si="757"/>
        <v>Night</v>
      </c>
      <c r="Z2197" t="str">
        <f t="shared" ca="1" si="758"/>
        <v>Ultrasound</v>
      </c>
      <c r="AA2197" t="str">
        <f t="shared" ca="1" si="759"/>
        <v>Maintenance</v>
      </c>
      <c r="AB2197" t="str">
        <f t="shared" ca="1" si="760"/>
        <v>Pending</v>
      </c>
      <c r="AC2197" t="str">
        <f t="shared" ca="1" si="761"/>
        <v>Insurance</v>
      </c>
      <c r="AD2197" t="str">
        <f t="shared" ca="1" si="762"/>
        <v>Yes</v>
      </c>
      <c r="AE2197" t="str">
        <f t="shared" ca="1" si="763"/>
        <v>No</v>
      </c>
      <c r="AF2197" t="str">
        <f t="shared" ca="1" si="764"/>
        <v>Transferred</v>
      </c>
      <c r="AG2197" t="str">
        <f t="shared" ca="1" si="765"/>
        <v>Midwest</v>
      </c>
      <c r="AH2197" t="str">
        <f t="shared" si="766"/>
        <v>April</v>
      </c>
      <c r="AI2197">
        <f t="shared" si="767"/>
        <v>2022</v>
      </c>
      <c r="AJ2197" t="str">
        <f t="shared" ca="1" si="768"/>
        <v>Occupied</v>
      </c>
      <c r="AK2197">
        <f t="shared" ca="1" si="769"/>
        <v>1</v>
      </c>
    </row>
    <row r="2198" spans="1:37" x14ac:dyDescent="0.3">
      <c r="A2198" t="s">
        <v>6559</v>
      </c>
      <c r="B2198">
        <v>71</v>
      </c>
      <c r="C2198" t="s">
        <v>32</v>
      </c>
      <c r="D2198" t="s">
        <v>98</v>
      </c>
      <c r="E2198" t="s">
        <v>39</v>
      </c>
      <c r="F2198" s="1">
        <v>44303</v>
      </c>
      <c r="G2198" t="s">
        <v>4347</v>
      </c>
      <c r="H2198" t="s">
        <v>4348</v>
      </c>
      <c r="I2198" t="s">
        <v>20</v>
      </c>
      <c r="J2198">
        <v>18260</v>
      </c>
      <c r="K2198">
        <v>404</v>
      </c>
      <c r="L2198" t="s">
        <v>21</v>
      </c>
      <c r="M2198" s="1">
        <v>44329</v>
      </c>
      <c r="N2198" t="s">
        <v>47</v>
      </c>
      <c r="O2198" t="s">
        <v>31</v>
      </c>
      <c r="P2198" t="str">
        <f t="shared" si="750"/>
        <v>P2197</v>
      </c>
      <c r="Q2198" t="str">
        <f t="shared" si="748"/>
        <v>Endocrinology</v>
      </c>
      <c r="R2198">
        <f t="shared" si="749"/>
        <v>26</v>
      </c>
      <c r="S2198" t="str">
        <f t="shared" ca="1" si="751"/>
        <v>No</v>
      </c>
      <c r="T2198" t="str">
        <f t="shared" ca="1" si="752"/>
        <v>Severe</v>
      </c>
      <c r="U2198" t="str">
        <f t="shared" ca="1" si="753"/>
        <v>General Ward</v>
      </c>
      <c r="V2198" t="str">
        <f t="shared" si="754"/>
        <v>BED2197</v>
      </c>
      <c r="W2198" t="str">
        <f t="shared" ca="1" si="755"/>
        <v>Private</v>
      </c>
      <c r="X2198" t="str">
        <f t="shared" si="756"/>
        <v>NUR047</v>
      </c>
      <c r="Y2198" t="str">
        <f t="shared" ca="1" si="757"/>
        <v>Morning</v>
      </c>
      <c r="Z2198" t="str">
        <f t="shared" ca="1" si="758"/>
        <v>ECG Machine</v>
      </c>
      <c r="AA2198" t="str">
        <f t="shared" ca="1" si="759"/>
        <v>Maintenance</v>
      </c>
      <c r="AB2198" t="str">
        <f t="shared" ca="1" si="760"/>
        <v>Paid</v>
      </c>
      <c r="AC2198" t="str">
        <f t="shared" ca="1" si="761"/>
        <v>Insurance</v>
      </c>
      <c r="AD2198" t="str">
        <f t="shared" ca="1" si="762"/>
        <v>No</v>
      </c>
      <c r="AE2198" t="str">
        <f t="shared" ca="1" si="763"/>
        <v>No</v>
      </c>
      <c r="AF2198" t="str">
        <f t="shared" ca="1" si="764"/>
        <v>Under Observation</v>
      </c>
      <c r="AG2198" t="str">
        <f t="shared" ca="1" si="765"/>
        <v>Northeast</v>
      </c>
      <c r="AH2198" t="str">
        <f t="shared" si="766"/>
        <v>April</v>
      </c>
      <c r="AI2198">
        <f t="shared" si="767"/>
        <v>2021</v>
      </c>
      <c r="AJ2198" t="str">
        <f t="shared" ca="1" si="768"/>
        <v>Occupied</v>
      </c>
      <c r="AK2198">
        <f t="shared" ca="1" si="769"/>
        <v>4</v>
      </c>
    </row>
    <row r="2199" spans="1:37" x14ac:dyDescent="0.3">
      <c r="A2199" t="s">
        <v>6560</v>
      </c>
      <c r="B2199">
        <v>28</v>
      </c>
      <c r="C2199" t="s">
        <v>15</v>
      </c>
      <c r="D2199" t="s">
        <v>83</v>
      </c>
      <c r="E2199" t="s">
        <v>39</v>
      </c>
      <c r="F2199" s="1">
        <v>43919</v>
      </c>
      <c r="G2199" t="s">
        <v>4349</v>
      </c>
      <c r="H2199" t="s">
        <v>4350</v>
      </c>
      <c r="I2199" t="s">
        <v>36</v>
      </c>
      <c r="J2199">
        <v>4009</v>
      </c>
      <c r="K2199">
        <v>136</v>
      </c>
      <c r="L2199" t="s">
        <v>42</v>
      </c>
      <c r="M2199" s="1">
        <v>43924</v>
      </c>
      <c r="N2199" t="s">
        <v>37</v>
      </c>
      <c r="O2199" t="s">
        <v>43</v>
      </c>
      <c r="P2199" t="str">
        <f t="shared" si="750"/>
        <v>P2198</v>
      </c>
      <c r="Q2199" t="str">
        <f t="shared" si="748"/>
        <v>Endocrinology</v>
      </c>
      <c r="R2199">
        <f t="shared" si="749"/>
        <v>5</v>
      </c>
      <c r="S2199" t="str">
        <f t="shared" ca="1" si="751"/>
        <v>No</v>
      </c>
      <c r="T2199" t="str">
        <f t="shared" ca="1" si="752"/>
        <v>Severe</v>
      </c>
      <c r="U2199" t="str">
        <f t="shared" ca="1" si="753"/>
        <v>ICU</v>
      </c>
      <c r="V2199" t="str">
        <f t="shared" si="754"/>
        <v>BED2198</v>
      </c>
      <c r="W2199" t="str">
        <f t="shared" ca="1" si="755"/>
        <v>General</v>
      </c>
      <c r="X2199" t="str">
        <f t="shared" si="756"/>
        <v>NUR048</v>
      </c>
      <c r="Y2199" t="str">
        <f t="shared" ca="1" si="757"/>
        <v>Morning</v>
      </c>
      <c r="Z2199" t="str">
        <f t="shared" ca="1" si="758"/>
        <v>MRI Scanner</v>
      </c>
      <c r="AA2199" t="str">
        <f t="shared" ca="1" si="759"/>
        <v>In Use</v>
      </c>
      <c r="AB2199" t="str">
        <f t="shared" ca="1" si="760"/>
        <v>Pending</v>
      </c>
      <c r="AC2199" t="str">
        <f t="shared" ca="1" si="761"/>
        <v>Debit Card</v>
      </c>
      <c r="AD2199" t="str">
        <f t="shared" ca="1" si="762"/>
        <v>Yes</v>
      </c>
      <c r="AE2199" t="str">
        <f t="shared" ca="1" si="763"/>
        <v>No</v>
      </c>
      <c r="AF2199" t="str">
        <f t="shared" ca="1" si="764"/>
        <v>Recovered</v>
      </c>
      <c r="AG2199" t="str">
        <f t="shared" ca="1" si="765"/>
        <v>Southeast</v>
      </c>
      <c r="AH2199" t="str">
        <f t="shared" si="766"/>
        <v>March</v>
      </c>
      <c r="AI2199">
        <f t="shared" si="767"/>
        <v>2020</v>
      </c>
      <c r="AJ2199" t="str">
        <f t="shared" ca="1" si="768"/>
        <v>Occupied</v>
      </c>
      <c r="AK2199">
        <f t="shared" ca="1" si="769"/>
        <v>2</v>
      </c>
    </row>
    <row r="2200" spans="1:37" x14ac:dyDescent="0.3">
      <c r="A2200" t="s">
        <v>6561</v>
      </c>
      <c r="B2200">
        <v>40</v>
      </c>
      <c r="C2200" t="s">
        <v>32</v>
      </c>
      <c r="D2200" t="s">
        <v>83</v>
      </c>
      <c r="E2200" t="s">
        <v>25</v>
      </c>
      <c r="F2200" s="1">
        <v>44842</v>
      </c>
      <c r="G2200" t="s">
        <v>4351</v>
      </c>
      <c r="H2200" t="s">
        <v>4352</v>
      </c>
      <c r="I2200" t="s">
        <v>20</v>
      </c>
      <c r="J2200">
        <v>22742</v>
      </c>
      <c r="K2200">
        <v>180</v>
      </c>
      <c r="L2200" t="s">
        <v>21</v>
      </c>
      <c r="M2200" s="1">
        <v>44859</v>
      </c>
      <c r="N2200" t="s">
        <v>30</v>
      </c>
      <c r="O2200" t="s">
        <v>43</v>
      </c>
      <c r="P2200" t="str">
        <f t="shared" si="750"/>
        <v>P2199</v>
      </c>
      <c r="Q2200" t="str">
        <f t="shared" si="748"/>
        <v>Nutrition</v>
      </c>
      <c r="R2200">
        <f t="shared" si="749"/>
        <v>17</v>
      </c>
      <c r="S2200" t="str">
        <f t="shared" ca="1" si="751"/>
        <v>No</v>
      </c>
      <c r="T2200" t="str">
        <f t="shared" ca="1" si="752"/>
        <v>Mild</v>
      </c>
      <c r="U2200" t="str">
        <f t="shared" ca="1" si="753"/>
        <v>ICU</v>
      </c>
      <c r="V2200" t="str">
        <f t="shared" si="754"/>
        <v>BED2199</v>
      </c>
      <c r="W2200" t="str">
        <f t="shared" ca="1" si="755"/>
        <v>Semi-Private</v>
      </c>
      <c r="X2200" t="str">
        <f t="shared" si="756"/>
        <v>NUR049</v>
      </c>
      <c r="Y2200" t="str">
        <f t="shared" ca="1" si="757"/>
        <v>Morning</v>
      </c>
      <c r="Z2200" t="str">
        <f t="shared" ca="1" si="758"/>
        <v>MRI Scanner</v>
      </c>
      <c r="AA2200" t="str">
        <f t="shared" ca="1" si="759"/>
        <v>Maintenance</v>
      </c>
      <c r="AB2200" t="str">
        <f t="shared" ca="1" si="760"/>
        <v>Partially Paid</v>
      </c>
      <c r="AC2200" t="str">
        <f t="shared" ca="1" si="761"/>
        <v>Bank Transfer</v>
      </c>
      <c r="AD2200" t="str">
        <f t="shared" ca="1" si="762"/>
        <v>No</v>
      </c>
      <c r="AE2200" t="str">
        <f t="shared" ca="1" si="763"/>
        <v>No</v>
      </c>
      <c r="AF2200" t="str">
        <f t="shared" ca="1" si="764"/>
        <v>Transferred</v>
      </c>
      <c r="AG2200" t="str">
        <f t="shared" ca="1" si="765"/>
        <v>Southeast</v>
      </c>
      <c r="AH2200" t="str">
        <f t="shared" si="766"/>
        <v>October</v>
      </c>
      <c r="AI2200">
        <f t="shared" si="767"/>
        <v>2022</v>
      </c>
      <c r="AJ2200" t="str">
        <f t="shared" ca="1" si="768"/>
        <v>Occupied</v>
      </c>
      <c r="AK2200">
        <f t="shared" ca="1" si="769"/>
        <v>1</v>
      </c>
    </row>
    <row r="2201" spans="1:37" x14ac:dyDescent="0.3">
      <c r="A2201" t="s">
        <v>6562</v>
      </c>
      <c r="B2201">
        <v>57</v>
      </c>
      <c r="C2201" t="s">
        <v>32</v>
      </c>
      <c r="D2201" t="s">
        <v>44</v>
      </c>
      <c r="E2201" t="s">
        <v>76</v>
      </c>
      <c r="F2201" s="1">
        <v>43748</v>
      </c>
      <c r="G2201" t="s">
        <v>4353</v>
      </c>
      <c r="H2201" t="s">
        <v>4354</v>
      </c>
      <c r="I2201" t="s">
        <v>57</v>
      </c>
      <c r="J2201">
        <v>30282</v>
      </c>
      <c r="K2201">
        <v>161</v>
      </c>
      <c r="L2201" t="s">
        <v>29</v>
      </c>
      <c r="M2201" s="1">
        <v>43770</v>
      </c>
      <c r="N2201" t="s">
        <v>37</v>
      </c>
      <c r="O2201" t="s">
        <v>43</v>
      </c>
      <c r="P2201" t="str">
        <f t="shared" si="750"/>
        <v>P2200</v>
      </c>
      <c r="Q2201" t="str">
        <f t="shared" si="748"/>
        <v>Orthopedics</v>
      </c>
      <c r="R2201">
        <f t="shared" si="749"/>
        <v>22</v>
      </c>
      <c r="S2201" t="str">
        <f t="shared" ca="1" si="751"/>
        <v>No</v>
      </c>
      <c r="T2201" t="str">
        <f t="shared" ca="1" si="752"/>
        <v>Mild</v>
      </c>
      <c r="U2201" t="str">
        <f t="shared" ca="1" si="753"/>
        <v>Emergency</v>
      </c>
      <c r="V2201" t="str">
        <f t="shared" si="754"/>
        <v>BED2200</v>
      </c>
      <c r="W2201" t="str">
        <f t="shared" ca="1" si="755"/>
        <v>Semi-Private</v>
      </c>
      <c r="X2201" t="str">
        <f t="shared" si="756"/>
        <v>NUR050</v>
      </c>
      <c r="Y2201" t="str">
        <f t="shared" ca="1" si="757"/>
        <v>Night</v>
      </c>
      <c r="Z2201" t="str">
        <f t="shared" ca="1" si="758"/>
        <v>ECG Machine</v>
      </c>
      <c r="AA2201" t="str">
        <f t="shared" ca="1" si="759"/>
        <v>In Use</v>
      </c>
      <c r="AB2201" t="str">
        <f t="shared" ca="1" si="760"/>
        <v>Partially Paid</v>
      </c>
      <c r="AC2201" t="str">
        <f t="shared" ca="1" si="761"/>
        <v>Debit Card</v>
      </c>
      <c r="AD2201" t="str">
        <f t="shared" ca="1" si="762"/>
        <v>No</v>
      </c>
      <c r="AE2201" t="str">
        <f t="shared" ca="1" si="763"/>
        <v>No</v>
      </c>
      <c r="AF2201" t="str">
        <f t="shared" ca="1" si="764"/>
        <v>Recovered</v>
      </c>
      <c r="AG2201" t="str">
        <f t="shared" ca="1" si="765"/>
        <v>Southeast</v>
      </c>
      <c r="AH2201" t="str">
        <f t="shared" si="766"/>
        <v>October</v>
      </c>
      <c r="AI2201">
        <f t="shared" si="767"/>
        <v>2019</v>
      </c>
      <c r="AJ2201" t="str">
        <f t="shared" ca="1" si="768"/>
        <v>Occupied</v>
      </c>
      <c r="AK2201">
        <f t="shared" ca="1" si="769"/>
        <v>2</v>
      </c>
    </row>
    <row r="2202" spans="1:37" x14ac:dyDescent="0.3">
      <c r="A2202" t="s">
        <v>6563</v>
      </c>
      <c r="B2202">
        <v>72</v>
      </c>
      <c r="C2202" t="s">
        <v>15</v>
      </c>
      <c r="D2202" t="s">
        <v>16</v>
      </c>
      <c r="E2202" t="s">
        <v>17</v>
      </c>
      <c r="F2202" s="1">
        <v>44558</v>
      </c>
      <c r="G2202" t="s">
        <v>4355</v>
      </c>
      <c r="H2202" t="s">
        <v>4356</v>
      </c>
      <c r="I2202" t="s">
        <v>28</v>
      </c>
      <c r="J2202">
        <v>1476</v>
      </c>
      <c r="K2202">
        <v>177</v>
      </c>
      <c r="L2202" t="s">
        <v>42</v>
      </c>
      <c r="M2202" s="1">
        <v>44584</v>
      </c>
      <c r="N2202" t="s">
        <v>67</v>
      </c>
      <c r="O2202" t="s">
        <v>23</v>
      </c>
      <c r="P2202" t="str">
        <f t="shared" si="750"/>
        <v>P2201</v>
      </c>
      <c r="Q2202" t="str">
        <f t="shared" si="748"/>
        <v>Oncology</v>
      </c>
      <c r="R2202">
        <f t="shared" si="749"/>
        <v>26</v>
      </c>
      <c r="S2202" t="str">
        <f t="shared" ca="1" si="751"/>
        <v>No</v>
      </c>
      <c r="T2202" t="str">
        <f t="shared" ca="1" si="752"/>
        <v>Mild</v>
      </c>
      <c r="U2202" t="str">
        <f t="shared" ca="1" si="753"/>
        <v>Emergency</v>
      </c>
      <c r="V2202" t="str">
        <f t="shared" si="754"/>
        <v>BED2201</v>
      </c>
      <c r="W2202" t="str">
        <f t="shared" ca="1" si="755"/>
        <v>Private</v>
      </c>
      <c r="X2202" t="str">
        <f t="shared" si="756"/>
        <v>NUR001</v>
      </c>
      <c r="Y2202" t="str">
        <f t="shared" ca="1" si="757"/>
        <v>Morning</v>
      </c>
      <c r="Z2202" t="str">
        <f t="shared" ca="1" si="758"/>
        <v>X-Ray</v>
      </c>
      <c r="AA2202" t="str">
        <f t="shared" ca="1" si="759"/>
        <v>Maintenance</v>
      </c>
      <c r="AB2202" t="str">
        <f t="shared" ca="1" si="760"/>
        <v>Paid</v>
      </c>
      <c r="AC2202" t="str">
        <f t="shared" ca="1" si="761"/>
        <v>Cash</v>
      </c>
      <c r="AD2202" t="str">
        <f t="shared" ca="1" si="762"/>
        <v>No</v>
      </c>
      <c r="AE2202" t="str">
        <f t="shared" ca="1" si="763"/>
        <v>No</v>
      </c>
      <c r="AF2202" t="str">
        <f t="shared" ca="1" si="764"/>
        <v>Recovered</v>
      </c>
      <c r="AG2202" t="str">
        <f t="shared" ca="1" si="765"/>
        <v>Northeast</v>
      </c>
      <c r="AH2202" t="str">
        <f t="shared" si="766"/>
        <v>December</v>
      </c>
      <c r="AI2202">
        <f t="shared" si="767"/>
        <v>2021</v>
      </c>
      <c r="AJ2202" t="str">
        <f t="shared" ca="1" si="768"/>
        <v>Occupied</v>
      </c>
      <c r="AK2202">
        <f t="shared" ca="1" si="769"/>
        <v>4</v>
      </c>
    </row>
    <row r="2203" spans="1:37" x14ac:dyDescent="0.3">
      <c r="A2203" t="s">
        <v>6564</v>
      </c>
      <c r="B2203">
        <v>63</v>
      </c>
      <c r="C2203" t="s">
        <v>15</v>
      </c>
      <c r="D2203" t="s">
        <v>44</v>
      </c>
      <c r="E2203" t="s">
        <v>25</v>
      </c>
      <c r="F2203" s="1">
        <v>44568</v>
      </c>
      <c r="G2203" t="s">
        <v>4357</v>
      </c>
      <c r="H2203" t="s">
        <v>4358</v>
      </c>
      <c r="I2203" t="s">
        <v>57</v>
      </c>
      <c r="J2203">
        <v>7812</v>
      </c>
      <c r="K2203">
        <v>147</v>
      </c>
      <c r="L2203" t="s">
        <v>42</v>
      </c>
      <c r="M2203" s="1">
        <v>44573</v>
      </c>
      <c r="N2203" t="s">
        <v>37</v>
      </c>
      <c r="O2203" t="s">
        <v>23</v>
      </c>
      <c r="P2203" t="str">
        <f t="shared" si="750"/>
        <v>P2202</v>
      </c>
      <c r="Q2203" t="str">
        <f t="shared" si="748"/>
        <v>Nutrition</v>
      </c>
      <c r="R2203">
        <f t="shared" si="749"/>
        <v>5</v>
      </c>
      <c r="S2203" t="str">
        <f t="shared" ca="1" si="751"/>
        <v>No</v>
      </c>
      <c r="T2203" t="str">
        <f t="shared" ca="1" si="752"/>
        <v>Moderate</v>
      </c>
      <c r="U2203" t="str">
        <f t="shared" ca="1" si="753"/>
        <v>ICU</v>
      </c>
      <c r="V2203" t="str">
        <f t="shared" si="754"/>
        <v>BED2202</v>
      </c>
      <c r="W2203" t="str">
        <f t="shared" ca="1" si="755"/>
        <v>Private</v>
      </c>
      <c r="X2203" t="str">
        <f t="shared" si="756"/>
        <v>NUR002</v>
      </c>
      <c r="Y2203" t="str">
        <f t="shared" ca="1" si="757"/>
        <v>Morning</v>
      </c>
      <c r="Z2203" t="str">
        <f t="shared" ca="1" si="758"/>
        <v>Ultrasound</v>
      </c>
      <c r="AA2203" t="str">
        <f t="shared" ca="1" si="759"/>
        <v>In Use</v>
      </c>
      <c r="AB2203" t="str">
        <f t="shared" ca="1" si="760"/>
        <v>Pending</v>
      </c>
      <c r="AC2203" t="str">
        <f t="shared" ca="1" si="761"/>
        <v>Debit Card</v>
      </c>
      <c r="AD2203" t="str">
        <f t="shared" ca="1" si="762"/>
        <v>No</v>
      </c>
      <c r="AE2203" t="str">
        <f t="shared" ca="1" si="763"/>
        <v>No</v>
      </c>
      <c r="AF2203" t="str">
        <f t="shared" ca="1" si="764"/>
        <v>Transferred</v>
      </c>
      <c r="AG2203" t="str">
        <f t="shared" ca="1" si="765"/>
        <v>Midwest</v>
      </c>
      <c r="AH2203" t="str">
        <f t="shared" si="766"/>
        <v>January</v>
      </c>
      <c r="AI2203">
        <f t="shared" si="767"/>
        <v>2022</v>
      </c>
      <c r="AJ2203" t="str">
        <f t="shared" ca="1" si="768"/>
        <v>Occupied</v>
      </c>
      <c r="AK2203">
        <f t="shared" ca="1" si="769"/>
        <v>1</v>
      </c>
    </row>
    <row r="2204" spans="1:37" x14ac:dyDescent="0.3">
      <c r="A2204" t="s">
        <v>6565</v>
      </c>
      <c r="B2204">
        <v>32</v>
      </c>
      <c r="C2204" t="s">
        <v>32</v>
      </c>
      <c r="D2204" t="s">
        <v>33</v>
      </c>
      <c r="E2204" t="s">
        <v>48</v>
      </c>
      <c r="F2204" s="1">
        <v>44235</v>
      </c>
      <c r="G2204" t="s">
        <v>4359</v>
      </c>
      <c r="H2204" t="s">
        <v>4360</v>
      </c>
      <c r="I2204" t="s">
        <v>20</v>
      </c>
      <c r="J2204">
        <v>38896</v>
      </c>
      <c r="K2204">
        <v>121</v>
      </c>
      <c r="L2204" t="s">
        <v>42</v>
      </c>
      <c r="M2204" s="1">
        <v>44246</v>
      </c>
      <c r="N2204" t="s">
        <v>47</v>
      </c>
      <c r="O2204" t="s">
        <v>43</v>
      </c>
      <c r="P2204" t="str">
        <f t="shared" si="750"/>
        <v>P2203</v>
      </c>
      <c r="Q2204" t="str">
        <f t="shared" si="748"/>
        <v>Pulmonology</v>
      </c>
      <c r="R2204">
        <f t="shared" si="749"/>
        <v>11</v>
      </c>
      <c r="S2204" t="str">
        <f t="shared" ca="1" si="751"/>
        <v>No</v>
      </c>
      <c r="T2204" t="str">
        <f t="shared" ca="1" si="752"/>
        <v>Severe</v>
      </c>
      <c r="U2204" t="str">
        <f t="shared" ca="1" si="753"/>
        <v>ICU</v>
      </c>
      <c r="V2204" t="str">
        <f t="shared" si="754"/>
        <v>BED2203</v>
      </c>
      <c r="W2204" t="str">
        <f t="shared" ca="1" si="755"/>
        <v>ICU</v>
      </c>
      <c r="X2204" t="str">
        <f t="shared" si="756"/>
        <v>NUR003</v>
      </c>
      <c r="Y2204" t="str">
        <f t="shared" ca="1" si="757"/>
        <v>Night</v>
      </c>
      <c r="Z2204" t="str">
        <f t="shared" ca="1" si="758"/>
        <v>X-Ray</v>
      </c>
      <c r="AA2204" t="str">
        <f t="shared" ca="1" si="759"/>
        <v>Available</v>
      </c>
      <c r="AB2204" t="str">
        <f t="shared" ca="1" si="760"/>
        <v>Partially Paid</v>
      </c>
      <c r="AC2204" t="str">
        <f t="shared" ca="1" si="761"/>
        <v>Cash</v>
      </c>
      <c r="AD2204" t="str">
        <f t="shared" ca="1" si="762"/>
        <v>Yes</v>
      </c>
      <c r="AE2204" t="str">
        <f t="shared" ca="1" si="763"/>
        <v>No</v>
      </c>
      <c r="AF2204" t="str">
        <f t="shared" ca="1" si="764"/>
        <v>Under Observation</v>
      </c>
      <c r="AG2204" t="str">
        <f t="shared" ca="1" si="765"/>
        <v>Midwest</v>
      </c>
      <c r="AH2204" t="str">
        <f t="shared" si="766"/>
        <v>February</v>
      </c>
      <c r="AI2204">
        <f t="shared" si="767"/>
        <v>2021</v>
      </c>
      <c r="AJ2204" t="str">
        <f t="shared" ca="1" si="768"/>
        <v>Occupied</v>
      </c>
      <c r="AK2204">
        <f t="shared" ca="1" si="769"/>
        <v>1</v>
      </c>
    </row>
    <row r="2205" spans="1:37" x14ac:dyDescent="0.3">
      <c r="A2205" t="s">
        <v>6566</v>
      </c>
      <c r="B2205">
        <v>61</v>
      </c>
      <c r="C2205" t="s">
        <v>32</v>
      </c>
      <c r="D2205" t="s">
        <v>98</v>
      </c>
      <c r="E2205" t="s">
        <v>64</v>
      </c>
      <c r="F2205" s="1">
        <v>44560</v>
      </c>
      <c r="G2205" t="s">
        <v>4361</v>
      </c>
      <c r="H2205" t="s">
        <v>4362</v>
      </c>
      <c r="I2205" t="s">
        <v>51</v>
      </c>
      <c r="J2205">
        <v>27764</v>
      </c>
      <c r="K2205">
        <v>172</v>
      </c>
      <c r="L2205" t="s">
        <v>21</v>
      </c>
      <c r="M2205" s="1">
        <v>44581</v>
      </c>
      <c r="N2205" t="s">
        <v>37</v>
      </c>
      <c r="O2205" t="s">
        <v>31</v>
      </c>
      <c r="P2205" t="str">
        <f t="shared" si="750"/>
        <v>P2204</v>
      </c>
      <c r="Q2205" t="str">
        <f t="shared" si="748"/>
        <v>Cardiology</v>
      </c>
      <c r="R2205">
        <f t="shared" si="749"/>
        <v>21</v>
      </c>
      <c r="S2205" t="str">
        <f t="shared" ca="1" si="751"/>
        <v>No</v>
      </c>
      <c r="T2205" t="str">
        <f t="shared" ca="1" si="752"/>
        <v>Mild</v>
      </c>
      <c r="U2205" t="str">
        <f t="shared" ca="1" si="753"/>
        <v>Private Ward</v>
      </c>
      <c r="V2205" t="str">
        <f t="shared" si="754"/>
        <v>BED2204</v>
      </c>
      <c r="W2205" t="str">
        <f t="shared" ca="1" si="755"/>
        <v>Semi-Private</v>
      </c>
      <c r="X2205" t="str">
        <f t="shared" si="756"/>
        <v>NUR004</v>
      </c>
      <c r="Y2205" t="str">
        <f t="shared" ca="1" si="757"/>
        <v>Night</v>
      </c>
      <c r="Z2205" t="str">
        <f t="shared" ca="1" si="758"/>
        <v>CT Scanner</v>
      </c>
      <c r="AA2205" t="str">
        <f t="shared" ca="1" si="759"/>
        <v>Available</v>
      </c>
      <c r="AB2205" t="str">
        <f t="shared" ca="1" si="760"/>
        <v>Partially Paid</v>
      </c>
      <c r="AC2205" t="str">
        <f t="shared" ca="1" si="761"/>
        <v>Insurance</v>
      </c>
      <c r="AD2205" t="str">
        <f t="shared" ca="1" si="762"/>
        <v>No</v>
      </c>
      <c r="AE2205" t="str">
        <f t="shared" ca="1" si="763"/>
        <v>Yes</v>
      </c>
      <c r="AF2205" t="str">
        <f t="shared" ca="1" si="764"/>
        <v>Under Observation</v>
      </c>
      <c r="AG2205" t="str">
        <f t="shared" ca="1" si="765"/>
        <v>West Coast</v>
      </c>
      <c r="AH2205" t="str">
        <f t="shared" si="766"/>
        <v>December</v>
      </c>
      <c r="AI2205">
        <f t="shared" si="767"/>
        <v>2021</v>
      </c>
      <c r="AJ2205" t="str">
        <f t="shared" ca="1" si="768"/>
        <v>Vacant</v>
      </c>
      <c r="AK2205">
        <f t="shared" ca="1" si="769"/>
        <v>1</v>
      </c>
    </row>
    <row r="2206" spans="1:37" x14ac:dyDescent="0.3">
      <c r="A2206" t="s">
        <v>6567</v>
      </c>
      <c r="B2206">
        <v>42</v>
      </c>
      <c r="C2206" t="s">
        <v>15</v>
      </c>
      <c r="D2206" t="s">
        <v>38</v>
      </c>
      <c r="E2206" t="s">
        <v>48</v>
      </c>
      <c r="F2206" s="1">
        <v>44244</v>
      </c>
      <c r="G2206" t="s">
        <v>4363</v>
      </c>
      <c r="H2206" t="s">
        <v>4364</v>
      </c>
      <c r="I2206" t="s">
        <v>20</v>
      </c>
      <c r="J2206">
        <v>14648</v>
      </c>
      <c r="K2206">
        <v>188</v>
      </c>
      <c r="L2206" t="s">
        <v>29</v>
      </c>
      <c r="M2206" s="1">
        <v>44265</v>
      </c>
      <c r="N2206" t="s">
        <v>47</v>
      </c>
      <c r="O2206" t="s">
        <v>31</v>
      </c>
      <c r="P2206" t="str">
        <f t="shared" si="750"/>
        <v>P2205</v>
      </c>
      <c r="Q2206" t="str">
        <f t="shared" si="748"/>
        <v>Pulmonology</v>
      </c>
      <c r="R2206">
        <f t="shared" si="749"/>
        <v>21</v>
      </c>
      <c r="S2206" t="str">
        <f t="shared" ca="1" si="751"/>
        <v>No</v>
      </c>
      <c r="T2206" t="str">
        <f t="shared" ca="1" si="752"/>
        <v>Mild</v>
      </c>
      <c r="U2206" t="str">
        <f t="shared" ca="1" si="753"/>
        <v>ICU</v>
      </c>
      <c r="V2206" t="str">
        <f t="shared" si="754"/>
        <v>BED2205</v>
      </c>
      <c r="W2206" t="str">
        <f t="shared" ca="1" si="755"/>
        <v>Semi-Private</v>
      </c>
      <c r="X2206" t="str">
        <f t="shared" si="756"/>
        <v>NUR005</v>
      </c>
      <c r="Y2206" t="str">
        <f t="shared" ca="1" si="757"/>
        <v>Evening</v>
      </c>
      <c r="Z2206" t="str">
        <f t="shared" ca="1" si="758"/>
        <v>MRI Scanner</v>
      </c>
      <c r="AA2206" t="str">
        <f t="shared" ca="1" si="759"/>
        <v>Available</v>
      </c>
      <c r="AB2206" t="str">
        <f t="shared" ca="1" si="760"/>
        <v>Paid</v>
      </c>
      <c r="AC2206" t="str">
        <f t="shared" ca="1" si="761"/>
        <v>Bank Transfer</v>
      </c>
      <c r="AD2206" t="str">
        <f t="shared" ca="1" si="762"/>
        <v>No</v>
      </c>
      <c r="AE2206" t="str">
        <f t="shared" ca="1" si="763"/>
        <v>No</v>
      </c>
      <c r="AF2206" t="str">
        <f t="shared" ca="1" si="764"/>
        <v>Under Observation</v>
      </c>
      <c r="AG2206" t="str">
        <f t="shared" ca="1" si="765"/>
        <v>Southwest</v>
      </c>
      <c r="AH2206" t="str">
        <f t="shared" si="766"/>
        <v>February</v>
      </c>
      <c r="AI2206">
        <f t="shared" si="767"/>
        <v>2021</v>
      </c>
      <c r="AJ2206" t="str">
        <f t="shared" ca="1" si="768"/>
        <v>Occupied</v>
      </c>
      <c r="AK2206">
        <f t="shared" ca="1" si="769"/>
        <v>1</v>
      </c>
    </row>
    <row r="2207" spans="1:37" x14ac:dyDescent="0.3">
      <c r="A2207" t="s">
        <v>6568</v>
      </c>
      <c r="B2207">
        <v>72</v>
      </c>
      <c r="C2207" t="s">
        <v>32</v>
      </c>
      <c r="D2207" t="s">
        <v>52</v>
      </c>
      <c r="E2207" t="s">
        <v>48</v>
      </c>
      <c r="F2207" s="1">
        <v>44737</v>
      </c>
      <c r="G2207" t="s">
        <v>4365</v>
      </c>
      <c r="H2207" t="s">
        <v>1832</v>
      </c>
      <c r="I2207" t="s">
        <v>57</v>
      </c>
      <c r="J2207">
        <v>20216</v>
      </c>
      <c r="K2207">
        <v>209</v>
      </c>
      <c r="L2207" t="s">
        <v>29</v>
      </c>
      <c r="M2207" s="1">
        <v>44744</v>
      </c>
      <c r="N2207" t="s">
        <v>47</v>
      </c>
      <c r="O2207" t="s">
        <v>31</v>
      </c>
      <c r="P2207" t="str">
        <f t="shared" si="750"/>
        <v>P2206</v>
      </c>
      <c r="Q2207" t="str">
        <f t="shared" si="748"/>
        <v>Pulmonology</v>
      </c>
      <c r="R2207">
        <f t="shared" si="749"/>
        <v>7</v>
      </c>
      <c r="S2207" t="str">
        <f t="shared" ca="1" si="751"/>
        <v>No</v>
      </c>
      <c r="T2207" t="str">
        <f t="shared" ca="1" si="752"/>
        <v>Severe</v>
      </c>
      <c r="U2207" t="str">
        <f t="shared" ca="1" si="753"/>
        <v>Private Ward</v>
      </c>
      <c r="V2207" t="str">
        <f t="shared" si="754"/>
        <v>BED2206</v>
      </c>
      <c r="W2207" t="str">
        <f t="shared" ca="1" si="755"/>
        <v>Private</v>
      </c>
      <c r="X2207" t="str">
        <f t="shared" si="756"/>
        <v>NUR006</v>
      </c>
      <c r="Y2207" t="str">
        <f t="shared" ca="1" si="757"/>
        <v>Evening</v>
      </c>
      <c r="Z2207" t="str">
        <f t="shared" ca="1" si="758"/>
        <v>Ventilator</v>
      </c>
      <c r="AA2207" t="str">
        <f t="shared" ca="1" si="759"/>
        <v>Maintenance</v>
      </c>
      <c r="AB2207" t="str">
        <f t="shared" ca="1" si="760"/>
        <v>Paid</v>
      </c>
      <c r="AC2207" t="str">
        <f t="shared" ca="1" si="761"/>
        <v>Insurance</v>
      </c>
      <c r="AD2207" t="str">
        <f t="shared" ca="1" si="762"/>
        <v>No</v>
      </c>
      <c r="AE2207" t="str">
        <f t="shared" ca="1" si="763"/>
        <v>No</v>
      </c>
      <c r="AF2207" t="str">
        <f t="shared" ca="1" si="764"/>
        <v>Transferred</v>
      </c>
      <c r="AG2207" t="str">
        <f t="shared" ca="1" si="765"/>
        <v>Southeast</v>
      </c>
      <c r="AH2207" t="str">
        <f t="shared" si="766"/>
        <v>June</v>
      </c>
      <c r="AI2207">
        <f t="shared" si="767"/>
        <v>2022</v>
      </c>
      <c r="AJ2207" t="str">
        <f t="shared" ca="1" si="768"/>
        <v>Vacant</v>
      </c>
      <c r="AK2207">
        <f t="shared" ca="1" si="769"/>
        <v>4</v>
      </c>
    </row>
    <row r="2208" spans="1:37" x14ac:dyDescent="0.3">
      <c r="A2208" t="s">
        <v>6569</v>
      </c>
      <c r="B2208">
        <v>32</v>
      </c>
      <c r="C2208" t="s">
        <v>32</v>
      </c>
      <c r="D2208" t="s">
        <v>16</v>
      </c>
      <c r="E2208" t="s">
        <v>48</v>
      </c>
      <c r="F2208" s="1">
        <v>43780</v>
      </c>
      <c r="G2208" t="s">
        <v>4366</v>
      </c>
      <c r="H2208" t="s">
        <v>4367</v>
      </c>
      <c r="I2208" t="s">
        <v>36</v>
      </c>
      <c r="J2208">
        <v>33762</v>
      </c>
      <c r="K2208">
        <v>151</v>
      </c>
      <c r="L2208" t="s">
        <v>29</v>
      </c>
      <c r="M2208" s="1">
        <v>43783</v>
      </c>
      <c r="N2208" t="s">
        <v>47</v>
      </c>
      <c r="O2208" t="s">
        <v>31</v>
      </c>
      <c r="P2208" t="str">
        <f t="shared" si="750"/>
        <v>P2207</v>
      </c>
      <c r="Q2208" t="str">
        <f t="shared" si="748"/>
        <v>Pulmonology</v>
      </c>
      <c r="R2208">
        <f t="shared" si="749"/>
        <v>3</v>
      </c>
      <c r="S2208" t="str">
        <f t="shared" ca="1" si="751"/>
        <v>No</v>
      </c>
      <c r="T2208" t="str">
        <f t="shared" ca="1" si="752"/>
        <v>Mild</v>
      </c>
      <c r="U2208" t="str">
        <f t="shared" ca="1" si="753"/>
        <v>Private Ward</v>
      </c>
      <c r="V2208" t="str">
        <f t="shared" si="754"/>
        <v>BED2207</v>
      </c>
      <c r="W2208" t="str">
        <f t="shared" ca="1" si="755"/>
        <v>Semi-Private</v>
      </c>
      <c r="X2208" t="str">
        <f t="shared" si="756"/>
        <v>NUR007</v>
      </c>
      <c r="Y2208" t="str">
        <f t="shared" ca="1" si="757"/>
        <v>Evening</v>
      </c>
      <c r="Z2208" t="str">
        <f t="shared" ca="1" si="758"/>
        <v>X-Ray</v>
      </c>
      <c r="AA2208" t="str">
        <f t="shared" ca="1" si="759"/>
        <v>In Use</v>
      </c>
      <c r="AB2208" t="str">
        <f t="shared" ca="1" si="760"/>
        <v>Partially Paid</v>
      </c>
      <c r="AC2208" t="str">
        <f t="shared" ca="1" si="761"/>
        <v>Debit Card</v>
      </c>
      <c r="AD2208" t="str">
        <f t="shared" ca="1" si="762"/>
        <v>No</v>
      </c>
      <c r="AE2208" t="str">
        <f t="shared" ca="1" si="763"/>
        <v>No</v>
      </c>
      <c r="AF2208" t="str">
        <f t="shared" ca="1" si="764"/>
        <v>Recovered</v>
      </c>
      <c r="AG2208" t="str">
        <f t="shared" ca="1" si="765"/>
        <v>Northeast</v>
      </c>
      <c r="AH2208" t="str">
        <f t="shared" si="766"/>
        <v>November</v>
      </c>
      <c r="AI2208">
        <f t="shared" si="767"/>
        <v>2019</v>
      </c>
      <c r="AJ2208" t="str">
        <f t="shared" ca="1" si="768"/>
        <v>Vacant</v>
      </c>
      <c r="AK2208">
        <f t="shared" ca="1" si="769"/>
        <v>4</v>
      </c>
    </row>
    <row r="2209" spans="1:37" x14ac:dyDescent="0.3">
      <c r="A2209" t="s">
        <v>6570</v>
      </c>
      <c r="B2209">
        <v>26</v>
      </c>
      <c r="C2209" t="s">
        <v>15</v>
      </c>
      <c r="D2209" t="s">
        <v>38</v>
      </c>
      <c r="E2209" t="s">
        <v>48</v>
      </c>
      <c r="F2209" s="1">
        <v>43765</v>
      </c>
      <c r="G2209" t="s">
        <v>4368</v>
      </c>
      <c r="H2209" t="s">
        <v>4369</v>
      </c>
      <c r="I2209" t="s">
        <v>20</v>
      </c>
      <c r="J2209">
        <v>20831</v>
      </c>
      <c r="K2209">
        <v>452</v>
      </c>
      <c r="L2209" t="s">
        <v>21</v>
      </c>
      <c r="M2209" s="1">
        <v>43776</v>
      </c>
      <c r="N2209" t="s">
        <v>37</v>
      </c>
      <c r="O2209" t="s">
        <v>43</v>
      </c>
      <c r="P2209" t="str">
        <f t="shared" si="750"/>
        <v>P2208</v>
      </c>
      <c r="Q2209" t="str">
        <f t="shared" si="748"/>
        <v>Pulmonology</v>
      </c>
      <c r="R2209">
        <f t="shared" si="749"/>
        <v>11</v>
      </c>
      <c r="S2209" t="str">
        <f t="shared" ca="1" si="751"/>
        <v>No</v>
      </c>
      <c r="T2209" t="str">
        <f t="shared" ca="1" si="752"/>
        <v>Mild</v>
      </c>
      <c r="U2209" t="str">
        <f t="shared" ca="1" si="753"/>
        <v>General Ward</v>
      </c>
      <c r="V2209" t="str">
        <f t="shared" si="754"/>
        <v>BED2208</v>
      </c>
      <c r="W2209" t="str">
        <f t="shared" ca="1" si="755"/>
        <v>Semi-Private</v>
      </c>
      <c r="X2209" t="str">
        <f t="shared" si="756"/>
        <v>NUR008</v>
      </c>
      <c r="Y2209" t="str">
        <f t="shared" ca="1" si="757"/>
        <v>Evening</v>
      </c>
      <c r="Z2209" t="str">
        <f t="shared" ca="1" si="758"/>
        <v>Ultrasound</v>
      </c>
      <c r="AA2209" t="str">
        <f t="shared" ca="1" si="759"/>
        <v>Maintenance</v>
      </c>
      <c r="AB2209" t="str">
        <f t="shared" ca="1" si="760"/>
        <v>Partially Paid</v>
      </c>
      <c r="AC2209" t="str">
        <f t="shared" ca="1" si="761"/>
        <v>Insurance</v>
      </c>
      <c r="AD2209" t="str">
        <f t="shared" ca="1" si="762"/>
        <v>No</v>
      </c>
      <c r="AE2209" t="str">
        <f t="shared" ca="1" si="763"/>
        <v>No</v>
      </c>
      <c r="AF2209" t="str">
        <f t="shared" ca="1" si="764"/>
        <v>Transferred</v>
      </c>
      <c r="AG2209" t="str">
        <f t="shared" ca="1" si="765"/>
        <v>Southwest</v>
      </c>
      <c r="AH2209" t="str">
        <f t="shared" si="766"/>
        <v>October</v>
      </c>
      <c r="AI2209">
        <f t="shared" si="767"/>
        <v>2019</v>
      </c>
      <c r="AJ2209" t="str">
        <f t="shared" ca="1" si="768"/>
        <v>Vacant</v>
      </c>
      <c r="AK2209">
        <f t="shared" ca="1" si="769"/>
        <v>1</v>
      </c>
    </row>
    <row r="2210" spans="1:37" x14ac:dyDescent="0.3">
      <c r="A2210" t="s">
        <v>6571</v>
      </c>
      <c r="B2210">
        <v>83</v>
      </c>
      <c r="C2210" t="s">
        <v>32</v>
      </c>
      <c r="D2210" t="s">
        <v>38</v>
      </c>
      <c r="E2210" t="s">
        <v>76</v>
      </c>
      <c r="F2210" s="1">
        <v>44205</v>
      </c>
      <c r="G2210" t="s">
        <v>3825</v>
      </c>
      <c r="H2210" t="s">
        <v>4370</v>
      </c>
      <c r="I2210" t="s">
        <v>51</v>
      </c>
      <c r="J2210">
        <v>27927</v>
      </c>
      <c r="K2210">
        <v>422</v>
      </c>
      <c r="L2210" t="s">
        <v>29</v>
      </c>
      <c r="M2210" s="1">
        <v>44207</v>
      </c>
      <c r="N2210" t="s">
        <v>30</v>
      </c>
      <c r="O2210" t="s">
        <v>23</v>
      </c>
      <c r="P2210" t="str">
        <f t="shared" si="750"/>
        <v>P2209</v>
      </c>
      <c r="Q2210" t="str">
        <f t="shared" si="748"/>
        <v>Orthopedics</v>
      </c>
      <c r="R2210">
        <f t="shared" si="749"/>
        <v>2</v>
      </c>
      <c r="S2210" t="str">
        <f t="shared" ca="1" si="751"/>
        <v>No</v>
      </c>
      <c r="T2210" t="str">
        <f t="shared" ca="1" si="752"/>
        <v>Moderate</v>
      </c>
      <c r="U2210" t="str">
        <f t="shared" ca="1" si="753"/>
        <v>Emergency</v>
      </c>
      <c r="V2210" t="str">
        <f t="shared" si="754"/>
        <v>BED2209</v>
      </c>
      <c r="W2210" t="str">
        <f t="shared" ca="1" si="755"/>
        <v>General</v>
      </c>
      <c r="X2210" t="str">
        <f t="shared" si="756"/>
        <v>NUR009</v>
      </c>
      <c r="Y2210" t="str">
        <f t="shared" ca="1" si="757"/>
        <v>Evening</v>
      </c>
      <c r="Z2210" t="str">
        <f t="shared" ca="1" si="758"/>
        <v>MRI Scanner</v>
      </c>
      <c r="AA2210" t="str">
        <f t="shared" ca="1" si="759"/>
        <v>Available</v>
      </c>
      <c r="AB2210" t="str">
        <f t="shared" ca="1" si="760"/>
        <v>Pending</v>
      </c>
      <c r="AC2210" t="str">
        <f t="shared" ca="1" si="761"/>
        <v>Insurance</v>
      </c>
      <c r="AD2210" t="str">
        <f t="shared" ca="1" si="762"/>
        <v>Yes</v>
      </c>
      <c r="AE2210" t="str">
        <f t="shared" ca="1" si="763"/>
        <v>No</v>
      </c>
      <c r="AF2210" t="str">
        <f t="shared" ca="1" si="764"/>
        <v>Under Observation</v>
      </c>
      <c r="AG2210" t="str">
        <f t="shared" ca="1" si="765"/>
        <v>Midwest</v>
      </c>
      <c r="AH2210" t="str">
        <f t="shared" si="766"/>
        <v>January</v>
      </c>
      <c r="AI2210">
        <f t="shared" si="767"/>
        <v>2021</v>
      </c>
      <c r="AJ2210" t="str">
        <f t="shared" ca="1" si="768"/>
        <v>Occupied</v>
      </c>
      <c r="AK2210">
        <f t="shared" ca="1" si="769"/>
        <v>1</v>
      </c>
    </row>
    <row r="2211" spans="1:37" x14ac:dyDescent="0.3">
      <c r="A2211" t="s">
        <v>5553</v>
      </c>
      <c r="B2211">
        <v>27</v>
      </c>
      <c r="C2211" t="s">
        <v>32</v>
      </c>
      <c r="D2211" t="s">
        <v>38</v>
      </c>
      <c r="E2211" t="s">
        <v>48</v>
      </c>
      <c r="F2211" s="1">
        <v>44517</v>
      </c>
      <c r="G2211" t="s">
        <v>4371</v>
      </c>
      <c r="H2211" t="s">
        <v>4372</v>
      </c>
      <c r="I2211" t="s">
        <v>20</v>
      </c>
      <c r="J2211">
        <v>46268</v>
      </c>
      <c r="K2211">
        <v>183</v>
      </c>
      <c r="L2211" t="s">
        <v>21</v>
      </c>
      <c r="M2211" s="1">
        <v>44544</v>
      </c>
      <c r="N2211" t="s">
        <v>22</v>
      </c>
      <c r="O2211" t="s">
        <v>31</v>
      </c>
      <c r="P2211" t="str">
        <f t="shared" si="750"/>
        <v>P2210</v>
      </c>
      <c r="Q2211" t="str">
        <f t="shared" si="748"/>
        <v>Pulmonology</v>
      </c>
      <c r="R2211">
        <f t="shared" si="749"/>
        <v>27</v>
      </c>
      <c r="S2211" t="str">
        <f t="shared" ca="1" si="751"/>
        <v>Yes</v>
      </c>
      <c r="T2211" t="str">
        <f t="shared" ca="1" si="752"/>
        <v>Critical</v>
      </c>
      <c r="U2211" t="str">
        <f t="shared" ca="1" si="753"/>
        <v>General Ward</v>
      </c>
      <c r="V2211" t="str">
        <f t="shared" si="754"/>
        <v>BED2210</v>
      </c>
      <c r="W2211" t="str">
        <f t="shared" ca="1" si="755"/>
        <v>ICU</v>
      </c>
      <c r="X2211" t="str">
        <f t="shared" si="756"/>
        <v>NUR010</v>
      </c>
      <c r="Y2211" t="str">
        <f t="shared" ca="1" si="757"/>
        <v>Night</v>
      </c>
      <c r="Z2211" t="str">
        <f t="shared" ca="1" si="758"/>
        <v>CT Scanner</v>
      </c>
      <c r="AA2211" t="str">
        <f t="shared" ca="1" si="759"/>
        <v>Available</v>
      </c>
      <c r="AB2211" t="str">
        <f t="shared" ca="1" si="760"/>
        <v>Partially Paid</v>
      </c>
      <c r="AC2211" t="str">
        <f t="shared" ca="1" si="761"/>
        <v>Insurance</v>
      </c>
      <c r="AD2211" t="str">
        <f t="shared" ca="1" si="762"/>
        <v>No</v>
      </c>
      <c r="AE2211" t="str">
        <f t="shared" ca="1" si="763"/>
        <v>No</v>
      </c>
      <c r="AF2211" t="str">
        <f t="shared" ca="1" si="764"/>
        <v>Transferred</v>
      </c>
      <c r="AG2211" t="str">
        <f t="shared" ca="1" si="765"/>
        <v>Midwest</v>
      </c>
      <c r="AH2211" t="str">
        <f t="shared" si="766"/>
        <v>November</v>
      </c>
      <c r="AI2211">
        <f t="shared" si="767"/>
        <v>2021</v>
      </c>
      <c r="AJ2211" t="str">
        <f t="shared" ca="1" si="768"/>
        <v>Occupied</v>
      </c>
      <c r="AK2211">
        <f t="shared" ca="1" si="769"/>
        <v>2</v>
      </c>
    </row>
    <row r="2212" spans="1:37" x14ac:dyDescent="0.3">
      <c r="A2212" t="s">
        <v>6572</v>
      </c>
      <c r="B2212">
        <v>22</v>
      </c>
      <c r="C2212" t="s">
        <v>15</v>
      </c>
      <c r="D2212" t="s">
        <v>44</v>
      </c>
      <c r="E2212" t="s">
        <v>39</v>
      </c>
      <c r="F2212" s="1">
        <v>45362</v>
      </c>
      <c r="G2212" t="s">
        <v>4373</v>
      </c>
      <c r="H2212" t="s">
        <v>4374</v>
      </c>
      <c r="I2212" t="s">
        <v>51</v>
      </c>
      <c r="J2212">
        <v>13294</v>
      </c>
      <c r="K2212">
        <v>110</v>
      </c>
      <c r="L2212" t="s">
        <v>42</v>
      </c>
      <c r="M2212" s="1">
        <v>45374</v>
      </c>
      <c r="N2212" t="s">
        <v>37</v>
      </c>
      <c r="O2212" t="s">
        <v>23</v>
      </c>
      <c r="P2212" t="str">
        <f t="shared" si="750"/>
        <v>P2211</v>
      </c>
      <c r="Q2212" t="str">
        <f t="shared" si="748"/>
        <v>Endocrinology</v>
      </c>
      <c r="R2212">
        <f t="shared" si="749"/>
        <v>12</v>
      </c>
      <c r="S2212" t="str">
        <f t="shared" ca="1" si="751"/>
        <v>No</v>
      </c>
      <c r="T2212" t="str">
        <f t="shared" ca="1" si="752"/>
        <v>Moderate</v>
      </c>
      <c r="U2212" t="str">
        <f t="shared" ca="1" si="753"/>
        <v>ICU</v>
      </c>
      <c r="V2212" t="str">
        <f t="shared" si="754"/>
        <v>BED2211</v>
      </c>
      <c r="W2212" t="str">
        <f t="shared" ca="1" si="755"/>
        <v>Semi-Private</v>
      </c>
      <c r="X2212" t="str">
        <f t="shared" si="756"/>
        <v>NUR011</v>
      </c>
      <c r="Y2212" t="str">
        <f t="shared" ca="1" si="757"/>
        <v>Evening</v>
      </c>
      <c r="Z2212" t="str">
        <f t="shared" ca="1" si="758"/>
        <v>Ultrasound</v>
      </c>
      <c r="AA2212" t="str">
        <f t="shared" ca="1" si="759"/>
        <v>In Use</v>
      </c>
      <c r="AB2212" t="str">
        <f t="shared" ca="1" si="760"/>
        <v>Paid</v>
      </c>
      <c r="AC2212" t="str">
        <f t="shared" ca="1" si="761"/>
        <v>Credit Card</v>
      </c>
      <c r="AD2212" t="str">
        <f t="shared" ca="1" si="762"/>
        <v>Yes</v>
      </c>
      <c r="AE2212" t="str">
        <f t="shared" ca="1" si="763"/>
        <v>No</v>
      </c>
      <c r="AF2212" t="str">
        <f t="shared" ca="1" si="764"/>
        <v>Recovered</v>
      </c>
      <c r="AG2212" t="str">
        <f t="shared" ca="1" si="765"/>
        <v>Southeast</v>
      </c>
      <c r="AH2212" t="str">
        <f t="shared" si="766"/>
        <v>March</v>
      </c>
      <c r="AI2212">
        <f t="shared" si="767"/>
        <v>2024</v>
      </c>
      <c r="AJ2212" t="str">
        <f t="shared" ca="1" si="768"/>
        <v>Occupied</v>
      </c>
      <c r="AK2212">
        <f t="shared" ca="1" si="769"/>
        <v>2</v>
      </c>
    </row>
    <row r="2213" spans="1:37" x14ac:dyDescent="0.3">
      <c r="A2213" t="s">
        <v>6573</v>
      </c>
      <c r="B2213">
        <v>84</v>
      </c>
      <c r="C2213" t="s">
        <v>32</v>
      </c>
      <c r="D2213" t="s">
        <v>52</v>
      </c>
      <c r="E2213" t="s">
        <v>39</v>
      </c>
      <c r="F2213" s="1">
        <v>43770</v>
      </c>
      <c r="G2213" t="s">
        <v>4375</v>
      </c>
      <c r="H2213" t="s">
        <v>4376</v>
      </c>
      <c r="I2213" t="s">
        <v>28</v>
      </c>
      <c r="J2213">
        <v>23876</v>
      </c>
      <c r="K2213">
        <v>202</v>
      </c>
      <c r="L2213" t="s">
        <v>29</v>
      </c>
      <c r="M2213" s="1">
        <v>43796</v>
      </c>
      <c r="N2213" t="s">
        <v>67</v>
      </c>
      <c r="O2213" t="s">
        <v>43</v>
      </c>
      <c r="P2213" t="str">
        <f t="shared" si="750"/>
        <v>P2212</v>
      </c>
      <c r="Q2213" t="str">
        <f t="shared" si="748"/>
        <v>Endocrinology</v>
      </c>
      <c r="R2213">
        <f t="shared" si="749"/>
        <v>26</v>
      </c>
      <c r="S2213" t="str">
        <f t="shared" ca="1" si="751"/>
        <v>No</v>
      </c>
      <c r="T2213" t="str">
        <f t="shared" ca="1" si="752"/>
        <v>Moderate</v>
      </c>
      <c r="U2213" t="str">
        <f t="shared" ca="1" si="753"/>
        <v>Emergency</v>
      </c>
      <c r="V2213" t="str">
        <f t="shared" si="754"/>
        <v>BED2212</v>
      </c>
      <c r="W2213" t="str">
        <f t="shared" ca="1" si="755"/>
        <v>ICU</v>
      </c>
      <c r="X2213" t="str">
        <f t="shared" si="756"/>
        <v>NUR012</v>
      </c>
      <c r="Y2213" t="str">
        <f t="shared" ca="1" si="757"/>
        <v>Night</v>
      </c>
      <c r="Z2213" t="str">
        <f t="shared" ca="1" si="758"/>
        <v>CT Scanner</v>
      </c>
      <c r="AA2213" t="str">
        <f t="shared" ca="1" si="759"/>
        <v>Maintenance</v>
      </c>
      <c r="AB2213" t="str">
        <f t="shared" ca="1" si="760"/>
        <v>Paid</v>
      </c>
      <c r="AC2213" t="str">
        <f t="shared" ca="1" si="761"/>
        <v>Debit Card</v>
      </c>
      <c r="AD2213" t="str">
        <f t="shared" ca="1" si="762"/>
        <v>No</v>
      </c>
      <c r="AE2213" t="str">
        <f t="shared" ca="1" si="763"/>
        <v>No</v>
      </c>
      <c r="AF2213" t="str">
        <f t="shared" ca="1" si="764"/>
        <v>Under Observation</v>
      </c>
      <c r="AG2213" t="str">
        <f t="shared" ca="1" si="765"/>
        <v>Southwest</v>
      </c>
      <c r="AH2213" t="str">
        <f t="shared" si="766"/>
        <v>November</v>
      </c>
      <c r="AI2213">
        <f t="shared" si="767"/>
        <v>2019</v>
      </c>
      <c r="AJ2213" t="str">
        <f t="shared" ca="1" si="768"/>
        <v>Occupied</v>
      </c>
      <c r="AK2213">
        <f t="shared" ca="1" si="769"/>
        <v>1</v>
      </c>
    </row>
    <row r="2214" spans="1:37" x14ac:dyDescent="0.3">
      <c r="A2214" t="s">
        <v>6574</v>
      </c>
      <c r="B2214">
        <v>77</v>
      </c>
      <c r="C2214" t="s">
        <v>15</v>
      </c>
      <c r="D2214" t="s">
        <v>44</v>
      </c>
      <c r="E2214" t="s">
        <v>17</v>
      </c>
      <c r="F2214" s="1">
        <v>44869</v>
      </c>
      <c r="G2214" t="s">
        <v>4377</v>
      </c>
      <c r="H2214" t="s">
        <v>4378</v>
      </c>
      <c r="I2214" t="s">
        <v>51</v>
      </c>
      <c r="J2214">
        <v>43873</v>
      </c>
      <c r="K2214">
        <v>119</v>
      </c>
      <c r="L2214" t="s">
        <v>42</v>
      </c>
      <c r="M2214" s="1">
        <v>44893</v>
      </c>
      <c r="N2214" t="s">
        <v>67</v>
      </c>
      <c r="O2214" t="s">
        <v>43</v>
      </c>
      <c r="P2214" t="str">
        <f t="shared" si="750"/>
        <v>P2213</v>
      </c>
      <c r="Q2214" t="str">
        <f t="shared" si="748"/>
        <v>Oncology</v>
      </c>
      <c r="R2214">
        <f t="shared" si="749"/>
        <v>24</v>
      </c>
      <c r="S2214" t="str">
        <f t="shared" ca="1" si="751"/>
        <v>No</v>
      </c>
      <c r="T2214" t="str">
        <f t="shared" ca="1" si="752"/>
        <v>Severe</v>
      </c>
      <c r="U2214" t="str">
        <f t="shared" ca="1" si="753"/>
        <v>General Ward</v>
      </c>
      <c r="V2214" t="str">
        <f t="shared" si="754"/>
        <v>BED2213</v>
      </c>
      <c r="W2214" t="str">
        <f t="shared" ca="1" si="755"/>
        <v>General</v>
      </c>
      <c r="X2214" t="str">
        <f t="shared" si="756"/>
        <v>NUR013</v>
      </c>
      <c r="Y2214" t="str">
        <f t="shared" ca="1" si="757"/>
        <v>Morning</v>
      </c>
      <c r="Z2214" t="str">
        <f t="shared" ca="1" si="758"/>
        <v>Ventilator</v>
      </c>
      <c r="AA2214" t="str">
        <f t="shared" ca="1" si="759"/>
        <v>In Use</v>
      </c>
      <c r="AB2214" t="str">
        <f t="shared" ca="1" si="760"/>
        <v>Paid</v>
      </c>
      <c r="AC2214" t="str">
        <f t="shared" ca="1" si="761"/>
        <v>Credit Card</v>
      </c>
      <c r="AD2214" t="str">
        <f t="shared" ca="1" si="762"/>
        <v>Yes</v>
      </c>
      <c r="AE2214" t="str">
        <f t="shared" ca="1" si="763"/>
        <v>No</v>
      </c>
      <c r="AF2214" t="str">
        <f t="shared" ca="1" si="764"/>
        <v>Under Observation</v>
      </c>
      <c r="AG2214" t="str">
        <f t="shared" ca="1" si="765"/>
        <v>West Coast</v>
      </c>
      <c r="AH2214" t="str">
        <f t="shared" si="766"/>
        <v>November</v>
      </c>
      <c r="AI2214">
        <f t="shared" si="767"/>
        <v>2022</v>
      </c>
      <c r="AJ2214" t="str">
        <f t="shared" ca="1" si="768"/>
        <v>Vacant</v>
      </c>
      <c r="AK2214">
        <f t="shared" ca="1" si="769"/>
        <v>4</v>
      </c>
    </row>
    <row r="2215" spans="1:37" x14ac:dyDescent="0.3">
      <c r="A2215" t="s">
        <v>6575</v>
      </c>
      <c r="B2215">
        <v>84</v>
      </c>
      <c r="C2215" t="s">
        <v>15</v>
      </c>
      <c r="D2215" t="s">
        <v>52</v>
      </c>
      <c r="E2215" t="s">
        <v>48</v>
      </c>
      <c r="F2215" s="1">
        <v>45095</v>
      </c>
      <c r="G2215" t="s">
        <v>4379</v>
      </c>
      <c r="H2215" t="s">
        <v>4380</v>
      </c>
      <c r="I2215" t="s">
        <v>20</v>
      </c>
      <c r="J2215">
        <v>46534</v>
      </c>
      <c r="K2215">
        <v>490</v>
      </c>
      <c r="L2215" t="s">
        <v>21</v>
      </c>
      <c r="M2215" s="1">
        <v>45105</v>
      </c>
      <c r="N2215" t="s">
        <v>22</v>
      </c>
      <c r="O2215" t="s">
        <v>31</v>
      </c>
      <c r="P2215" t="str">
        <f t="shared" si="750"/>
        <v>P2214</v>
      </c>
      <c r="Q2215" t="str">
        <f t="shared" si="748"/>
        <v>Pulmonology</v>
      </c>
      <c r="R2215">
        <f t="shared" si="749"/>
        <v>10</v>
      </c>
      <c r="S2215" t="str">
        <f t="shared" ca="1" si="751"/>
        <v>No</v>
      </c>
      <c r="T2215" t="str">
        <f t="shared" ca="1" si="752"/>
        <v>Mild</v>
      </c>
      <c r="U2215" t="str">
        <f t="shared" ca="1" si="753"/>
        <v>Semi-Private</v>
      </c>
      <c r="V2215" t="str">
        <f t="shared" si="754"/>
        <v>BED2214</v>
      </c>
      <c r="W2215" t="str">
        <f t="shared" ca="1" si="755"/>
        <v>ICU</v>
      </c>
      <c r="X2215" t="str">
        <f t="shared" si="756"/>
        <v>NUR014</v>
      </c>
      <c r="Y2215" t="str">
        <f t="shared" ca="1" si="757"/>
        <v>Morning</v>
      </c>
      <c r="Z2215" t="str">
        <f t="shared" ca="1" si="758"/>
        <v>ECG Machine</v>
      </c>
      <c r="AA2215" t="str">
        <f t="shared" ca="1" si="759"/>
        <v>In Use</v>
      </c>
      <c r="AB2215" t="str">
        <f t="shared" ca="1" si="760"/>
        <v>Pending</v>
      </c>
      <c r="AC2215" t="str">
        <f t="shared" ca="1" si="761"/>
        <v>Cash</v>
      </c>
      <c r="AD2215" t="str">
        <f t="shared" ca="1" si="762"/>
        <v>No</v>
      </c>
      <c r="AE2215" t="str">
        <f t="shared" ca="1" si="763"/>
        <v>Yes</v>
      </c>
      <c r="AF2215" t="str">
        <f t="shared" ca="1" si="764"/>
        <v>Under Observation</v>
      </c>
      <c r="AG2215" t="str">
        <f t="shared" ca="1" si="765"/>
        <v>Southeast</v>
      </c>
      <c r="AH2215" t="str">
        <f t="shared" si="766"/>
        <v>June</v>
      </c>
      <c r="AI2215">
        <f t="shared" si="767"/>
        <v>2023</v>
      </c>
      <c r="AJ2215" t="str">
        <f t="shared" ca="1" si="768"/>
        <v>Occupied</v>
      </c>
      <c r="AK2215">
        <f t="shared" ca="1" si="769"/>
        <v>2</v>
      </c>
    </row>
    <row r="2216" spans="1:37" x14ac:dyDescent="0.3">
      <c r="A2216" t="s">
        <v>6576</v>
      </c>
      <c r="B2216">
        <v>64</v>
      </c>
      <c r="C2216" t="s">
        <v>15</v>
      </c>
      <c r="D2216" t="s">
        <v>98</v>
      </c>
      <c r="E2216" t="s">
        <v>64</v>
      </c>
      <c r="F2216" s="1">
        <v>43837</v>
      </c>
      <c r="G2216" t="s">
        <v>4381</v>
      </c>
      <c r="H2216" t="s">
        <v>4382</v>
      </c>
      <c r="I2216" t="s">
        <v>57</v>
      </c>
      <c r="J2216">
        <v>29550</v>
      </c>
      <c r="K2216">
        <v>366</v>
      </c>
      <c r="L2216" t="s">
        <v>21</v>
      </c>
      <c r="M2216" s="1">
        <v>43860</v>
      </c>
      <c r="N2216" t="s">
        <v>30</v>
      </c>
      <c r="O2216" t="s">
        <v>23</v>
      </c>
      <c r="P2216" t="str">
        <f t="shared" si="750"/>
        <v>P2215</v>
      </c>
      <c r="Q2216" t="str">
        <f t="shared" si="748"/>
        <v>Cardiology</v>
      </c>
      <c r="R2216">
        <f t="shared" si="749"/>
        <v>23</v>
      </c>
      <c r="S2216" t="str">
        <f t="shared" ca="1" si="751"/>
        <v>No</v>
      </c>
      <c r="T2216" t="str">
        <f t="shared" ca="1" si="752"/>
        <v>Mild</v>
      </c>
      <c r="U2216" t="str">
        <f t="shared" ca="1" si="753"/>
        <v>ICU</v>
      </c>
      <c r="V2216" t="str">
        <f t="shared" si="754"/>
        <v>BED2215</v>
      </c>
      <c r="W2216" t="str">
        <f t="shared" ca="1" si="755"/>
        <v>General</v>
      </c>
      <c r="X2216" t="str">
        <f t="shared" si="756"/>
        <v>NUR015</v>
      </c>
      <c r="Y2216" t="str">
        <f t="shared" ca="1" si="757"/>
        <v>Morning</v>
      </c>
      <c r="Z2216" t="str">
        <f t="shared" ca="1" si="758"/>
        <v>Ventilator</v>
      </c>
      <c r="AA2216" t="str">
        <f t="shared" ca="1" si="759"/>
        <v>In Use</v>
      </c>
      <c r="AB2216" t="str">
        <f t="shared" ca="1" si="760"/>
        <v>Partially Paid</v>
      </c>
      <c r="AC2216" t="str">
        <f t="shared" ca="1" si="761"/>
        <v>Insurance</v>
      </c>
      <c r="AD2216" t="str">
        <f t="shared" ca="1" si="762"/>
        <v>Yes</v>
      </c>
      <c r="AE2216" t="str">
        <f t="shared" ca="1" si="763"/>
        <v>No</v>
      </c>
      <c r="AF2216" t="str">
        <f t="shared" ca="1" si="764"/>
        <v>Recovered</v>
      </c>
      <c r="AG2216" t="str">
        <f t="shared" ca="1" si="765"/>
        <v>Southwest</v>
      </c>
      <c r="AH2216" t="str">
        <f t="shared" si="766"/>
        <v>January</v>
      </c>
      <c r="AI2216">
        <f t="shared" si="767"/>
        <v>2020</v>
      </c>
      <c r="AJ2216" t="str">
        <f t="shared" ca="1" si="768"/>
        <v>Occupied</v>
      </c>
      <c r="AK2216">
        <f t="shared" ca="1" si="769"/>
        <v>4</v>
      </c>
    </row>
    <row r="2217" spans="1:37" x14ac:dyDescent="0.3">
      <c r="A2217" t="s">
        <v>6577</v>
      </c>
      <c r="B2217">
        <v>42</v>
      </c>
      <c r="C2217" t="s">
        <v>15</v>
      </c>
      <c r="D2217" t="s">
        <v>83</v>
      </c>
      <c r="E2217" t="s">
        <v>76</v>
      </c>
      <c r="F2217" s="1">
        <v>45107</v>
      </c>
      <c r="G2217" t="s">
        <v>4383</v>
      </c>
      <c r="H2217" t="s">
        <v>4384</v>
      </c>
      <c r="I2217" t="s">
        <v>20</v>
      </c>
      <c r="J2217">
        <v>39115</v>
      </c>
      <c r="K2217">
        <v>172</v>
      </c>
      <c r="L2217" t="s">
        <v>29</v>
      </c>
      <c r="M2217" s="1">
        <v>45112</v>
      </c>
      <c r="N2217" t="s">
        <v>22</v>
      </c>
      <c r="O2217" t="s">
        <v>23</v>
      </c>
      <c r="P2217" t="str">
        <f t="shared" si="750"/>
        <v>P2216</v>
      </c>
      <c r="Q2217" t="str">
        <f t="shared" si="748"/>
        <v>Orthopedics</v>
      </c>
      <c r="R2217">
        <f t="shared" si="749"/>
        <v>5</v>
      </c>
      <c r="S2217" t="str">
        <f t="shared" ca="1" si="751"/>
        <v>No</v>
      </c>
      <c r="T2217" t="str">
        <f t="shared" ca="1" si="752"/>
        <v>Severe</v>
      </c>
      <c r="U2217" t="str">
        <f t="shared" ca="1" si="753"/>
        <v>Private Ward</v>
      </c>
      <c r="V2217" t="str">
        <f t="shared" si="754"/>
        <v>BED2216</v>
      </c>
      <c r="W2217" t="str">
        <f t="shared" ca="1" si="755"/>
        <v>Private</v>
      </c>
      <c r="X2217" t="str">
        <f t="shared" si="756"/>
        <v>NUR016</v>
      </c>
      <c r="Y2217" t="str">
        <f t="shared" ca="1" si="757"/>
        <v>Evening</v>
      </c>
      <c r="Z2217" t="str">
        <f t="shared" ca="1" si="758"/>
        <v>X-Ray</v>
      </c>
      <c r="AA2217" t="str">
        <f t="shared" ca="1" si="759"/>
        <v>In Use</v>
      </c>
      <c r="AB2217" t="str">
        <f t="shared" ca="1" si="760"/>
        <v>Paid</v>
      </c>
      <c r="AC2217" t="str">
        <f t="shared" ca="1" si="761"/>
        <v>Bank Transfer</v>
      </c>
      <c r="AD2217" t="str">
        <f t="shared" ca="1" si="762"/>
        <v>Yes</v>
      </c>
      <c r="AE2217" t="str">
        <f t="shared" ca="1" si="763"/>
        <v>Yes</v>
      </c>
      <c r="AF2217" t="str">
        <f t="shared" ca="1" si="764"/>
        <v>Recovered</v>
      </c>
      <c r="AG2217" t="str">
        <f t="shared" ca="1" si="765"/>
        <v>Midwest</v>
      </c>
      <c r="AH2217" t="str">
        <f t="shared" si="766"/>
        <v>June</v>
      </c>
      <c r="AI2217">
        <f t="shared" si="767"/>
        <v>2023</v>
      </c>
      <c r="AJ2217" t="str">
        <f t="shared" ca="1" si="768"/>
        <v>Occupied</v>
      </c>
      <c r="AK2217">
        <f t="shared" ca="1" si="769"/>
        <v>4</v>
      </c>
    </row>
    <row r="2218" spans="1:37" x14ac:dyDescent="0.3">
      <c r="A2218" t="s">
        <v>6578</v>
      </c>
      <c r="B2218">
        <v>54</v>
      </c>
      <c r="C2218" t="s">
        <v>32</v>
      </c>
      <c r="D2218" t="s">
        <v>52</v>
      </c>
      <c r="E2218" t="s">
        <v>25</v>
      </c>
      <c r="F2218" s="1">
        <v>44278</v>
      </c>
      <c r="G2218" t="s">
        <v>4385</v>
      </c>
      <c r="H2218" t="s">
        <v>1120</v>
      </c>
      <c r="I2218" t="s">
        <v>28</v>
      </c>
      <c r="J2218">
        <v>45884</v>
      </c>
      <c r="K2218">
        <v>307</v>
      </c>
      <c r="L2218" t="s">
        <v>21</v>
      </c>
      <c r="M2218" s="1">
        <v>44308</v>
      </c>
      <c r="N2218" t="s">
        <v>37</v>
      </c>
      <c r="O2218" t="s">
        <v>23</v>
      </c>
      <c r="P2218" t="str">
        <f t="shared" si="750"/>
        <v>P2217</v>
      </c>
      <c r="Q2218" t="str">
        <f t="shared" si="748"/>
        <v>Nutrition</v>
      </c>
      <c r="R2218">
        <f t="shared" si="749"/>
        <v>30</v>
      </c>
      <c r="S2218" t="str">
        <f t="shared" ca="1" si="751"/>
        <v>No</v>
      </c>
      <c r="T2218" t="str">
        <f t="shared" ca="1" si="752"/>
        <v>Critical</v>
      </c>
      <c r="U2218" t="str">
        <f t="shared" ca="1" si="753"/>
        <v>Semi-Private</v>
      </c>
      <c r="V2218" t="str">
        <f t="shared" si="754"/>
        <v>BED2217</v>
      </c>
      <c r="W2218" t="str">
        <f t="shared" ca="1" si="755"/>
        <v>Semi-Private</v>
      </c>
      <c r="X2218" t="str">
        <f t="shared" si="756"/>
        <v>NUR017</v>
      </c>
      <c r="Y2218" t="str">
        <f t="shared" ca="1" si="757"/>
        <v>Night</v>
      </c>
      <c r="Z2218" t="str">
        <f t="shared" ca="1" si="758"/>
        <v>Ventilator</v>
      </c>
      <c r="AA2218" t="str">
        <f t="shared" ca="1" si="759"/>
        <v>Available</v>
      </c>
      <c r="AB2218" t="str">
        <f t="shared" ca="1" si="760"/>
        <v>Pending</v>
      </c>
      <c r="AC2218" t="str">
        <f t="shared" ca="1" si="761"/>
        <v>Bank Transfer</v>
      </c>
      <c r="AD2218" t="str">
        <f t="shared" ca="1" si="762"/>
        <v>No</v>
      </c>
      <c r="AE2218" t="str">
        <f t="shared" ca="1" si="763"/>
        <v>No</v>
      </c>
      <c r="AF2218" t="str">
        <f t="shared" ca="1" si="764"/>
        <v>Recovered</v>
      </c>
      <c r="AG2218" t="str">
        <f t="shared" ca="1" si="765"/>
        <v>Northeast</v>
      </c>
      <c r="AH2218" t="str">
        <f t="shared" si="766"/>
        <v>March</v>
      </c>
      <c r="AI2218">
        <f t="shared" si="767"/>
        <v>2021</v>
      </c>
      <c r="AJ2218" t="str">
        <f t="shared" ca="1" si="768"/>
        <v>Occupied</v>
      </c>
      <c r="AK2218">
        <f t="shared" ca="1" si="769"/>
        <v>1</v>
      </c>
    </row>
    <row r="2219" spans="1:37" x14ac:dyDescent="0.3">
      <c r="A2219" t="s">
        <v>6579</v>
      </c>
      <c r="B2219">
        <v>47</v>
      </c>
      <c r="C2219" t="s">
        <v>15</v>
      </c>
      <c r="D2219" t="s">
        <v>83</v>
      </c>
      <c r="E2219" t="s">
        <v>64</v>
      </c>
      <c r="F2219" s="1">
        <v>44113</v>
      </c>
      <c r="G2219" t="s">
        <v>4386</v>
      </c>
      <c r="H2219" t="s">
        <v>4387</v>
      </c>
      <c r="I2219" t="s">
        <v>57</v>
      </c>
      <c r="J2219">
        <v>6158</v>
      </c>
      <c r="K2219">
        <v>126</v>
      </c>
      <c r="L2219" t="s">
        <v>21</v>
      </c>
      <c r="M2219" s="1">
        <v>44138</v>
      </c>
      <c r="N2219" t="s">
        <v>37</v>
      </c>
      <c r="O2219" t="s">
        <v>43</v>
      </c>
      <c r="P2219" t="str">
        <f t="shared" si="750"/>
        <v>P2218</v>
      </c>
      <c r="Q2219" t="str">
        <f t="shared" si="748"/>
        <v>Cardiology</v>
      </c>
      <c r="R2219">
        <f t="shared" si="749"/>
        <v>25</v>
      </c>
      <c r="S2219" t="str">
        <f t="shared" ca="1" si="751"/>
        <v>No</v>
      </c>
      <c r="T2219" t="str">
        <f t="shared" ca="1" si="752"/>
        <v>Moderate</v>
      </c>
      <c r="U2219" t="str">
        <f t="shared" ca="1" si="753"/>
        <v>Private Ward</v>
      </c>
      <c r="V2219" t="str">
        <f t="shared" si="754"/>
        <v>BED2218</v>
      </c>
      <c r="W2219" t="str">
        <f t="shared" ca="1" si="755"/>
        <v>Private</v>
      </c>
      <c r="X2219" t="str">
        <f t="shared" si="756"/>
        <v>NUR018</v>
      </c>
      <c r="Y2219" t="str">
        <f t="shared" ca="1" si="757"/>
        <v>Night</v>
      </c>
      <c r="Z2219" t="str">
        <f t="shared" ca="1" si="758"/>
        <v>CT Scanner</v>
      </c>
      <c r="AA2219" t="str">
        <f t="shared" ca="1" si="759"/>
        <v>Available</v>
      </c>
      <c r="AB2219" t="str">
        <f t="shared" ca="1" si="760"/>
        <v>Partially Paid</v>
      </c>
      <c r="AC2219" t="str">
        <f t="shared" ca="1" si="761"/>
        <v>Debit Card</v>
      </c>
      <c r="AD2219" t="str">
        <f t="shared" ca="1" si="762"/>
        <v>No</v>
      </c>
      <c r="AE2219" t="str">
        <f t="shared" ca="1" si="763"/>
        <v>No</v>
      </c>
      <c r="AF2219" t="str">
        <f t="shared" ca="1" si="764"/>
        <v>Recovered</v>
      </c>
      <c r="AG2219" t="str">
        <f t="shared" ca="1" si="765"/>
        <v>West Coast</v>
      </c>
      <c r="AH2219" t="str">
        <f t="shared" si="766"/>
        <v>October</v>
      </c>
      <c r="AI2219">
        <f t="shared" si="767"/>
        <v>2020</v>
      </c>
      <c r="AJ2219" t="str">
        <f t="shared" ca="1" si="768"/>
        <v>Occupied</v>
      </c>
      <c r="AK2219">
        <f t="shared" ca="1" si="769"/>
        <v>1</v>
      </c>
    </row>
    <row r="2220" spans="1:37" x14ac:dyDescent="0.3">
      <c r="A2220" t="s">
        <v>6580</v>
      </c>
      <c r="B2220">
        <v>59</v>
      </c>
      <c r="C2220" t="s">
        <v>32</v>
      </c>
      <c r="D2220" t="s">
        <v>98</v>
      </c>
      <c r="E2220" t="s">
        <v>76</v>
      </c>
      <c r="F2220" s="1">
        <v>44357</v>
      </c>
      <c r="G2220" t="s">
        <v>4388</v>
      </c>
      <c r="H2220" t="s">
        <v>4389</v>
      </c>
      <c r="I2220" t="s">
        <v>36</v>
      </c>
      <c r="J2220">
        <v>11300</v>
      </c>
      <c r="K2220">
        <v>234</v>
      </c>
      <c r="L2220" t="s">
        <v>29</v>
      </c>
      <c r="M2220" s="1">
        <v>44365</v>
      </c>
      <c r="N2220" t="s">
        <v>37</v>
      </c>
      <c r="O2220" t="s">
        <v>23</v>
      </c>
      <c r="P2220" t="str">
        <f t="shared" si="750"/>
        <v>P2219</v>
      </c>
      <c r="Q2220" t="str">
        <f t="shared" si="748"/>
        <v>Orthopedics</v>
      </c>
      <c r="R2220">
        <f t="shared" si="749"/>
        <v>8</v>
      </c>
      <c r="S2220" t="str">
        <f t="shared" ca="1" si="751"/>
        <v>No</v>
      </c>
      <c r="T2220" t="str">
        <f t="shared" ca="1" si="752"/>
        <v>Severe</v>
      </c>
      <c r="U2220" t="str">
        <f t="shared" ca="1" si="753"/>
        <v>Semi-Private</v>
      </c>
      <c r="V2220" t="str">
        <f t="shared" si="754"/>
        <v>BED2219</v>
      </c>
      <c r="W2220" t="str">
        <f t="shared" ca="1" si="755"/>
        <v>Semi-Private</v>
      </c>
      <c r="X2220" t="str">
        <f t="shared" si="756"/>
        <v>NUR019</v>
      </c>
      <c r="Y2220" t="str">
        <f t="shared" ca="1" si="757"/>
        <v>Morning</v>
      </c>
      <c r="Z2220" t="str">
        <f t="shared" ca="1" si="758"/>
        <v>CT Scanner</v>
      </c>
      <c r="AA2220" t="str">
        <f t="shared" ca="1" si="759"/>
        <v>Available</v>
      </c>
      <c r="AB2220" t="str">
        <f t="shared" ca="1" si="760"/>
        <v>Paid</v>
      </c>
      <c r="AC2220" t="str">
        <f t="shared" ca="1" si="761"/>
        <v>Bank Transfer</v>
      </c>
      <c r="AD2220" t="str">
        <f t="shared" ca="1" si="762"/>
        <v>No</v>
      </c>
      <c r="AE2220" t="str">
        <f t="shared" ca="1" si="763"/>
        <v>No</v>
      </c>
      <c r="AF2220" t="str">
        <f t="shared" ca="1" si="764"/>
        <v>Under Observation</v>
      </c>
      <c r="AG2220" t="str">
        <f t="shared" ca="1" si="765"/>
        <v>Midwest</v>
      </c>
      <c r="AH2220" t="str">
        <f t="shared" si="766"/>
        <v>June</v>
      </c>
      <c r="AI2220">
        <f t="shared" si="767"/>
        <v>2021</v>
      </c>
      <c r="AJ2220" t="str">
        <f t="shared" ca="1" si="768"/>
        <v>Occupied</v>
      </c>
      <c r="AK2220">
        <f t="shared" ca="1" si="769"/>
        <v>2</v>
      </c>
    </row>
    <row r="2221" spans="1:37" x14ac:dyDescent="0.3">
      <c r="A2221" t="s">
        <v>6581</v>
      </c>
      <c r="B2221">
        <v>54</v>
      </c>
      <c r="C2221" t="s">
        <v>32</v>
      </c>
      <c r="D2221" t="s">
        <v>52</v>
      </c>
      <c r="E2221" t="s">
        <v>25</v>
      </c>
      <c r="F2221" s="1">
        <v>44212</v>
      </c>
      <c r="G2221" t="s">
        <v>4390</v>
      </c>
      <c r="H2221" t="s">
        <v>4391</v>
      </c>
      <c r="I2221" t="s">
        <v>28</v>
      </c>
      <c r="J2221">
        <v>25629</v>
      </c>
      <c r="K2221">
        <v>264</v>
      </c>
      <c r="L2221" t="s">
        <v>21</v>
      </c>
      <c r="M2221" s="1">
        <v>44230</v>
      </c>
      <c r="N2221" t="s">
        <v>22</v>
      </c>
      <c r="O2221" t="s">
        <v>43</v>
      </c>
      <c r="P2221" t="str">
        <f t="shared" si="750"/>
        <v>P2220</v>
      </c>
      <c r="Q2221" t="str">
        <f t="shared" si="748"/>
        <v>Nutrition</v>
      </c>
      <c r="R2221">
        <f t="shared" si="749"/>
        <v>18</v>
      </c>
      <c r="S2221" t="str">
        <f t="shared" ca="1" si="751"/>
        <v>No</v>
      </c>
      <c r="T2221" t="str">
        <f t="shared" ca="1" si="752"/>
        <v>Severe</v>
      </c>
      <c r="U2221" t="str">
        <f t="shared" ca="1" si="753"/>
        <v>Semi-Private</v>
      </c>
      <c r="V2221" t="str">
        <f t="shared" si="754"/>
        <v>BED2220</v>
      </c>
      <c r="W2221" t="str">
        <f t="shared" ca="1" si="755"/>
        <v>ICU</v>
      </c>
      <c r="X2221" t="str">
        <f t="shared" si="756"/>
        <v>NUR020</v>
      </c>
      <c r="Y2221" t="str">
        <f t="shared" ca="1" si="757"/>
        <v>Morning</v>
      </c>
      <c r="Z2221" t="str">
        <f t="shared" ca="1" si="758"/>
        <v>ECG Machine</v>
      </c>
      <c r="AA2221" t="str">
        <f t="shared" ca="1" si="759"/>
        <v>Maintenance</v>
      </c>
      <c r="AB2221" t="str">
        <f t="shared" ca="1" si="760"/>
        <v>Paid</v>
      </c>
      <c r="AC2221" t="str">
        <f t="shared" ca="1" si="761"/>
        <v>Credit Card</v>
      </c>
      <c r="AD2221" t="str">
        <f t="shared" ca="1" si="762"/>
        <v>No</v>
      </c>
      <c r="AE2221" t="str">
        <f t="shared" ca="1" si="763"/>
        <v>No</v>
      </c>
      <c r="AF2221" t="str">
        <f t="shared" ca="1" si="764"/>
        <v>Transferred</v>
      </c>
      <c r="AG2221" t="str">
        <f t="shared" ca="1" si="765"/>
        <v>West Coast</v>
      </c>
      <c r="AH2221" t="str">
        <f t="shared" si="766"/>
        <v>January</v>
      </c>
      <c r="AI2221">
        <f t="shared" si="767"/>
        <v>2021</v>
      </c>
      <c r="AJ2221" t="str">
        <f t="shared" ca="1" si="768"/>
        <v>Occupied</v>
      </c>
      <c r="AK2221">
        <f t="shared" ca="1" si="769"/>
        <v>2</v>
      </c>
    </row>
    <row r="2222" spans="1:37" x14ac:dyDescent="0.3">
      <c r="A2222" t="s">
        <v>6582</v>
      </c>
      <c r="B2222">
        <v>33</v>
      </c>
      <c r="C2222" t="s">
        <v>32</v>
      </c>
      <c r="D2222" t="s">
        <v>83</v>
      </c>
      <c r="E2222" t="s">
        <v>25</v>
      </c>
      <c r="F2222" s="1">
        <v>44583</v>
      </c>
      <c r="G2222" t="s">
        <v>4392</v>
      </c>
      <c r="H2222" t="s">
        <v>4393</v>
      </c>
      <c r="I2222" t="s">
        <v>57</v>
      </c>
      <c r="J2222">
        <v>15871</v>
      </c>
      <c r="K2222">
        <v>378</v>
      </c>
      <c r="L2222" t="s">
        <v>29</v>
      </c>
      <c r="M2222" s="1">
        <v>44606</v>
      </c>
      <c r="N2222" t="s">
        <v>30</v>
      </c>
      <c r="O2222" t="s">
        <v>43</v>
      </c>
      <c r="P2222" t="str">
        <f t="shared" si="750"/>
        <v>P2221</v>
      </c>
      <c r="Q2222" t="str">
        <f t="shared" si="748"/>
        <v>Nutrition</v>
      </c>
      <c r="R2222">
        <f t="shared" si="749"/>
        <v>23</v>
      </c>
      <c r="S2222" t="str">
        <f t="shared" ca="1" si="751"/>
        <v>No</v>
      </c>
      <c r="T2222" t="str">
        <f t="shared" ca="1" si="752"/>
        <v>Moderate</v>
      </c>
      <c r="U2222" t="str">
        <f t="shared" ca="1" si="753"/>
        <v>Emergency</v>
      </c>
      <c r="V2222" t="str">
        <f t="shared" si="754"/>
        <v>BED2221</v>
      </c>
      <c r="W2222" t="str">
        <f t="shared" ca="1" si="755"/>
        <v>ICU</v>
      </c>
      <c r="X2222" t="str">
        <f t="shared" si="756"/>
        <v>NUR021</v>
      </c>
      <c r="Y2222" t="str">
        <f t="shared" ca="1" si="757"/>
        <v>Evening</v>
      </c>
      <c r="Z2222" t="str">
        <f t="shared" ca="1" si="758"/>
        <v>Ultrasound</v>
      </c>
      <c r="AA2222" t="str">
        <f t="shared" ca="1" si="759"/>
        <v>Available</v>
      </c>
      <c r="AB2222" t="str">
        <f t="shared" ca="1" si="760"/>
        <v>Partially Paid</v>
      </c>
      <c r="AC2222" t="str">
        <f t="shared" ca="1" si="761"/>
        <v>Cash</v>
      </c>
      <c r="AD2222" t="str">
        <f t="shared" ca="1" si="762"/>
        <v>No</v>
      </c>
      <c r="AE2222" t="str">
        <f t="shared" ca="1" si="763"/>
        <v>No</v>
      </c>
      <c r="AF2222" t="str">
        <f t="shared" ca="1" si="764"/>
        <v>Under Observation</v>
      </c>
      <c r="AG2222" t="str">
        <f t="shared" ca="1" si="765"/>
        <v>Southeast</v>
      </c>
      <c r="AH2222" t="str">
        <f t="shared" si="766"/>
        <v>January</v>
      </c>
      <c r="AI2222">
        <f t="shared" si="767"/>
        <v>2022</v>
      </c>
      <c r="AJ2222" t="str">
        <f t="shared" ca="1" si="768"/>
        <v>Occupied</v>
      </c>
      <c r="AK2222">
        <f t="shared" ca="1" si="769"/>
        <v>4</v>
      </c>
    </row>
    <row r="2223" spans="1:37" x14ac:dyDescent="0.3">
      <c r="A2223" t="s">
        <v>6583</v>
      </c>
      <c r="B2223">
        <v>43</v>
      </c>
      <c r="C2223" t="s">
        <v>32</v>
      </c>
      <c r="D2223" t="s">
        <v>16</v>
      </c>
      <c r="E2223" t="s">
        <v>76</v>
      </c>
      <c r="F2223" s="1">
        <v>45322</v>
      </c>
      <c r="G2223" t="s">
        <v>4394</v>
      </c>
      <c r="H2223" t="s">
        <v>4395</v>
      </c>
      <c r="I2223" t="s">
        <v>28</v>
      </c>
      <c r="J2223">
        <v>2432</v>
      </c>
      <c r="K2223">
        <v>278</v>
      </c>
      <c r="L2223" t="s">
        <v>29</v>
      </c>
      <c r="M2223" s="1">
        <v>45326</v>
      </c>
      <c r="N2223" t="s">
        <v>30</v>
      </c>
      <c r="O2223" t="s">
        <v>43</v>
      </c>
      <c r="P2223" t="str">
        <f t="shared" si="750"/>
        <v>P2222</v>
      </c>
      <c r="Q2223" t="str">
        <f t="shared" si="748"/>
        <v>Orthopedics</v>
      </c>
      <c r="R2223">
        <f t="shared" si="749"/>
        <v>4</v>
      </c>
      <c r="S2223" t="str">
        <f t="shared" ca="1" si="751"/>
        <v>No</v>
      </c>
      <c r="T2223" t="str">
        <f t="shared" ca="1" si="752"/>
        <v>Critical</v>
      </c>
      <c r="U2223" t="str">
        <f t="shared" ca="1" si="753"/>
        <v>Semi-Private</v>
      </c>
      <c r="V2223" t="str">
        <f t="shared" si="754"/>
        <v>BED2222</v>
      </c>
      <c r="W2223" t="str">
        <f t="shared" ca="1" si="755"/>
        <v>Private</v>
      </c>
      <c r="X2223" t="str">
        <f t="shared" si="756"/>
        <v>NUR022</v>
      </c>
      <c r="Y2223" t="str">
        <f t="shared" ca="1" si="757"/>
        <v>Night</v>
      </c>
      <c r="Z2223" t="str">
        <f t="shared" ca="1" si="758"/>
        <v>X-Ray</v>
      </c>
      <c r="AA2223" t="str">
        <f t="shared" ca="1" si="759"/>
        <v>Maintenance</v>
      </c>
      <c r="AB2223" t="str">
        <f t="shared" ca="1" si="760"/>
        <v>Pending</v>
      </c>
      <c r="AC2223" t="str">
        <f t="shared" ca="1" si="761"/>
        <v>Debit Card</v>
      </c>
      <c r="AD2223" t="str">
        <f t="shared" ca="1" si="762"/>
        <v>No</v>
      </c>
      <c r="AE2223" t="str">
        <f t="shared" ca="1" si="763"/>
        <v>No</v>
      </c>
      <c r="AF2223" t="str">
        <f t="shared" ca="1" si="764"/>
        <v>Transferred</v>
      </c>
      <c r="AG2223" t="str">
        <f t="shared" ca="1" si="765"/>
        <v>Southwest</v>
      </c>
      <c r="AH2223" t="str">
        <f t="shared" si="766"/>
        <v>January</v>
      </c>
      <c r="AI2223">
        <f t="shared" si="767"/>
        <v>2024</v>
      </c>
      <c r="AJ2223" t="str">
        <f t="shared" ca="1" si="768"/>
        <v>Occupied</v>
      </c>
      <c r="AK2223">
        <f t="shared" ca="1" si="769"/>
        <v>4</v>
      </c>
    </row>
    <row r="2224" spans="1:37" x14ac:dyDescent="0.3">
      <c r="A2224" t="s">
        <v>6584</v>
      </c>
      <c r="B2224">
        <v>72</v>
      </c>
      <c r="C2224" t="s">
        <v>32</v>
      </c>
      <c r="D2224" t="s">
        <v>33</v>
      </c>
      <c r="E2224" t="s">
        <v>64</v>
      </c>
      <c r="F2224" s="1">
        <v>44107</v>
      </c>
      <c r="G2224" t="s">
        <v>4396</v>
      </c>
      <c r="H2224" t="s">
        <v>4397</v>
      </c>
      <c r="I2224" t="s">
        <v>57</v>
      </c>
      <c r="J2224">
        <v>10023</v>
      </c>
      <c r="K2224">
        <v>361</v>
      </c>
      <c r="L2224" t="s">
        <v>42</v>
      </c>
      <c r="M2224" s="1">
        <v>44117</v>
      </c>
      <c r="N2224" t="s">
        <v>30</v>
      </c>
      <c r="O2224" t="s">
        <v>43</v>
      </c>
      <c r="P2224" t="str">
        <f t="shared" si="750"/>
        <v>P2223</v>
      </c>
      <c r="Q2224" t="str">
        <f t="shared" si="748"/>
        <v>Cardiology</v>
      </c>
      <c r="R2224">
        <f t="shared" si="749"/>
        <v>10</v>
      </c>
      <c r="S2224" t="str">
        <f t="shared" ca="1" si="751"/>
        <v>No</v>
      </c>
      <c r="T2224" t="str">
        <f t="shared" ca="1" si="752"/>
        <v>Severe</v>
      </c>
      <c r="U2224" t="str">
        <f t="shared" ca="1" si="753"/>
        <v>Semi-Private</v>
      </c>
      <c r="V2224" t="str">
        <f t="shared" si="754"/>
        <v>BED2223</v>
      </c>
      <c r="W2224" t="str">
        <f t="shared" ca="1" si="755"/>
        <v>Semi-Private</v>
      </c>
      <c r="X2224" t="str">
        <f t="shared" si="756"/>
        <v>NUR023</v>
      </c>
      <c r="Y2224" t="str">
        <f t="shared" ca="1" si="757"/>
        <v>Night</v>
      </c>
      <c r="Z2224" t="str">
        <f t="shared" ca="1" si="758"/>
        <v>CT Scanner</v>
      </c>
      <c r="AA2224" t="str">
        <f t="shared" ca="1" si="759"/>
        <v>Available</v>
      </c>
      <c r="AB2224" t="str">
        <f t="shared" ca="1" si="760"/>
        <v>Paid</v>
      </c>
      <c r="AC2224" t="str">
        <f t="shared" ca="1" si="761"/>
        <v>Cash</v>
      </c>
      <c r="AD2224" t="str">
        <f t="shared" ca="1" si="762"/>
        <v>No</v>
      </c>
      <c r="AE2224" t="str">
        <f t="shared" ca="1" si="763"/>
        <v>No</v>
      </c>
      <c r="AF2224" t="str">
        <f t="shared" ca="1" si="764"/>
        <v>Transferred</v>
      </c>
      <c r="AG2224" t="str">
        <f t="shared" ca="1" si="765"/>
        <v>Southwest</v>
      </c>
      <c r="AH2224" t="str">
        <f t="shared" si="766"/>
        <v>October</v>
      </c>
      <c r="AI2224">
        <f t="shared" si="767"/>
        <v>2020</v>
      </c>
      <c r="AJ2224" t="str">
        <f t="shared" ca="1" si="768"/>
        <v>Occupied</v>
      </c>
      <c r="AK2224">
        <f t="shared" ca="1" si="769"/>
        <v>2</v>
      </c>
    </row>
    <row r="2225" spans="1:37" x14ac:dyDescent="0.3">
      <c r="A2225" t="s">
        <v>6585</v>
      </c>
      <c r="B2225">
        <v>41</v>
      </c>
      <c r="C2225" t="s">
        <v>15</v>
      </c>
      <c r="D2225" t="s">
        <v>98</v>
      </c>
      <c r="E2225" t="s">
        <v>64</v>
      </c>
      <c r="F2225" s="1">
        <v>44473</v>
      </c>
      <c r="G2225" t="s">
        <v>4398</v>
      </c>
      <c r="H2225" t="s">
        <v>4399</v>
      </c>
      <c r="I2225" t="s">
        <v>57</v>
      </c>
      <c r="J2225">
        <v>14029</v>
      </c>
      <c r="K2225">
        <v>112</v>
      </c>
      <c r="L2225" t="s">
        <v>42</v>
      </c>
      <c r="M2225" s="1">
        <v>44497</v>
      </c>
      <c r="N2225" t="s">
        <v>37</v>
      </c>
      <c r="O2225" t="s">
        <v>43</v>
      </c>
      <c r="P2225" t="str">
        <f t="shared" si="750"/>
        <v>P2224</v>
      </c>
      <c r="Q2225" t="str">
        <f t="shared" si="748"/>
        <v>Cardiology</v>
      </c>
      <c r="R2225">
        <f t="shared" si="749"/>
        <v>24</v>
      </c>
      <c r="S2225" t="str">
        <f t="shared" ca="1" si="751"/>
        <v>No</v>
      </c>
      <c r="T2225" t="str">
        <f t="shared" ca="1" si="752"/>
        <v>Moderate</v>
      </c>
      <c r="U2225" t="str">
        <f t="shared" ca="1" si="753"/>
        <v>Private Ward</v>
      </c>
      <c r="V2225" t="str">
        <f t="shared" si="754"/>
        <v>BED2224</v>
      </c>
      <c r="W2225" t="str">
        <f t="shared" ca="1" si="755"/>
        <v>Semi-Private</v>
      </c>
      <c r="X2225" t="str">
        <f t="shared" si="756"/>
        <v>NUR024</v>
      </c>
      <c r="Y2225" t="str">
        <f t="shared" ca="1" si="757"/>
        <v>Evening</v>
      </c>
      <c r="Z2225" t="str">
        <f t="shared" ca="1" si="758"/>
        <v>X-Ray</v>
      </c>
      <c r="AA2225" t="str">
        <f t="shared" ca="1" si="759"/>
        <v>Available</v>
      </c>
      <c r="AB2225" t="str">
        <f t="shared" ca="1" si="760"/>
        <v>Partially Paid</v>
      </c>
      <c r="AC2225" t="str">
        <f t="shared" ca="1" si="761"/>
        <v>Debit Card</v>
      </c>
      <c r="AD2225" t="str">
        <f t="shared" ca="1" si="762"/>
        <v>No</v>
      </c>
      <c r="AE2225" t="str">
        <f t="shared" ca="1" si="763"/>
        <v>Yes</v>
      </c>
      <c r="AF2225" t="str">
        <f t="shared" ca="1" si="764"/>
        <v>Recovered</v>
      </c>
      <c r="AG2225" t="str">
        <f t="shared" ca="1" si="765"/>
        <v>Northeast</v>
      </c>
      <c r="AH2225" t="str">
        <f t="shared" si="766"/>
        <v>October</v>
      </c>
      <c r="AI2225">
        <f t="shared" si="767"/>
        <v>2021</v>
      </c>
      <c r="AJ2225" t="str">
        <f t="shared" ca="1" si="768"/>
        <v>Occupied</v>
      </c>
      <c r="AK2225">
        <f t="shared" ca="1" si="769"/>
        <v>1</v>
      </c>
    </row>
    <row r="2226" spans="1:37" x14ac:dyDescent="0.3">
      <c r="A2226" t="s">
        <v>6586</v>
      </c>
      <c r="B2226">
        <v>72</v>
      </c>
      <c r="C2226" t="s">
        <v>15</v>
      </c>
      <c r="D2226" t="s">
        <v>16</v>
      </c>
      <c r="E2226" t="s">
        <v>25</v>
      </c>
      <c r="F2226" s="1">
        <v>44727</v>
      </c>
      <c r="G2226" t="s">
        <v>4400</v>
      </c>
      <c r="H2226" t="s">
        <v>4401</v>
      </c>
      <c r="I2226" t="s">
        <v>28</v>
      </c>
      <c r="J2226">
        <v>27851</v>
      </c>
      <c r="K2226">
        <v>436</v>
      </c>
      <c r="L2226" t="s">
        <v>21</v>
      </c>
      <c r="M2226" s="1">
        <v>44734</v>
      </c>
      <c r="N2226" t="s">
        <v>37</v>
      </c>
      <c r="O2226" t="s">
        <v>43</v>
      </c>
      <c r="P2226" t="str">
        <f t="shared" si="750"/>
        <v>P2225</v>
      </c>
      <c r="Q2226" t="str">
        <f t="shared" si="748"/>
        <v>Nutrition</v>
      </c>
      <c r="R2226">
        <f t="shared" si="749"/>
        <v>7</v>
      </c>
      <c r="S2226" t="str">
        <f t="shared" ca="1" si="751"/>
        <v>No</v>
      </c>
      <c r="T2226" t="str">
        <f t="shared" ca="1" si="752"/>
        <v>Critical</v>
      </c>
      <c r="U2226" t="str">
        <f t="shared" ca="1" si="753"/>
        <v>ICU</v>
      </c>
      <c r="V2226" t="str">
        <f t="shared" si="754"/>
        <v>BED2225</v>
      </c>
      <c r="W2226" t="str">
        <f t="shared" ca="1" si="755"/>
        <v>Semi-Private</v>
      </c>
      <c r="X2226" t="str">
        <f t="shared" si="756"/>
        <v>NUR025</v>
      </c>
      <c r="Y2226" t="str">
        <f t="shared" ca="1" si="757"/>
        <v>Morning</v>
      </c>
      <c r="Z2226" t="str">
        <f t="shared" ca="1" si="758"/>
        <v>ECG Machine</v>
      </c>
      <c r="AA2226" t="str">
        <f t="shared" ca="1" si="759"/>
        <v>Available</v>
      </c>
      <c r="AB2226" t="str">
        <f t="shared" ca="1" si="760"/>
        <v>Partially Paid</v>
      </c>
      <c r="AC2226" t="str">
        <f t="shared" ca="1" si="761"/>
        <v>Insurance</v>
      </c>
      <c r="AD2226" t="str">
        <f t="shared" ca="1" si="762"/>
        <v>No</v>
      </c>
      <c r="AE2226" t="str">
        <f t="shared" ca="1" si="763"/>
        <v>No</v>
      </c>
      <c r="AF2226" t="str">
        <f t="shared" ca="1" si="764"/>
        <v>Transferred</v>
      </c>
      <c r="AG2226" t="str">
        <f t="shared" ca="1" si="765"/>
        <v>Southeast</v>
      </c>
      <c r="AH2226" t="str">
        <f t="shared" si="766"/>
        <v>June</v>
      </c>
      <c r="AI2226">
        <f t="shared" si="767"/>
        <v>2022</v>
      </c>
      <c r="AJ2226" t="str">
        <f t="shared" ca="1" si="768"/>
        <v>Occupied</v>
      </c>
      <c r="AK2226">
        <f t="shared" ca="1" si="769"/>
        <v>1</v>
      </c>
    </row>
    <row r="2227" spans="1:37" x14ac:dyDescent="0.3">
      <c r="A2227" t="s">
        <v>6587</v>
      </c>
      <c r="B2227">
        <v>48</v>
      </c>
      <c r="C2227" t="s">
        <v>15</v>
      </c>
      <c r="D2227" t="s">
        <v>24</v>
      </c>
      <c r="E2227" t="s">
        <v>17</v>
      </c>
      <c r="F2227" s="1">
        <v>44544</v>
      </c>
      <c r="G2227" t="s">
        <v>4402</v>
      </c>
      <c r="H2227" t="s">
        <v>4403</v>
      </c>
      <c r="I2227" t="s">
        <v>36</v>
      </c>
      <c r="J2227">
        <v>41044</v>
      </c>
      <c r="K2227">
        <v>203</v>
      </c>
      <c r="L2227" t="s">
        <v>42</v>
      </c>
      <c r="M2227" s="1">
        <v>44571</v>
      </c>
      <c r="N2227" t="s">
        <v>22</v>
      </c>
      <c r="O2227" t="s">
        <v>31</v>
      </c>
      <c r="P2227" t="str">
        <f t="shared" si="750"/>
        <v>P2226</v>
      </c>
      <c r="Q2227" t="str">
        <f t="shared" si="748"/>
        <v>Oncology</v>
      </c>
      <c r="R2227">
        <f t="shared" si="749"/>
        <v>27</v>
      </c>
      <c r="S2227" t="str">
        <f t="shared" ca="1" si="751"/>
        <v>No</v>
      </c>
      <c r="T2227" t="str">
        <f t="shared" ca="1" si="752"/>
        <v>Moderate</v>
      </c>
      <c r="U2227" t="str">
        <f t="shared" ca="1" si="753"/>
        <v>ICU</v>
      </c>
      <c r="V2227" t="str">
        <f t="shared" si="754"/>
        <v>BED2226</v>
      </c>
      <c r="W2227" t="str">
        <f t="shared" ca="1" si="755"/>
        <v>ICU</v>
      </c>
      <c r="X2227" t="str">
        <f t="shared" si="756"/>
        <v>NUR026</v>
      </c>
      <c r="Y2227" t="str">
        <f t="shared" ca="1" si="757"/>
        <v>Night</v>
      </c>
      <c r="Z2227" t="str">
        <f t="shared" ca="1" si="758"/>
        <v>Ultrasound</v>
      </c>
      <c r="AA2227" t="str">
        <f t="shared" ca="1" si="759"/>
        <v>Available</v>
      </c>
      <c r="AB2227" t="str">
        <f t="shared" ca="1" si="760"/>
        <v>Pending</v>
      </c>
      <c r="AC2227" t="str">
        <f t="shared" ca="1" si="761"/>
        <v>Bank Transfer</v>
      </c>
      <c r="AD2227" t="str">
        <f t="shared" ca="1" si="762"/>
        <v>No</v>
      </c>
      <c r="AE2227" t="str">
        <f t="shared" ca="1" si="763"/>
        <v>No</v>
      </c>
      <c r="AF2227" t="str">
        <f t="shared" ca="1" si="764"/>
        <v>Recovered</v>
      </c>
      <c r="AG2227" t="str">
        <f t="shared" ca="1" si="765"/>
        <v>Southwest</v>
      </c>
      <c r="AH2227" t="str">
        <f t="shared" si="766"/>
        <v>December</v>
      </c>
      <c r="AI2227">
        <f t="shared" si="767"/>
        <v>2021</v>
      </c>
      <c r="AJ2227" t="str">
        <f t="shared" ca="1" si="768"/>
        <v>Occupied</v>
      </c>
      <c r="AK2227">
        <f t="shared" ca="1" si="769"/>
        <v>1</v>
      </c>
    </row>
    <row r="2228" spans="1:37" x14ac:dyDescent="0.3">
      <c r="A2228" t="s">
        <v>6588</v>
      </c>
      <c r="B2228">
        <v>32</v>
      </c>
      <c r="C2228" t="s">
        <v>32</v>
      </c>
      <c r="D2228" t="s">
        <v>38</v>
      </c>
      <c r="E2228" t="s">
        <v>48</v>
      </c>
      <c r="F2228" s="1">
        <v>43843</v>
      </c>
      <c r="G2228" t="s">
        <v>4404</v>
      </c>
      <c r="H2228" t="s">
        <v>4405</v>
      </c>
      <c r="I2228" t="s">
        <v>20</v>
      </c>
      <c r="J2228">
        <v>41929</v>
      </c>
      <c r="K2228">
        <v>174</v>
      </c>
      <c r="L2228" t="s">
        <v>42</v>
      </c>
      <c r="M2228" s="1">
        <v>43857</v>
      </c>
      <c r="N2228" t="s">
        <v>37</v>
      </c>
      <c r="O2228" t="s">
        <v>43</v>
      </c>
      <c r="P2228" t="str">
        <f t="shared" si="750"/>
        <v>P2227</v>
      </c>
      <c r="Q2228" t="str">
        <f t="shared" si="748"/>
        <v>Pulmonology</v>
      </c>
      <c r="R2228">
        <f t="shared" si="749"/>
        <v>14</v>
      </c>
      <c r="S2228" t="str">
        <f t="shared" ca="1" si="751"/>
        <v>No</v>
      </c>
      <c r="T2228" t="str">
        <f t="shared" ca="1" si="752"/>
        <v>Mild</v>
      </c>
      <c r="U2228" t="str">
        <f t="shared" ca="1" si="753"/>
        <v>Semi-Private</v>
      </c>
      <c r="V2228" t="str">
        <f t="shared" si="754"/>
        <v>BED2227</v>
      </c>
      <c r="W2228" t="str">
        <f t="shared" ca="1" si="755"/>
        <v>General</v>
      </c>
      <c r="X2228" t="str">
        <f t="shared" si="756"/>
        <v>NUR027</v>
      </c>
      <c r="Y2228" t="str">
        <f t="shared" ca="1" si="757"/>
        <v>Morning</v>
      </c>
      <c r="Z2228" t="str">
        <f t="shared" ca="1" si="758"/>
        <v>CT Scanner</v>
      </c>
      <c r="AA2228" t="str">
        <f t="shared" ca="1" si="759"/>
        <v>Available</v>
      </c>
      <c r="AB2228" t="str">
        <f t="shared" ca="1" si="760"/>
        <v>Partially Paid</v>
      </c>
      <c r="AC2228" t="str">
        <f t="shared" ca="1" si="761"/>
        <v>Insurance</v>
      </c>
      <c r="AD2228" t="str">
        <f t="shared" ca="1" si="762"/>
        <v>No</v>
      </c>
      <c r="AE2228" t="str">
        <f t="shared" ca="1" si="763"/>
        <v>No</v>
      </c>
      <c r="AF2228" t="str">
        <f t="shared" ca="1" si="764"/>
        <v>Transferred</v>
      </c>
      <c r="AG2228" t="str">
        <f t="shared" ca="1" si="765"/>
        <v>Southwest</v>
      </c>
      <c r="AH2228" t="str">
        <f t="shared" si="766"/>
        <v>January</v>
      </c>
      <c r="AI2228">
        <f t="shared" si="767"/>
        <v>2020</v>
      </c>
      <c r="AJ2228" t="str">
        <f t="shared" ca="1" si="768"/>
        <v>Vacant</v>
      </c>
      <c r="AK2228">
        <f t="shared" ca="1" si="769"/>
        <v>2</v>
      </c>
    </row>
    <row r="2229" spans="1:37" x14ac:dyDescent="0.3">
      <c r="A2229" t="s">
        <v>6589</v>
      </c>
      <c r="B2229">
        <v>63</v>
      </c>
      <c r="C2229" t="s">
        <v>32</v>
      </c>
      <c r="D2229" t="s">
        <v>52</v>
      </c>
      <c r="E2229" t="s">
        <v>25</v>
      </c>
      <c r="F2229" s="1">
        <v>44169</v>
      </c>
      <c r="G2229" t="s">
        <v>4406</v>
      </c>
      <c r="H2229" t="s">
        <v>4407</v>
      </c>
      <c r="I2229" t="s">
        <v>20</v>
      </c>
      <c r="J2229">
        <v>8548</v>
      </c>
      <c r="K2229">
        <v>276</v>
      </c>
      <c r="L2229" t="s">
        <v>42</v>
      </c>
      <c r="M2229" s="1">
        <v>44171</v>
      </c>
      <c r="N2229" t="s">
        <v>47</v>
      </c>
      <c r="O2229" t="s">
        <v>43</v>
      </c>
      <c r="P2229" t="str">
        <f t="shared" si="750"/>
        <v>P2228</v>
      </c>
      <c r="Q2229" t="str">
        <f t="shared" si="748"/>
        <v>Nutrition</v>
      </c>
      <c r="R2229">
        <f t="shared" si="749"/>
        <v>2</v>
      </c>
      <c r="S2229" t="str">
        <f t="shared" ca="1" si="751"/>
        <v>No</v>
      </c>
      <c r="T2229" t="str">
        <f t="shared" ca="1" si="752"/>
        <v>Moderate</v>
      </c>
      <c r="U2229" t="str">
        <f t="shared" ca="1" si="753"/>
        <v>General Ward</v>
      </c>
      <c r="V2229" t="str">
        <f t="shared" si="754"/>
        <v>BED2228</v>
      </c>
      <c r="W2229" t="str">
        <f t="shared" ca="1" si="755"/>
        <v>Semi-Private</v>
      </c>
      <c r="X2229" t="str">
        <f t="shared" si="756"/>
        <v>NUR028</v>
      </c>
      <c r="Y2229" t="str">
        <f t="shared" ca="1" si="757"/>
        <v>Evening</v>
      </c>
      <c r="Z2229" t="str">
        <f t="shared" ca="1" si="758"/>
        <v>CT Scanner</v>
      </c>
      <c r="AA2229" t="str">
        <f t="shared" ca="1" si="759"/>
        <v>Available</v>
      </c>
      <c r="AB2229" t="str">
        <f t="shared" ca="1" si="760"/>
        <v>Paid</v>
      </c>
      <c r="AC2229" t="str">
        <f t="shared" ca="1" si="761"/>
        <v>Insurance</v>
      </c>
      <c r="AD2229" t="str">
        <f t="shared" ca="1" si="762"/>
        <v>Yes</v>
      </c>
      <c r="AE2229" t="str">
        <f t="shared" ca="1" si="763"/>
        <v>No</v>
      </c>
      <c r="AF2229" t="str">
        <f t="shared" ca="1" si="764"/>
        <v>Recovered</v>
      </c>
      <c r="AG2229" t="str">
        <f t="shared" ca="1" si="765"/>
        <v>Southeast</v>
      </c>
      <c r="AH2229" t="str">
        <f t="shared" si="766"/>
        <v>December</v>
      </c>
      <c r="AI2229">
        <f t="shared" si="767"/>
        <v>2020</v>
      </c>
      <c r="AJ2229" t="str">
        <f t="shared" ca="1" si="768"/>
        <v>Occupied</v>
      </c>
      <c r="AK2229">
        <f t="shared" ca="1" si="769"/>
        <v>2</v>
      </c>
    </row>
    <row r="2230" spans="1:37" x14ac:dyDescent="0.3">
      <c r="A2230" t="s">
        <v>6590</v>
      </c>
      <c r="B2230">
        <v>75</v>
      </c>
      <c r="C2230" t="s">
        <v>32</v>
      </c>
      <c r="D2230" t="s">
        <v>16</v>
      </c>
      <c r="E2230" t="s">
        <v>64</v>
      </c>
      <c r="F2230" s="1">
        <v>44680</v>
      </c>
      <c r="G2230" t="s">
        <v>4408</v>
      </c>
      <c r="H2230" t="s">
        <v>4409</v>
      </c>
      <c r="I2230" t="s">
        <v>20</v>
      </c>
      <c r="J2230">
        <v>45117</v>
      </c>
      <c r="K2230">
        <v>179</v>
      </c>
      <c r="L2230" t="s">
        <v>21</v>
      </c>
      <c r="M2230" s="1">
        <v>44685</v>
      </c>
      <c r="N2230" t="s">
        <v>30</v>
      </c>
      <c r="O2230" t="s">
        <v>43</v>
      </c>
      <c r="P2230" t="str">
        <f t="shared" si="750"/>
        <v>P2229</v>
      </c>
      <c r="Q2230" t="str">
        <f t="shared" si="748"/>
        <v>Cardiology</v>
      </c>
      <c r="R2230">
        <f t="shared" si="749"/>
        <v>5</v>
      </c>
      <c r="S2230" t="str">
        <f t="shared" ca="1" si="751"/>
        <v>No</v>
      </c>
      <c r="T2230" t="str">
        <f t="shared" ca="1" si="752"/>
        <v>Moderate</v>
      </c>
      <c r="U2230" t="str">
        <f t="shared" ca="1" si="753"/>
        <v>Semi-Private</v>
      </c>
      <c r="V2230" t="str">
        <f t="shared" si="754"/>
        <v>BED2229</v>
      </c>
      <c r="W2230" t="str">
        <f t="shared" ca="1" si="755"/>
        <v>Private</v>
      </c>
      <c r="X2230" t="str">
        <f t="shared" si="756"/>
        <v>NUR029</v>
      </c>
      <c r="Y2230" t="str">
        <f t="shared" ca="1" si="757"/>
        <v>Morning</v>
      </c>
      <c r="Z2230" t="str">
        <f t="shared" ca="1" si="758"/>
        <v>MRI Scanner</v>
      </c>
      <c r="AA2230" t="str">
        <f t="shared" ca="1" si="759"/>
        <v>Maintenance</v>
      </c>
      <c r="AB2230" t="str">
        <f t="shared" ca="1" si="760"/>
        <v>Paid</v>
      </c>
      <c r="AC2230" t="str">
        <f t="shared" ca="1" si="761"/>
        <v>Cash</v>
      </c>
      <c r="AD2230" t="str">
        <f t="shared" ca="1" si="762"/>
        <v>No</v>
      </c>
      <c r="AE2230" t="str">
        <f t="shared" ca="1" si="763"/>
        <v>Yes</v>
      </c>
      <c r="AF2230" t="str">
        <f t="shared" ca="1" si="764"/>
        <v>Recovered</v>
      </c>
      <c r="AG2230" t="str">
        <f t="shared" ca="1" si="765"/>
        <v>West Coast</v>
      </c>
      <c r="AH2230" t="str">
        <f t="shared" si="766"/>
        <v>April</v>
      </c>
      <c r="AI2230">
        <f t="shared" si="767"/>
        <v>2022</v>
      </c>
      <c r="AJ2230" t="str">
        <f t="shared" ca="1" si="768"/>
        <v>Occupied</v>
      </c>
      <c r="AK2230">
        <f t="shared" ca="1" si="769"/>
        <v>4</v>
      </c>
    </row>
    <row r="2231" spans="1:37" x14ac:dyDescent="0.3">
      <c r="A2231" t="s">
        <v>6591</v>
      </c>
      <c r="B2231">
        <v>43</v>
      </c>
      <c r="C2231" t="s">
        <v>15</v>
      </c>
      <c r="D2231" t="s">
        <v>24</v>
      </c>
      <c r="E2231" t="s">
        <v>39</v>
      </c>
      <c r="F2231" s="1">
        <v>45352</v>
      </c>
      <c r="G2231" t="s">
        <v>4410</v>
      </c>
      <c r="H2231" t="s">
        <v>4411</v>
      </c>
      <c r="I2231" t="s">
        <v>51</v>
      </c>
      <c r="J2231">
        <v>36045</v>
      </c>
      <c r="K2231">
        <v>263</v>
      </c>
      <c r="L2231" t="s">
        <v>42</v>
      </c>
      <c r="M2231" s="1">
        <v>45366</v>
      </c>
      <c r="N2231" t="s">
        <v>47</v>
      </c>
      <c r="O2231" t="s">
        <v>23</v>
      </c>
      <c r="P2231" t="str">
        <f t="shared" si="750"/>
        <v>P2230</v>
      </c>
      <c r="Q2231" t="str">
        <f t="shared" si="748"/>
        <v>Endocrinology</v>
      </c>
      <c r="R2231">
        <f t="shared" si="749"/>
        <v>14</v>
      </c>
      <c r="S2231" t="str">
        <f t="shared" ca="1" si="751"/>
        <v>Yes</v>
      </c>
      <c r="T2231" t="str">
        <f t="shared" ca="1" si="752"/>
        <v>Severe</v>
      </c>
      <c r="U2231" t="str">
        <f t="shared" ca="1" si="753"/>
        <v>Emergency</v>
      </c>
      <c r="V2231" t="str">
        <f t="shared" si="754"/>
        <v>BED2230</v>
      </c>
      <c r="W2231" t="str">
        <f t="shared" ca="1" si="755"/>
        <v>General</v>
      </c>
      <c r="X2231" t="str">
        <f t="shared" si="756"/>
        <v>NUR030</v>
      </c>
      <c r="Y2231" t="str">
        <f t="shared" ca="1" si="757"/>
        <v>Morning</v>
      </c>
      <c r="Z2231" t="str">
        <f t="shared" ca="1" si="758"/>
        <v>X-Ray</v>
      </c>
      <c r="AA2231" t="str">
        <f t="shared" ca="1" si="759"/>
        <v>Maintenance</v>
      </c>
      <c r="AB2231" t="str">
        <f t="shared" ca="1" si="760"/>
        <v>Partially Paid</v>
      </c>
      <c r="AC2231" t="str">
        <f t="shared" ca="1" si="761"/>
        <v>Cash</v>
      </c>
      <c r="AD2231" t="str">
        <f t="shared" ca="1" si="762"/>
        <v>Yes</v>
      </c>
      <c r="AE2231" t="str">
        <f t="shared" ca="1" si="763"/>
        <v>No</v>
      </c>
      <c r="AF2231" t="str">
        <f t="shared" ca="1" si="764"/>
        <v>Under Observation</v>
      </c>
      <c r="AG2231" t="str">
        <f t="shared" ca="1" si="765"/>
        <v>Midwest</v>
      </c>
      <c r="AH2231" t="str">
        <f t="shared" si="766"/>
        <v>March</v>
      </c>
      <c r="AI2231">
        <f t="shared" si="767"/>
        <v>2024</v>
      </c>
      <c r="AJ2231" t="str">
        <f t="shared" ca="1" si="768"/>
        <v>Occupied</v>
      </c>
      <c r="AK2231">
        <f t="shared" ca="1" si="769"/>
        <v>2</v>
      </c>
    </row>
    <row r="2232" spans="1:37" x14ac:dyDescent="0.3">
      <c r="A2232" t="s">
        <v>6592</v>
      </c>
      <c r="B2232">
        <v>64</v>
      </c>
      <c r="C2232" t="s">
        <v>32</v>
      </c>
      <c r="D2232" t="s">
        <v>52</v>
      </c>
      <c r="E2232" t="s">
        <v>64</v>
      </c>
      <c r="F2232" s="1">
        <v>44053</v>
      </c>
      <c r="G2232" t="s">
        <v>4412</v>
      </c>
      <c r="H2232" t="s">
        <v>2765</v>
      </c>
      <c r="I2232" t="s">
        <v>20</v>
      </c>
      <c r="J2232">
        <v>22120</v>
      </c>
      <c r="K2232">
        <v>181</v>
      </c>
      <c r="L2232" t="s">
        <v>29</v>
      </c>
      <c r="M2232" s="1">
        <v>44074</v>
      </c>
      <c r="N2232" t="s">
        <v>22</v>
      </c>
      <c r="O2232" t="s">
        <v>23</v>
      </c>
      <c r="P2232" t="str">
        <f t="shared" si="750"/>
        <v>P2231</v>
      </c>
      <c r="Q2232" t="str">
        <f t="shared" si="748"/>
        <v>Cardiology</v>
      </c>
      <c r="R2232">
        <f t="shared" si="749"/>
        <v>21</v>
      </c>
      <c r="S2232" t="str">
        <f t="shared" ca="1" si="751"/>
        <v>No</v>
      </c>
      <c r="T2232" t="str">
        <f t="shared" ca="1" si="752"/>
        <v>Moderate</v>
      </c>
      <c r="U2232" t="str">
        <f t="shared" ca="1" si="753"/>
        <v>Emergency</v>
      </c>
      <c r="V2232" t="str">
        <f t="shared" si="754"/>
        <v>BED2231</v>
      </c>
      <c r="W2232" t="str">
        <f t="shared" ca="1" si="755"/>
        <v>Semi-Private</v>
      </c>
      <c r="X2232" t="str">
        <f t="shared" si="756"/>
        <v>NUR031</v>
      </c>
      <c r="Y2232" t="str">
        <f t="shared" ca="1" si="757"/>
        <v>Morning</v>
      </c>
      <c r="Z2232" t="str">
        <f t="shared" ca="1" si="758"/>
        <v>ECG Machine</v>
      </c>
      <c r="AA2232" t="str">
        <f t="shared" ca="1" si="759"/>
        <v>Available</v>
      </c>
      <c r="AB2232" t="str">
        <f t="shared" ca="1" si="760"/>
        <v>Partially Paid</v>
      </c>
      <c r="AC2232" t="str">
        <f t="shared" ca="1" si="761"/>
        <v>Credit Card</v>
      </c>
      <c r="AD2232" t="str">
        <f t="shared" ca="1" si="762"/>
        <v>No</v>
      </c>
      <c r="AE2232" t="str">
        <f t="shared" ca="1" si="763"/>
        <v>Yes</v>
      </c>
      <c r="AF2232" t="str">
        <f t="shared" ca="1" si="764"/>
        <v>Under Observation</v>
      </c>
      <c r="AG2232" t="str">
        <f t="shared" ca="1" si="765"/>
        <v>West Coast</v>
      </c>
      <c r="AH2232" t="str">
        <f t="shared" si="766"/>
        <v>August</v>
      </c>
      <c r="AI2232">
        <f t="shared" si="767"/>
        <v>2020</v>
      </c>
      <c r="AJ2232" t="str">
        <f t="shared" ca="1" si="768"/>
        <v>Occupied</v>
      </c>
      <c r="AK2232">
        <f t="shared" ca="1" si="769"/>
        <v>2</v>
      </c>
    </row>
    <row r="2233" spans="1:37" x14ac:dyDescent="0.3">
      <c r="A2233" t="s">
        <v>6593</v>
      </c>
      <c r="B2233">
        <v>57</v>
      </c>
      <c r="C2233" t="s">
        <v>15</v>
      </c>
      <c r="D2233" t="s">
        <v>24</v>
      </c>
      <c r="E2233" t="s">
        <v>39</v>
      </c>
      <c r="F2233" s="1">
        <v>44098</v>
      </c>
      <c r="G2233" t="s">
        <v>4413</v>
      </c>
      <c r="H2233" t="s">
        <v>4414</v>
      </c>
      <c r="I2233" t="s">
        <v>28</v>
      </c>
      <c r="J2233">
        <v>9629</v>
      </c>
      <c r="K2233">
        <v>457</v>
      </c>
      <c r="L2233" t="s">
        <v>21</v>
      </c>
      <c r="M2233" s="1">
        <v>44124</v>
      </c>
      <c r="N2233" t="s">
        <v>67</v>
      </c>
      <c r="O2233" t="s">
        <v>23</v>
      </c>
      <c r="P2233" t="str">
        <f t="shared" si="750"/>
        <v>P2232</v>
      </c>
      <c r="Q2233" t="str">
        <f t="shared" si="748"/>
        <v>Endocrinology</v>
      </c>
      <c r="R2233">
        <f t="shared" si="749"/>
        <v>26</v>
      </c>
      <c r="S2233" t="str">
        <f t="shared" ca="1" si="751"/>
        <v>No</v>
      </c>
      <c r="T2233" t="str">
        <f t="shared" ca="1" si="752"/>
        <v>Mild</v>
      </c>
      <c r="U2233" t="str">
        <f t="shared" ca="1" si="753"/>
        <v>ICU</v>
      </c>
      <c r="V2233" t="str">
        <f t="shared" si="754"/>
        <v>BED2232</v>
      </c>
      <c r="W2233" t="str">
        <f t="shared" ca="1" si="755"/>
        <v>ICU</v>
      </c>
      <c r="X2233" t="str">
        <f t="shared" si="756"/>
        <v>NUR032</v>
      </c>
      <c r="Y2233" t="str">
        <f t="shared" ca="1" si="757"/>
        <v>Evening</v>
      </c>
      <c r="Z2233" t="str">
        <f t="shared" ca="1" si="758"/>
        <v>CT Scanner</v>
      </c>
      <c r="AA2233" t="str">
        <f t="shared" ca="1" si="759"/>
        <v>In Use</v>
      </c>
      <c r="AB2233" t="str">
        <f t="shared" ca="1" si="760"/>
        <v>Pending</v>
      </c>
      <c r="AC2233" t="str">
        <f t="shared" ca="1" si="761"/>
        <v>Debit Card</v>
      </c>
      <c r="AD2233" t="str">
        <f t="shared" ca="1" si="762"/>
        <v>No</v>
      </c>
      <c r="AE2233" t="str">
        <f t="shared" ca="1" si="763"/>
        <v>No</v>
      </c>
      <c r="AF2233" t="str">
        <f t="shared" ca="1" si="764"/>
        <v>Transferred</v>
      </c>
      <c r="AG2233" t="str">
        <f t="shared" ca="1" si="765"/>
        <v>West Coast</v>
      </c>
      <c r="AH2233" t="str">
        <f t="shared" si="766"/>
        <v>September</v>
      </c>
      <c r="AI2233">
        <f t="shared" si="767"/>
        <v>2020</v>
      </c>
      <c r="AJ2233" t="str">
        <f t="shared" ca="1" si="768"/>
        <v>Occupied</v>
      </c>
      <c r="AK2233">
        <f t="shared" ca="1" si="769"/>
        <v>2</v>
      </c>
    </row>
    <row r="2234" spans="1:37" x14ac:dyDescent="0.3">
      <c r="A2234" t="s">
        <v>6594</v>
      </c>
      <c r="B2234">
        <v>55</v>
      </c>
      <c r="C2234" t="s">
        <v>32</v>
      </c>
      <c r="D2234" t="s">
        <v>83</v>
      </c>
      <c r="E2234" t="s">
        <v>48</v>
      </c>
      <c r="F2234" s="1">
        <v>45084</v>
      </c>
      <c r="G2234" t="s">
        <v>4415</v>
      </c>
      <c r="H2234" t="s">
        <v>4416</v>
      </c>
      <c r="I2234" t="s">
        <v>51</v>
      </c>
      <c r="J2234">
        <v>11908</v>
      </c>
      <c r="K2234">
        <v>180</v>
      </c>
      <c r="L2234" t="s">
        <v>29</v>
      </c>
      <c r="M2234" s="1">
        <v>45101</v>
      </c>
      <c r="N2234" t="s">
        <v>67</v>
      </c>
      <c r="O2234" t="s">
        <v>43</v>
      </c>
      <c r="P2234" t="str">
        <f t="shared" si="750"/>
        <v>P2233</v>
      </c>
      <c r="Q2234" t="str">
        <f t="shared" si="748"/>
        <v>Pulmonology</v>
      </c>
      <c r="R2234">
        <f t="shared" si="749"/>
        <v>17</v>
      </c>
      <c r="S2234" t="str">
        <f t="shared" ca="1" si="751"/>
        <v>No</v>
      </c>
      <c r="T2234" t="str">
        <f t="shared" ca="1" si="752"/>
        <v>Severe</v>
      </c>
      <c r="U2234" t="str">
        <f t="shared" ca="1" si="753"/>
        <v>Private Ward</v>
      </c>
      <c r="V2234" t="str">
        <f t="shared" si="754"/>
        <v>BED2233</v>
      </c>
      <c r="W2234" t="str">
        <f t="shared" ca="1" si="755"/>
        <v>Private</v>
      </c>
      <c r="X2234" t="str">
        <f t="shared" si="756"/>
        <v>NUR033</v>
      </c>
      <c r="Y2234" t="str">
        <f t="shared" ca="1" si="757"/>
        <v>Night</v>
      </c>
      <c r="Z2234" t="str">
        <f t="shared" ca="1" si="758"/>
        <v>Ventilator</v>
      </c>
      <c r="AA2234" t="str">
        <f t="shared" ca="1" si="759"/>
        <v>Maintenance</v>
      </c>
      <c r="AB2234" t="str">
        <f t="shared" ca="1" si="760"/>
        <v>Pending</v>
      </c>
      <c r="AC2234" t="str">
        <f t="shared" ca="1" si="761"/>
        <v>Bank Transfer</v>
      </c>
      <c r="AD2234" t="str">
        <f t="shared" ca="1" si="762"/>
        <v>No</v>
      </c>
      <c r="AE2234" t="str">
        <f t="shared" ca="1" si="763"/>
        <v>No</v>
      </c>
      <c r="AF2234" t="str">
        <f t="shared" ca="1" si="764"/>
        <v>Recovered</v>
      </c>
      <c r="AG2234" t="str">
        <f t="shared" ca="1" si="765"/>
        <v>Northeast</v>
      </c>
      <c r="AH2234" t="str">
        <f t="shared" si="766"/>
        <v>June</v>
      </c>
      <c r="AI2234">
        <f t="shared" si="767"/>
        <v>2023</v>
      </c>
      <c r="AJ2234" t="str">
        <f t="shared" ca="1" si="768"/>
        <v>Occupied</v>
      </c>
      <c r="AK2234">
        <f t="shared" ca="1" si="769"/>
        <v>1</v>
      </c>
    </row>
    <row r="2235" spans="1:37" x14ac:dyDescent="0.3">
      <c r="A2235" t="s">
        <v>6595</v>
      </c>
      <c r="B2235">
        <v>42</v>
      </c>
      <c r="C2235" t="s">
        <v>15</v>
      </c>
      <c r="D2235" t="s">
        <v>52</v>
      </c>
      <c r="E2235" t="s">
        <v>64</v>
      </c>
      <c r="F2235" s="1">
        <v>44803</v>
      </c>
      <c r="G2235" t="s">
        <v>4417</v>
      </c>
      <c r="H2235" t="s">
        <v>4418</v>
      </c>
      <c r="I2235" t="s">
        <v>51</v>
      </c>
      <c r="J2235">
        <v>27539</v>
      </c>
      <c r="K2235">
        <v>314</v>
      </c>
      <c r="L2235" t="s">
        <v>42</v>
      </c>
      <c r="M2235" s="1">
        <v>44824</v>
      </c>
      <c r="N2235" t="s">
        <v>30</v>
      </c>
      <c r="O2235" t="s">
        <v>31</v>
      </c>
      <c r="P2235" t="str">
        <f t="shared" si="750"/>
        <v>P2234</v>
      </c>
      <c r="Q2235" t="str">
        <f t="shared" si="748"/>
        <v>Cardiology</v>
      </c>
      <c r="R2235">
        <f t="shared" si="749"/>
        <v>21</v>
      </c>
      <c r="S2235" t="str">
        <f t="shared" ca="1" si="751"/>
        <v>No</v>
      </c>
      <c r="T2235" t="str">
        <f t="shared" ca="1" si="752"/>
        <v>Moderate</v>
      </c>
      <c r="U2235" t="str">
        <f t="shared" ca="1" si="753"/>
        <v>Emergency</v>
      </c>
      <c r="V2235" t="str">
        <f t="shared" si="754"/>
        <v>BED2234</v>
      </c>
      <c r="W2235" t="str">
        <f t="shared" ca="1" si="755"/>
        <v>General</v>
      </c>
      <c r="X2235" t="str">
        <f t="shared" si="756"/>
        <v>NUR034</v>
      </c>
      <c r="Y2235" t="str">
        <f t="shared" ca="1" si="757"/>
        <v>Morning</v>
      </c>
      <c r="Z2235" t="str">
        <f t="shared" ca="1" si="758"/>
        <v>Ventilator</v>
      </c>
      <c r="AA2235" t="str">
        <f t="shared" ca="1" si="759"/>
        <v>Available</v>
      </c>
      <c r="AB2235" t="str">
        <f t="shared" ca="1" si="760"/>
        <v>Paid</v>
      </c>
      <c r="AC2235" t="str">
        <f t="shared" ca="1" si="761"/>
        <v>Bank Transfer</v>
      </c>
      <c r="AD2235" t="str">
        <f t="shared" ca="1" si="762"/>
        <v>No</v>
      </c>
      <c r="AE2235" t="str">
        <f t="shared" ca="1" si="763"/>
        <v>No</v>
      </c>
      <c r="AF2235" t="str">
        <f t="shared" ca="1" si="764"/>
        <v>Under Observation</v>
      </c>
      <c r="AG2235" t="str">
        <f t="shared" ca="1" si="765"/>
        <v>West Coast</v>
      </c>
      <c r="AH2235" t="str">
        <f t="shared" si="766"/>
        <v>August</v>
      </c>
      <c r="AI2235">
        <f t="shared" si="767"/>
        <v>2022</v>
      </c>
      <c r="AJ2235" t="str">
        <f t="shared" ca="1" si="768"/>
        <v>Occupied</v>
      </c>
      <c r="AK2235">
        <f t="shared" ca="1" si="769"/>
        <v>2</v>
      </c>
    </row>
    <row r="2236" spans="1:37" x14ac:dyDescent="0.3">
      <c r="A2236" t="s">
        <v>6596</v>
      </c>
      <c r="B2236">
        <v>62</v>
      </c>
      <c r="C2236" t="s">
        <v>32</v>
      </c>
      <c r="D2236" t="s">
        <v>52</v>
      </c>
      <c r="E2236" t="s">
        <v>64</v>
      </c>
      <c r="F2236" s="1">
        <v>43809</v>
      </c>
      <c r="G2236" t="s">
        <v>4419</v>
      </c>
      <c r="H2236" t="s">
        <v>4420</v>
      </c>
      <c r="I2236" t="s">
        <v>28</v>
      </c>
      <c r="J2236">
        <v>23061</v>
      </c>
      <c r="K2236">
        <v>311</v>
      </c>
      <c r="L2236" t="s">
        <v>42</v>
      </c>
      <c r="M2236" s="1">
        <v>43815</v>
      </c>
      <c r="N2236" t="s">
        <v>37</v>
      </c>
      <c r="O2236" t="s">
        <v>31</v>
      </c>
      <c r="P2236" t="str">
        <f t="shared" si="750"/>
        <v>P2235</v>
      </c>
      <c r="Q2236" t="str">
        <f t="shared" si="748"/>
        <v>Cardiology</v>
      </c>
      <c r="R2236">
        <f t="shared" si="749"/>
        <v>6</v>
      </c>
      <c r="S2236" t="str">
        <f t="shared" ca="1" si="751"/>
        <v>No</v>
      </c>
      <c r="T2236" t="str">
        <f t="shared" ca="1" si="752"/>
        <v>Severe</v>
      </c>
      <c r="U2236" t="str">
        <f t="shared" ca="1" si="753"/>
        <v>ICU</v>
      </c>
      <c r="V2236" t="str">
        <f t="shared" si="754"/>
        <v>BED2235</v>
      </c>
      <c r="W2236" t="str">
        <f t="shared" ca="1" si="755"/>
        <v>General</v>
      </c>
      <c r="X2236" t="str">
        <f t="shared" si="756"/>
        <v>NUR035</v>
      </c>
      <c r="Y2236" t="str">
        <f t="shared" ca="1" si="757"/>
        <v>Night</v>
      </c>
      <c r="Z2236" t="str">
        <f t="shared" ca="1" si="758"/>
        <v>ECG Machine</v>
      </c>
      <c r="AA2236" t="str">
        <f t="shared" ca="1" si="759"/>
        <v>Available</v>
      </c>
      <c r="AB2236" t="str">
        <f t="shared" ca="1" si="760"/>
        <v>Partially Paid</v>
      </c>
      <c r="AC2236" t="str">
        <f t="shared" ca="1" si="761"/>
        <v>Cash</v>
      </c>
      <c r="AD2236" t="str">
        <f t="shared" ca="1" si="762"/>
        <v>No</v>
      </c>
      <c r="AE2236" t="str">
        <f t="shared" ca="1" si="763"/>
        <v>Yes</v>
      </c>
      <c r="AF2236" t="str">
        <f t="shared" ca="1" si="764"/>
        <v>Under Observation</v>
      </c>
      <c r="AG2236" t="str">
        <f t="shared" ca="1" si="765"/>
        <v>West Coast</v>
      </c>
      <c r="AH2236" t="str">
        <f t="shared" si="766"/>
        <v>December</v>
      </c>
      <c r="AI2236">
        <f t="shared" si="767"/>
        <v>2019</v>
      </c>
      <c r="AJ2236" t="str">
        <f t="shared" ca="1" si="768"/>
        <v>Occupied</v>
      </c>
      <c r="AK2236">
        <f t="shared" ca="1" si="769"/>
        <v>1</v>
      </c>
    </row>
    <row r="2237" spans="1:37" x14ac:dyDescent="0.3">
      <c r="A2237" t="s">
        <v>6597</v>
      </c>
      <c r="B2237">
        <v>43</v>
      </c>
      <c r="C2237" t="s">
        <v>15</v>
      </c>
      <c r="D2237" t="s">
        <v>33</v>
      </c>
      <c r="E2237" t="s">
        <v>76</v>
      </c>
      <c r="F2237" s="1">
        <v>43971</v>
      </c>
      <c r="G2237" t="s">
        <v>4421</v>
      </c>
      <c r="H2237" t="s">
        <v>4422</v>
      </c>
      <c r="I2237" t="s">
        <v>28</v>
      </c>
      <c r="J2237">
        <v>13565</v>
      </c>
      <c r="K2237">
        <v>282</v>
      </c>
      <c r="L2237" t="s">
        <v>42</v>
      </c>
      <c r="M2237" s="1">
        <v>43997</v>
      </c>
      <c r="N2237" t="s">
        <v>30</v>
      </c>
      <c r="O2237" t="s">
        <v>31</v>
      </c>
      <c r="P2237" t="str">
        <f t="shared" si="750"/>
        <v>P2236</v>
      </c>
      <c r="Q2237" t="str">
        <f t="shared" si="748"/>
        <v>Orthopedics</v>
      </c>
      <c r="R2237">
        <f t="shared" si="749"/>
        <v>26</v>
      </c>
      <c r="S2237" t="str">
        <f t="shared" ca="1" si="751"/>
        <v>Yes</v>
      </c>
      <c r="T2237" t="str">
        <f t="shared" ca="1" si="752"/>
        <v>Critical</v>
      </c>
      <c r="U2237" t="str">
        <f t="shared" ca="1" si="753"/>
        <v>Emergency</v>
      </c>
      <c r="V2237" t="str">
        <f t="shared" si="754"/>
        <v>BED2236</v>
      </c>
      <c r="W2237" t="str">
        <f t="shared" ca="1" si="755"/>
        <v>General</v>
      </c>
      <c r="X2237" t="str">
        <f t="shared" si="756"/>
        <v>NUR036</v>
      </c>
      <c r="Y2237" t="str">
        <f t="shared" ca="1" si="757"/>
        <v>Evening</v>
      </c>
      <c r="Z2237" t="str">
        <f t="shared" ca="1" si="758"/>
        <v>CT Scanner</v>
      </c>
      <c r="AA2237" t="str">
        <f t="shared" ca="1" si="759"/>
        <v>Maintenance</v>
      </c>
      <c r="AB2237" t="str">
        <f t="shared" ca="1" si="760"/>
        <v>Pending</v>
      </c>
      <c r="AC2237" t="str">
        <f t="shared" ca="1" si="761"/>
        <v>Debit Card</v>
      </c>
      <c r="AD2237" t="str">
        <f t="shared" ca="1" si="762"/>
        <v>No</v>
      </c>
      <c r="AE2237" t="str">
        <f t="shared" ca="1" si="763"/>
        <v>No</v>
      </c>
      <c r="AF2237" t="str">
        <f t="shared" ca="1" si="764"/>
        <v>Under Observation</v>
      </c>
      <c r="AG2237" t="str">
        <f t="shared" ca="1" si="765"/>
        <v>Northeast</v>
      </c>
      <c r="AH2237" t="str">
        <f t="shared" si="766"/>
        <v>May</v>
      </c>
      <c r="AI2237">
        <f t="shared" si="767"/>
        <v>2020</v>
      </c>
      <c r="AJ2237" t="str">
        <f t="shared" ca="1" si="768"/>
        <v>Occupied</v>
      </c>
      <c r="AK2237">
        <f t="shared" ca="1" si="769"/>
        <v>4</v>
      </c>
    </row>
    <row r="2238" spans="1:37" x14ac:dyDescent="0.3">
      <c r="A2238" t="s">
        <v>6598</v>
      </c>
      <c r="B2238">
        <v>40</v>
      </c>
      <c r="C2238" t="s">
        <v>15</v>
      </c>
      <c r="D2238" t="s">
        <v>24</v>
      </c>
      <c r="E2238" t="s">
        <v>17</v>
      </c>
      <c r="F2238" s="1">
        <v>44381</v>
      </c>
      <c r="G2238" t="s">
        <v>4423</v>
      </c>
      <c r="H2238" t="s">
        <v>4424</v>
      </c>
      <c r="I2238" t="s">
        <v>36</v>
      </c>
      <c r="J2238">
        <v>43397</v>
      </c>
      <c r="K2238">
        <v>231</v>
      </c>
      <c r="L2238" t="s">
        <v>21</v>
      </c>
      <c r="M2238" s="1">
        <v>44402</v>
      </c>
      <c r="N2238" t="s">
        <v>67</v>
      </c>
      <c r="O2238" t="s">
        <v>31</v>
      </c>
      <c r="P2238" t="str">
        <f t="shared" si="750"/>
        <v>P2237</v>
      </c>
      <c r="Q2238" t="str">
        <f t="shared" si="748"/>
        <v>Oncology</v>
      </c>
      <c r="R2238">
        <f t="shared" si="749"/>
        <v>21</v>
      </c>
      <c r="S2238" t="str">
        <f t="shared" ca="1" si="751"/>
        <v>No</v>
      </c>
      <c r="T2238" t="str">
        <f t="shared" ca="1" si="752"/>
        <v>Mild</v>
      </c>
      <c r="U2238" t="str">
        <f t="shared" ca="1" si="753"/>
        <v>Private Ward</v>
      </c>
      <c r="V2238" t="str">
        <f t="shared" si="754"/>
        <v>BED2237</v>
      </c>
      <c r="W2238" t="str">
        <f t="shared" ca="1" si="755"/>
        <v>General</v>
      </c>
      <c r="X2238" t="str">
        <f t="shared" si="756"/>
        <v>NUR037</v>
      </c>
      <c r="Y2238" t="str">
        <f t="shared" ca="1" si="757"/>
        <v>Morning</v>
      </c>
      <c r="Z2238" t="str">
        <f t="shared" ca="1" si="758"/>
        <v>Ventilator</v>
      </c>
      <c r="AA2238" t="str">
        <f t="shared" ca="1" si="759"/>
        <v>Maintenance</v>
      </c>
      <c r="AB2238" t="str">
        <f t="shared" ca="1" si="760"/>
        <v>Paid</v>
      </c>
      <c r="AC2238" t="str">
        <f t="shared" ca="1" si="761"/>
        <v>Cash</v>
      </c>
      <c r="AD2238" t="str">
        <f t="shared" ca="1" si="762"/>
        <v>No</v>
      </c>
      <c r="AE2238" t="str">
        <f t="shared" ca="1" si="763"/>
        <v>No</v>
      </c>
      <c r="AF2238" t="str">
        <f t="shared" ca="1" si="764"/>
        <v>Transferred</v>
      </c>
      <c r="AG2238" t="str">
        <f t="shared" ca="1" si="765"/>
        <v>West Coast</v>
      </c>
      <c r="AH2238" t="str">
        <f t="shared" si="766"/>
        <v>July</v>
      </c>
      <c r="AI2238">
        <f t="shared" si="767"/>
        <v>2021</v>
      </c>
      <c r="AJ2238" t="str">
        <f t="shared" ca="1" si="768"/>
        <v>Occupied</v>
      </c>
      <c r="AK2238">
        <f t="shared" ca="1" si="769"/>
        <v>1</v>
      </c>
    </row>
    <row r="2239" spans="1:37" x14ac:dyDescent="0.3">
      <c r="A2239" t="s">
        <v>6599</v>
      </c>
      <c r="B2239">
        <v>34</v>
      </c>
      <c r="C2239" t="s">
        <v>32</v>
      </c>
      <c r="D2239" t="s">
        <v>33</v>
      </c>
      <c r="E2239" t="s">
        <v>48</v>
      </c>
      <c r="F2239" s="1">
        <v>43986</v>
      </c>
      <c r="G2239" t="s">
        <v>4425</v>
      </c>
      <c r="H2239" t="s">
        <v>4426</v>
      </c>
      <c r="I2239" t="s">
        <v>51</v>
      </c>
      <c r="J2239">
        <v>29500</v>
      </c>
      <c r="K2239">
        <v>299</v>
      </c>
      <c r="L2239" t="s">
        <v>29</v>
      </c>
      <c r="M2239" s="1">
        <v>43990</v>
      </c>
      <c r="N2239" t="s">
        <v>30</v>
      </c>
      <c r="O2239" t="s">
        <v>23</v>
      </c>
      <c r="P2239" t="str">
        <f t="shared" si="750"/>
        <v>P2238</v>
      </c>
      <c r="Q2239" t="str">
        <f t="shared" si="748"/>
        <v>Pulmonology</v>
      </c>
      <c r="R2239">
        <f t="shared" si="749"/>
        <v>4</v>
      </c>
      <c r="S2239" t="str">
        <f t="shared" ca="1" si="751"/>
        <v>No</v>
      </c>
      <c r="T2239" t="str">
        <f t="shared" ca="1" si="752"/>
        <v>Moderate</v>
      </c>
      <c r="U2239" t="str">
        <f t="shared" ca="1" si="753"/>
        <v>General Ward</v>
      </c>
      <c r="V2239" t="str">
        <f t="shared" si="754"/>
        <v>BED2238</v>
      </c>
      <c r="W2239" t="str">
        <f t="shared" ca="1" si="755"/>
        <v>Semi-Private</v>
      </c>
      <c r="X2239" t="str">
        <f t="shared" si="756"/>
        <v>NUR038</v>
      </c>
      <c r="Y2239" t="str">
        <f t="shared" ca="1" si="757"/>
        <v>Morning</v>
      </c>
      <c r="Z2239" t="str">
        <f t="shared" ca="1" si="758"/>
        <v>MRI Scanner</v>
      </c>
      <c r="AA2239" t="str">
        <f t="shared" ca="1" si="759"/>
        <v>In Use</v>
      </c>
      <c r="AB2239" t="str">
        <f t="shared" ca="1" si="760"/>
        <v>Partially Paid</v>
      </c>
      <c r="AC2239" t="str">
        <f t="shared" ca="1" si="761"/>
        <v>Insurance</v>
      </c>
      <c r="AD2239" t="str">
        <f t="shared" ca="1" si="762"/>
        <v>No</v>
      </c>
      <c r="AE2239" t="str">
        <f t="shared" ca="1" si="763"/>
        <v>No</v>
      </c>
      <c r="AF2239" t="str">
        <f t="shared" ca="1" si="764"/>
        <v>Under Observation</v>
      </c>
      <c r="AG2239" t="str">
        <f t="shared" ca="1" si="765"/>
        <v>Midwest</v>
      </c>
      <c r="AH2239" t="str">
        <f t="shared" si="766"/>
        <v>June</v>
      </c>
      <c r="AI2239">
        <f t="shared" si="767"/>
        <v>2020</v>
      </c>
      <c r="AJ2239" t="str">
        <f t="shared" ca="1" si="768"/>
        <v>Occupied</v>
      </c>
      <c r="AK2239">
        <f t="shared" ca="1" si="76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hospital_raw_data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2026-07-07T04:49:52Z</dcterms:created>
  <dcterms:modified xsi:type="dcterms:W3CDTF">2026-07-08T06:44:57Z</dcterms:modified>
</cp:coreProperties>
</file>